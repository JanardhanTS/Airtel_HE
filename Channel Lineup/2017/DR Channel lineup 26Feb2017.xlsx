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480" yWindow="90" windowWidth="18195" windowHeight="7230"/>
  </bookViews>
  <sheets>
    <sheet name="Summary" sheetId="2" r:id="rId1"/>
    <sheet name="Channel Lineup" sheetId="1" r:id="rId2"/>
    <sheet name="Sheet3" sheetId="5" r:id="rId3"/>
    <sheet name="Sheet4" sheetId="6" r:id="rId4"/>
  </sheets>
  <definedNames>
    <definedName name="_xlnm._FilterDatabase" localSheetId="1" hidden="1">'Channel Lineup'!$A$1:$G$463</definedName>
    <definedName name="_xlnm._FilterDatabase" localSheetId="2" hidden="1">Sheet3!$A$1:$G$1</definedName>
    <definedName name="_xlnm._FilterDatabase" localSheetId="3" hidden="1">Sheet4!$A$1:$G$210</definedName>
    <definedName name="_xlnm.Print_Area" localSheetId="1">'Channel Lineup'!$A$1:$G$463</definedName>
  </definedNames>
  <calcPr calcId="152511" calcMode="manual"/>
</workbook>
</file>

<file path=xl/calcChain.xml><?xml version="1.0" encoding="utf-8"?>
<calcChain xmlns="http://schemas.openxmlformats.org/spreadsheetml/2006/main">
  <c r="J10" i="5" l="1"/>
  <c r="J3" i="5"/>
  <c r="J13" i="5"/>
  <c r="J14" i="5"/>
  <c r="J12" i="5"/>
  <c r="J11" i="5"/>
  <c r="J9" i="5"/>
  <c r="J8" i="5"/>
  <c r="J7" i="5"/>
  <c r="J6" i="5"/>
  <c r="J5" i="5"/>
  <c r="J4" i="5"/>
</calcChain>
</file>

<file path=xl/sharedStrings.xml><?xml version="1.0" encoding="utf-8"?>
<sst xmlns="http://schemas.openxmlformats.org/spreadsheetml/2006/main" count="3035" uniqueCount="496">
  <si>
    <t>LCN</t>
  </si>
  <si>
    <t>TS</t>
  </si>
  <si>
    <t>&amp; Pictures</t>
  </si>
  <si>
    <t>&amp; Pictures HD</t>
  </si>
  <si>
    <t>&amp; TV</t>
  </si>
  <si>
    <t>&amp; TV HD</t>
  </si>
  <si>
    <t>10 TV Telugu News</t>
  </si>
  <si>
    <t>9X Jalwa</t>
  </si>
  <si>
    <t>9X Jhakaas</t>
  </si>
  <si>
    <t>9XM</t>
  </si>
  <si>
    <t>9X Tashan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</si>
  <si>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</si>
  <si>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</si>
  <si>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</si>
  <si>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</si>
  <si>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</si>
  <si>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</si>
  <si>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</si>
  <si>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</si>
  <si>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Adithya TV</t>
  </si>
  <si>
    <t>Airtel HD Home</t>
  </si>
  <si>
    <t>Airtel Movies 1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</si>
  <si>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</si>
  <si>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</si>
  <si>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</si>
  <si>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</si>
  <si>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</si>
  <si>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</si>
  <si>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</si>
  <si>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</si>
  <si>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</si>
  <si>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</si>
  <si>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</si>
  <si>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</si>
  <si>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</si>
  <si>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</si>
  <si>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</si>
  <si>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</si>
  <si>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</si>
  <si>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</si>
  <si>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</si>
  <si>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</si>
  <si>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BANGLA HITZ</t>
  </si>
  <si>
    <t>BBC World News</t>
  </si>
  <si>
    <t>Bhakti TV</t>
  </si>
  <si>
    <t xml:space="preserve">BHOJPURI CINEMA </t>
  </si>
  <si>
    <t>Big Ganga</t>
  </si>
  <si>
    <t>Bindass Play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</si>
  <si>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</si>
  <si>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</si>
  <si>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</si>
  <si>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</si>
  <si>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</si>
  <si>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</si>
  <si>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</si>
  <si>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</si>
  <si>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</si>
  <si>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</si>
  <si>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</si>
  <si>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</si>
  <si>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</si>
  <si>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</si>
  <si>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</si>
  <si>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</si>
  <si>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</si>
  <si>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</si>
  <si>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</si>
  <si>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</si>
  <si>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</si>
  <si>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>COLORS INFINITY HD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</si>
  <si>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</si>
  <si>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</si>
  <si>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</si>
  <si>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</si>
  <si>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</si>
  <si>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</si>
  <si>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</si>
  <si>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</si>
  <si>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</si>
  <si>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</si>
  <si>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</si>
  <si>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</si>
  <si>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</si>
  <si>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</si>
  <si>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</si>
  <si>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Sports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</si>
  <si>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</si>
  <si>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</si>
  <si>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</si>
  <si>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</si>
  <si>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</si>
  <si>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</si>
  <si>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</si>
  <si>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</si>
  <si>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</si>
  <si>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</si>
  <si>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</si>
  <si>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</si>
  <si>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India</t>
  </si>
  <si>
    <t>DD UP</t>
  </si>
  <si>
    <t>DD Urdu</t>
  </si>
  <si>
    <t>DD Yadagiri</t>
  </si>
  <si>
    <t>DD1</t>
  </si>
  <si>
    <t>Dhoom Music</t>
  </si>
  <si>
    <t>Discovery Channel</t>
  </si>
  <si>
    <t>Discovery Kids</t>
  </si>
  <si>
    <t>Discovery Science</t>
  </si>
  <si>
    <t>Discovery Tamil</t>
  </si>
  <si>
    <t>Discovery Turbo</t>
  </si>
  <si>
    <t>Disha TV</t>
  </si>
  <si>
    <t>Disney Channel</t>
  </si>
  <si>
    <t>Disney Junior</t>
  </si>
  <si>
    <t>Disney XD</t>
  </si>
  <si>
    <t>Divya TV</t>
  </si>
  <si>
    <t>DW TV</t>
  </si>
  <si>
    <t>DY365</t>
  </si>
  <si>
    <t>E24</t>
  </si>
  <si>
    <t>Eenadu TV</t>
  </si>
  <si>
    <t>Enterr 10</t>
  </si>
  <si>
    <t>ET Now</t>
  </si>
  <si>
    <t>ETV Andhra Pradesh</t>
  </si>
  <si>
    <t>ETV Bihar Jharkhand</t>
  </si>
  <si>
    <t>ETV Cinema</t>
  </si>
  <si>
    <t>ETV Life</t>
  </si>
  <si>
    <t>ETV MP Chhattisgarh</t>
  </si>
  <si>
    <t>ETV News Bangla</t>
  </si>
  <si>
    <t>ETV News Gujarati</t>
  </si>
  <si>
    <t>ETV News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</si>
  <si>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</si>
  <si>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</si>
  <si>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</si>
  <si>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</si>
  <si>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</si>
  <si>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</si>
  <si>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</si>
  <si>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Flowers TV</t>
  </si>
  <si>
    <t>Food Food</t>
  </si>
  <si>
    <t>FOX LIFE</t>
  </si>
  <si>
    <t>Fox Life HD</t>
  </si>
  <si>
    <t>FTV</t>
  </si>
  <si>
    <t>FX</t>
  </si>
  <si>
    <t>FX HD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</si>
  <si>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</si>
  <si>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</si>
  <si>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</si>
  <si>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</si>
  <si>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</si>
  <si>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</si>
  <si>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</si>
  <si>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</si>
  <si>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</si>
  <si>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</si>
  <si>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</si>
  <si>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HBO</t>
  </si>
  <si>
    <t>HBO HD</t>
  </si>
  <si>
    <t>History TV18 HD</t>
  </si>
  <si>
    <t>Homeshop 18</t>
  </si>
  <si>
    <t>Hungama</t>
  </si>
  <si>
    <t>IBC24</t>
  </si>
  <si>
    <t>News18 India</t>
  </si>
  <si>
    <t>IBN Lokmat</t>
  </si>
  <si>
    <t>ID</t>
  </si>
  <si>
    <t>iDevotion</t>
  </si>
  <si>
    <t>iKids World</t>
  </si>
  <si>
    <t>Ikidsworld</t>
  </si>
  <si>
    <t>iMusicspace Radio Service</t>
  </si>
  <si>
    <t>India 24X7</t>
  </si>
  <si>
    <t>India News</t>
  </si>
  <si>
    <t>INDIA TODAY</t>
  </si>
  <si>
    <t>India TV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</si>
  <si>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</si>
  <si>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</si>
  <si>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</si>
  <si>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</si>
  <si>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</si>
  <si>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</si>
  <si>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</si>
  <si>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</si>
  <si>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</si>
  <si>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</si>
  <si>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</si>
  <si>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</si>
  <si>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</si>
  <si>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</si>
  <si>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</si>
  <si>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Kalki Kannada</t>
  </si>
  <si>
    <t>KANAK NEWS</t>
  </si>
  <si>
    <t>Kappa TV</t>
  </si>
  <si>
    <t>Kasthuri TV</t>
  </si>
  <si>
    <t>Kiran TV</t>
  </si>
  <si>
    <t>Kochu TV</t>
  </si>
  <si>
    <t>Kolkata TV</t>
  </si>
  <si>
    <t>KTV</t>
  </si>
  <si>
    <t>Kushi TV</t>
  </si>
  <si>
    <t>Le Plex HD</t>
  </si>
  <si>
    <t>Life OK</t>
  </si>
  <si>
    <t>Life OK HD</t>
  </si>
  <si>
    <t>LIVING FOODZ</t>
  </si>
  <si>
    <t>Loksabha TV</t>
  </si>
  <si>
    <t>Maa Gold</t>
  </si>
  <si>
    <t>MAA HD</t>
  </si>
  <si>
    <t>Maa Movies</t>
  </si>
  <si>
    <t>Maa Music</t>
  </si>
  <si>
    <t xml:space="preserve">Maa TV </t>
  </si>
  <si>
    <t>Madha TV</t>
  </si>
  <si>
    <t>Magicbricks Now</t>
  </si>
  <si>
    <t>Mahuaa TV</t>
  </si>
  <si>
    <t>Maiboli</t>
  </si>
  <si>
    <t>Makkal TV</t>
  </si>
  <si>
    <t>Malai Murasu</t>
  </si>
  <si>
    <t>Manorama News</t>
  </si>
  <si>
    <t>Mastiii</t>
  </si>
  <si>
    <t>Mathrubhumi News</t>
  </si>
  <si>
    <t>MAX</t>
  </si>
  <si>
    <t>Mazhavil Manorama</t>
  </si>
  <si>
    <t>Mazhavil Manorama HD</t>
  </si>
  <si>
    <t>MBC TV</t>
  </si>
  <si>
    <t>Mecca Madina 24x7</t>
  </si>
  <si>
    <t>MediaOne</t>
  </si>
  <si>
    <t>Mega TV</t>
  </si>
  <si>
    <t>MH One Shraddha</t>
  </si>
  <si>
    <t>MH1</t>
  </si>
  <si>
    <t>Mi Marathi</t>
  </si>
  <si>
    <t>MINIPLEX</t>
  </si>
  <si>
    <t>MINIPLEX HD</t>
  </si>
  <si>
    <t xml:space="preserve">MN+ </t>
  </si>
  <si>
    <t>Movies Now</t>
  </si>
  <si>
    <t>Movies Now 2</t>
  </si>
  <si>
    <t>Movies Now 2 HD</t>
  </si>
  <si>
    <t>MOVIES NOW HD</t>
  </si>
  <si>
    <t>Movies OK</t>
  </si>
  <si>
    <t>MTV</t>
  </si>
  <si>
    <t>MTV Beats</t>
  </si>
  <si>
    <t>Multiplex</t>
  </si>
  <si>
    <t>Murasu</t>
  </si>
  <si>
    <t>Music Fatafati</t>
  </si>
  <si>
    <t>Music India</t>
  </si>
  <si>
    <t>Naaptol Blue</t>
  </si>
  <si>
    <t>Naaptol Green/ A2Z Doc</t>
  </si>
  <si>
    <t>Naaptol Kannada</t>
  </si>
  <si>
    <t>Naaptol Malayalam/ Dharam Sangeet</t>
  </si>
  <si>
    <t>NAT GEO People</t>
  </si>
  <si>
    <t>Nat Geo Wild</t>
  </si>
  <si>
    <t>National Geograhic</t>
  </si>
  <si>
    <t>National Geographic HD</t>
  </si>
  <si>
    <t>National Voice</t>
  </si>
  <si>
    <t>Navgrah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</si>
  <si>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</si>
  <si>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</si>
  <si>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</si>
  <si>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</si>
  <si>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</si>
  <si>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</si>
  <si>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</si>
  <si>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</si>
  <si>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</si>
  <si>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</si>
  <si>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 xml:space="preserve">News Time </t>
  </si>
  <si>
    <t>News World India</t>
  </si>
  <si>
    <t>News18 Assam/North East</t>
  </si>
  <si>
    <t>News18 Kerala</t>
  </si>
  <si>
    <t>News18 Tamil Nadu</t>
  </si>
  <si>
    <t>News24</t>
  </si>
  <si>
    <t>NewsX</t>
  </si>
  <si>
    <t>NHK WORLD</t>
  </si>
  <si>
    <t>Nick</t>
  </si>
  <si>
    <t>NICK HD+</t>
  </si>
  <si>
    <t>Nick Junior</t>
  </si>
  <si>
    <t>NTV</t>
  </si>
  <si>
    <t>Oscar Movies</t>
  </si>
  <si>
    <t>OTV</t>
  </si>
  <si>
    <t>Paras TV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</si>
  <si>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</si>
  <si>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</si>
  <si>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</si>
  <si>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</si>
  <si>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</si>
  <si>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</si>
  <si>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</si>
  <si>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</si>
  <si>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</si>
  <si>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</si>
  <si>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</si>
  <si>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</si>
  <si>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</si>
  <si>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</si>
  <si>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</si>
  <si>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</si>
  <si>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</si>
  <si>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</si>
  <si>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</si>
  <si>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</si>
  <si>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</si>
  <si>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</si>
  <si>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</si>
  <si>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</si>
  <si>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</si>
  <si>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</si>
  <si>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>RISHTEY CINEPLEX</t>
  </si>
  <si>
    <t>ROMEDY NOW HD</t>
  </si>
  <si>
    <t>RSTV</t>
  </si>
  <si>
    <t>RT</t>
  </si>
  <si>
    <t>Ruposhi Bangla TV</t>
  </si>
  <si>
    <t>Saam TV</t>
  </si>
  <si>
    <t xml:space="preserve">SAB </t>
  </si>
  <si>
    <t>Sadabahar Hitz</t>
  </si>
  <si>
    <t>Sadhna</t>
  </si>
  <si>
    <t>Prime news</t>
  </si>
  <si>
    <t>Safari TV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</si>
  <si>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</si>
  <si>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</si>
  <si>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</si>
  <si>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</si>
  <si>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</si>
  <si>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</si>
  <si>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</si>
  <si>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</si>
  <si>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</si>
  <si>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</si>
  <si>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Seithigal 24X7</t>
  </si>
  <si>
    <t>Shalom TV</t>
  </si>
  <si>
    <t>Shop CJ</t>
  </si>
  <si>
    <t>Sirippoli</t>
  </si>
  <si>
    <t>SIX</t>
  </si>
  <si>
    <t>SIX HD</t>
  </si>
  <si>
    <t>Sonic</t>
  </si>
  <si>
    <t>Sony Aath</t>
  </si>
  <si>
    <t>SET</t>
  </si>
  <si>
    <t>Sony ESPN HD</t>
  </si>
  <si>
    <t>SET HD</t>
  </si>
  <si>
    <t>Sony Max 2</t>
  </si>
  <si>
    <t>Sony MAX HD</t>
  </si>
  <si>
    <t>Sony Max SUPER HITZ</t>
  </si>
  <si>
    <t>SONY MIX</t>
  </si>
  <si>
    <t>Sony Pal</t>
  </si>
  <si>
    <t>Sony Rox HD</t>
  </si>
  <si>
    <t>Sri Sankara</t>
  </si>
  <si>
    <t>Star Gold</t>
  </si>
  <si>
    <t>Star Gold HD</t>
  </si>
  <si>
    <t>Movies Mania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</si>
  <si>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</si>
  <si>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</si>
  <si>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</si>
  <si>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</si>
  <si>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</si>
  <si>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</si>
  <si>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</si>
  <si>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</si>
  <si>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</si>
  <si>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</si>
  <si>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</si>
  <si>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</si>
  <si>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</si>
  <si>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</si>
  <si>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</si>
  <si>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</si>
  <si>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 4</t>
  </si>
  <si>
    <t>Star Sports Select HD 1</t>
  </si>
  <si>
    <t>Star Sports Select HD 2</t>
  </si>
  <si>
    <t>Star Suvarna</t>
  </si>
  <si>
    <t>Star Suvarna Plus</t>
  </si>
  <si>
    <t>Star Utsav</t>
  </si>
  <si>
    <t>Star Vijay</t>
  </si>
  <si>
    <t>Thanga Thirai</t>
  </si>
  <si>
    <t>STAR WORLD</t>
  </si>
  <si>
    <t>STAR WORLD HD</t>
  </si>
  <si>
    <t>Star World Premiere HD</t>
  </si>
  <si>
    <t>Subhavaartha</t>
  </si>
  <si>
    <t>Sudarshan News</t>
  </si>
  <si>
    <t>Sun Life</t>
  </si>
  <si>
    <t xml:space="preserve">Sun Music </t>
  </si>
  <si>
    <t>Sun Music HD</t>
  </si>
  <si>
    <t>Sun News</t>
  </si>
  <si>
    <t>Sun TV</t>
  </si>
  <si>
    <t>Sun TV HD</t>
  </si>
  <si>
    <t>Surya Music</t>
  </si>
  <si>
    <t>Surya TV</t>
  </si>
  <si>
    <t>Suvarna News</t>
  </si>
  <si>
    <t>SVBC</t>
  </si>
  <si>
    <t>T News</t>
  </si>
  <si>
    <t>Tarang Music</t>
  </si>
  <si>
    <t>Tarang TV</t>
  </si>
  <si>
    <t>Ten 1 HD</t>
  </si>
  <si>
    <t>Ten 2</t>
  </si>
  <si>
    <t>Ten 3</t>
  </si>
  <si>
    <t>Thanthi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</si>
  <si>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</si>
  <si>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</si>
  <si>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</si>
  <si>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</si>
  <si>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</si>
  <si>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</si>
  <si>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</si>
  <si>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</si>
  <si>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</si>
  <si>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</si>
  <si>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</si>
  <si>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</si>
  <si>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</si>
  <si>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</si>
  <si>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</si>
  <si>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</si>
  <si>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</si>
  <si>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</si>
  <si>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</si>
  <si>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</si>
  <si>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Vendhar TV</t>
  </si>
  <si>
    <t>VH1</t>
  </si>
  <si>
    <t>Vijay HD</t>
  </si>
  <si>
    <t>VIJAY SUPER</t>
  </si>
  <si>
    <t>VTV Gujarati</t>
  </si>
  <si>
    <t>WB</t>
  </si>
  <si>
    <t>WION</t>
  </si>
  <si>
    <t>WOW Cinema</t>
  </si>
  <si>
    <t>Zee Yuva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</si>
  <si>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</si>
  <si>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</si>
  <si>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</si>
  <si>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</si>
  <si>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</si>
  <si>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</si>
  <si>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</si>
  <si>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</si>
  <si>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</si>
  <si>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</si>
  <si>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</si>
  <si>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</si>
  <si>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</si>
  <si>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</si>
  <si>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</si>
  <si>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</si>
  <si>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MP CHATTISGARH</t>
  </si>
  <si>
    <t>Zee Marathi</t>
  </si>
  <si>
    <t>Zee News</t>
  </si>
  <si>
    <t>Zee Punjab Haryana Himachal</t>
  </si>
  <si>
    <t>Zee Rajasthan News</t>
  </si>
  <si>
    <t>Zee Salaam</t>
  </si>
  <si>
    <t>Zee Studio HD</t>
  </si>
  <si>
    <t>Zee Talkies</t>
  </si>
  <si>
    <t>Zee Tamil</t>
  </si>
  <si>
    <t>Zee Telugu</t>
  </si>
  <si>
    <t>Zee TV HD</t>
  </si>
  <si>
    <t>Zindagi</t>
  </si>
  <si>
    <t>Zoom</t>
  </si>
  <si>
    <t>APN News</t>
  </si>
  <si>
    <t>Naaptol Bangla</t>
  </si>
  <si>
    <t>SERVICE</t>
  </si>
  <si>
    <t>SLATE/AV</t>
  </si>
  <si>
    <t>AV</t>
  </si>
  <si>
    <t>SLATE</t>
  </si>
  <si>
    <t>Nw</t>
  </si>
  <si>
    <t>Envivio</t>
  </si>
  <si>
    <t>Harmonic</t>
  </si>
  <si>
    <t>Marketing List</t>
  </si>
  <si>
    <t>BC</t>
  </si>
  <si>
    <t>No</t>
  </si>
  <si>
    <t>Yes</t>
  </si>
  <si>
    <t>Romedy Now</t>
  </si>
  <si>
    <t>Big Magic</t>
  </si>
  <si>
    <t>Star Plus</t>
  </si>
  <si>
    <t>Zee TV</t>
  </si>
  <si>
    <t>TV9 Gujarati</t>
  </si>
  <si>
    <t>Colors Infinity</t>
  </si>
  <si>
    <t>Bindass</t>
  </si>
  <si>
    <t>NaaptolMarathi</t>
  </si>
  <si>
    <t>NaaptolTelugu</t>
  </si>
  <si>
    <t>NaaptolTamil</t>
  </si>
  <si>
    <t>ETVHaryana HimachalPradesh</t>
  </si>
  <si>
    <t>Rishtey</t>
  </si>
  <si>
    <t>Sony ESPN</t>
  </si>
  <si>
    <t>History TV18</t>
  </si>
  <si>
    <t>DiscoveryHD World</t>
  </si>
  <si>
    <t>Ten 1</t>
  </si>
  <si>
    <t>Zee Studio</t>
  </si>
  <si>
    <t>Count</t>
  </si>
  <si>
    <t>Total</t>
  </si>
  <si>
    <t>All Service</t>
  </si>
  <si>
    <t>AV Service</t>
  </si>
  <si>
    <t>Slate Service</t>
  </si>
  <si>
    <t>All Services</t>
  </si>
  <si>
    <t>All AV services</t>
  </si>
  <si>
    <t>AV HD Service</t>
  </si>
  <si>
    <t>AV SD Service</t>
  </si>
  <si>
    <t>Slate + AV</t>
  </si>
  <si>
    <t>AV 235</t>
  </si>
  <si>
    <t>All Slate services</t>
  </si>
  <si>
    <t>AV-Non Marketing</t>
  </si>
  <si>
    <t>AV - Marketing</t>
  </si>
  <si>
    <t>AV - Network</t>
  </si>
  <si>
    <t>Slate 227</t>
  </si>
  <si>
    <t>Slate - Network</t>
  </si>
  <si>
    <t>#</t>
  </si>
  <si>
    <t>HD</t>
  </si>
  <si>
    <t>SD</t>
  </si>
  <si>
    <t>SD And HD</t>
  </si>
  <si>
    <t xml:space="preserve">Note:  Included 4 Broadcast service in 235 @ DR(Envivio)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</si>
</sst>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name val="Cambria"/>
      <family val="1"/>
      <scheme val="major"/>
    </font>
    <font>
      <sz val="9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0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8" fillId="0" borderId="0">
      <alignment wrapTex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21" fillId="0" borderId="0"/>
    <xf numFmtId="0" fontId="1" fillId="8" borderId="8" applyNumberFormat="0" applyFont="0" applyAlignment="0" applyProtection="0"/>
    <xf numFmtId="0" fontId="22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" fillId="0" borderId="0"/>
    <xf numFmtId="0" fontId="24" fillId="8" borderId="8" applyNumberFormat="0" applyFont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8" fillId="53" borderId="12" applyNumberFormat="0" applyAlignment="0" applyProtection="0"/>
    <xf numFmtId="0" fontId="28" fillId="53" borderId="12" applyNumberFormat="0" applyAlignment="0" applyProtection="0"/>
    <xf numFmtId="0" fontId="28" fillId="53" borderId="12" applyNumberFormat="0" applyAlignment="0" applyProtection="0"/>
    <xf numFmtId="0" fontId="28" fillId="53" borderId="12" applyNumberFormat="0" applyAlignment="0" applyProtection="0"/>
    <xf numFmtId="0" fontId="28" fillId="53" borderId="12" applyNumberFormat="0" applyAlignment="0" applyProtection="0"/>
    <xf numFmtId="0" fontId="28" fillId="53" borderId="12" applyNumberFormat="0" applyAlignment="0" applyProtection="0"/>
    <xf numFmtId="0" fontId="28" fillId="53" borderId="12" applyNumberFormat="0" applyAlignment="0" applyProtection="0"/>
    <xf numFmtId="0" fontId="28" fillId="53" borderId="12" applyNumberFormat="0" applyAlignment="0" applyProtection="0"/>
    <xf numFmtId="0" fontId="28" fillId="53" borderId="12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4" fillId="39" borderId="11" applyNumberFormat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1" fillId="8" borderId="8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24" fillId="55" borderId="17" applyNumberFormat="0" applyFon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7" fillId="52" borderId="18" applyNumberFormat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Protection="0">
      <alignment vertical="top" wrapText="1"/>
    </xf>
    <xf numFmtId="0" fontId="18" fillId="0" borderId="0"/>
    <xf numFmtId="0" fontId="1" fillId="0" borderId="0"/>
    <xf numFmtId="9" fontId="22" fillId="0" borderId="0" applyFont="0" applyFill="0" applyBorder="0" applyAlignment="0" applyProtection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</cellStyleXfs>
  <cellXfs count="97">
    <xf numFmtId="0" fontId="0" fillId="0" borderId="0" xfId="0"/>
    <xf numFmtId="0" fontId="43" fillId="0" borderId="10" xfId="15" applyFont="1" applyFill="1" applyBorder="1" applyAlignment="1">
      <alignment horizontal="left" vertical="center"/>
    </xf>
    <xf numFmtId="0" fontId="43" fillId="0" borderId="10" xfId="15" applyFont="1" applyFill="1" applyBorder="1" applyAlignment="1">
      <alignment horizontal="center" vertical="center"/>
    </xf>
    <xf numFmtId="0" fontId="44" fillId="0" borderId="10" xfId="0" applyFont="1" applyFill="1" applyBorder="1" applyAlignment="1">
      <alignment horizontal="left"/>
    </xf>
    <xf numFmtId="0" fontId="42" fillId="0" borderId="10" xfId="0" applyFont="1" applyFill="1" applyBorder="1" applyAlignment="1">
      <alignment horizontal="center"/>
    </xf>
    <xf numFmtId="0" fontId="42" fillId="0" borderId="10" xfId="0" applyFont="1" applyFill="1" applyBorder="1" applyAlignment="1">
      <alignment horizontal="center" vertical="center"/>
    </xf>
    <xf numFmtId="0" fontId="43" fillId="0" borderId="10" xfId="15" applyFont="1" applyFill="1" applyBorder="1" applyAlignment="1">
      <alignment horizontal="left"/>
    </xf>
    <xf numFmtId="0" fontId="43" fillId="33" borderId="10" xfId="15" applyFont="1" applyFill="1" applyBorder="1" applyAlignment="1">
      <alignment horizontal="left" vertical="center"/>
    </xf>
    <xf numFmtId="0" fontId="43" fillId="33" borderId="10" xfId="15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left"/>
    </xf>
    <xf numFmtId="0" fontId="0" fillId="33" borderId="0" xfId="0" applyFill="1"/>
    <xf numFmtId="0" fontId="16" fillId="56" borderId="10" xfId="0" applyFont="1" applyFill="1" applyBorder="1" applyAlignment="1">
      <alignment horizontal="center"/>
    </xf>
    <xf numFmtId="0" fontId="16" fillId="56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43" fillId="33" borderId="10" xfId="15" applyFont="1" applyFill="1" applyBorder="1" applyAlignment="1">
      <alignment horizontal="left"/>
    </xf>
    <xf numFmtId="0" fontId="42" fillId="33" borderId="10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/>
    </xf>
    <xf numFmtId="0" fontId="44" fillId="33" borderId="10" xfId="0" applyFont="1" applyFill="1" applyBorder="1" applyAlignment="1">
      <alignment horizontal="left"/>
    </xf>
    <xf numFmtId="0" fontId="0" fillId="5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6" borderId="26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3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6" borderId="32" xfId="0" applyFill="1" applyBorder="1" applyAlignment="1">
      <alignment horizontal="center" vertical="center" wrapText="1"/>
    </xf>
    <xf numFmtId="0" fontId="0" fillId="56" borderId="2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56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56" borderId="2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6" borderId="38" xfId="0" applyFill="1" applyBorder="1" applyAlignment="1">
      <alignment horizontal="center" vertical="center"/>
    </xf>
    <xf numFmtId="0" fontId="0" fillId="56" borderId="30" xfId="0" applyFill="1" applyBorder="1" applyAlignment="1">
      <alignment horizontal="center" vertical="center"/>
    </xf>
    <xf numFmtId="0" fontId="0" fillId="56" borderId="49" xfId="0" applyFill="1" applyBorder="1" applyAlignment="1">
      <alignment horizontal="center" vertical="center"/>
    </xf>
    <xf numFmtId="0" fontId="0" fillId="56" borderId="31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6" borderId="20" xfId="0" applyFill="1" applyBorder="1" applyAlignment="1">
      <alignment horizontal="center" vertical="center"/>
    </xf>
    <xf numFmtId="0" fontId="0" fillId="56" borderId="36" xfId="0" applyFill="1" applyBorder="1" applyAlignment="1">
      <alignment horizontal="center" vertical="center"/>
    </xf>
    <xf numFmtId="0" fontId="0" fillId="56" borderId="21" xfId="0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</cellXfs>
  <cellStyles count="601">
    <cellStyle name="%" xfId="42"/>
    <cellStyle name="% 10" xfId="81"/>
    <cellStyle name="% 2" xfId="43"/>
    <cellStyle name="% 3" xfId="82"/>
    <cellStyle name="% 4" xfId="83"/>
    <cellStyle name="% 5" xfId="84"/>
    <cellStyle name="% 6" xfId="85"/>
    <cellStyle name="%_~9889078" xfId="44"/>
    <cellStyle name="%_BandWidth" xfId="45"/>
    <cellStyle name="%_BandWidth 2" xfId="86"/>
    <cellStyle name="%_BandWidth 3" xfId="87"/>
    <cellStyle name="%_BandWidth 4" xfId="88"/>
    <cellStyle name="%_BandWidth 5" xfId="89"/>
    <cellStyle name="%_Broadcaster_Commn" xfId="46"/>
    <cellStyle name="%_CR Downtime" xfId="47"/>
    <cellStyle name="%_KDB-NOV" xfId="48"/>
    <cellStyle name="%_KDB-SR Details (Unplanned Cases)" xfId="49"/>
    <cellStyle name="%_KDB-SR Details (Unplanned Cases)b" xfId="50"/>
    <cellStyle name="%_New Microsoft Excel Worksheet" xfId="51"/>
    <cellStyle name="%_New Microsoft Excel Worksheet 3" xfId="90"/>
    <cellStyle name="%_New Microsoft Excel Worksheet 4" xfId="91"/>
    <cellStyle name="%_Shift Report" xfId="52"/>
    <cellStyle name="%_Shift Report 2" xfId="92"/>
    <cellStyle name="%_Shift Report 3" xfId="93"/>
    <cellStyle name="%_Shift Report 4" xfId="94"/>
    <cellStyle name="%_Shift Report 5" xfId="95"/>
    <cellStyle name="_AES_links upto 31 July 05 (part of 33)_updated for oct status2" xfId="53"/>
    <cellStyle name="_Daily Provisioing Report" xfId="54"/>
    <cellStyle name="_Daily Provisioing Report - June 2006" xfId="55"/>
    <cellStyle name="_Daily Provisioing Report - June 2006_14-Data Backup Procedure_1234931054666" xfId="557"/>
    <cellStyle name="_Daily Provisioing Report - June 2006_DV Stor Checksheets" xfId="56"/>
    <cellStyle name="_Daily Provisioing Report - June 2006_DVStor Refresh" xfId="57"/>
    <cellStyle name="_Daily Provisioing Report_14-Data Backup Procedure_1234931054666" xfId="558"/>
    <cellStyle name="_Daily Provisioing Report_DV Stor Checksheets" xfId="58"/>
    <cellStyle name="_Daily Provisioing Report_DVStor Refresh" xfId="59"/>
    <cellStyle name="_New Vendor Evaluation &amp; Registration" xfId="60"/>
    <cellStyle name="_New Vendor Evaluation &amp; Registration_14-Data Backup Procedure_1234931054666" xfId="559"/>
    <cellStyle name="_New Vendor Evaluation &amp; Registration_DV Stor Checksheets" xfId="61"/>
    <cellStyle name="_New Vendor Evaluation &amp; Registration_DVStor Refresh" xfId="62"/>
    <cellStyle name="_Pending_RA Numbers dt 4-1-06" xfId="63"/>
    <cellStyle name="_Process -002- Hand Holding" xfId="64"/>
    <cellStyle name="_Procurement process" xfId="65"/>
    <cellStyle name="_Standard layout" xfId="66"/>
    <cellStyle name="_Standard layout_14-Data Backup Procedure_1234931054666" xfId="560"/>
    <cellStyle name="_Standard layout_DV Stor Checksheets" xfId="67"/>
    <cellStyle name="_Standard layout_DVStor Refresh" xfId="68"/>
    <cellStyle name="20% - Accent1" xfId="19" builtinId="30" customBuiltin="1"/>
    <cellStyle name="20% - Accent1 10" xfId="126"/>
    <cellStyle name="20% - Accent1 2" xfId="127"/>
    <cellStyle name="20% - Accent1 3" xfId="128"/>
    <cellStyle name="20% - Accent1 4" xfId="129"/>
    <cellStyle name="20% - Accent1 5" xfId="130"/>
    <cellStyle name="20% - Accent1 6" xfId="131"/>
    <cellStyle name="20% - Accent1 7" xfId="132"/>
    <cellStyle name="20% - Accent1 8" xfId="133"/>
    <cellStyle name="20% - Accent1 9" xfId="134"/>
    <cellStyle name="20% - Accent2" xfId="23" builtinId="34" customBuiltin="1"/>
    <cellStyle name="20% - Accent2 10" xfId="135"/>
    <cellStyle name="20% - Accent2 2" xfId="136"/>
    <cellStyle name="20% - Accent2 3" xfId="137"/>
    <cellStyle name="20% - Accent2 4" xfId="138"/>
    <cellStyle name="20% - Accent2 5" xfId="139"/>
    <cellStyle name="20% - Accent2 6" xfId="140"/>
    <cellStyle name="20% - Accent2 7" xfId="141"/>
    <cellStyle name="20% - Accent2 8" xfId="142"/>
    <cellStyle name="20% - Accent2 9" xfId="143"/>
    <cellStyle name="20% - Accent3" xfId="27" builtinId="38" customBuiltin="1"/>
    <cellStyle name="20% - Accent3 10" xfId="144"/>
    <cellStyle name="20% - Accent3 2" xfId="145"/>
    <cellStyle name="20% - Accent3 3" xfId="146"/>
    <cellStyle name="20% - Accent3 4" xfId="147"/>
    <cellStyle name="20% - Accent3 5" xfId="148"/>
    <cellStyle name="20% - Accent3 6" xfId="149"/>
    <cellStyle name="20% - Accent3 7" xfId="150"/>
    <cellStyle name="20% - Accent3 8" xfId="151"/>
    <cellStyle name="20% - Accent3 9" xfId="152"/>
    <cellStyle name="20% - Accent4" xfId="31" builtinId="42" customBuiltin="1"/>
    <cellStyle name="20% - Accent4 10" xfId="153"/>
    <cellStyle name="20% - Accent4 2" xfId="154"/>
    <cellStyle name="20% - Accent4 3" xfId="155"/>
    <cellStyle name="20% - Accent4 4" xfId="156"/>
    <cellStyle name="20% - Accent4 5" xfId="157"/>
    <cellStyle name="20% - Accent4 6" xfId="158"/>
    <cellStyle name="20% - Accent4 7" xfId="159"/>
    <cellStyle name="20% - Accent4 8" xfId="160"/>
    <cellStyle name="20% - Accent4 9" xfId="161"/>
    <cellStyle name="20% - Accent5" xfId="35" builtinId="46" customBuiltin="1"/>
    <cellStyle name="20% - Accent5 10" xfId="162"/>
    <cellStyle name="20% - Accent5 2" xfId="163"/>
    <cellStyle name="20% - Accent5 3" xfId="164"/>
    <cellStyle name="20% - Accent5 4" xfId="165"/>
    <cellStyle name="20% - Accent5 5" xfId="166"/>
    <cellStyle name="20% - Accent5 6" xfId="167"/>
    <cellStyle name="20% - Accent5 7" xfId="168"/>
    <cellStyle name="20% - Accent5 8" xfId="169"/>
    <cellStyle name="20% - Accent5 9" xfId="170"/>
    <cellStyle name="20% - Accent6" xfId="39" builtinId="50" customBuiltin="1"/>
    <cellStyle name="20% - Accent6 10" xfId="171"/>
    <cellStyle name="20% - Accent6 2" xfId="172"/>
    <cellStyle name="20% - Accent6 3" xfId="173"/>
    <cellStyle name="20% - Accent6 4" xfId="174"/>
    <cellStyle name="20% - Accent6 5" xfId="175"/>
    <cellStyle name="20% - Accent6 6" xfId="176"/>
    <cellStyle name="20% - Accent6 7" xfId="177"/>
    <cellStyle name="20% - Accent6 8" xfId="178"/>
    <cellStyle name="20% - Accent6 9" xfId="179"/>
    <cellStyle name="40% - Accent1" xfId="20" builtinId="31" customBuiltin="1"/>
    <cellStyle name="40% - Accent1 10" xfId="180"/>
    <cellStyle name="40% - Accent1 2" xfId="181"/>
    <cellStyle name="40% - Accent1 3" xfId="182"/>
    <cellStyle name="40% - Accent1 4" xfId="183"/>
    <cellStyle name="40% - Accent1 5" xfId="184"/>
    <cellStyle name="40% - Accent1 6" xfId="185"/>
    <cellStyle name="40% - Accent1 7" xfId="186"/>
    <cellStyle name="40% - Accent1 8" xfId="187"/>
    <cellStyle name="40% - Accent1 9" xfId="188"/>
    <cellStyle name="40% - Accent2" xfId="24" builtinId="35" customBuiltin="1"/>
    <cellStyle name="40% - Accent2 10" xfId="189"/>
    <cellStyle name="40% - Accent2 2" xfId="190"/>
    <cellStyle name="40% - Accent2 3" xfId="191"/>
    <cellStyle name="40% - Accent2 4" xfId="192"/>
    <cellStyle name="40% - Accent2 5" xfId="193"/>
    <cellStyle name="40% - Accent2 6" xfId="194"/>
    <cellStyle name="40% - Accent2 7" xfId="195"/>
    <cellStyle name="40% - Accent2 8" xfId="196"/>
    <cellStyle name="40% - Accent2 9" xfId="197"/>
    <cellStyle name="40% - Accent3" xfId="28" builtinId="39" customBuiltin="1"/>
    <cellStyle name="40% - Accent3 10" xfId="198"/>
    <cellStyle name="40% - Accent3 2" xfId="199"/>
    <cellStyle name="40% - Accent3 3" xfId="200"/>
    <cellStyle name="40% - Accent3 4" xfId="201"/>
    <cellStyle name="40% - Accent3 5" xfId="202"/>
    <cellStyle name="40% - Accent3 6" xfId="203"/>
    <cellStyle name="40% - Accent3 7" xfId="204"/>
    <cellStyle name="40% - Accent3 8" xfId="205"/>
    <cellStyle name="40% - Accent3 9" xfId="206"/>
    <cellStyle name="40% - Accent4" xfId="32" builtinId="43" customBuiltin="1"/>
    <cellStyle name="40% - Accent4 10" xfId="207"/>
    <cellStyle name="40% - Accent4 2" xfId="208"/>
    <cellStyle name="40% - Accent4 3" xfId="209"/>
    <cellStyle name="40% - Accent4 4" xfId="210"/>
    <cellStyle name="40% - Accent4 5" xfId="211"/>
    <cellStyle name="40% - Accent4 6" xfId="212"/>
    <cellStyle name="40% - Accent4 7" xfId="213"/>
    <cellStyle name="40% - Accent4 8" xfId="214"/>
    <cellStyle name="40% - Accent4 9" xfId="215"/>
    <cellStyle name="40% - Accent5" xfId="36" builtinId="47" customBuiltin="1"/>
    <cellStyle name="40% - Accent5 10" xfId="216"/>
    <cellStyle name="40% - Accent5 2" xfId="217"/>
    <cellStyle name="40% - Accent5 3" xfId="218"/>
    <cellStyle name="40% - Accent5 4" xfId="219"/>
    <cellStyle name="40% - Accent5 5" xfId="220"/>
    <cellStyle name="40% - Accent5 6" xfId="221"/>
    <cellStyle name="40% - Accent5 7" xfId="222"/>
    <cellStyle name="40% - Accent5 8" xfId="223"/>
    <cellStyle name="40% - Accent5 9" xfId="224"/>
    <cellStyle name="40% - Accent6" xfId="40" builtinId="51" customBuiltin="1"/>
    <cellStyle name="40% - Accent6 10" xfId="225"/>
    <cellStyle name="40% - Accent6 2" xfId="226"/>
    <cellStyle name="40% - Accent6 3" xfId="227"/>
    <cellStyle name="40% - Accent6 4" xfId="228"/>
    <cellStyle name="40% - Accent6 5" xfId="229"/>
    <cellStyle name="40% - Accent6 6" xfId="230"/>
    <cellStyle name="40% - Accent6 7" xfId="231"/>
    <cellStyle name="40% - Accent6 8" xfId="232"/>
    <cellStyle name="40% - Accent6 9" xfId="233"/>
    <cellStyle name="60% - Accent1" xfId="21" builtinId="32" customBuiltin="1"/>
    <cellStyle name="60% - Accent1 10" xfId="234"/>
    <cellStyle name="60% - Accent1 2" xfId="235"/>
    <cellStyle name="60% - Accent1 3" xfId="236"/>
    <cellStyle name="60% - Accent1 4" xfId="237"/>
    <cellStyle name="60% - Accent1 5" xfId="238"/>
    <cellStyle name="60% - Accent1 6" xfId="239"/>
    <cellStyle name="60% - Accent1 7" xfId="240"/>
    <cellStyle name="60% - Accent1 8" xfId="241"/>
    <cellStyle name="60% - Accent1 9" xfId="242"/>
    <cellStyle name="60% - Accent2" xfId="25" builtinId="36" customBuiltin="1"/>
    <cellStyle name="60% - Accent2 10" xfId="243"/>
    <cellStyle name="60% - Accent2 2" xfId="244"/>
    <cellStyle name="60% - Accent2 3" xfId="245"/>
    <cellStyle name="60% - Accent2 4" xfId="246"/>
    <cellStyle name="60% - Accent2 5" xfId="247"/>
    <cellStyle name="60% - Accent2 6" xfId="248"/>
    <cellStyle name="60% - Accent2 7" xfId="249"/>
    <cellStyle name="60% - Accent2 8" xfId="250"/>
    <cellStyle name="60% - Accent2 9" xfId="251"/>
    <cellStyle name="60% - Accent3" xfId="29" builtinId="40" customBuiltin="1"/>
    <cellStyle name="60% - Accent3 10" xfId="252"/>
    <cellStyle name="60% - Accent3 2" xfId="253"/>
    <cellStyle name="60% - Accent3 3" xfId="254"/>
    <cellStyle name="60% - Accent3 4" xfId="255"/>
    <cellStyle name="60% - Accent3 5" xfId="256"/>
    <cellStyle name="60% - Accent3 6" xfId="257"/>
    <cellStyle name="60% - Accent3 7" xfId="258"/>
    <cellStyle name="60% - Accent3 8" xfId="259"/>
    <cellStyle name="60% - Accent3 9" xfId="260"/>
    <cellStyle name="60% - Accent4" xfId="33" builtinId="44" customBuiltin="1"/>
    <cellStyle name="60% - Accent4 10" xfId="261"/>
    <cellStyle name="60% - Accent4 2" xfId="262"/>
    <cellStyle name="60% - Accent4 3" xfId="263"/>
    <cellStyle name="60% - Accent4 4" xfId="264"/>
    <cellStyle name="60% - Accent4 5" xfId="265"/>
    <cellStyle name="60% - Accent4 6" xfId="266"/>
    <cellStyle name="60% - Accent4 7" xfId="267"/>
    <cellStyle name="60% - Accent4 8" xfId="268"/>
    <cellStyle name="60% - Accent4 9" xfId="269"/>
    <cellStyle name="60% - Accent5" xfId="37" builtinId="48" customBuiltin="1"/>
    <cellStyle name="60% - Accent5 10" xfId="270"/>
    <cellStyle name="60% - Accent5 2" xfId="271"/>
    <cellStyle name="60% - Accent5 3" xfId="272"/>
    <cellStyle name="60% - Accent5 4" xfId="273"/>
    <cellStyle name="60% - Accent5 5" xfId="274"/>
    <cellStyle name="60% - Accent5 6" xfId="275"/>
    <cellStyle name="60% - Accent5 7" xfId="276"/>
    <cellStyle name="60% - Accent5 8" xfId="277"/>
    <cellStyle name="60% - Accent5 9" xfId="278"/>
    <cellStyle name="60% - Accent6" xfId="41" builtinId="52" customBuiltin="1"/>
    <cellStyle name="60% - Accent6 10" xfId="279"/>
    <cellStyle name="60% - Accent6 2" xfId="280"/>
    <cellStyle name="60% - Accent6 3" xfId="281"/>
    <cellStyle name="60% - Accent6 4" xfId="282"/>
    <cellStyle name="60% - Accent6 5" xfId="283"/>
    <cellStyle name="60% - Accent6 6" xfId="284"/>
    <cellStyle name="60% - Accent6 7" xfId="285"/>
    <cellStyle name="60% - Accent6 8" xfId="286"/>
    <cellStyle name="60% - Accent6 9" xfId="287"/>
    <cellStyle name="Accent1" xfId="18" builtinId="29" customBuiltin="1"/>
    <cellStyle name="Accent1 10" xfId="288"/>
    <cellStyle name="Accent1 2" xfId="289"/>
    <cellStyle name="Accent1 3" xfId="290"/>
    <cellStyle name="Accent1 4" xfId="291"/>
    <cellStyle name="Accent1 5" xfId="292"/>
    <cellStyle name="Accent1 6" xfId="293"/>
    <cellStyle name="Accent1 7" xfId="294"/>
    <cellStyle name="Accent1 8" xfId="295"/>
    <cellStyle name="Accent1 9" xfId="296"/>
    <cellStyle name="Accent2" xfId="22" builtinId="33" customBuiltin="1"/>
    <cellStyle name="Accent2 10" xfId="297"/>
    <cellStyle name="Accent2 2" xfId="298"/>
    <cellStyle name="Accent2 3" xfId="299"/>
    <cellStyle name="Accent2 4" xfId="300"/>
    <cellStyle name="Accent2 5" xfId="301"/>
    <cellStyle name="Accent2 6" xfId="302"/>
    <cellStyle name="Accent2 7" xfId="303"/>
    <cellStyle name="Accent2 8" xfId="304"/>
    <cellStyle name="Accent2 9" xfId="305"/>
    <cellStyle name="Accent3" xfId="26" builtinId="37" customBuiltin="1"/>
    <cellStyle name="Accent3 10" xfId="306"/>
    <cellStyle name="Accent3 2" xfId="307"/>
    <cellStyle name="Accent3 3" xfId="308"/>
    <cellStyle name="Accent3 4" xfId="309"/>
    <cellStyle name="Accent3 5" xfId="310"/>
    <cellStyle name="Accent3 6" xfId="311"/>
    <cellStyle name="Accent3 7" xfId="312"/>
    <cellStyle name="Accent3 8" xfId="313"/>
    <cellStyle name="Accent3 9" xfId="314"/>
    <cellStyle name="Accent4" xfId="30" builtinId="41" customBuiltin="1"/>
    <cellStyle name="Accent4 10" xfId="315"/>
    <cellStyle name="Accent4 2" xfId="316"/>
    <cellStyle name="Accent4 3" xfId="317"/>
    <cellStyle name="Accent4 4" xfId="318"/>
    <cellStyle name="Accent4 5" xfId="319"/>
    <cellStyle name="Accent4 6" xfId="320"/>
    <cellStyle name="Accent4 7" xfId="321"/>
    <cellStyle name="Accent4 8" xfId="322"/>
    <cellStyle name="Accent4 9" xfId="323"/>
    <cellStyle name="Accent5" xfId="34" builtinId="45" customBuiltin="1"/>
    <cellStyle name="Accent5 10" xfId="324"/>
    <cellStyle name="Accent5 2" xfId="325"/>
    <cellStyle name="Accent5 3" xfId="326"/>
    <cellStyle name="Accent5 4" xfId="327"/>
    <cellStyle name="Accent5 5" xfId="328"/>
    <cellStyle name="Accent5 6" xfId="329"/>
    <cellStyle name="Accent5 7" xfId="330"/>
    <cellStyle name="Accent5 8" xfId="331"/>
    <cellStyle name="Accent5 9" xfId="332"/>
    <cellStyle name="Accent6" xfId="38" builtinId="49" customBuiltin="1"/>
    <cellStyle name="Accent6 10" xfId="333"/>
    <cellStyle name="Accent6 2" xfId="334"/>
    <cellStyle name="Accent6 3" xfId="335"/>
    <cellStyle name="Accent6 4" xfId="336"/>
    <cellStyle name="Accent6 5" xfId="337"/>
    <cellStyle name="Accent6 6" xfId="338"/>
    <cellStyle name="Accent6 7" xfId="339"/>
    <cellStyle name="Accent6 8" xfId="340"/>
    <cellStyle name="Accent6 9" xfId="341"/>
    <cellStyle name="Bad" xfId="7" builtinId="27" customBuiltin="1"/>
    <cellStyle name="Bad 10" xfId="342"/>
    <cellStyle name="Bad 2" xfId="343"/>
    <cellStyle name="Bad 3" xfId="344"/>
    <cellStyle name="Bad 4" xfId="345"/>
    <cellStyle name="Bad 5" xfId="346"/>
    <cellStyle name="Bad 6" xfId="347"/>
    <cellStyle name="Bad 7" xfId="348"/>
    <cellStyle name="Bad 8" xfId="349"/>
    <cellStyle name="Bad 9" xfId="350"/>
    <cellStyle name="Calculation" xfId="11" builtinId="22" customBuiltin="1"/>
    <cellStyle name="Calculation 10" xfId="351"/>
    <cellStyle name="Calculation 2" xfId="352"/>
    <cellStyle name="Calculation 2 2" xfId="353"/>
    <cellStyle name="Calculation 2 3" xfId="354"/>
    <cellStyle name="Calculation 2 4" xfId="355"/>
    <cellStyle name="Calculation 3" xfId="356"/>
    <cellStyle name="Calculation 3 2" xfId="357"/>
    <cellStyle name="Calculation 3 3" xfId="358"/>
    <cellStyle name="Calculation 3 4" xfId="359"/>
    <cellStyle name="Calculation 4" xfId="360"/>
    <cellStyle name="Calculation 5" xfId="361"/>
    <cellStyle name="Calculation 6" xfId="362"/>
    <cellStyle name="Calculation 7" xfId="363"/>
    <cellStyle name="Calculation 8" xfId="364"/>
    <cellStyle name="Calculation 9" xfId="365"/>
    <cellStyle name="Check Cell" xfId="13" builtinId="23" customBuiltin="1"/>
    <cellStyle name="Check Cell 10" xfId="366"/>
    <cellStyle name="Check Cell 2" xfId="367"/>
    <cellStyle name="Check Cell 3" xfId="368"/>
    <cellStyle name="Check Cell 4" xfId="369"/>
    <cellStyle name="Check Cell 5" xfId="370"/>
    <cellStyle name="Check Cell 6" xfId="371"/>
    <cellStyle name="Check Cell 7" xfId="372"/>
    <cellStyle name="Check Cell 8" xfId="373"/>
    <cellStyle name="Check Cell 9" xfId="374"/>
    <cellStyle name="Excel Built-in Normal" xfId="542"/>
    <cellStyle name="Explanatory Text" xfId="16" builtinId="53" customBuiltin="1"/>
    <cellStyle name="Explanatory Text 10" xfId="375"/>
    <cellStyle name="Explanatory Text 2" xfId="376"/>
    <cellStyle name="Explanatory Text 3" xfId="377"/>
    <cellStyle name="Explanatory Text 4" xfId="378"/>
    <cellStyle name="Explanatory Text 5" xfId="379"/>
    <cellStyle name="Explanatory Text 6" xfId="380"/>
    <cellStyle name="Explanatory Text 7" xfId="381"/>
    <cellStyle name="Explanatory Text 8" xfId="382"/>
    <cellStyle name="Explanatory Text 9" xfId="383"/>
    <cellStyle name="Good" xfId="6" builtinId="26" customBuiltin="1"/>
    <cellStyle name="Good 10" xfId="384"/>
    <cellStyle name="Good 2" xfId="385"/>
    <cellStyle name="Good 3" xfId="386"/>
    <cellStyle name="Good 4" xfId="387"/>
    <cellStyle name="Good 5" xfId="388"/>
    <cellStyle name="Good 6" xfId="389"/>
    <cellStyle name="Good 7" xfId="390"/>
    <cellStyle name="Good 8" xfId="391"/>
    <cellStyle name="Good 9" xfId="392"/>
    <cellStyle name="Heading 1" xfId="2" builtinId="16" customBuiltin="1"/>
    <cellStyle name="Heading 1 10" xfId="393"/>
    <cellStyle name="Heading 1 2" xfId="394"/>
    <cellStyle name="Heading 1 3" xfId="395"/>
    <cellStyle name="Heading 1 4" xfId="396"/>
    <cellStyle name="Heading 1 5" xfId="397"/>
    <cellStyle name="Heading 1 6" xfId="398"/>
    <cellStyle name="Heading 1 7" xfId="399"/>
    <cellStyle name="Heading 1 8" xfId="400"/>
    <cellStyle name="Heading 1 9" xfId="401"/>
    <cellStyle name="Heading 2" xfId="3" builtinId="17" customBuiltin="1"/>
    <cellStyle name="Heading 2 10" xfId="402"/>
    <cellStyle name="Heading 2 2" xfId="403"/>
    <cellStyle name="Heading 2 3" xfId="404"/>
    <cellStyle name="Heading 2 4" xfId="405"/>
    <cellStyle name="Heading 2 5" xfId="406"/>
    <cellStyle name="Heading 2 6" xfId="407"/>
    <cellStyle name="Heading 2 7" xfId="408"/>
    <cellStyle name="Heading 2 8" xfId="409"/>
    <cellStyle name="Heading 2 9" xfId="410"/>
    <cellStyle name="Heading 3" xfId="4" builtinId="18" customBuiltin="1"/>
    <cellStyle name="Heading 3 10" xfId="411"/>
    <cellStyle name="Heading 3 2" xfId="412"/>
    <cellStyle name="Heading 3 3" xfId="413"/>
    <cellStyle name="Heading 3 4" xfId="414"/>
    <cellStyle name="Heading 3 5" xfId="415"/>
    <cellStyle name="Heading 3 6" xfId="416"/>
    <cellStyle name="Heading 3 7" xfId="417"/>
    <cellStyle name="Heading 3 8" xfId="418"/>
    <cellStyle name="Heading 3 9" xfId="419"/>
    <cellStyle name="Heading 4" xfId="5" builtinId="19" customBuiltin="1"/>
    <cellStyle name="Heading 4 10" xfId="420"/>
    <cellStyle name="Heading 4 2" xfId="421"/>
    <cellStyle name="Heading 4 3" xfId="422"/>
    <cellStyle name="Heading 4 4" xfId="423"/>
    <cellStyle name="Heading 4 5" xfId="424"/>
    <cellStyle name="Heading 4 6" xfId="425"/>
    <cellStyle name="Heading 4 7" xfId="426"/>
    <cellStyle name="Heading 4 8" xfId="427"/>
    <cellStyle name="Heading 4 9" xfId="428"/>
    <cellStyle name="Input" xfId="9" builtinId="20" customBuiltin="1"/>
    <cellStyle name="Input 10" xfId="429"/>
    <cellStyle name="Input 2" xfId="430"/>
    <cellStyle name="Input 2 2" xfId="431"/>
    <cellStyle name="Input 2 3" xfId="432"/>
    <cellStyle name="Input 2 4" xfId="433"/>
    <cellStyle name="Input 3" xfId="434"/>
    <cellStyle name="Input 3 2" xfId="435"/>
    <cellStyle name="Input 3 3" xfId="436"/>
    <cellStyle name="Input 3 4" xfId="437"/>
    <cellStyle name="Input 4" xfId="438"/>
    <cellStyle name="Input 5" xfId="439"/>
    <cellStyle name="Input 6" xfId="440"/>
    <cellStyle name="Input 7" xfId="441"/>
    <cellStyle name="Input 8" xfId="442"/>
    <cellStyle name="Input 9" xfId="443"/>
    <cellStyle name="Linked Cell" xfId="12" builtinId="24" customBuiltin="1"/>
    <cellStyle name="Linked Cell 10" xfId="444"/>
    <cellStyle name="Linked Cell 2" xfId="445"/>
    <cellStyle name="Linked Cell 3" xfId="446"/>
    <cellStyle name="Linked Cell 4" xfId="447"/>
    <cellStyle name="Linked Cell 5" xfId="448"/>
    <cellStyle name="Linked Cell 6" xfId="449"/>
    <cellStyle name="Linked Cell 7" xfId="450"/>
    <cellStyle name="Linked Cell 8" xfId="451"/>
    <cellStyle name="Linked Cell 9" xfId="452"/>
    <cellStyle name="Neutral" xfId="8" builtinId="28" customBuiltin="1"/>
    <cellStyle name="Neutral 10" xfId="453"/>
    <cellStyle name="Neutral 2" xfId="454"/>
    <cellStyle name="Neutral 3" xfId="455"/>
    <cellStyle name="Neutral 4" xfId="456"/>
    <cellStyle name="Neutral 5" xfId="457"/>
    <cellStyle name="Neutral 6" xfId="458"/>
    <cellStyle name="Neutral 7" xfId="459"/>
    <cellStyle name="Neutral 8" xfId="460"/>
    <cellStyle name="Neutral 9" xfId="461"/>
    <cellStyle name="Normal" xfId="0" builtinId="0"/>
    <cellStyle name="Normal 10" xfId="96"/>
    <cellStyle name="Normal 10 2" xfId="462"/>
    <cellStyle name="Normal 10 2 2" xfId="463"/>
    <cellStyle name="Normal 10 2 2 2" xfId="573"/>
    <cellStyle name="Normal 10 2 3" xfId="464"/>
    <cellStyle name="Normal 10 2 3 2" xfId="574"/>
    <cellStyle name="Normal 10 2 4" xfId="465"/>
    <cellStyle name="Normal 10 2 4 2" xfId="575"/>
    <cellStyle name="Normal 10 2 5" xfId="466"/>
    <cellStyle name="Normal 10 2 5 2" xfId="576"/>
    <cellStyle name="Normal 10 2 6" xfId="572"/>
    <cellStyle name="Normal 10 3" xfId="467"/>
    <cellStyle name="Normal 10 3 2" xfId="577"/>
    <cellStyle name="Normal 10 4" xfId="468"/>
    <cellStyle name="Normal 10 4 2" xfId="578"/>
    <cellStyle name="Normal 10 5" xfId="469"/>
    <cellStyle name="Normal 10 5 2" xfId="579"/>
    <cellStyle name="Normal 10 6" xfId="470"/>
    <cellStyle name="Normal 10 6 2" xfId="580"/>
    <cellStyle name="Normal 10 7" xfId="471"/>
    <cellStyle name="Normal 10 7 2" xfId="581"/>
    <cellStyle name="Normal 10 8" xfId="569"/>
    <cellStyle name="Normal 11" xfId="97"/>
    <cellStyle name="Normal 11 2" xfId="543"/>
    <cellStyle name="Normal 12" xfId="98"/>
    <cellStyle name="Normal 13" xfId="99"/>
    <cellStyle name="Normal 14" xfId="100"/>
    <cellStyle name="Normal 15" xfId="101"/>
    <cellStyle name="Normal 16" xfId="102"/>
    <cellStyle name="Normal 17" xfId="103"/>
    <cellStyle name="Normal 18" xfId="104"/>
    <cellStyle name="Normal 19" xfId="105"/>
    <cellStyle name="Normal 2" xfId="69"/>
    <cellStyle name="Normal 2 2" xfId="70"/>
    <cellStyle name="Normal 2 2 2" xfId="544"/>
    <cellStyle name="Normal 2 2 3" xfId="106"/>
    <cellStyle name="Normal 2 3" xfId="107"/>
    <cellStyle name="Normal 2 3 2" xfId="545"/>
    <cellStyle name="Normal 2 4" xfId="472"/>
    <cellStyle name="Normal 2 4 2" xfId="582"/>
    <cellStyle name="Normal 2 5" xfId="473"/>
    <cellStyle name="Normal 2 6" xfId="474"/>
    <cellStyle name="Normal 2 7" xfId="79"/>
    <cellStyle name="Normal 20" xfId="108"/>
    <cellStyle name="Normal 21" xfId="121"/>
    <cellStyle name="Normal 21 2" xfId="598"/>
    <cellStyle name="Normal 22" xfId="124"/>
    <cellStyle name="Normal 22 2" xfId="561"/>
    <cellStyle name="Normal 22 2 2" xfId="593"/>
    <cellStyle name="Normal 22 3" xfId="556"/>
    <cellStyle name="Normal 22 3 2" xfId="592"/>
    <cellStyle name="Normal 22 4" xfId="562"/>
    <cellStyle name="Normal 22 5" xfId="571"/>
    <cellStyle name="Normal 23" xfId="538"/>
    <cellStyle name="Normal 24" xfId="540"/>
    <cellStyle name="Normal 24 2" xfId="585"/>
    <cellStyle name="Normal 25" xfId="549"/>
    <cellStyle name="Normal 25 2" xfId="586"/>
    <cellStyle name="Normal 26" xfId="550"/>
    <cellStyle name="Normal 26 2" xfId="587"/>
    <cellStyle name="Normal 27" xfId="552"/>
    <cellStyle name="Normal 27 2" xfId="588"/>
    <cellStyle name="Normal 28" xfId="553"/>
    <cellStyle name="Normal 28 2" xfId="589"/>
    <cellStyle name="Normal 29" xfId="554"/>
    <cellStyle name="Normal 29 2" xfId="590"/>
    <cellStyle name="Normal 3" xfId="71"/>
    <cellStyle name="Normal 3 2" xfId="72"/>
    <cellStyle name="Normal 3 3" xfId="566"/>
    <cellStyle name="Normal 30" xfId="555"/>
    <cellStyle name="Normal 30 2" xfId="591"/>
    <cellStyle name="Normal 31" xfId="563"/>
    <cellStyle name="Normal 31 2" xfId="594"/>
    <cellStyle name="Normal 32" xfId="564"/>
    <cellStyle name="Normal 32 2" xfId="595"/>
    <cellStyle name="Normal 33" xfId="597"/>
    <cellStyle name="Normal 34" xfId="78"/>
    <cellStyle name="Normal 4" xfId="73"/>
    <cellStyle name="Normal 4 2" xfId="109"/>
    <cellStyle name="Normal 4 3" xfId="110"/>
    <cellStyle name="Normal 4 4" xfId="111"/>
    <cellStyle name="Normal 4 5" xfId="112"/>
    <cellStyle name="Normal 4 6" xfId="475"/>
    <cellStyle name="Normal 4 6 2" xfId="583"/>
    <cellStyle name="Normal 4 7" xfId="567"/>
    <cellStyle name="Normal 4 8" xfId="80"/>
    <cellStyle name="Normal 5" xfId="74"/>
    <cellStyle name="Normal 5 2" xfId="123"/>
    <cellStyle name="Normal 5 3" xfId="568"/>
    <cellStyle name="Normal 6" xfId="113"/>
    <cellStyle name="Normal 6 2" xfId="122"/>
    <cellStyle name="Normal 6 2 2" xfId="599"/>
    <cellStyle name="Normal 7" xfId="114"/>
    <cellStyle name="Normal 7 2" xfId="546"/>
    <cellStyle name="Normal 8" xfId="115"/>
    <cellStyle name="Normal 8 2" xfId="547"/>
    <cellStyle name="Normal 9" xfId="116"/>
    <cellStyle name="Normal 9 2" xfId="548"/>
    <cellStyle name="Note" xfId="15" builtinId="10" customBuiltin="1"/>
    <cellStyle name="Note 10" xfId="476"/>
    <cellStyle name="Note 2" xfId="77"/>
    <cellStyle name="Note 2 2" xfId="477"/>
    <cellStyle name="Note 2 3" xfId="478"/>
    <cellStyle name="Note 2 4" xfId="479"/>
    <cellStyle name="Note 2 5" xfId="480"/>
    <cellStyle name="Note 2 5 2" xfId="584"/>
    <cellStyle name="Note 2 6" xfId="565"/>
    <cellStyle name="Note 2 6 2" xfId="596"/>
    <cellStyle name="Note 2 7" xfId="570"/>
    <cellStyle name="Note 3" xfId="125"/>
    <cellStyle name="Note 3 2" xfId="481"/>
    <cellStyle name="Note 3 3" xfId="482"/>
    <cellStyle name="Note 3 4" xfId="483"/>
    <cellStyle name="Note 4" xfId="484"/>
    <cellStyle name="Note 5" xfId="485"/>
    <cellStyle name="Note 6" xfId="486"/>
    <cellStyle name="Note 7" xfId="487"/>
    <cellStyle name="Note 8" xfId="488"/>
    <cellStyle name="Note 9" xfId="489"/>
    <cellStyle name="Output" xfId="10" builtinId="21" customBuiltin="1"/>
    <cellStyle name="Output 10" xfId="490"/>
    <cellStyle name="Output 2" xfId="491"/>
    <cellStyle name="Output 2 2" xfId="492"/>
    <cellStyle name="Output 2 3" xfId="493"/>
    <cellStyle name="Output 2 4" xfId="494"/>
    <cellStyle name="Output 3" xfId="495"/>
    <cellStyle name="Output 3 2" xfId="496"/>
    <cellStyle name="Output 3 3" xfId="497"/>
    <cellStyle name="Output 3 4" xfId="498"/>
    <cellStyle name="Output 4" xfId="499"/>
    <cellStyle name="Output 5" xfId="500"/>
    <cellStyle name="Output 6" xfId="501"/>
    <cellStyle name="Output 7" xfId="502"/>
    <cellStyle name="Output 8" xfId="503"/>
    <cellStyle name="Output 9" xfId="504"/>
    <cellStyle name="Percent 2" xfId="541"/>
    <cellStyle name="Percent 2 2" xfId="600"/>
    <cellStyle name="Standard 2" xfId="551"/>
    <cellStyle name="Style 1" xfId="75"/>
    <cellStyle name="Style 1 2" xfId="117"/>
    <cellStyle name="Style 1 3" xfId="118"/>
    <cellStyle name="Style 1 4" xfId="119"/>
    <cellStyle name="Style 1 5" xfId="120"/>
    <cellStyle name="Title" xfId="1" builtinId="15" customBuiltin="1"/>
    <cellStyle name="Title 10" xfId="505"/>
    <cellStyle name="Title 2" xfId="506"/>
    <cellStyle name="Title 3" xfId="507"/>
    <cellStyle name="Title 4" xfId="508"/>
    <cellStyle name="Title 5" xfId="509"/>
    <cellStyle name="Title 6" xfId="510"/>
    <cellStyle name="Title 7" xfId="511"/>
    <cellStyle name="Title 8" xfId="512"/>
    <cellStyle name="Title 9" xfId="513"/>
    <cellStyle name="Total" xfId="17" builtinId="25" customBuiltin="1"/>
    <cellStyle name="Total 10" xfId="514"/>
    <cellStyle name="Total 2" xfId="515"/>
    <cellStyle name="Total 2 2" xfId="516"/>
    <cellStyle name="Total 2 3" xfId="517"/>
    <cellStyle name="Total 2 4" xfId="518"/>
    <cellStyle name="Total 3" xfId="519"/>
    <cellStyle name="Total 3 2" xfId="520"/>
    <cellStyle name="Total 3 3" xfId="521"/>
    <cellStyle name="Total 3 4" xfId="522"/>
    <cellStyle name="Total 4" xfId="523"/>
    <cellStyle name="Total 5" xfId="524"/>
    <cellStyle name="Total 6" xfId="525"/>
    <cellStyle name="Total 7" xfId="526"/>
    <cellStyle name="Total 8" xfId="527"/>
    <cellStyle name="Total 9" xfId="528"/>
    <cellStyle name="Warning Text" xfId="14" builtinId="11" customBuiltin="1"/>
    <cellStyle name="Warning Text 10" xfId="529"/>
    <cellStyle name="Warning Text 2" xfId="530"/>
    <cellStyle name="Warning Text 3" xfId="531"/>
    <cellStyle name="Warning Text 4" xfId="532"/>
    <cellStyle name="Warning Text 5" xfId="533"/>
    <cellStyle name="Warning Text 6" xfId="534"/>
    <cellStyle name="Warning Text 7" xfId="535"/>
    <cellStyle name="Warning Text 8" xfId="536"/>
    <cellStyle name="Warning Text 9" xfId="537"/>
    <cellStyle name="표준_Sample_sop" xfId="76"/>
    <cellStyle name="常规_001服务器安装规划heb" xfId="539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20"/>
  <sheetViews>
    <sheetView showGridLines="0" tabSelected="1" zoomScale="85" zoomScaleNormal="85" workbookViewId="0">
      <selection activeCell="C21" sqref="C21"/>
    </sheetView>
  </sheetViews>
  <sheetFormatPr defaultColWidth="8.7109375" defaultRowHeight="15"/>
  <cols>
    <col min="1" max="1" width="2.140625" style="17" customWidth="1"/>
    <col min="2" max="2" width="5" style="17" bestFit="1" customWidth="1"/>
    <col min="3" max="3" width="5.85546875" style="17" bestFit="1" customWidth="1"/>
    <col min="4" max="4" width="2.140625" style="17" customWidth="1"/>
    <col min="5" max="5" width="5" style="17" bestFit="1" customWidth="1"/>
    <col min="6" max="6" width="7" style="17" customWidth="1"/>
    <col min="7" max="7" width="3.140625" style="17" customWidth="1"/>
    <col min="8" max="8" width="5" style="17" bestFit="1" customWidth="1"/>
    <col min="9" max="9" width="7.140625" style="17" customWidth="1"/>
    <col min="10" max="10" width="3.42578125" style="17" customWidth="1"/>
    <col min="11" max="11" width="8.5703125" style="17" customWidth="1"/>
    <col min="12" max="12" width="7.5703125" style="17" customWidth="1"/>
    <col min="13" max="13" width="3.28515625" style="17" customWidth="1"/>
    <col min="14" max="14" width="10.85546875" style="17" customWidth="1"/>
    <col min="15" max="15" width="6.85546875" style="17" customWidth="1"/>
    <col min="16" max="16" width="3.140625" style="17" customWidth="1"/>
    <col min="17" max="17" width="7.42578125" style="17" customWidth="1"/>
    <col min="18" max="18" width="8.28515625" style="17" customWidth="1"/>
    <col min="19" max="19" width="2.28515625" style="17" customWidth="1"/>
    <col min="20" max="20" width="6.42578125" style="17" customWidth="1"/>
    <col min="21" max="21" width="7.140625" style="17" customWidth="1"/>
    <col min="22" max="22" width="2.85546875" style="17" customWidth="1"/>
    <col min="23" max="23" width="5" style="17" bestFit="1" customWidth="1"/>
    <col min="24" max="24" width="8.85546875" style="17" bestFit="1" customWidth="1"/>
    <col min="25" max="25" width="8.140625" style="17" customWidth="1"/>
    <col min="26" max="26" width="2.7109375" style="17" customWidth="1"/>
    <col min="27" max="27" width="5" style="17" bestFit="1" customWidth="1"/>
    <col min="28" max="28" width="8.85546875" style="17" bestFit="1" customWidth="1"/>
    <col min="29" max="29" width="6.7109375" style="17" bestFit="1" customWidth="1"/>
    <col min="30" max="30" width="3.5703125" style="17" customWidth="1"/>
    <col min="31" max="31" width="5.42578125" style="17" bestFit="1" customWidth="1"/>
    <col min="32" max="33" width="8.7109375" style="17"/>
    <col min="34" max="34" width="2.85546875" style="17" customWidth="1"/>
    <col min="35" max="35" width="5.42578125" style="17" bestFit="1" customWidth="1"/>
    <col min="36" max="36" width="5.140625" style="17" customWidth="1"/>
    <col min="37" max="37" width="4.42578125" style="17" customWidth="1"/>
    <col min="38" max="38" width="6" style="17" customWidth="1"/>
    <col min="39" max="39" width="5.42578125" style="17" customWidth="1"/>
    <col min="40" max="16384" width="8.7109375" style="17"/>
  </cols>
  <sheetData>
    <row r="1" spans="2:39" ht="15.75" thickBot="1">
      <c r="G1" s="23"/>
    </row>
    <row r="2" spans="2:39" ht="15.75" thickBot="1">
      <c r="B2" s="84" t="s">
        <v>476</v>
      </c>
      <c r="C2" s="86"/>
      <c r="E2" s="91" t="s">
        <v>477</v>
      </c>
      <c r="F2" s="92"/>
      <c r="G2" s="29"/>
      <c r="H2" s="91" t="s">
        <v>478</v>
      </c>
      <c r="I2" s="92"/>
      <c r="K2" s="91" t="s">
        <v>487</v>
      </c>
      <c r="L2" s="92"/>
      <c r="M2" s="24"/>
      <c r="N2" s="91" t="s">
        <v>486</v>
      </c>
      <c r="O2" s="92"/>
      <c r="Q2" s="81" t="s">
        <v>481</v>
      </c>
      <c r="R2" s="82"/>
      <c r="S2" s="24"/>
      <c r="T2" s="81" t="s">
        <v>482</v>
      </c>
      <c r="U2" s="82"/>
      <c r="W2" s="84" t="s">
        <v>488</v>
      </c>
      <c r="X2" s="85"/>
      <c r="Y2" s="86"/>
      <c r="Z2" s="24"/>
      <c r="AA2" s="84" t="s">
        <v>490</v>
      </c>
      <c r="AB2" s="85"/>
      <c r="AC2" s="86"/>
      <c r="AE2" s="84" t="s">
        <v>490</v>
      </c>
      <c r="AF2" s="85"/>
      <c r="AG2" s="86"/>
      <c r="AI2" s="54"/>
      <c r="AJ2" s="94" t="s">
        <v>452</v>
      </c>
      <c r="AK2" s="95"/>
      <c r="AL2" s="94" t="s">
        <v>451</v>
      </c>
      <c r="AM2" s="96"/>
    </row>
    <row r="3" spans="2:39" ht="15.75" thickBot="1">
      <c r="B3" s="55" t="s">
        <v>1</v>
      </c>
      <c r="C3" s="40" t="s">
        <v>474</v>
      </c>
      <c r="E3" s="55" t="s">
        <v>1</v>
      </c>
      <c r="F3" s="22" t="s">
        <v>474</v>
      </c>
      <c r="G3" s="32"/>
      <c r="H3" s="55" t="s">
        <v>1</v>
      </c>
      <c r="I3" s="22" t="s">
        <v>474</v>
      </c>
      <c r="K3" s="55" t="s">
        <v>1</v>
      </c>
      <c r="L3" s="22" t="s">
        <v>474</v>
      </c>
      <c r="M3" s="33"/>
      <c r="N3" s="55" t="s">
        <v>1</v>
      </c>
      <c r="O3" s="22" t="s">
        <v>474</v>
      </c>
      <c r="Q3" s="55" t="s">
        <v>1</v>
      </c>
      <c r="R3" s="22" t="s">
        <v>474</v>
      </c>
      <c r="S3" s="33"/>
      <c r="T3" s="55" t="s">
        <v>1</v>
      </c>
      <c r="U3" s="39" t="s">
        <v>474</v>
      </c>
      <c r="W3" s="55" t="s">
        <v>1</v>
      </c>
      <c r="X3" s="45" t="s">
        <v>452</v>
      </c>
      <c r="Y3" s="22" t="s">
        <v>451</v>
      </c>
      <c r="Z3" s="33"/>
      <c r="AA3" s="55" t="s">
        <v>1</v>
      </c>
      <c r="AB3" s="45" t="s">
        <v>452</v>
      </c>
      <c r="AC3" s="52" t="s">
        <v>451</v>
      </c>
      <c r="AE3" s="55" t="s">
        <v>1</v>
      </c>
      <c r="AF3" s="45" t="s">
        <v>452</v>
      </c>
      <c r="AG3" s="52" t="s">
        <v>451</v>
      </c>
      <c r="AI3" s="55" t="s">
        <v>1</v>
      </c>
      <c r="AJ3" s="56" t="s">
        <v>492</v>
      </c>
      <c r="AK3" s="56" t="s">
        <v>493</v>
      </c>
      <c r="AL3" s="56" t="s">
        <v>492</v>
      </c>
      <c r="AM3" s="57" t="s">
        <v>493</v>
      </c>
    </row>
    <row r="4" spans="2:39">
      <c r="B4" s="62">
        <v>1</v>
      </c>
      <c r="C4" s="36">
        <v>53</v>
      </c>
      <c r="E4" s="62">
        <v>1</v>
      </c>
      <c r="F4" s="25">
        <v>17</v>
      </c>
      <c r="G4" s="32"/>
      <c r="H4" s="62">
        <v>1</v>
      </c>
      <c r="I4" s="25">
        <v>36</v>
      </c>
      <c r="J4" s="42"/>
      <c r="K4" s="62">
        <v>1</v>
      </c>
      <c r="L4" s="25">
        <v>15</v>
      </c>
      <c r="M4" s="33"/>
      <c r="N4" s="62">
        <v>1</v>
      </c>
      <c r="O4" s="25">
        <v>2</v>
      </c>
      <c r="P4" s="42"/>
      <c r="Q4" s="62">
        <v>1</v>
      </c>
      <c r="R4" s="25">
        <v>0</v>
      </c>
      <c r="S4" s="33"/>
      <c r="T4" s="62">
        <v>1</v>
      </c>
      <c r="U4" s="38">
        <v>17</v>
      </c>
      <c r="V4" s="42"/>
      <c r="W4" s="62">
        <v>1</v>
      </c>
      <c r="X4" s="43">
        <v>7</v>
      </c>
      <c r="Y4" s="43">
        <v>10</v>
      </c>
      <c r="Z4" s="33"/>
      <c r="AA4" s="62">
        <v>1</v>
      </c>
      <c r="AB4" s="47">
        <v>36</v>
      </c>
      <c r="AC4" s="48">
        <v>0</v>
      </c>
      <c r="AE4" s="62">
        <v>1</v>
      </c>
      <c r="AF4" s="47">
        <v>36</v>
      </c>
      <c r="AG4" s="48">
        <v>0</v>
      </c>
      <c r="AI4" s="62">
        <v>1</v>
      </c>
      <c r="AJ4" s="60">
        <v>0</v>
      </c>
      <c r="AK4" s="68">
        <v>7</v>
      </c>
      <c r="AL4" s="58">
        <v>0</v>
      </c>
      <c r="AM4" s="59">
        <v>10</v>
      </c>
    </row>
    <row r="5" spans="2:39">
      <c r="B5" s="63">
        <v>2</v>
      </c>
      <c r="C5" s="36">
        <v>48</v>
      </c>
      <c r="E5" s="63">
        <v>2</v>
      </c>
      <c r="F5" s="26">
        <v>28</v>
      </c>
      <c r="G5" s="33"/>
      <c r="H5" s="63">
        <v>2</v>
      </c>
      <c r="I5" s="26">
        <v>20</v>
      </c>
      <c r="J5" s="42"/>
      <c r="K5" s="63">
        <v>2</v>
      </c>
      <c r="L5" s="26">
        <v>26</v>
      </c>
      <c r="M5" s="33"/>
      <c r="N5" s="63">
        <v>2</v>
      </c>
      <c r="O5" s="26">
        <v>2</v>
      </c>
      <c r="P5" s="42"/>
      <c r="Q5" s="63">
        <v>2</v>
      </c>
      <c r="R5" s="26">
        <v>0</v>
      </c>
      <c r="S5" s="33"/>
      <c r="T5" s="63">
        <v>2</v>
      </c>
      <c r="U5" s="36">
        <v>28</v>
      </c>
      <c r="V5" s="42"/>
      <c r="W5" s="63">
        <v>2</v>
      </c>
      <c r="X5" s="21">
        <v>11</v>
      </c>
      <c r="Y5" s="21">
        <v>17</v>
      </c>
      <c r="Z5" s="33"/>
      <c r="AA5" s="63">
        <v>2</v>
      </c>
      <c r="AB5" s="21">
        <v>15</v>
      </c>
      <c r="AC5" s="49">
        <v>5</v>
      </c>
      <c r="AE5" s="63">
        <v>2</v>
      </c>
      <c r="AF5" s="21">
        <v>15</v>
      </c>
      <c r="AG5" s="49">
        <v>5</v>
      </c>
      <c r="AI5" s="63">
        <v>2</v>
      </c>
      <c r="AJ5" s="61">
        <v>0</v>
      </c>
      <c r="AK5" s="69">
        <v>11</v>
      </c>
      <c r="AL5" s="35">
        <v>0</v>
      </c>
      <c r="AM5" s="36">
        <v>17</v>
      </c>
    </row>
    <row r="6" spans="2:39">
      <c r="B6" s="63">
        <v>3</v>
      </c>
      <c r="C6" s="36">
        <v>58</v>
      </c>
      <c r="E6" s="63">
        <v>3</v>
      </c>
      <c r="F6" s="26">
        <v>40</v>
      </c>
      <c r="G6" s="33"/>
      <c r="H6" s="63">
        <v>3</v>
      </c>
      <c r="I6" s="26">
        <v>18</v>
      </c>
      <c r="J6" s="42"/>
      <c r="K6" s="63">
        <v>3</v>
      </c>
      <c r="L6" s="26">
        <v>39</v>
      </c>
      <c r="M6" s="33"/>
      <c r="N6" s="63">
        <v>3</v>
      </c>
      <c r="O6" s="26">
        <v>1</v>
      </c>
      <c r="P6" s="42"/>
      <c r="Q6" s="63">
        <v>3</v>
      </c>
      <c r="R6" s="26">
        <v>0</v>
      </c>
      <c r="S6" s="33"/>
      <c r="T6" s="63">
        <v>3</v>
      </c>
      <c r="U6" s="36">
        <v>40</v>
      </c>
      <c r="V6" s="42"/>
      <c r="W6" s="63">
        <v>3</v>
      </c>
      <c r="X6" s="21">
        <v>14</v>
      </c>
      <c r="Y6" s="21">
        <v>26</v>
      </c>
      <c r="Z6" s="33"/>
      <c r="AA6" s="63">
        <v>3</v>
      </c>
      <c r="AB6" s="21">
        <v>12</v>
      </c>
      <c r="AC6" s="49">
        <v>6</v>
      </c>
      <c r="AE6" s="63">
        <v>3</v>
      </c>
      <c r="AF6" s="21">
        <v>12</v>
      </c>
      <c r="AG6" s="49">
        <v>6</v>
      </c>
      <c r="AI6" s="63">
        <v>3</v>
      </c>
      <c r="AJ6" s="61">
        <v>0</v>
      </c>
      <c r="AK6" s="69">
        <v>14</v>
      </c>
      <c r="AL6" s="35">
        <v>0</v>
      </c>
      <c r="AM6" s="36">
        <v>26</v>
      </c>
    </row>
    <row r="7" spans="2:39">
      <c r="B7" s="63">
        <v>4</v>
      </c>
      <c r="C7" s="36">
        <v>57</v>
      </c>
      <c r="E7" s="63">
        <v>4</v>
      </c>
      <c r="F7" s="26">
        <v>27</v>
      </c>
      <c r="G7" s="33"/>
      <c r="H7" s="63">
        <v>4</v>
      </c>
      <c r="I7" s="26">
        <v>30</v>
      </c>
      <c r="J7" s="42"/>
      <c r="K7" s="63">
        <v>4</v>
      </c>
      <c r="L7" s="26">
        <v>25</v>
      </c>
      <c r="M7" s="33"/>
      <c r="N7" s="63">
        <v>4</v>
      </c>
      <c r="O7" s="26">
        <v>2</v>
      </c>
      <c r="P7" s="42"/>
      <c r="Q7" s="63">
        <v>4</v>
      </c>
      <c r="R7" s="26">
        <v>0</v>
      </c>
      <c r="S7" s="33"/>
      <c r="T7" s="63">
        <v>4</v>
      </c>
      <c r="U7" s="36">
        <v>27</v>
      </c>
      <c r="V7" s="42"/>
      <c r="W7" s="63">
        <v>4</v>
      </c>
      <c r="X7" s="21">
        <v>9</v>
      </c>
      <c r="Y7" s="21">
        <v>18</v>
      </c>
      <c r="Z7" s="33"/>
      <c r="AA7" s="63">
        <v>4</v>
      </c>
      <c r="AB7" s="21">
        <v>3</v>
      </c>
      <c r="AC7" s="49">
        <v>27</v>
      </c>
      <c r="AE7" s="63">
        <v>4</v>
      </c>
      <c r="AF7" s="21">
        <v>3</v>
      </c>
      <c r="AG7" s="49">
        <v>27</v>
      </c>
      <c r="AI7" s="63">
        <v>4</v>
      </c>
      <c r="AJ7" s="61">
        <v>0</v>
      </c>
      <c r="AK7" s="69">
        <v>9</v>
      </c>
      <c r="AL7" s="35">
        <v>0</v>
      </c>
      <c r="AM7" s="36">
        <v>18</v>
      </c>
    </row>
    <row r="8" spans="2:39">
      <c r="B8" s="63">
        <v>5</v>
      </c>
      <c r="C8" s="36">
        <v>33</v>
      </c>
      <c r="E8" s="63">
        <v>5</v>
      </c>
      <c r="F8" s="26">
        <v>15</v>
      </c>
      <c r="G8" s="33"/>
      <c r="H8" s="63">
        <v>5</v>
      </c>
      <c r="I8" s="26">
        <v>18</v>
      </c>
      <c r="J8" s="42"/>
      <c r="K8" s="63">
        <v>5</v>
      </c>
      <c r="L8" s="26">
        <v>14</v>
      </c>
      <c r="M8" s="33"/>
      <c r="N8" s="63">
        <v>5</v>
      </c>
      <c r="O8" s="26">
        <v>0</v>
      </c>
      <c r="P8" s="42"/>
      <c r="Q8" s="63">
        <v>5</v>
      </c>
      <c r="R8" s="26">
        <v>0</v>
      </c>
      <c r="S8" s="33"/>
      <c r="T8" s="63">
        <v>5</v>
      </c>
      <c r="U8" s="36">
        <v>14</v>
      </c>
      <c r="V8" s="42"/>
      <c r="W8" s="63">
        <v>5</v>
      </c>
      <c r="X8" s="21">
        <v>3</v>
      </c>
      <c r="Y8" s="21">
        <v>12</v>
      </c>
      <c r="Z8" s="33"/>
      <c r="AA8" s="63">
        <v>5</v>
      </c>
      <c r="AB8" s="21">
        <v>11</v>
      </c>
      <c r="AC8" s="49">
        <v>7</v>
      </c>
      <c r="AE8" s="63">
        <v>5</v>
      </c>
      <c r="AF8" s="21">
        <v>11</v>
      </c>
      <c r="AG8" s="49">
        <v>7</v>
      </c>
      <c r="AI8" s="63">
        <v>5</v>
      </c>
      <c r="AJ8" s="61">
        <v>0</v>
      </c>
      <c r="AK8" s="69">
        <v>3</v>
      </c>
      <c r="AL8" s="35">
        <v>1</v>
      </c>
      <c r="AM8" s="36">
        <v>11</v>
      </c>
    </row>
    <row r="9" spans="2:39">
      <c r="B9" s="63">
        <v>6</v>
      </c>
      <c r="C9" s="36">
        <v>39</v>
      </c>
      <c r="E9" s="63">
        <v>6</v>
      </c>
      <c r="F9" s="26">
        <v>21</v>
      </c>
      <c r="G9" s="33"/>
      <c r="H9" s="63">
        <v>6</v>
      </c>
      <c r="I9" s="26">
        <v>18</v>
      </c>
      <c r="J9" s="42"/>
      <c r="K9" s="63">
        <v>6</v>
      </c>
      <c r="L9" s="26">
        <v>17</v>
      </c>
      <c r="M9" s="33"/>
      <c r="N9" s="63">
        <v>6</v>
      </c>
      <c r="O9" s="26">
        <v>4</v>
      </c>
      <c r="P9" s="42"/>
      <c r="Q9" s="63">
        <v>6</v>
      </c>
      <c r="R9" s="26">
        <v>2</v>
      </c>
      <c r="S9" s="33"/>
      <c r="T9" s="63">
        <v>6</v>
      </c>
      <c r="U9" s="36">
        <v>19</v>
      </c>
      <c r="V9" s="42"/>
      <c r="W9" s="63">
        <v>6</v>
      </c>
      <c r="X9" s="21">
        <v>7</v>
      </c>
      <c r="Y9" s="21">
        <v>14</v>
      </c>
      <c r="Z9" s="33"/>
      <c r="AA9" s="63">
        <v>6</v>
      </c>
      <c r="AB9" s="21">
        <v>11</v>
      </c>
      <c r="AC9" s="49">
        <v>7</v>
      </c>
      <c r="AE9" s="63">
        <v>6</v>
      </c>
      <c r="AF9" s="21">
        <v>11</v>
      </c>
      <c r="AG9" s="49">
        <v>7</v>
      </c>
      <c r="AI9" s="63">
        <v>6</v>
      </c>
      <c r="AJ9" s="61">
        <v>1</v>
      </c>
      <c r="AK9" s="69">
        <v>6</v>
      </c>
      <c r="AL9" s="35">
        <v>1</v>
      </c>
      <c r="AM9" s="36">
        <v>13</v>
      </c>
    </row>
    <row r="10" spans="2:39">
      <c r="B10" s="63">
        <v>7</v>
      </c>
      <c r="C10" s="36">
        <v>47</v>
      </c>
      <c r="E10" s="63">
        <v>7</v>
      </c>
      <c r="F10" s="26">
        <v>24</v>
      </c>
      <c r="G10" s="33"/>
      <c r="H10" s="63">
        <v>7</v>
      </c>
      <c r="I10" s="26">
        <v>23</v>
      </c>
      <c r="J10" s="42"/>
      <c r="K10" s="63">
        <v>7</v>
      </c>
      <c r="L10" s="26">
        <v>22</v>
      </c>
      <c r="M10" s="33"/>
      <c r="N10" s="63">
        <v>7</v>
      </c>
      <c r="O10" s="26">
        <v>2</v>
      </c>
      <c r="P10" s="42"/>
      <c r="Q10" s="63">
        <v>7</v>
      </c>
      <c r="R10" s="26">
        <v>0</v>
      </c>
      <c r="S10" s="33"/>
      <c r="T10" s="63">
        <v>7</v>
      </c>
      <c r="U10" s="36">
        <v>24</v>
      </c>
      <c r="V10" s="42"/>
      <c r="W10" s="63">
        <v>7</v>
      </c>
      <c r="X10" s="21">
        <v>7</v>
      </c>
      <c r="Y10" s="21">
        <v>17</v>
      </c>
      <c r="Z10" s="33"/>
      <c r="AA10" s="63">
        <v>7</v>
      </c>
      <c r="AB10" s="21">
        <v>13</v>
      </c>
      <c r="AC10" s="49">
        <v>10</v>
      </c>
      <c r="AE10" s="63">
        <v>7</v>
      </c>
      <c r="AF10" s="21">
        <v>13</v>
      </c>
      <c r="AG10" s="49">
        <v>10</v>
      </c>
      <c r="AI10" s="63">
        <v>7</v>
      </c>
      <c r="AJ10" s="61">
        <v>0</v>
      </c>
      <c r="AK10" s="69">
        <v>7</v>
      </c>
      <c r="AL10" s="35">
        <v>0</v>
      </c>
      <c r="AM10" s="36">
        <v>17</v>
      </c>
    </row>
    <row r="11" spans="2:39">
      <c r="B11" s="63">
        <v>8</v>
      </c>
      <c r="C11" s="36">
        <v>17</v>
      </c>
      <c r="E11" s="63">
        <v>8</v>
      </c>
      <c r="F11" s="26">
        <v>10</v>
      </c>
      <c r="G11" s="33"/>
      <c r="H11" s="63">
        <v>8</v>
      </c>
      <c r="I11" s="26">
        <v>7</v>
      </c>
      <c r="J11" s="42"/>
      <c r="K11" s="63">
        <v>8</v>
      </c>
      <c r="L11" s="26">
        <v>10</v>
      </c>
      <c r="M11" s="33"/>
      <c r="N11" s="63">
        <v>8</v>
      </c>
      <c r="O11" s="26">
        <v>0</v>
      </c>
      <c r="P11" s="42"/>
      <c r="Q11" s="63">
        <v>8</v>
      </c>
      <c r="R11" s="26">
        <v>8</v>
      </c>
      <c r="S11" s="33"/>
      <c r="T11" s="63">
        <v>8</v>
      </c>
      <c r="U11" s="36">
        <v>2</v>
      </c>
      <c r="V11" s="42"/>
      <c r="W11" s="63">
        <v>8</v>
      </c>
      <c r="X11" s="21">
        <v>1</v>
      </c>
      <c r="Y11" s="21">
        <v>9</v>
      </c>
      <c r="Z11" s="33"/>
      <c r="AA11" s="63">
        <v>8</v>
      </c>
      <c r="AB11" s="21">
        <v>7</v>
      </c>
      <c r="AC11" s="49">
        <v>0</v>
      </c>
      <c r="AE11" s="63">
        <v>8</v>
      </c>
      <c r="AF11" s="21">
        <v>7</v>
      </c>
      <c r="AG11" s="49">
        <v>0</v>
      </c>
      <c r="AI11" s="63">
        <v>8</v>
      </c>
      <c r="AJ11" s="61">
        <v>1</v>
      </c>
      <c r="AK11" s="69">
        <v>0</v>
      </c>
      <c r="AL11" s="35">
        <v>8</v>
      </c>
      <c r="AM11" s="36">
        <v>2</v>
      </c>
    </row>
    <row r="12" spans="2:39">
      <c r="B12" s="63">
        <v>9</v>
      </c>
      <c r="C12" s="36">
        <v>36</v>
      </c>
      <c r="E12" s="63">
        <v>9</v>
      </c>
      <c r="F12" s="26">
        <v>10</v>
      </c>
      <c r="G12" s="33"/>
      <c r="H12" s="63">
        <v>9</v>
      </c>
      <c r="I12" s="26">
        <v>26</v>
      </c>
      <c r="J12" s="42"/>
      <c r="K12" s="63">
        <v>9</v>
      </c>
      <c r="L12" s="26">
        <v>10</v>
      </c>
      <c r="M12" s="33"/>
      <c r="N12" s="63">
        <v>9</v>
      </c>
      <c r="O12" s="26">
        <v>0</v>
      </c>
      <c r="P12" s="42"/>
      <c r="Q12" s="63">
        <v>9</v>
      </c>
      <c r="R12" s="26">
        <v>0</v>
      </c>
      <c r="S12" s="33"/>
      <c r="T12" s="63">
        <v>9</v>
      </c>
      <c r="U12" s="36">
        <v>10</v>
      </c>
      <c r="V12" s="42"/>
      <c r="W12" s="63">
        <v>9</v>
      </c>
      <c r="X12" s="21">
        <v>5</v>
      </c>
      <c r="Y12" s="21">
        <v>5</v>
      </c>
      <c r="Z12" s="33"/>
      <c r="AA12" s="63">
        <v>9</v>
      </c>
      <c r="AB12" s="21">
        <v>2</v>
      </c>
      <c r="AC12" s="49">
        <v>24</v>
      </c>
      <c r="AE12" s="63">
        <v>9</v>
      </c>
      <c r="AF12" s="21">
        <v>2</v>
      </c>
      <c r="AG12" s="49">
        <v>24</v>
      </c>
      <c r="AI12" s="63">
        <v>9</v>
      </c>
      <c r="AJ12" s="61">
        <v>0</v>
      </c>
      <c r="AK12" s="69">
        <v>5</v>
      </c>
      <c r="AL12" s="35">
        <v>0</v>
      </c>
      <c r="AM12" s="36">
        <v>5</v>
      </c>
    </row>
    <row r="13" spans="2:39">
      <c r="B13" s="63">
        <v>10</v>
      </c>
      <c r="C13" s="36">
        <v>22</v>
      </c>
      <c r="E13" s="63">
        <v>10</v>
      </c>
      <c r="F13" s="26">
        <v>19</v>
      </c>
      <c r="G13" s="33"/>
      <c r="H13" s="63">
        <v>10</v>
      </c>
      <c r="I13" s="26">
        <v>3</v>
      </c>
      <c r="J13" s="42"/>
      <c r="K13" s="63">
        <v>10</v>
      </c>
      <c r="L13" s="26">
        <v>10</v>
      </c>
      <c r="M13" s="33"/>
      <c r="N13" s="63">
        <v>10</v>
      </c>
      <c r="O13" s="26">
        <v>1</v>
      </c>
      <c r="P13" s="42"/>
      <c r="Q13" s="63">
        <v>10</v>
      </c>
      <c r="R13" s="26">
        <v>10</v>
      </c>
      <c r="S13" s="33"/>
      <c r="T13" s="63">
        <v>10</v>
      </c>
      <c r="U13" s="36">
        <v>11</v>
      </c>
      <c r="V13" s="42"/>
      <c r="W13" s="63">
        <v>10</v>
      </c>
      <c r="X13" s="21">
        <v>2</v>
      </c>
      <c r="Y13" s="21">
        <v>17</v>
      </c>
      <c r="Z13" s="33"/>
      <c r="AA13" s="63">
        <v>10</v>
      </c>
      <c r="AB13" s="21">
        <v>2</v>
      </c>
      <c r="AC13" s="49">
        <v>1</v>
      </c>
      <c r="AE13" s="63">
        <v>10</v>
      </c>
      <c r="AF13" s="21">
        <v>2</v>
      </c>
      <c r="AG13" s="49">
        <v>1</v>
      </c>
      <c r="AI13" s="63">
        <v>10</v>
      </c>
      <c r="AJ13" s="61">
        <v>0</v>
      </c>
      <c r="AK13" s="69">
        <v>2</v>
      </c>
      <c r="AL13" s="35">
        <v>8</v>
      </c>
      <c r="AM13" s="36">
        <v>9</v>
      </c>
    </row>
    <row r="14" spans="2:39">
      <c r="B14" s="63">
        <v>11</v>
      </c>
      <c r="C14" s="36">
        <v>33</v>
      </c>
      <c r="E14" s="63">
        <v>11</v>
      </c>
      <c r="F14" s="26">
        <v>19</v>
      </c>
      <c r="G14" s="33"/>
      <c r="H14" s="63">
        <v>11</v>
      </c>
      <c r="I14" s="26">
        <v>14</v>
      </c>
      <c r="J14" s="42"/>
      <c r="K14" s="63">
        <v>11</v>
      </c>
      <c r="L14" s="26">
        <v>25</v>
      </c>
      <c r="M14" s="33"/>
      <c r="N14" s="63">
        <v>11</v>
      </c>
      <c r="O14" s="26">
        <v>3</v>
      </c>
      <c r="P14" s="42"/>
      <c r="Q14" s="63">
        <v>11</v>
      </c>
      <c r="R14" s="26">
        <v>1</v>
      </c>
      <c r="S14" s="33"/>
      <c r="T14" s="63">
        <v>11</v>
      </c>
      <c r="U14" s="36">
        <v>16</v>
      </c>
      <c r="V14" s="42"/>
      <c r="W14" s="63">
        <v>11</v>
      </c>
      <c r="X14" s="21">
        <v>1</v>
      </c>
      <c r="Y14" s="21">
        <v>15</v>
      </c>
      <c r="Z14" s="33"/>
      <c r="AA14" s="63">
        <v>11</v>
      </c>
      <c r="AB14" s="21">
        <v>8</v>
      </c>
      <c r="AC14" s="49">
        <v>6</v>
      </c>
      <c r="AE14" s="63">
        <v>11</v>
      </c>
      <c r="AF14" s="21">
        <v>8</v>
      </c>
      <c r="AG14" s="49">
        <v>6</v>
      </c>
      <c r="AI14" s="63">
        <v>11</v>
      </c>
      <c r="AJ14" s="61">
        <v>0</v>
      </c>
      <c r="AK14" s="69">
        <v>1</v>
      </c>
      <c r="AL14" s="35">
        <v>2</v>
      </c>
      <c r="AM14" s="36">
        <v>15</v>
      </c>
    </row>
    <row r="15" spans="2:39" ht="15.75" thickBot="1">
      <c r="B15" s="64">
        <v>12</v>
      </c>
      <c r="C15" s="36">
        <v>19</v>
      </c>
      <c r="E15" s="64">
        <v>12</v>
      </c>
      <c r="F15" s="27">
        <v>5</v>
      </c>
      <c r="G15" s="33"/>
      <c r="H15" s="64">
        <v>12</v>
      </c>
      <c r="I15" s="27">
        <v>14</v>
      </c>
      <c r="J15" s="42"/>
      <c r="K15" s="64">
        <v>12</v>
      </c>
      <c r="L15" s="27">
        <v>4</v>
      </c>
      <c r="M15" s="33"/>
      <c r="N15" s="64">
        <v>12</v>
      </c>
      <c r="O15" s="27">
        <v>1</v>
      </c>
      <c r="P15" s="42"/>
      <c r="Q15" s="64">
        <v>12</v>
      </c>
      <c r="R15" s="30">
        <v>5</v>
      </c>
      <c r="S15" s="33"/>
      <c r="T15" s="64">
        <v>12</v>
      </c>
      <c r="U15" s="37">
        <v>1</v>
      </c>
      <c r="V15" s="42"/>
      <c r="W15" s="64">
        <v>12</v>
      </c>
      <c r="X15" s="46">
        <v>0</v>
      </c>
      <c r="Y15" s="46">
        <v>8</v>
      </c>
      <c r="Z15" s="33"/>
      <c r="AA15" s="64">
        <v>12</v>
      </c>
      <c r="AB15" s="46">
        <v>12</v>
      </c>
      <c r="AC15" s="50">
        <v>2</v>
      </c>
      <c r="AE15" s="64">
        <v>12</v>
      </c>
      <c r="AF15" s="46">
        <v>12</v>
      </c>
      <c r="AG15" s="50">
        <v>2</v>
      </c>
      <c r="AI15" s="64">
        <v>12</v>
      </c>
      <c r="AJ15" s="66">
        <v>0</v>
      </c>
      <c r="AK15" s="70">
        <v>0</v>
      </c>
      <c r="AL15" s="71">
        <v>4</v>
      </c>
      <c r="AM15" s="67">
        <v>1</v>
      </c>
    </row>
    <row r="16" spans="2:39" ht="15.75" thickBot="1">
      <c r="B16" s="72" t="s">
        <v>475</v>
      </c>
      <c r="C16" s="37">
        <v>462</v>
      </c>
      <c r="E16" s="65" t="s">
        <v>475</v>
      </c>
      <c r="F16" s="28">
        <v>235</v>
      </c>
      <c r="G16" s="34"/>
      <c r="H16" s="65" t="s">
        <v>475</v>
      </c>
      <c r="I16" s="28">
        <v>227</v>
      </c>
      <c r="J16" s="42"/>
      <c r="K16" s="65" t="s">
        <v>475</v>
      </c>
      <c r="L16" s="28">
        <v>217</v>
      </c>
      <c r="M16" s="34"/>
      <c r="N16" s="65" t="s">
        <v>475</v>
      </c>
      <c r="O16" s="28">
        <v>18</v>
      </c>
      <c r="P16" s="42"/>
      <c r="Q16" s="65" t="s">
        <v>475</v>
      </c>
      <c r="R16" s="31">
        <v>26</v>
      </c>
      <c r="S16" s="34"/>
      <c r="T16" s="65" t="s">
        <v>475</v>
      </c>
      <c r="U16" s="41">
        <v>209</v>
      </c>
      <c r="V16" s="42"/>
      <c r="W16" s="79" t="s">
        <v>475</v>
      </c>
      <c r="X16" s="44">
        <v>67</v>
      </c>
      <c r="Y16" s="51">
        <v>168</v>
      </c>
      <c r="Z16" s="33"/>
      <c r="AA16" s="79" t="s">
        <v>475</v>
      </c>
      <c r="AB16" s="44">
        <v>132</v>
      </c>
      <c r="AC16" s="51">
        <v>95</v>
      </c>
      <c r="AE16" s="79" t="s">
        <v>475</v>
      </c>
      <c r="AF16" s="44">
        <v>132</v>
      </c>
      <c r="AG16" s="51">
        <v>95</v>
      </c>
      <c r="AI16" s="79" t="s">
        <v>475</v>
      </c>
      <c r="AJ16" s="58">
        <v>2</v>
      </c>
      <c r="AK16" s="68">
        <v>65</v>
      </c>
      <c r="AL16" s="58">
        <v>24</v>
      </c>
      <c r="AM16" s="59">
        <v>144</v>
      </c>
    </row>
    <row r="17" spans="2:39" ht="15.75" thickBot="1">
      <c r="W17" s="80"/>
      <c r="X17" s="73" t="s">
        <v>484</v>
      </c>
      <c r="Y17" s="83"/>
      <c r="Z17" s="33"/>
      <c r="AA17" s="80"/>
      <c r="AB17" s="87" t="s">
        <v>489</v>
      </c>
      <c r="AC17" s="83"/>
      <c r="AE17" s="80"/>
      <c r="AF17" s="87" t="s">
        <v>489</v>
      </c>
      <c r="AG17" s="83"/>
      <c r="AI17" s="80"/>
      <c r="AJ17" s="76">
        <v>67</v>
      </c>
      <c r="AK17" s="77"/>
      <c r="AL17" s="76">
        <v>168</v>
      </c>
      <c r="AM17" s="78"/>
    </row>
    <row r="18" spans="2:39" ht="15.75" thickBot="1">
      <c r="B18" s="73" t="s">
        <v>483</v>
      </c>
      <c r="C18" s="83"/>
      <c r="E18" s="73" t="s">
        <v>479</v>
      </c>
      <c r="F18" s="87"/>
      <c r="G18" s="87"/>
      <c r="H18" s="87"/>
      <c r="I18" s="83"/>
      <c r="K18" s="73" t="s">
        <v>480</v>
      </c>
      <c r="L18" s="87"/>
      <c r="M18" s="87"/>
      <c r="N18" s="87"/>
      <c r="O18" s="83"/>
      <c r="Q18" s="73" t="s">
        <v>480</v>
      </c>
      <c r="R18" s="87"/>
      <c r="S18" s="87"/>
      <c r="T18" s="87"/>
      <c r="U18" s="83"/>
      <c r="W18" s="73" t="s">
        <v>480</v>
      </c>
      <c r="X18" s="87"/>
      <c r="Y18" s="83"/>
      <c r="Z18" s="34"/>
      <c r="AA18" s="73" t="s">
        <v>485</v>
      </c>
      <c r="AB18" s="87"/>
      <c r="AC18" s="83"/>
      <c r="AE18" s="73" t="s">
        <v>485</v>
      </c>
      <c r="AF18" s="87"/>
      <c r="AG18" s="83"/>
      <c r="AI18" s="73" t="s">
        <v>494</v>
      </c>
      <c r="AJ18" s="74"/>
      <c r="AK18" s="74"/>
      <c r="AL18" s="74"/>
      <c r="AM18" s="75"/>
    </row>
    <row r="19" spans="2:39" ht="15.75" thickBot="1"/>
    <row r="20" spans="2:39" ht="15.75" thickBot="1">
      <c r="C20" s="88" t="s">
        <v>495</v>
      </c>
      <c r="D20" s="89"/>
      <c r="E20" s="89"/>
      <c r="F20" s="89"/>
      <c r="G20" s="89"/>
      <c r="H20" s="89"/>
      <c r="I20" s="89"/>
      <c r="J20" s="89"/>
      <c r="K20" s="89"/>
      <c r="L20" s="90"/>
      <c r="S20" s="42"/>
    </row>
  </sheetData>
  <mergeCells count="30">
    <mergeCell ref="C20:L20"/>
    <mergeCell ref="W18:Y18"/>
    <mergeCell ref="AA2:AC2"/>
    <mergeCell ref="AA18:AC18"/>
    <mergeCell ref="AB17:AC17"/>
    <mergeCell ref="X17:Y17"/>
    <mergeCell ref="W2:Y2"/>
    <mergeCell ref="E18:I18"/>
    <mergeCell ref="K18:O18"/>
    <mergeCell ref="T2:U2"/>
    <mergeCell ref="Q18:U18"/>
    <mergeCell ref="B2:C2"/>
    <mergeCell ref="E2:F2"/>
    <mergeCell ref="H2:I2"/>
    <mergeCell ref="K2:L2"/>
    <mergeCell ref="N2:O2"/>
    <mergeCell ref="Q2:R2"/>
    <mergeCell ref="B18:C18"/>
    <mergeCell ref="AE2:AG2"/>
    <mergeCell ref="AF17:AG17"/>
    <mergeCell ref="AE18:AG18"/>
    <mergeCell ref="W16:W17"/>
    <mergeCell ref="AA16:AA17"/>
    <mergeCell ref="AE16:AE17"/>
    <mergeCell ref="AJ2:AK2"/>
    <mergeCell ref="AL2:AM2"/>
    <mergeCell ref="AI18:AM18"/>
    <mergeCell ref="AJ17:AK17"/>
    <mergeCell ref="AL17:AM17"/>
    <mergeCell ref="AI16:AI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64"/>
  <sheetViews>
    <sheetView topLeftCell="A403" zoomScaleNormal="100" workbookViewId="0">
      <selection activeCell="B417" activeCellId="94" sqref="A1:G463 A7:G7 A14:G14 A18:G18 A22:G22 A25:G26 A31:G31 A43:G43 A45:G45 A47:G47 A50:G53 A56:G63 A66:G68 A71:G73 A78:G78 A80:G83 A85:G85 A89:G91 A95:G97 A100:G101 A103:G104 A109:G110 A113:G120 A122:G125 A129:G138 A141:G146 A148:G152 A154:G154 A157:G158 A161:G162 A164:G164 A166:G167 A169:G172 A174:G174 A177:G178 A183:G183 A186:G186 A189:G189 A196:G197 A199:G201 A203:G203 A206:G207 A209:G210 A212:G213 A219:G219 A222:G225 A231:G232 A234:G234 A236:G236 A240:G241 A243:G243 A245:G245 A247:G247 A250:G250 A253:G253 A256:G256 A259:G259 A263:G264 A266:G270 A273:G275 A277:G277 A279:G280 A282:G282 A284:G285 A287:G287 A289:G289 A291:G292 A295:G295 A297:G297 A299:G299 A301:G303 A305:G305 A308:G310 A312:G313 A315:G316 A321:G321 A323:G323 A326:G326 A328:G329 A331:G333 A338:G339 A342:G342 A344:G344 A347:G351 A353:G353 A356:G357 A365:G366 A369:G370 A375:G375 A377:G378 A383:G383 A391:G400 A402:G408 A410:G414 A417:G421 A430:G432 A436:G440 A442:G444 A447:G447 A457:G457 A459:G461 A7:G7 A14:G14 A18:G18 A22:G22 A25:G26 A31:G31 A43:G43 A45:G45 A47:G47 A50:G53 A56:G63 A66:G68 A71:G73 A78:G78 A80:G83 A85:G85 A89:G91 A95:G97 A100:G101 A103:G104 A109:G110 A113:G120 A122:G125 A129:G138 A141:G146 A148:G152 A154:G154 A157:G158 A161:G162 A164:G164 A166:G167 A169:G172 A174:G174 A177:G178 A183:G183 A186:G186 A189:G189 A196:G197 A199:G201 A203:G203 A206:G207 A209:G210 A212:G213 A219:G219 A222:G225 A231:G232 A234:G234 A236:G236 A240:G241 A243:G243 A245:G245 A247:G247 A250:G250 A253:G253 A256:G256 A259:G259 A263:G264 A266:G270 A273:G275 A277:G277 A279:G280 A282:G282 A284:G285 A287:G287 A289:G289 A291:G292 A295:G295 A297:G297 A299:G299 A301:G303 A305:G305 A308:G310 A312:G313 A315:G316 A321:G321 A323:G323 A326:G326 A328:G329 A331:G333 A338:G339 A342:G342 A344:G344 A347:G351 A353:G353 A356:G357 A365:G366 A369:G370 A375:G375 A377:G378 A383:G383 A391:G400 A402:G408 A410:G414 A417:G421 A430:G432 A436:G440 A442:G444 A447:G447 A457:G457 A459:G461"/>
    </sheetView>
  </sheetViews>
  <sheetFormatPr defaultRowHeight="15"/>
  <cols>
    <col min="1" max="1" width="3.85546875" bestFit="1" customWidth="1"/>
    <col min="2" max="2" width="27.7109375" bestFit="1" customWidth="1"/>
    <col min="3" max="3" width="4" bestFit="1" customWidth="1"/>
    <col min="4" max="4" width="2.7109375" bestFit="1" customWidth="1"/>
    <col min="5" max="5" width="9" style="14" bestFit="1" customWidth="1"/>
    <col min="6" max="6" width="12.7109375" style="14" bestFit="1" customWidth="1"/>
    <col min="7" max="7" width="8.85546875" style="17" bestFit="1" customWidth="1"/>
  </cols>
  <sheetData>
    <row r="1" spans="1:7">
      <c r="A1" s="12" t="s">
        <v>491</v>
      </c>
      <c r="B1" s="12" t="s">
        <v>446</v>
      </c>
      <c r="C1" s="12" t="s">
        <v>0</v>
      </c>
      <c r="D1" s="12" t="s">
        <v>1</v>
      </c>
      <c r="E1" s="11" t="s">
        <v>447</v>
      </c>
      <c r="F1" s="11" t="s">
        <v>453</v>
      </c>
      <c r="G1" s="20" t="s">
        <v>450</v>
      </c>
    </row>
    <row r="2" spans="1:7">
      <c r="A2" s="13">
        <v>1</v>
      </c>
      <c r="B2" s="1" t="s">
        <v>10</v>
      </c>
      <c r="C2" s="2">
        <v>569</v>
      </c>
      <c r="D2" s="2">
        <v>1</v>
      </c>
      <c r="E2" s="13" t="s">
        <v>448</v>
      </c>
      <c r="F2" s="13" t="s">
        <v>456</v>
      </c>
      <c r="G2" s="13" t="s">
        <v>452</v>
      </c>
    </row>
    <row r="3" spans="1:7">
      <c r="A3" s="13">
        <v>2</v>
      </c>
      <c r="B3" s="1" t="s">
        <v>11</v>
      </c>
      <c r="C3" s="2">
        <v>509</v>
      </c>
      <c r="D3" s="2">
        <v>1</v>
      </c>
      <c r="E3" s="13" t="s">
        <v>448</v>
      </c>
      <c r="F3" s="13" t="s">
        <v>455</v>
      </c>
      <c r="G3" s="13" t="s">
        <v>452</v>
      </c>
    </row>
    <row r="4" spans="1:7">
      <c r="A4" s="13">
        <v>3</v>
      </c>
      <c r="B4" s="1" t="s">
        <v>23</v>
      </c>
      <c r="C4" s="2">
        <v>99</v>
      </c>
      <c r="D4" s="2">
        <v>1</v>
      </c>
      <c r="E4" s="13" t="s">
        <v>448</v>
      </c>
      <c r="F4" s="13" t="s">
        <v>455</v>
      </c>
      <c r="G4" s="13" t="s">
        <v>451</v>
      </c>
    </row>
    <row r="5" spans="1:7" hidden="1">
      <c r="A5" s="13">
        <v>4</v>
      </c>
      <c r="B5" s="1" t="s">
        <v>50</v>
      </c>
      <c r="C5" s="2">
        <v>384</v>
      </c>
      <c r="D5" s="2">
        <v>1</v>
      </c>
      <c r="E5" s="13" t="s">
        <v>449</v>
      </c>
      <c r="F5" s="13" t="s">
        <v>455</v>
      </c>
      <c r="G5" s="21" t="s">
        <v>452</v>
      </c>
    </row>
    <row r="6" spans="1:7" hidden="1">
      <c r="A6" s="13">
        <v>5</v>
      </c>
      <c r="B6" s="1" t="s">
        <v>56</v>
      </c>
      <c r="C6" s="2">
        <v>988</v>
      </c>
      <c r="D6" s="2">
        <v>1</v>
      </c>
      <c r="E6" s="13" t="s">
        <v>449</v>
      </c>
      <c r="F6" s="13" t="s">
        <v>455</v>
      </c>
      <c r="G6" s="21" t="s">
        <v>452</v>
      </c>
    </row>
    <row r="7" spans="1:7">
      <c r="A7" s="13">
        <v>6</v>
      </c>
      <c r="B7" s="1" t="s">
        <v>67</v>
      </c>
      <c r="C7" s="2">
        <v>578</v>
      </c>
      <c r="D7" s="2">
        <v>1</v>
      </c>
      <c r="E7" s="13" t="s">
        <v>448</v>
      </c>
      <c r="F7" s="13" t="s">
        <v>456</v>
      </c>
      <c r="G7" s="13" t="s">
        <v>451</v>
      </c>
    </row>
    <row r="8" spans="1:7" hidden="1">
      <c r="A8" s="13">
        <v>7</v>
      </c>
      <c r="B8" s="7" t="s">
        <v>81</v>
      </c>
      <c r="C8" s="2">
        <v>151</v>
      </c>
      <c r="D8" s="2">
        <v>1</v>
      </c>
      <c r="E8" s="13" t="s">
        <v>449</v>
      </c>
      <c r="F8" s="13" t="s">
        <v>455</v>
      </c>
      <c r="G8" s="21" t="s">
        <v>452</v>
      </c>
    </row>
    <row r="9" spans="1:7" hidden="1">
      <c r="A9" s="13">
        <v>8</v>
      </c>
      <c r="B9" s="1" t="s">
        <v>84</v>
      </c>
      <c r="C9" s="2">
        <v>589</v>
      </c>
      <c r="D9" s="2">
        <v>1</v>
      </c>
      <c r="E9" s="13" t="s">
        <v>449</v>
      </c>
      <c r="F9" s="13" t="s">
        <v>455</v>
      </c>
      <c r="G9" s="21" t="s">
        <v>452</v>
      </c>
    </row>
    <row r="10" spans="1:7" hidden="1">
      <c r="A10" s="13">
        <v>9</v>
      </c>
      <c r="B10" s="1" t="s">
        <v>85</v>
      </c>
      <c r="C10" s="2">
        <v>298</v>
      </c>
      <c r="D10" s="2">
        <v>1</v>
      </c>
      <c r="E10" s="13" t="s">
        <v>449</v>
      </c>
      <c r="F10" s="13" t="s">
        <v>455</v>
      </c>
      <c r="G10" s="21" t="s">
        <v>452</v>
      </c>
    </row>
    <row r="11" spans="1:7" hidden="1">
      <c r="A11" s="13">
        <v>10</v>
      </c>
      <c r="B11" s="1" t="s">
        <v>86</v>
      </c>
      <c r="C11" s="2">
        <v>627</v>
      </c>
      <c r="D11" s="2">
        <v>1</v>
      </c>
      <c r="E11" s="13" t="s">
        <v>449</v>
      </c>
      <c r="F11" s="13" t="s">
        <v>455</v>
      </c>
      <c r="G11" s="21" t="s">
        <v>452</v>
      </c>
    </row>
    <row r="12" spans="1:7" hidden="1">
      <c r="A12" s="13">
        <v>11</v>
      </c>
      <c r="B12" s="1" t="s">
        <v>87</v>
      </c>
      <c r="C12" s="2">
        <v>152</v>
      </c>
      <c r="D12" s="2">
        <v>1</v>
      </c>
      <c r="E12" s="13" t="s">
        <v>449</v>
      </c>
      <c r="F12" s="13" t="s">
        <v>455</v>
      </c>
      <c r="G12" s="21" t="s">
        <v>452</v>
      </c>
    </row>
    <row r="13" spans="1:7" hidden="1">
      <c r="A13" s="13">
        <v>12</v>
      </c>
      <c r="B13" s="1" t="s">
        <v>90</v>
      </c>
      <c r="C13" s="2">
        <v>345</v>
      </c>
      <c r="D13" s="2">
        <v>1</v>
      </c>
      <c r="E13" s="13" t="s">
        <v>449</v>
      </c>
      <c r="F13" s="13" t="s">
        <v>455</v>
      </c>
      <c r="G13" s="21" t="s">
        <v>452</v>
      </c>
    </row>
    <row r="14" spans="1:7">
      <c r="A14" s="13">
        <v>13</v>
      </c>
      <c r="B14" s="1" t="s">
        <v>13</v>
      </c>
      <c r="C14" s="2">
        <v>712</v>
      </c>
      <c r="D14" s="2">
        <v>2</v>
      </c>
      <c r="E14" s="13" t="s">
        <v>448</v>
      </c>
      <c r="F14" s="13" t="s">
        <v>456</v>
      </c>
      <c r="G14" s="13" t="s">
        <v>452</v>
      </c>
    </row>
    <row r="15" spans="1:7" hidden="1">
      <c r="A15" s="13">
        <v>14</v>
      </c>
      <c r="B15" s="1" t="s">
        <v>94</v>
      </c>
      <c r="C15" s="2">
        <v>572</v>
      </c>
      <c r="D15" s="2">
        <v>1</v>
      </c>
      <c r="E15" s="13" t="s">
        <v>449</v>
      </c>
      <c r="F15" s="13" t="s">
        <v>455</v>
      </c>
      <c r="G15" s="21" t="s">
        <v>452</v>
      </c>
    </row>
    <row r="16" spans="1:7" hidden="1">
      <c r="A16" s="13">
        <v>15</v>
      </c>
      <c r="B16" s="1" t="s">
        <v>98</v>
      </c>
      <c r="C16" s="2">
        <v>150</v>
      </c>
      <c r="D16" s="2">
        <v>1</v>
      </c>
      <c r="E16" s="13" t="s">
        <v>449</v>
      </c>
      <c r="F16" s="13" t="s">
        <v>455</v>
      </c>
      <c r="G16" s="21" t="s">
        <v>452</v>
      </c>
    </row>
    <row r="17" spans="1:7" hidden="1">
      <c r="A17" s="13">
        <v>16</v>
      </c>
      <c r="B17" s="1" t="s">
        <v>99</v>
      </c>
      <c r="C17" s="2">
        <v>349</v>
      </c>
      <c r="D17" s="2">
        <v>1</v>
      </c>
      <c r="E17" s="13" t="s">
        <v>449</v>
      </c>
      <c r="F17" s="13" t="s">
        <v>455</v>
      </c>
      <c r="G17" s="21" t="s">
        <v>452</v>
      </c>
    </row>
    <row r="18" spans="1:7">
      <c r="A18" s="13">
        <v>17</v>
      </c>
      <c r="B18" s="1" t="s">
        <v>19</v>
      </c>
      <c r="C18" s="2">
        <v>769</v>
      </c>
      <c r="D18" s="2">
        <v>2</v>
      </c>
      <c r="E18" s="13" t="s">
        <v>448</v>
      </c>
      <c r="F18" s="13" t="s">
        <v>456</v>
      </c>
      <c r="G18" s="13" t="s">
        <v>452</v>
      </c>
    </row>
    <row r="19" spans="1:7" hidden="1">
      <c r="A19" s="13">
        <v>18</v>
      </c>
      <c r="B19" s="1" t="s">
        <v>109</v>
      </c>
      <c r="C19" s="2">
        <v>680</v>
      </c>
      <c r="D19" s="2">
        <v>1</v>
      </c>
      <c r="E19" s="13" t="s">
        <v>449</v>
      </c>
      <c r="F19" s="13" t="s">
        <v>455</v>
      </c>
      <c r="G19" s="21" t="s">
        <v>452</v>
      </c>
    </row>
    <row r="20" spans="1:7" hidden="1">
      <c r="A20" s="13">
        <v>19</v>
      </c>
      <c r="B20" s="1" t="s">
        <v>113</v>
      </c>
      <c r="C20" s="2">
        <v>688</v>
      </c>
      <c r="D20" s="2">
        <v>1</v>
      </c>
      <c r="E20" s="13" t="s">
        <v>449</v>
      </c>
      <c r="F20" s="13" t="s">
        <v>455</v>
      </c>
      <c r="G20" s="21" t="s">
        <v>452</v>
      </c>
    </row>
    <row r="21" spans="1:7" hidden="1">
      <c r="A21" s="13">
        <v>20</v>
      </c>
      <c r="B21" s="1" t="s">
        <v>118</v>
      </c>
      <c r="C21" s="2">
        <v>143</v>
      </c>
      <c r="D21" s="2">
        <v>1</v>
      </c>
      <c r="E21" s="13" t="s">
        <v>449</v>
      </c>
      <c r="F21" s="13" t="s">
        <v>455</v>
      </c>
      <c r="G21" s="21" t="s">
        <v>452</v>
      </c>
    </row>
    <row r="22" spans="1:7">
      <c r="A22" s="13">
        <v>21</v>
      </c>
      <c r="B22" s="1" t="s">
        <v>26</v>
      </c>
      <c r="C22" s="2">
        <v>395</v>
      </c>
      <c r="D22" s="2">
        <v>4</v>
      </c>
      <c r="E22" s="13" t="s">
        <v>448</v>
      </c>
      <c r="F22" s="13" t="s">
        <v>456</v>
      </c>
      <c r="G22" s="13" t="s">
        <v>452</v>
      </c>
    </row>
    <row r="23" spans="1:7" hidden="1">
      <c r="A23" s="13">
        <v>22</v>
      </c>
      <c r="B23" s="1" t="s">
        <v>128</v>
      </c>
      <c r="C23" s="2">
        <v>603</v>
      </c>
      <c r="D23" s="2">
        <v>1</v>
      </c>
      <c r="E23" s="13" t="s">
        <v>449</v>
      </c>
      <c r="F23" s="13" t="s">
        <v>455</v>
      </c>
      <c r="G23" s="21" t="s">
        <v>452</v>
      </c>
    </row>
    <row r="24" spans="1:7" hidden="1">
      <c r="A24" s="13">
        <v>23</v>
      </c>
      <c r="B24" s="1" t="s">
        <v>136</v>
      </c>
      <c r="C24" s="2">
        <v>412</v>
      </c>
      <c r="D24" s="2">
        <v>1</v>
      </c>
      <c r="E24" s="13" t="s">
        <v>449</v>
      </c>
      <c r="F24" s="13" t="s">
        <v>455</v>
      </c>
      <c r="G24" s="21" t="s">
        <v>452</v>
      </c>
    </row>
    <row r="25" spans="1:7">
      <c r="A25" s="13">
        <v>24</v>
      </c>
      <c r="B25" s="1" t="s">
        <v>145</v>
      </c>
      <c r="C25" s="2">
        <v>895</v>
      </c>
      <c r="D25" s="2">
        <v>1</v>
      </c>
      <c r="E25" s="13" t="s">
        <v>448</v>
      </c>
      <c r="F25" s="13" t="s">
        <v>456</v>
      </c>
      <c r="G25" s="13" t="s">
        <v>451</v>
      </c>
    </row>
    <row r="26" spans="1:7">
      <c r="A26" s="13">
        <v>25</v>
      </c>
      <c r="B26" s="1" t="s">
        <v>148</v>
      </c>
      <c r="C26" s="2">
        <v>877</v>
      </c>
      <c r="D26" s="2">
        <v>1</v>
      </c>
      <c r="E26" s="13" t="s">
        <v>448</v>
      </c>
      <c r="F26" s="13" t="s">
        <v>456</v>
      </c>
      <c r="G26" s="13" t="s">
        <v>451</v>
      </c>
    </row>
    <row r="27" spans="1:7" hidden="1">
      <c r="A27" s="13">
        <v>26</v>
      </c>
      <c r="B27" s="1" t="s">
        <v>156</v>
      </c>
      <c r="C27" s="2">
        <v>122</v>
      </c>
      <c r="D27" s="2">
        <v>1</v>
      </c>
      <c r="E27" s="13" t="s">
        <v>449</v>
      </c>
      <c r="F27" s="13" t="s">
        <v>455</v>
      </c>
      <c r="G27" s="21" t="s">
        <v>452</v>
      </c>
    </row>
    <row r="28" spans="1:7" hidden="1">
      <c r="A28" s="13">
        <v>27</v>
      </c>
      <c r="B28" s="1" t="s">
        <v>158</v>
      </c>
      <c r="C28" s="2">
        <v>342</v>
      </c>
      <c r="D28" s="2">
        <v>1</v>
      </c>
      <c r="E28" s="13" t="s">
        <v>449</v>
      </c>
      <c r="F28" s="13" t="s">
        <v>455</v>
      </c>
      <c r="G28" s="21" t="s">
        <v>452</v>
      </c>
    </row>
    <row r="29" spans="1:7" hidden="1">
      <c r="A29" s="13">
        <v>28</v>
      </c>
      <c r="B29" s="1" t="s">
        <v>161</v>
      </c>
      <c r="C29" s="2">
        <v>145</v>
      </c>
      <c r="D29" s="2">
        <v>1</v>
      </c>
      <c r="E29" s="13" t="s">
        <v>449</v>
      </c>
      <c r="F29" s="13" t="s">
        <v>455</v>
      </c>
      <c r="G29" s="21" t="s">
        <v>452</v>
      </c>
    </row>
    <row r="30" spans="1:7" hidden="1">
      <c r="A30" s="13">
        <v>29</v>
      </c>
      <c r="B30" s="7" t="s">
        <v>184</v>
      </c>
      <c r="C30" s="2">
        <v>605</v>
      </c>
      <c r="D30" s="2">
        <v>1</v>
      </c>
      <c r="E30" s="13" t="s">
        <v>449</v>
      </c>
      <c r="F30" s="13" t="s">
        <v>455</v>
      </c>
      <c r="G30" s="21" t="s">
        <v>452</v>
      </c>
    </row>
    <row r="31" spans="1:7">
      <c r="A31" s="13">
        <v>30</v>
      </c>
      <c r="B31" s="1" t="s">
        <v>192</v>
      </c>
      <c r="C31" s="2">
        <v>756</v>
      </c>
      <c r="D31" s="2">
        <v>1</v>
      </c>
      <c r="E31" s="13" t="s">
        <v>448</v>
      </c>
      <c r="F31" s="13" t="s">
        <v>456</v>
      </c>
      <c r="G31" s="13" t="s">
        <v>451</v>
      </c>
    </row>
    <row r="32" spans="1:7" hidden="1">
      <c r="A32" s="13">
        <v>31</v>
      </c>
      <c r="B32" s="1" t="s">
        <v>198</v>
      </c>
      <c r="C32" s="2">
        <v>346</v>
      </c>
      <c r="D32" s="2">
        <v>1</v>
      </c>
      <c r="E32" s="13" t="s">
        <v>449</v>
      </c>
      <c r="F32" s="13" t="s">
        <v>455</v>
      </c>
      <c r="G32" s="21" t="s">
        <v>452</v>
      </c>
    </row>
    <row r="33" spans="1:7" hidden="1">
      <c r="A33" s="13">
        <v>32</v>
      </c>
      <c r="B33" s="1" t="s">
        <v>233</v>
      </c>
      <c r="C33" s="2">
        <v>223</v>
      </c>
      <c r="D33" s="2">
        <v>1</v>
      </c>
      <c r="E33" s="13" t="s">
        <v>449</v>
      </c>
      <c r="F33" s="13" t="s">
        <v>455</v>
      </c>
      <c r="G33" s="21" t="s">
        <v>452</v>
      </c>
    </row>
    <row r="34" spans="1:7" hidden="1">
      <c r="A34" s="13">
        <v>33</v>
      </c>
      <c r="B34" s="1" t="s">
        <v>237</v>
      </c>
      <c r="C34" s="2">
        <v>141</v>
      </c>
      <c r="D34" s="2">
        <v>1</v>
      </c>
      <c r="E34" s="13" t="s">
        <v>449</v>
      </c>
      <c r="F34" s="13" t="s">
        <v>455</v>
      </c>
      <c r="G34" s="21" t="s">
        <v>452</v>
      </c>
    </row>
    <row r="35" spans="1:7" hidden="1">
      <c r="A35" s="13">
        <v>34</v>
      </c>
      <c r="B35" s="1" t="s">
        <v>241</v>
      </c>
      <c r="C35" s="2">
        <v>436</v>
      </c>
      <c r="D35" s="2">
        <v>1</v>
      </c>
      <c r="E35" s="13" t="s">
        <v>449</v>
      </c>
      <c r="F35" s="13" t="s">
        <v>455</v>
      </c>
      <c r="G35" s="21" t="s">
        <v>452</v>
      </c>
    </row>
    <row r="36" spans="1:7" hidden="1">
      <c r="A36" s="13">
        <v>35</v>
      </c>
      <c r="B36" s="1" t="s">
        <v>251</v>
      </c>
      <c r="C36" s="2">
        <v>295</v>
      </c>
      <c r="D36" s="2">
        <v>1</v>
      </c>
      <c r="E36" s="13" t="s">
        <v>449</v>
      </c>
      <c r="F36" s="13" t="s">
        <v>455</v>
      </c>
      <c r="G36" s="21" t="s">
        <v>452</v>
      </c>
    </row>
    <row r="37" spans="1:7" hidden="1">
      <c r="A37" s="13">
        <v>36</v>
      </c>
      <c r="B37" s="1" t="s">
        <v>252</v>
      </c>
      <c r="C37" s="2">
        <v>293</v>
      </c>
      <c r="D37" s="2">
        <v>1</v>
      </c>
      <c r="E37" s="13" t="s">
        <v>449</v>
      </c>
      <c r="F37" s="13" t="s">
        <v>455</v>
      </c>
      <c r="G37" s="21" t="s">
        <v>452</v>
      </c>
    </row>
    <row r="38" spans="1:7" hidden="1">
      <c r="A38" s="13">
        <v>37</v>
      </c>
      <c r="B38" s="1" t="s">
        <v>258</v>
      </c>
      <c r="C38" s="2">
        <v>324</v>
      </c>
      <c r="D38" s="2">
        <v>1</v>
      </c>
      <c r="E38" s="13" t="s">
        <v>449</v>
      </c>
      <c r="F38" s="13" t="s">
        <v>455</v>
      </c>
      <c r="G38" s="21" t="s">
        <v>452</v>
      </c>
    </row>
    <row r="39" spans="1:7" hidden="1">
      <c r="A39" s="13">
        <v>38</v>
      </c>
      <c r="B39" s="1" t="s">
        <v>272</v>
      </c>
      <c r="C39" s="2">
        <v>678</v>
      </c>
      <c r="D39" s="2">
        <v>1</v>
      </c>
      <c r="E39" s="13" t="s">
        <v>449</v>
      </c>
      <c r="F39" s="13" t="s">
        <v>455</v>
      </c>
      <c r="G39" s="21" t="s">
        <v>452</v>
      </c>
    </row>
    <row r="40" spans="1:7" hidden="1">
      <c r="A40" s="13">
        <v>39</v>
      </c>
      <c r="B40" s="1" t="s">
        <v>281</v>
      </c>
      <c r="C40" s="2">
        <v>675</v>
      </c>
      <c r="D40" s="2">
        <v>1</v>
      </c>
      <c r="E40" s="13" t="s">
        <v>449</v>
      </c>
      <c r="F40" s="13" t="s">
        <v>455</v>
      </c>
      <c r="G40" s="21" t="s">
        <v>452</v>
      </c>
    </row>
    <row r="41" spans="1:7" hidden="1">
      <c r="A41" s="13">
        <v>40</v>
      </c>
      <c r="B41" s="1" t="s">
        <v>300</v>
      </c>
      <c r="C41" s="2">
        <v>347</v>
      </c>
      <c r="D41" s="2">
        <v>1</v>
      </c>
      <c r="E41" s="13" t="s">
        <v>449</v>
      </c>
      <c r="F41" s="13" t="s">
        <v>455</v>
      </c>
      <c r="G41" s="21" t="s">
        <v>452</v>
      </c>
    </row>
    <row r="42" spans="1:7" hidden="1">
      <c r="A42" s="13">
        <v>41</v>
      </c>
      <c r="B42" s="1" t="s">
        <v>307</v>
      </c>
      <c r="C42" s="2">
        <v>325</v>
      </c>
      <c r="D42" s="2">
        <v>1</v>
      </c>
      <c r="E42" s="13" t="s">
        <v>449</v>
      </c>
      <c r="F42" s="13" t="s">
        <v>455</v>
      </c>
      <c r="G42" s="21" t="s">
        <v>452</v>
      </c>
    </row>
    <row r="43" spans="1:7">
      <c r="A43" s="13">
        <v>42</v>
      </c>
      <c r="B43" s="1" t="s">
        <v>316</v>
      </c>
      <c r="C43" s="2">
        <v>596</v>
      </c>
      <c r="D43" s="2">
        <v>1</v>
      </c>
      <c r="E43" s="13" t="s">
        <v>448</v>
      </c>
      <c r="F43" s="13" t="s">
        <v>456</v>
      </c>
      <c r="G43" s="13" t="s">
        <v>451</v>
      </c>
    </row>
    <row r="44" spans="1:7" hidden="1">
      <c r="A44" s="13">
        <v>43</v>
      </c>
      <c r="B44" s="1" t="s">
        <v>321</v>
      </c>
      <c r="C44" s="2">
        <v>123</v>
      </c>
      <c r="D44" s="2">
        <v>1</v>
      </c>
      <c r="E44" s="13" t="s">
        <v>449</v>
      </c>
      <c r="F44" s="13" t="s">
        <v>455</v>
      </c>
      <c r="G44" s="21" t="s">
        <v>452</v>
      </c>
    </row>
    <row r="45" spans="1:7">
      <c r="A45" s="13">
        <v>44</v>
      </c>
      <c r="B45" s="1" t="s">
        <v>362</v>
      </c>
      <c r="C45" s="2">
        <v>758</v>
      </c>
      <c r="D45" s="2">
        <v>1</v>
      </c>
      <c r="E45" s="13" t="s">
        <v>448</v>
      </c>
      <c r="F45" s="13" t="s">
        <v>456</v>
      </c>
      <c r="G45" s="13" t="s">
        <v>451</v>
      </c>
    </row>
    <row r="46" spans="1:7" hidden="1">
      <c r="A46" s="13">
        <v>45</v>
      </c>
      <c r="B46" s="1" t="s">
        <v>368</v>
      </c>
      <c r="C46" s="2">
        <v>327</v>
      </c>
      <c r="D46" s="4">
        <v>1</v>
      </c>
      <c r="E46" s="13" t="s">
        <v>449</v>
      </c>
      <c r="F46" s="13" t="s">
        <v>455</v>
      </c>
      <c r="G46" s="21" t="s">
        <v>452</v>
      </c>
    </row>
    <row r="47" spans="1:7">
      <c r="A47" s="13">
        <v>46</v>
      </c>
      <c r="B47" s="1" t="s">
        <v>34</v>
      </c>
      <c r="C47" s="2">
        <v>852</v>
      </c>
      <c r="D47" s="2">
        <v>2</v>
      </c>
      <c r="E47" s="13" t="s">
        <v>448</v>
      </c>
      <c r="F47" s="13" t="s">
        <v>456</v>
      </c>
      <c r="G47" s="13" t="s">
        <v>452</v>
      </c>
    </row>
    <row r="48" spans="1:7" hidden="1">
      <c r="A48" s="13">
        <v>47</v>
      </c>
      <c r="B48" s="1" t="s">
        <v>386</v>
      </c>
      <c r="C48" s="2">
        <v>138</v>
      </c>
      <c r="D48" s="2">
        <v>1</v>
      </c>
      <c r="E48" s="13" t="s">
        <v>449</v>
      </c>
      <c r="F48" s="13" t="s">
        <v>455</v>
      </c>
      <c r="G48" s="21" t="s">
        <v>452</v>
      </c>
    </row>
    <row r="49" spans="1:7" hidden="1">
      <c r="A49" s="13">
        <v>48</v>
      </c>
      <c r="B49" s="1" t="s">
        <v>391</v>
      </c>
      <c r="C49" s="2">
        <v>414</v>
      </c>
      <c r="D49" s="2">
        <v>1</v>
      </c>
      <c r="E49" s="13" t="s">
        <v>449</v>
      </c>
      <c r="F49" s="13" t="s">
        <v>456</v>
      </c>
      <c r="G49" s="21" t="s">
        <v>452</v>
      </c>
    </row>
    <row r="50" spans="1:7">
      <c r="A50" s="13">
        <v>49</v>
      </c>
      <c r="B50" s="1" t="s">
        <v>43</v>
      </c>
      <c r="C50" s="2">
        <v>391</v>
      </c>
      <c r="D50" s="2">
        <v>4</v>
      </c>
      <c r="E50" s="13" t="s">
        <v>448</v>
      </c>
      <c r="F50" s="13" t="s">
        <v>456</v>
      </c>
      <c r="G50" s="13" t="s">
        <v>452</v>
      </c>
    </row>
    <row r="51" spans="1:7">
      <c r="A51" s="13">
        <v>50</v>
      </c>
      <c r="B51" s="1" t="s">
        <v>398</v>
      </c>
      <c r="C51" s="2">
        <v>970</v>
      </c>
      <c r="D51" s="2">
        <v>1</v>
      </c>
      <c r="E51" s="13" t="s">
        <v>448</v>
      </c>
      <c r="F51" s="13" t="s">
        <v>456</v>
      </c>
      <c r="G51" s="13" t="s">
        <v>451</v>
      </c>
    </row>
    <row r="52" spans="1:7">
      <c r="A52" s="13">
        <v>51</v>
      </c>
      <c r="B52" s="1" t="s">
        <v>399</v>
      </c>
      <c r="C52" s="2">
        <v>990</v>
      </c>
      <c r="D52" s="2">
        <v>1</v>
      </c>
      <c r="E52" s="13" t="s">
        <v>448</v>
      </c>
      <c r="F52" s="13" t="s">
        <v>456</v>
      </c>
      <c r="G52" s="13" t="s">
        <v>451</v>
      </c>
    </row>
    <row r="53" spans="1:7">
      <c r="A53" s="13">
        <v>52</v>
      </c>
      <c r="B53" s="1" t="s">
        <v>400</v>
      </c>
      <c r="C53" s="2">
        <v>953</v>
      </c>
      <c r="D53" s="2">
        <v>1</v>
      </c>
      <c r="E53" s="13" t="s">
        <v>448</v>
      </c>
      <c r="F53" s="13" t="s">
        <v>456</v>
      </c>
      <c r="G53" s="13" t="s">
        <v>451</v>
      </c>
    </row>
    <row r="54" spans="1:7" hidden="1">
      <c r="A54" s="13">
        <v>53</v>
      </c>
      <c r="B54" s="1" t="s">
        <v>413</v>
      </c>
      <c r="C54" s="2">
        <v>221</v>
      </c>
      <c r="D54" s="2">
        <v>1</v>
      </c>
      <c r="E54" s="13" t="s">
        <v>449</v>
      </c>
      <c r="F54" s="13" t="s">
        <v>455</v>
      </c>
      <c r="G54" s="21" t="s">
        <v>452</v>
      </c>
    </row>
    <row r="55" spans="1:7" hidden="1">
      <c r="A55" s="13">
        <v>54</v>
      </c>
      <c r="B55" s="19" t="s">
        <v>6</v>
      </c>
      <c r="C55" s="4">
        <v>918</v>
      </c>
      <c r="D55" s="4">
        <v>2</v>
      </c>
      <c r="E55" s="13" t="s">
        <v>449</v>
      </c>
      <c r="F55" s="13" t="s">
        <v>455</v>
      </c>
      <c r="G55" s="21" t="s">
        <v>452</v>
      </c>
    </row>
    <row r="56" spans="1:7">
      <c r="A56" s="13">
        <v>55</v>
      </c>
      <c r="B56" s="1" t="s">
        <v>9</v>
      </c>
      <c r="C56" s="2">
        <v>484</v>
      </c>
      <c r="D56" s="2">
        <v>2</v>
      </c>
      <c r="E56" s="13" t="s">
        <v>448</v>
      </c>
      <c r="F56" s="13" t="s">
        <v>456</v>
      </c>
      <c r="G56" s="13" t="s">
        <v>451</v>
      </c>
    </row>
    <row r="57" spans="1:7">
      <c r="A57" s="13">
        <v>56</v>
      </c>
      <c r="B57" s="1" t="s">
        <v>54</v>
      </c>
      <c r="C57" s="2">
        <v>686</v>
      </c>
      <c r="D57" s="2">
        <v>4</v>
      </c>
      <c r="E57" s="13" t="s">
        <v>448</v>
      </c>
      <c r="F57" s="13" t="s">
        <v>456</v>
      </c>
      <c r="G57" s="13" t="s">
        <v>452</v>
      </c>
    </row>
    <row r="58" spans="1:7">
      <c r="A58" s="13">
        <v>57</v>
      </c>
      <c r="B58" s="1" t="s">
        <v>16</v>
      </c>
      <c r="C58" s="2">
        <v>724</v>
      </c>
      <c r="D58" s="2">
        <v>2</v>
      </c>
      <c r="E58" s="13" t="s">
        <v>448</v>
      </c>
      <c r="F58" s="13" t="s">
        <v>456</v>
      </c>
      <c r="G58" s="13" t="s">
        <v>451</v>
      </c>
    </row>
    <row r="59" spans="1:7">
      <c r="A59" s="13">
        <v>58</v>
      </c>
      <c r="B59" s="1" t="s">
        <v>372</v>
      </c>
      <c r="C59" s="2">
        <v>789</v>
      </c>
      <c r="D59" s="2">
        <v>2</v>
      </c>
      <c r="E59" s="13" t="s">
        <v>448</v>
      </c>
      <c r="F59" s="13" t="s">
        <v>455</v>
      </c>
      <c r="G59" s="13" t="s">
        <v>452</v>
      </c>
    </row>
    <row r="60" spans="1:7">
      <c r="A60" s="13">
        <v>59</v>
      </c>
      <c r="B60" s="1" t="s">
        <v>61</v>
      </c>
      <c r="C60" s="2">
        <v>379</v>
      </c>
      <c r="D60" s="2">
        <v>4</v>
      </c>
      <c r="E60" s="13" t="s">
        <v>448</v>
      </c>
      <c r="F60" s="13" t="s">
        <v>456</v>
      </c>
      <c r="G60" s="13" t="s">
        <v>452</v>
      </c>
    </row>
    <row r="61" spans="1:7">
      <c r="A61" s="13">
        <v>60</v>
      </c>
      <c r="B61" s="1" t="s">
        <v>35</v>
      </c>
      <c r="C61" s="2">
        <v>835</v>
      </c>
      <c r="D61" s="2">
        <v>2</v>
      </c>
      <c r="E61" s="13" t="s">
        <v>448</v>
      </c>
      <c r="F61" s="13" t="s">
        <v>456</v>
      </c>
      <c r="G61" s="13" t="s">
        <v>451</v>
      </c>
    </row>
    <row r="62" spans="1:7">
      <c r="A62" s="13">
        <v>61</v>
      </c>
      <c r="B62" s="1" t="s">
        <v>458</v>
      </c>
      <c r="C62" s="2">
        <v>124</v>
      </c>
      <c r="D62" s="2">
        <v>2</v>
      </c>
      <c r="E62" s="13" t="s">
        <v>448</v>
      </c>
      <c r="F62" s="13" t="s">
        <v>456</v>
      </c>
      <c r="G62" s="13" t="s">
        <v>451</v>
      </c>
    </row>
    <row r="63" spans="1:7">
      <c r="A63" s="13">
        <v>62</v>
      </c>
      <c r="B63" s="1" t="s">
        <v>59</v>
      </c>
      <c r="C63" s="2">
        <v>329</v>
      </c>
      <c r="D63" s="2">
        <v>2</v>
      </c>
      <c r="E63" s="13" t="s">
        <v>448</v>
      </c>
      <c r="F63" s="13" t="s">
        <v>456</v>
      </c>
      <c r="G63" s="13" t="s">
        <v>451</v>
      </c>
    </row>
    <row r="64" spans="1:7" hidden="1">
      <c r="A64" s="13">
        <v>63</v>
      </c>
      <c r="B64" s="1" t="s">
        <v>75</v>
      </c>
      <c r="C64" s="2">
        <v>965</v>
      </c>
      <c r="D64" s="2">
        <v>2</v>
      </c>
      <c r="E64" s="13" t="s">
        <v>449</v>
      </c>
      <c r="F64" s="13" t="s">
        <v>455</v>
      </c>
      <c r="G64" s="21" t="s">
        <v>452</v>
      </c>
    </row>
    <row r="65" spans="1:7" hidden="1">
      <c r="A65" s="13">
        <v>64</v>
      </c>
      <c r="B65" s="7" t="s">
        <v>102</v>
      </c>
      <c r="C65" s="2">
        <v>148</v>
      </c>
      <c r="D65" s="2">
        <v>2</v>
      </c>
      <c r="E65" s="13" t="s">
        <v>449</v>
      </c>
      <c r="F65" s="13" t="s">
        <v>455</v>
      </c>
      <c r="G65" s="21" t="s">
        <v>452</v>
      </c>
    </row>
    <row r="66" spans="1:7">
      <c r="A66" s="13">
        <v>65</v>
      </c>
      <c r="B66" s="1" t="s">
        <v>112</v>
      </c>
      <c r="C66" s="2">
        <v>457</v>
      </c>
      <c r="D66" s="2">
        <v>2</v>
      </c>
      <c r="E66" s="13" t="s">
        <v>448</v>
      </c>
      <c r="F66" s="13" t="s">
        <v>456</v>
      </c>
      <c r="G66" s="13" t="s">
        <v>451</v>
      </c>
    </row>
    <row r="67" spans="1:7">
      <c r="A67" s="13">
        <v>66</v>
      </c>
      <c r="B67" s="1" t="s">
        <v>115</v>
      </c>
      <c r="C67" s="2">
        <v>643</v>
      </c>
      <c r="D67" s="2">
        <v>2</v>
      </c>
      <c r="E67" s="13" t="s">
        <v>448</v>
      </c>
      <c r="F67" s="13" t="s">
        <v>456</v>
      </c>
      <c r="G67" s="13" t="s">
        <v>451</v>
      </c>
    </row>
    <row r="68" spans="1:7">
      <c r="A68" s="13">
        <v>67</v>
      </c>
      <c r="B68" s="1" t="s">
        <v>119</v>
      </c>
      <c r="C68" s="2">
        <v>381</v>
      </c>
      <c r="D68" s="2">
        <v>2</v>
      </c>
      <c r="E68" s="13" t="s">
        <v>448</v>
      </c>
      <c r="F68" s="13" t="s">
        <v>456</v>
      </c>
      <c r="G68" s="13" t="s">
        <v>451</v>
      </c>
    </row>
    <row r="69" spans="1:7" hidden="1">
      <c r="A69" s="13">
        <v>68</v>
      </c>
      <c r="B69" s="1" t="s">
        <v>125</v>
      </c>
      <c r="C69" s="2">
        <v>725</v>
      </c>
      <c r="D69" s="2">
        <v>2</v>
      </c>
      <c r="E69" s="13" t="s">
        <v>449</v>
      </c>
      <c r="F69" s="13" t="s">
        <v>455</v>
      </c>
      <c r="G69" s="21" t="s">
        <v>452</v>
      </c>
    </row>
    <row r="70" spans="1:7" hidden="1">
      <c r="A70" s="13">
        <v>69</v>
      </c>
      <c r="B70" s="1" t="s">
        <v>130</v>
      </c>
      <c r="C70" s="2">
        <v>335</v>
      </c>
      <c r="D70" s="2">
        <v>2</v>
      </c>
      <c r="E70" s="13" t="s">
        <v>449</v>
      </c>
      <c r="F70" s="13" t="s">
        <v>455</v>
      </c>
      <c r="G70" s="21" t="s">
        <v>452</v>
      </c>
    </row>
    <row r="71" spans="1:7">
      <c r="A71" s="13">
        <v>70</v>
      </c>
      <c r="B71" s="1" t="s">
        <v>133</v>
      </c>
      <c r="C71" s="2">
        <v>625</v>
      </c>
      <c r="D71" s="2">
        <v>2</v>
      </c>
      <c r="E71" s="13" t="s">
        <v>448</v>
      </c>
      <c r="F71" s="13" t="s">
        <v>456</v>
      </c>
      <c r="G71" s="13" t="s">
        <v>451</v>
      </c>
    </row>
    <row r="72" spans="1:7">
      <c r="A72" s="13">
        <v>71</v>
      </c>
      <c r="B72" s="1" t="s">
        <v>462</v>
      </c>
      <c r="C72" s="2">
        <v>173</v>
      </c>
      <c r="D72" s="2">
        <v>5</v>
      </c>
      <c r="E72" s="13" t="s">
        <v>448</v>
      </c>
      <c r="F72" s="13" t="s">
        <v>456</v>
      </c>
      <c r="G72" s="13" t="s">
        <v>452</v>
      </c>
    </row>
    <row r="73" spans="1:7">
      <c r="A73" s="13">
        <v>72</v>
      </c>
      <c r="B73" s="1" t="s">
        <v>157</v>
      </c>
      <c r="C73" s="2">
        <v>453</v>
      </c>
      <c r="D73" s="2">
        <v>2</v>
      </c>
      <c r="E73" s="13" t="s">
        <v>448</v>
      </c>
      <c r="F73" s="13" t="s">
        <v>456</v>
      </c>
      <c r="G73" s="13" t="s">
        <v>451</v>
      </c>
    </row>
    <row r="74" spans="1:7" hidden="1">
      <c r="A74" s="13">
        <v>73</v>
      </c>
      <c r="B74" s="7" t="s">
        <v>159</v>
      </c>
      <c r="C74" s="2">
        <v>319</v>
      </c>
      <c r="D74" s="2">
        <v>2</v>
      </c>
      <c r="E74" s="13" t="s">
        <v>449</v>
      </c>
      <c r="F74" s="13" t="s">
        <v>455</v>
      </c>
      <c r="G74" s="13" t="s">
        <v>451</v>
      </c>
    </row>
    <row r="75" spans="1:7" hidden="1">
      <c r="A75" s="13">
        <v>74</v>
      </c>
      <c r="B75" s="1" t="s">
        <v>177</v>
      </c>
      <c r="C75" s="2">
        <v>790</v>
      </c>
      <c r="D75" s="2">
        <v>2</v>
      </c>
      <c r="E75" s="13" t="s">
        <v>449</v>
      </c>
      <c r="F75" s="13" t="s">
        <v>456</v>
      </c>
      <c r="G75" s="21" t="s">
        <v>452</v>
      </c>
    </row>
    <row r="76" spans="1:7" hidden="1">
      <c r="A76" s="13">
        <v>75</v>
      </c>
      <c r="B76" s="1" t="s">
        <v>178</v>
      </c>
      <c r="C76" s="2">
        <v>762</v>
      </c>
      <c r="D76" s="2">
        <v>2</v>
      </c>
      <c r="E76" s="13" t="s">
        <v>449</v>
      </c>
      <c r="F76" s="13" t="s">
        <v>456</v>
      </c>
      <c r="G76" s="21" t="s">
        <v>452</v>
      </c>
    </row>
    <row r="77" spans="1:7" hidden="1">
      <c r="A77" s="13">
        <v>76</v>
      </c>
      <c r="B77" s="1" t="s">
        <v>182</v>
      </c>
      <c r="C77" s="2">
        <v>837</v>
      </c>
      <c r="D77" s="2">
        <v>2</v>
      </c>
      <c r="E77" s="13" t="s">
        <v>449</v>
      </c>
      <c r="F77" s="13" t="s">
        <v>455</v>
      </c>
      <c r="G77" s="21" t="s">
        <v>452</v>
      </c>
    </row>
    <row r="78" spans="1:7">
      <c r="A78" s="13">
        <v>77</v>
      </c>
      <c r="B78" s="1" t="s">
        <v>183</v>
      </c>
      <c r="C78" s="2">
        <v>760</v>
      </c>
      <c r="D78" s="2">
        <v>2</v>
      </c>
      <c r="E78" s="13" t="s">
        <v>448</v>
      </c>
      <c r="F78" s="13" t="s">
        <v>456</v>
      </c>
      <c r="G78" s="13" t="s">
        <v>451</v>
      </c>
    </row>
    <row r="79" spans="1:7" hidden="1">
      <c r="A79" s="13">
        <v>78</v>
      </c>
      <c r="B79" s="1" t="s">
        <v>186</v>
      </c>
      <c r="C79" s="2">
        <v>604</v>
      </c>
      <c r="D79" s="4">
        <v>2</v>
      </c>
      <c r="E79" s="13" t="s">
        <v>449</v>
      </c>
      <c r="F79" s="13" t="s">
        <v>455</v>
      </c>
      <c r="G79" s="21" t="s">
        <v>452</v>
      </c>
    </row>
    <row r="80" spans="1:7">
      <c r="A80" s="13">
        <v>79</v>
      </c>
      <c r="B80" s="1" t="s">
        <v>78</v>
      </c>
      <c r="C80" s="2">
        <v>655</v>
      </c>
      <c r="D80" s="2">
        <v>9</v>
      </c>
      <c r="E80" s="13" t="s">
        <v>448</v>
      </c>
      <c r="F80" s="13" t="s">
        <v>456</v>
      </c>
      <c r="G80" s="13" t="s">
        <v>452</v>
      </c>
    </row>
    <row r="81" spans="1:7">
      <c r="A81" s="13">
        <v>80</v>
      </c>
      <c r="B81" s="1" t="s">
        <v>79</v>
      </c>
      <c r="C81" s="2">
        <v>652</v>
      </c>
      <c r="D81" s="2">
        <v>7</v>
      </c>
      <c r="E81" s="13" t="s">
        <v>448</v>
      </c>
      <c r="F81" s="13" t="s">
        <v>456</v>
      </c>
      <c r="G81" s="13" t="s">
        <v>452</v>
      </c>
    </row>
    <row r="82" spans="1:7">
      <c r="A82" s="13">
        <v>81</v>
      </c>
      <c r="B82" s="1" t="s">
        <v>195</v>
      </c>
      <c r="C82" s="2">
        <v>114</v>
      </c>
      <c r="D82" s="2">
        <v>2</v>
      </c>
      <c r="E82" s="13" t="s">
        <v>448</v>
      </c>
      <c r="F82" s="13" t="s">
        <v>456</v>
      </c>
      <c r="G82" s="13" t="s">
        <v>451</v>
      </c>
    </row>
    <row r="83" spans="1:7">
      <c r="A83" s="13">
        <v>82</v>
      </c>
      <c r="B83" s="1" t="s">
        <v>83</v>
      </c>
      <c r="C83" s="2">
        <v>995</v>
      </c>
      <c r="D83" s="2">
        <v>6</v>
      </c>
      <c r="E83" s="13" t="s">
        <v>448</v>
      </c>
      <c r="F83" s="13" t="s">
        <v>456</v>
      </c>
      <c r="G83" s="13" t="s">
        <v>452</v>
      </c>
    </row>
    <row r="84" spans="1:7" hidden="1">
      <c r="A84" s="13">
        <v>83</v>
      </c>
      <c r="B84" s="1" t="s">
        <v>209</v>
      </c>
      <c r="C84" s="2">
        <v>791</v>
      </c>
      <c r="D84" s="2">
        <v>2</v>
      </c>
      <c r="E84" s="13" t="s">
        <v>449</v>
      </c>
      <c r="F84" s="13" t="s">
        <v>455</v>
      </c>
      <c r="G84" s="13" t="s">
        <v>451</v>
      </c>
    </row>
    <row r="85" spans="1:7">
      <c r="A85" s="13">
        <v>84</v>
      </c>
      <c r="B85" s="1" t="s">
        <v>230</v>
      </c>
      <c r="C85" s="2">
        <v>207</v>
      </c>
      <c r="D85" s="2">
        <v>2</v>
      </c>
      <c r="E85" s="13" t="s">
        <v>448</v>
      </c>
      <c r="F85" s="13" t="s">
        <v>456</v>
      </c>
      <c r="G85" s="13" t="s">
        <v>451</v>
      </c>
    </row>
    <row r="86" spans="1:7" hidden="1">
      <c r="A86" s="13">
        <v>85</v>
      </c>
      <c r="B86" s="7" t="s">
        <v>238</v>
      </c>
      <c r="C86" s="8">
        <v>128</v>
      </c>
      <c r="D86" s="8">
        <v>2</v>
      </c>
      <c r="E86" s="13" t="s">
        <v>449</v>
      </c>
      <c r="F86" s="13" t="s">
        <v>455</v>
      </c>
      <c r="G86" s="13" t="s">
        <v>451</v>
      </c>
    </row>
    <row r="87" spans="1:7" hidden="1">
      <c r="A87" s="13">
        <v>86</v>
      </c>
      <c r="B87" s="1" t="s">
        <v>245</v>
      </c>
      <c r="C87" s="2">
        <v>340</v>
      </c>
      <c r="D87" s="2">
        <v>2</v>
      </c>
      <c r="E87" s="13" t="s">
        <v>449</v>
      </c>
      <c r="F87" s="13" t="s">
        <v>455</v>
      </c>
      <c r="G87" s="13" t="s">
        <v>451</v>
      </c>
    </row>
    <row r="88" spans="1:7" hidden="1">
      <c r="A88" s="13">
        <v>87</v>
      </c>
      <c r="B88" s="1" t="s">
        <v>256</v>
      </c>
      <c r="C88" s="2">
        <v>321</v>
      </c>
      <c r="D88" s="2">
        <v>2</v>
      </c>
      <c r="E88" s="13" t="s">
        <v>449</v>
      </c>
      <c r="F88" s="13" t="s">
        <v>455</v>
      </c>
      <c r="G88" s="21" t="s">
        <v>452</v>
      </c>
    </row>
    <row r="89" spans="1:7">
      <c r="A89" s="13">
        <v>88</v>
      </c>
      <c r="B89" s="1" t="s">
        <v>284</v>
      </c>
      <c r="C89" s="2">
        <v>568</v>
      </c>
      <c r="D89" s="2">
        <v>2</v>
      </c>
      <c r="E89" s="13" t="s">
        <v>448</v>
      </c>
      <c r="F89" s="13" t="s">
        <v>456</v>
      </c>
      <c r="G89" s="13" t="s">
        <v>451</v>
      </c>
    </row>
    <row r="90" spans="1:7">
      <c r="A90" s="13">
        <v>89</v>
      </c>
      <c r="B90" s="1" t="s">
        <v>293</v>
      </c>
      <c r="C90" s="2">
        <v>764</v>
      </c>
      <c r="D90" s="2">
        <v>2</v>
      </c>
      <c r="E90" s="13" t="s">
        <v>448</v>
      </c>
      <c r="F90" s="13" t="s">
        <v>456</v>
      </c>
      <c r="G90" s="13" t="s">
        <v>451</v>
      </c>
    </row>
    <row r="91" spans="1:7">
      <c r="A91" s="13">
        <v>90</v>
      </c>
      <c r="B91" s="1" t="s">
        <v>92</v>
      </c>
      <c r="C91" s="2">
        <v>617</v>
      </c>
      <c r="D91" s="2">
        <v>1</v>
      </c>
      <c r="E91" s="13" t="s">
        <v>448</v>
      </c>
      <c r="F91" s="13" t="s">
        <v>456</v>
      </c>
      <c r="G91" s="13" t="s">
        <v>452</v>
      </c>
    </row>
    <row r="92" spans="1:7" hidden="1">
      <c r="A92" s="13">
        <v>91</v>
      </c>
      <c r="B92" s="1" t="s">
        <v>313</v>
      </c>
      <c r="C92" s="2">
        <v>667</v>
      </c>
      <c r="D92" s="2">
        <v>2</v>
      </c>
      <c r="E92" s="13" t="s">
        <v>449</v>
      </c>
      <c r="F92" s="13" t="s">
        <v>455</v>
      </c>
      <c r="G92" s="21" t="s">
        <v>452</v>
      </c>
    </row>
    <row r="93" spans="1:7" hidden="1">
      <c r="A93" s="13">
        <v>92</v>
      </c>
      <c r="B93" s="1" t="s">
        <v>314</v>
      </c>
      <c r="C93" s="2">
        <v>545</v>
      </c>
      <c r="D93" s="2">
        <v>2</v>
      </c>
      <c r="E93" s="13" t="s">
        <v>449</v>
      </c>
      <c r="F93" s="13" t="s">
        <v>455</v>
      </c>
      <c r="G93" s="21" t="s">
        <v>452</v>
      </c>
    </row>
    <row r="94" spans="1:7" hidden="1">
      <c r="A94" s="13">
        <v>93</v>
      </c>
      <c r="B94" s="7" t="s">
        <v>322</v>
      </c>
      <c r="C94" s="2">
        <v>767</v>
      </c>
      <c r="D94" s="2">
        <v>2</v>
      </c>
      <c r="E94" s="13" t="s">
        <v>449</v>
      </c>
      <c r="F94" s="13" t="s">
        <v>455</v>
      </c>
      <c r="G94" s="21" t="s">
        <v>452</v>
      </c>
    </row>
    <row r="95" spans="1:7">
      <c r="A95" s="13">
        <v>94</v>
      </c>
      <c r="B95" s="1" t="s">
        <v>351</v>
      </c>
      <c r="C95" s="2">
        <v>281</v>
      </c>
      <c r="D95" s="2">
        <v>2</v>
      </c>
      <c r="E95" s="13" t="s">
        <v>448</v>
      </c>
      <c r="F95" s="13" t="s">
        <v>456</v>
      </c>
      <c r="G95" s="13" t="s">
        <v>451</v>
      </c>
    </row>
    <row r="96" spans="1:7">
      <c r="A96" s="13">
        <v>95</v>
      </c>
      <c r="B96" s="1" t="s">
        <v>360</v>
      </c>
      <c r="C96" s="2">
        <v>972</v>
      </c>
      <c r="D96" s="2">
        <v>2</v>
      </c>
      <c r="E96" s="13" t="s">
        <v>448</v>
      </c>
      <c r="F96" s="13" t="s">
        <v>456</v>
      </c>
      <c r="G96" s="13" t="s">
        <v>451</v>
      </c>
    </row>
    <row r="97" spans="1:7">
      <c r="A97" s="13">
        <v>96</v>
      </c>
      <c r="B97" s="1" t="s">
        <v>100</v>
      </c>
      <c r="C97" s="2">
        <v>626</v>
      </c>
      <c r="D97" s="2">
        <v>1</v>
      </c>
      <c r="E97" s="13" t="s">
        <v>448</v>
      </c>
      <c r="F97" s="13" t="s">
        <v>456</v>
      </c>
      <c r="G97" s="13" t="s">
        <v>452</v>
      </c>
    </row>
    <row r="98" spans="1:7" hidden="1">
      <c r="A98" s="13">
        <v>97</v>
      </c>
      <c r="B98" s="1" t="s">
        <v>385</v>
      </c>
      <c r="C98" s="2">
        <v>788</v>
      </c>
      <c r="D98" s="2">
        <v>2</v>
      </c>
      <c r="E98" s="13" t="s">
        <v>449</v>
      </c>
      <c r="F98" s="13" t="s">
        <v>455</v>
      </c>
      <c r="G98" s="21" t="s">
        <v>452</v>
      </c>
    </row>
    <row r="99" spans="1:7" hidden="1">
      <c r="A99" s="13">
        <v>98</v>
      </c>
      <c r="B99" s="1" t="s">
        <v>411</v>
      </c>
      <c r="C99" s="2">
        <v>257</v>
      </c>
      <c r="D99" s="2">
        <v>2</v>
      </c>
      <c r="E99" s="13" t="s">
        <v>449</v>
      </c>
      <c r="F99" s="13" t="s">
        <v>456</v>
      </c>
      <c r="G99" s="21" t="s">
        <v>452</v>
      </c>
    </row>
    <row r="100" spans="1:7">
      <c r="A100" s="13">
        <v>99</v>
      </c>
      <c r="B100" s="1" t="s">
        <v>415</v>
      </c>
      <c r="C100" s="2">
        <v>487</v>
      </c>
      <c r="D100" s="2">
        <v>2</v>
      </c>
      <c r="E100" s="13" t="s">
        <v>448</v>
      </c>
      <c r="F100" s="13" t="s">
        <v>455</v>
      </c>
      <c r="G100" s="13" t="s">
        <v>452</v>
      </c>
    </row>
    <row r="101" spans="1:7">
      <c r="A101" s="13">
        <v>100</v>
      </c>
      <c r="B101" s="1" t="s">
        <v>436</v>
      </c>
      <c r="C101" s="2">
        <v>622</v>
      </c>
      <c r="D101" s="2">
        <v>2</v>
      </c>
      <c r="E101" s="13" t="s">
        <v>448</v>
      </c>
      <c r="F101" s="13" t="s">
        <v>456</v>
      </c>
      <c r="G101" s="13" t="s">
        <v>452</v>
      </c>
    </row>
    <row r="102" spans="1:7" hidden="1">
      <c r="A102" s="13">
        <v>101</v>
      </c>
      <c r="B102" s="9" t="s">
        <v>445</v>
      </c>
      <c r="C102" s="2">
        <v>713</v>
      </c>
      <c r="D102" s="5">
        <v>2</v>
      </c>
      <c r="E102" s="13" t="s">
        <v>449</v>
      </c>
      <c r="F102" s="13" t="s">
        <v>455</v>
      </c>
      <c r="G102" s="13" t="s">
        <v>451</v>
      </c>
    </row>
    <row r="103" spans="1:7">
      <c r="A103" s="13">
        <v>102</v>
      </c>
      <c r="B103" s="1" t="s">
        <v>8</v>
      </c>
      <c r="C103" s="2">
        <v>544</v>
      </c>
      <c r="D103" s="2">
        <v>3</v>
      </c>
      <c r="E103" s="13" t="s">
        <v>448</v>
      </c>
      <c r="F103" s="13" t="s">
        <v>456</v>
      </c>
      <c r="G103" s="13" t="s">
        <v>451</v>
      </c>
    </row>
    <row r="104" spans="1:7">
      <c r="A104" s="13">
        <v>103</v>
      </c>
      <c r="B104" s="1" t="s">
        <v>14</v>
      </c>
      <c r="C104" s="2">
        <v>681</v>
      </c>
      <c r="D104" s="2">
        <v>3</v>
      </c>
      <c r="E104" s="13" t="s">
        <v>448</v>
      </c>
      <c r="F104" s="13" t="s">
        <v>456</v>
      </c>
      <c r="G104" s="13" t="s">
        <v>451</v>
      </c>
    </row>
    <row r="105" spans="1:7" hidden="1">
      <c r="A105" s="13">
        <v>104</v>
      </c>
      <c r="B105" s="1" t="s">
        <v>15</v>
      </c>
      <c r="C105" s="2">
        <v>909</v>
      </c>
      <c r="D105" s="2">
        <v>3</v>
      </c>
      <c r="E105" s="13" t="s">
        <v>449</v>
      </c>
      <c r="F105" s="13" t="s">
        <v>455</v>
      </c>
      <c r="G105" s="21" t="s">
        <v>452</v>
      </c>
    </row>
    <row r="106" spans="1:7" hidden="1">
      <c r="A106" s="13">
        <v>105</v>
      </c>
      <c r="B106" s="1" t="s">
        <v>29</v>
      </c>
      <c r="C106" s="2">
        <v>426</v>
      </c>
      <c r="D106" s="2">
        <v>3</v>
      </c>
      <c r="E106" s="13" t="s">
        <v>449</v>
      </c>
      <c r="F106" s="13" t="s">
        <v>456</v>
      </c>
      <c r="G106" s="21" t="s">
        <v>452</v>
      </c>
    </row>
    <row r="107" spans="1:7" hidden="1">
      <c r="A107" s="13">
        <v>106</v>
      </c>
      <c r="B107" s="1" t="s">
        <v>30</v>
      </c>
      <c r="C107" s="2">
        <v>687</v>
      </c>
      <c r="D107" s="2">
        <v>3</v>
      </c>
      <c r="E107" s="13" t="s">
        <v>449</v>
      </c>
      <c r="F107" s="13" t="s">
        <v>455</v>
      </c>
      <c r="G107" s="13" t="s">
        <v>451</v>
      </c>
    </row>
    <row r="108" spans="1:7" hidden="1">
      <c r="A108" s="13">
        <v>107</v>
      </c>
      <c r="B108" s="1" t="s">
        <v>37</v>
      </c>
      <c r="C108" s="2">
        <v>814</v>
      </c>
      <c r="D108" s="2">
        <v>3</v>
      </c>
      <c r="E108" s="13" t="s">
        <v>449</v>
      </c>
      <c r="F108" s="13" t="s">
        <v>455</v>
      </c>
      <c r="G108" s="21" t="s">
        <v>452</v>
      </c>
    </row>
    <row r="109" spans="1:7">
      <c r="A109" s="13">
        <v>108</v>
      </c>
      <c r="B109" s="1" t="s">
        <v>463</v>
      </c>
      <c r="C109" s="2">
        <v>134</v>
      </c>
      <c r="D109" s="2">
        <v>3</v>
      </c>
      <c r="E109" s="13" t="s">
        <v>448</v>
      </c>
      <c r="F109" s="13" t="s">
        <v>456</v>
      </c>
      <c r="G109" s="13" t="s">
        <v>451</v>
      </c>
    </row>
    <row r="110" spans="1:7">
      <c r="A110" s="13">
        <v>109</v>
      </c>
      <c r="B110" s="1" t="s">
        <v>52</v>
      </c>
      <c r="C110" s="2">
        <v>449</v>
      </c>
      <c r="D110" s="2">
        <v>3</v>
      </c>
      <c r="E110" s="13" t="s">
        <v>448</v>
      </c>
      <c r="F110" s="13" t="s">
        <v>456</v>
      </c>
      <c r="G110" s="13" t="s">
        <v>451</v>
      </c>
    </row>
    <row r="111" spans="1:7" hidden="1">
      <c r="A111" s="13">
        <v>110</v>
      </c>
      <c r="B111" s="1" t="s">
        <v>55</v>
      </c>
      <c r="C111" s="2">
        <v>557</v>
      </c>
      <c r="D111" s="2">
        <v>3</v>
      </c>
      <c r="E111" s="13" t="s">
        <v>449</v>
      </c>
      <c r="F111" s="13" t="s">
        <v>455</v>
      </c>
      <c r="G111" s="21" t="s">
        <v>452</v>
      </c>
    </row>
    <row r="112" spans="1:7" hidden="1">
      <c r="A112" s="13">
        <v>111</v>
      </c>
      <c r="B112" s="1" t="s">
        <v>58</v>
      </c>
      <c r="C112" s="2">
        <v>220</v>
      </c>
      <c r="D112" s="2">
        <v>3</v>
      </c>
      <c r="E112" s="13" t="s">
        <v>449</v>
      </c>
      <c r="F112" s="13" t="s">
        <v>455</v>
      </c>
      <c r="G112" s="21" t="s">
        <v>452</v>
      </c>
    </row>
    <row r="113" spans="1:7">
      <c r="A113" s="13">
        <v>112</v>
      </c>
      <c r="B113" s="1" t="s">
        <v>65</v>
      </c>
      <c r="C113" s="2">
        <v>705</v>
      </c>
      <c r="D113" s="2">
        <v>3</v>
      </c>
      <c r="E113" s="13" t="s">
        <v>448</v>
      </c>
      <c r="F113" s="13" t="s">
        <v>456</v>
      </c>
      <c r="G113" s="13" t="s">
        <v>451</v>
      </c>
    </row>
    <row r="114" spans="1:7">
      <c r="A114" s="13">
        <v>113</v>
      </c>
      <c r="B114" s="1" t="s">
        <v>72</v>
      </c>
      <c r="C114" s="2">
        <v>518</v>
      </c>
      <c r="D114" s="2">
        <v>3</v>
      </c>
      <c r="E114" s="13" t="s">
        <v>448</v>
      </c>
      <c r="F114" s="13" t="s">
        <v>456</v>
      </c>
      <c r="G114" s="13" t="s">
        <v>451</v>
      </c>
    </row>
    <row r="115" spans="1:7">
      <c r="A115" s="13">
        <v>114</v>
      </c>
      <c r="B115" s="1" t="s">
        <v>74</v>
      </c>
      <c r="C115" s="2">
        <v>593</v>
      </c>
      <c r="D115" s="2">
        <v>3</v>
      </c>
      <c r="E115" s="13" t="s">
        <v>448</v>
      </c>
      <c r="F115" s="13" t="s">
        <v>456</v>
      </c>
      <c r="G115" s="13" t="s">
        <v>451</v>
      </c>
    </row>
    <row r="116" spans="1:7">
      <c r="A116" s="13">
        <v>115</v>
      </c>
      <c r="B116" s="1" t="s">
        <v>104</v>
      </c>
      <c r="C116" s="2">
        <v>420</v>
      </c>
      <c r="D116" s="2">
        <v>3</v>
      </c>
      <c r="E116" s="13" t="s">
        <v>448</v>
      </c>
      <c r="F116" s="13" t="s">
        <v>456</v>
      </c>
      <c r="G116" s="13" t="s">
        <v>451</v>
      </c>
    </row>
    <row r="117" spans="1:7">
      <c r="A117" s="13">
        <v>116</v>
      </c>
      <c r="B117" s="1" t="s">
        <v>110</v>
      </c>
      <c r="C117" s="2">
        <v>458</v>
      </c>
      <c r="D117" s="2">
        <v>3</v>
      </c>
      <c r="E117" s="13" t="s">
        <v>448</v>
      </c>
      <c r="F117" s="13" t="s">
        <v>456</v>
      </c>
      <c r="G117" s="13" t="s">
        <v>451</v>
      </c>
    </row>
    <row r="118" spans="1:7">
      <c r="A118" s="13">
        <v>117</v>
      </c>
      <c r="B118" s="1" t="s">
        <v>114</v>
      </c>
      <c r="C118" s="2">
        <v>397</v>
      </c>
      <c r="D118" s="2">
        <v>7</v>
      </c>
      <c r="E118" s="13" t="s">
        <v>448</v>
      </c>
      <c r="F118" s="13" t="s">
        <v>456</v>
      </c>
      <c r="G118" s="13" t="s">
        <v>452</v>
      </c>
    </row>
    <row r="119" spans="1:7">
      <c r="A119" s="13">
        <v>118</v>
      </c>
      <c r="B119" s="1" t="s">
        <v>120</v>
      </c>
      <c r="C119" s="2">
        <v>904</v>
      </c>
      <c r="D119" s="2">
        <v>3</v>
      </c>
      <c r="E119" s="13" t="s">
        <v>448</v>
      </c>
      <c r="F119" s="13" t="s">
        <v>456</v>
      </c>
      <c r="G119" s="13" t="s">
        <v>451</v>
      </c>
    </row>
    <row r="120" spans="1:7">
      <c r="A120" s="13">
        <v>119</v>
      </c>
      <c r="B120" s="1" t="s">
        <v>121</v>
      </c>
      <c r="C120" s="2">
        <v>664</v>
      </c>
      <c r="D120" s="2">
        <v>3</v>
      </c>
      <c r="E120" s="13" t="s">
        <v>448</v>
      </c>
      <c r="F120" s="13" t="s">
        <v>456</v>
      </c>
      <c r="G120" s="13" t="s">
        <v>451</v>
      </c>
    </row>
    <row r="121" spans="1:7" hidden="1">
      <c r="A121" s="13">
        <v>120</v>
      </c>
      <c r="B121" s="1" t="s">
        <v>122</v>
      </c>
      <c r="C121" s="2">
        <v>899</v>
      </c>
      <c r="D121" s="2">
        <v>3</v>
      </c>
      <c r="E121" s="13" t="s">
        <v>449</v>
      </c>
      <c r="F121" s="13" t="s">
        <v>455</v>
      </c>
      <c r="G121" s="13" t="s">
        <v>451</v>
      </c>
    </row>
    <row r="122" spans="1:7">
      <c r="A122" s="13">
        <v>121</v>
      </c>
      <c r="B122" s="1" t="s">
        <v>131</v>
      </c>
      <c r="C122" s="2">
        <v>916</v>
      </c>
      <c r="D122" s="2">
        <v>3</v>
      </c>
      <c r="E122" s="13" t="s">
        <v>448</v>
      </c>
      <c r="F122" s="13" t="s">
        <v>456</v>
      </c>
      <c r="G122" s="13" t="s">
        <v>451</v>
      </c>
    </row>
    <row r="123" spans="1:7">
      <c r="A123" s="13">
        <v>122</v>
      </c>
      <c r="B123" s="1" t="s">
        <v>117</v>
      </c>
      <c r="C123" s="2">
        <v>879</v>
      </c>
      <c r="D123" s="2">
        <v>3</v>
      </c>
      <c r="E123" s="13" t="s">
        <v>448</v>
      </c>
      <c r="F123" s="13" t="s">
        <v>456</v>
      </c>
      <c r="G123" s="13" t="s">
        <v>452</v>
      </c>
    </row>
    <row r="124" spans="1:7">
      <c r="A124" s="13">
        <v>123</v>
      </c>
      <c r="B124" s="1" t="s">
        <v>334</v>
      </c>
      <c r="C124" s="2">
        <v>132</v>
      </c>
      <c r="D124" s="2">
        <v>3</v>
      </c>
      <c r="E124" s="13" t="s">
        <v>448</v>
      </c>
      <c r="F124" s="13" t="s">
        <v>455</v>
      </c>
      <c r="G124" s="13" t="s">
        <v>452</v>
      </c>
    </row>
    <row r="125" spans="1:7">
      <c r="A125" s="13">
        <v>124</v>
      </c>
      <c r="B125" s="1" t="s">
        <v>126</v>
      </c>
      <c r="C125" s="2">
        <v>582</v>
      </c>
      <c r="D125" s="2">
        <v>1</v>
      </c>
      <c r="E125" s="13" t="s">
        <v>448</v>
      </c>
      <c r="F125" s="13" t="s">
        <v>456</v>
      </c>
      <c r="G125" s="13" t="s">
        <v>452</v>
      </c>
    </row>
    <row r="126" spans="1:7" hidden="1">
      <c r="A126" s="13">
        <v>125</v>
      </c>
      <c r="B126" s="1" t="s">
        <v>151</v>
      </c>
      <c r="C126" s="2">
        <v>684</v>
      </c>
      <c r="D126" s="2">
        <v>3</v>
      </c>
      <c r="E126" s="13" t="s">
        <v>449</v>
      </c>
      <c r="F126" s="13" t="s">
        <v>455</v>
      </c>
      <c r="G126" s="21" t="s">
        <v>452</v>
      </c>
    </row>
    <row r="127" spans="1:7" hidden="1">
      <c r="A127" s="13">
        <v>126</v>
      </c>
      <c r="B127" s="1" t="s">
        <v>170</v>
      </c>
      <c r="C127" s="2">
        <v>805</v>
      </c>
      <c r="D127" s="2">
        <v>3</v>
      </c>
      <c r="E127" s="13" t="s">
        <v>449</v>
      </c>
      <c r="F127" s="13" t="s">
        <v>455</v>
      </c>
      <c r="G127" s="21" t="s">
        <v>452</v>
      </c>
    </row>
    <row r="128" spans="1:7" hidden="1">
      <c r="A128" s="13">
        <v>127</v>
      </c>
      <c r="B128" s="1" t="s">
        <v>179</v>
      </c>
      <c r="C128" s="2">
        <v>676</v>
      </c>
      <c r="D128" s="2">
        <v>3</v>
      </c>
      <c r="E128" s="13" t="s">
        <v>449</v>
      </c>
      <c r="F128" s="13" t="s">
        <v>455</v>
      </c>
      <c r="G128" s="21" t="s">
        <v>452</v>
      </c>
    </row>
    <row r="129" spans="1:7">
      <c r="A129" s="13">
        <v>128</v>
      </c>
      <c r="B129" s="1" t="s">
        <v>57</v>
      </c>
      <c r="C129" s="2">
        <v>801</v>
      </c>
      <c r="D129" s="2">
        <v>4</v>
      </c>
      <c r="E129" s="13" t="s">
        <v>448</v>
      </c>
      <c r="F129" s="13" t="s">
        <v>455</v>
      </c>
      <c r="G129" s="13" t="s">
        <v>452</v>
      </c>
    </row>
    <row r="130" spans="1:7">
      <c r="A130" s="13">
        <v>129</v>
      </c>
      <c r="B130" s="1" t="s">
        <v>231</v>
      </c>
      <c r="C130" s="2">
        <v>480</v>
      </c>
      <c r="D130" s="2">
        <v>3</v>
      </c>
      <c r="E130" s="13" t="s">
        <v>448</v>
      </c>
      <c r="F130" s="13" t="s">
        <v>456</v>
      </c>
      <c r="G130" s="13" t="s">
        <v>451</v>
      </c>
    </row>
    <row r="131" spans="1:7">
      <c r="A131" s="13">
        <v>130</v>
      </c>
      <c r="B131" s="1" t="s">
        <v>243</v>
      </c>
      <c r="C131" s="2">
        <v>422</v>
      </c>
      <c r="D131" s="2">
        <v>3</v>
      </c>
      <c r="E131" s="13" t="s">
        <v>448</v>
      </c>
      <c r="F131" s="13" t="s">
        <v>456</v>
      </c>
      <c r="G131" s="13" t="s">
        <v>451</v>
      </c>
    </row>
    <row r="132" spans="1:7">
      <c r="A132" s="13">
        <v>131</v>
      </c>
      <c r="B132" s="1" t="s">
        <v>143</v>
      </c>
      <c r="C132" s="2">
        <v>885</v>
      </c>
      <c r="D132" s="2">
        <v>2</v>
      </c>
      <c r="E132" s="13" t="s">
        <v>448</v>
      </c>
      <c r="F132" s="13" t="s">
        <v>456</v>
      </c>
      <c r="G132" s="13" t="s">
        <v>452</v>
      </c>
    </row>
    <row r="133" spans="1:7">
      <c r="A133" s="13">
        <v>132</v>
      </c>
      <c r="B133" s="1" t="s">
        <v>144</v>
      </c>
      <c r="C133" s="2">
        <v>933</v>
      </c>
      <c r="D133" s="2">
        <v>3</v>
      </c>
      <c r="E133" s="13" t="s">
        <v>448</v>
      </c>
      <c r="F133" s="13" t="s">
        <v>456</v>
      </c>
      <c r="G133" s="13" t="s">
        <v>452</v>
      </c>
    </row>
    <row r="134" spans="1:7">
      <c r="A134" s="13">
        <v>133</v>
      </c>
      <c r="B134" s="1" t="s">
        <v>146</v>
      </c>
      <c r="C134" s="2">
        <v>930</v>
      </c>
      <c r="D134" s="2">
        <v>3</v>
      </c>
      <c r="E134" s="13" t="s">
        <v>448</v>
      </c>
      <c r="F134" s="13" t="s">
        <v>456</v>
      </c>
      <c r="G134" s="13" t="s">
        <v>452</v>
      </c>
    </row>
    <row r="135" spans="1:7">
      <c r="A135" s="13">
        <v>134</v>
      </c>
      <c r="B135" s="1" t="s">
        <v>265</v>
      </c>
      <c r="C135" s="2">
        <v>455</v>
      </c>
      <c r="D135" s="2">
        <v>3</v>
      </c>
      <c r="E135" s="13" t="s">
        <v>448</v>
      </c>
      <c r="F135" s="13" t="s">
        <v>456</v>
      </c>
      <c r="G135" s="13" t="s">
        <v>451</v>
      </c>
    </row>
    <row r="136" spans="1:7">
      <c r="A136" s="13">
        <v>135</v>
      </c>
      <c r="B136" s="1" t="s">
        <v>268</v>
      </c>
      <c r="C136" s="2">
        <v>906</v>
      </c>
      <c r="D136" s="2">
        <v>3</v>
      </c>
      <c r="E136" s="13" t="s">
        <v>448</v>
      </c>
      <c r="F136" s="13" t="s">
        <v>456</v>
      </c>
      <c r="G136" s="13" t="s">
        <v>451</v>
      </c>
    </row>
    <row r="137" spans="1:7">
      <c r="A137" s="13">
        <v>136</v>
      </c>
      <c r="B137" s="1" t="s">
        <v>147</v>
      </c>
      <c r="C137" s="2">
        <v>919</v>
      </c>
      <c r="D137" s="2">
        <v>3</v>
      </c>
      <c r="E137" s="13" t="s">
        <v>448</v>
      </c>
      <c r="F137" s="13" t="s">
        <v>456</v>
      </c>
      <c r="G137" s="13" t="s">
        <v>452</v>
      </c>
    </row>
    <row r="138" spans="1:7">
      <c r="A138" s="13">
        <v>137</v>
      </c>
      <c r="B138" s="1" t="s">
        <v>149</v>
      </c>
      <c r="C138" s="2">
        <v>878</v>
      </c>
      <c r="D138" s="2">
        <v>8</v>
      </c>
      <c r="E138" s="13" t="s">
        <v>448</v>
      </c>
      <c r="F138" s="13" t="s">
        <v>456</v>
      </c>
      <c r="G138" s="13" t="s">
        <v>452</v>
      </c>
    </row>
    <row r="139" spans="1:7" hidden="1">
      <c r="A139" s="13">
        <v>138</v>
      </c>
      <c r="B139" s="1" t="s">
        <v>309</v>
      </c>
      <c r="C139" s="2">
        <v>907</v>
      </c>
      <c r="D139" s="2">
        <v>3</v>
      </c>
      <c r="E139" s="13" t="s">
        <v>449</v>
      </c>
      <c r="F139" s="13" t="s">
        <v>455</v>
      </c>
      <c r="G139" s="21" t="s">
        <v>452</v>
      </c>
    </row>
    <row r="140" spans="1:7" hidden="1">
      <c r="A140" s="13">
        <v>139</v>
      </c>
      <c r="B140" s="6" t="s">
        <v>310</v>
      </c>
      <c r="C140" s="2">
        <v>338</v>
      </c>
      <c r="D140" s="2">
        <v>3</v>
      </c>
      <c r="E140" s="13" t="s">
        <v>449</v>
      </c>
      <c r="F140" s="13" t="s">
        <v>455</v>
      </c>
      <c r="G140" s="21" t="s">
        <v>452</v>
      </c>
    </row>
    <row r="141" spans="1:7">
      <c r="A141" s="13">
        <v>140</v>
      </c>
      <c r="B141" s="1" t="s">
        <v>315</v>
      </c>
      <c r="C141" s="2">
        <v>682</v>
      </c>
      <c r="D141" s="2">
        <v>3</v>
      </c>
      <c r="E141" s="13" t="s">
        <v>448</v>
      </c>
      <c r="F141" s="13" t="s">
        <v>456</v>
      </c>
      <c r="G141" s="13" t="s">
        <v>451</v>
      </c>
    </row>
    <row r="142" spans="1:7">
      <c r="A142" s="13">
        <v>141</v>
      </c>
      <c r="B142" s="1" t="s">
        <v>323</v>
      </c>
      <c r="C142" s="2">
        <v>291</v>
      </c>
      <c r="D142" s="2">
        <v>3</v>
      </c>
      <c r="E142" s="13" t="s">
        <v>448</v>
      </c>
      <c r="F142" s="13" t="s">
        <v>456</v>
      </c>
      <c r="G142" s="13" t="s">
        <v>451</v>
      </c>
    </row>
    <row r="143" spans="1:7">
      <c r="A143" s="13">
        <v>142</v>
      </c>
      <c r="B143" s="1" t="s">
        <v>327</v>
      </c>
      <c r="C143" s="2">
        <v>111</v>
      </c>
      <c r="D143" s="2">
        <v>3</v>
      </c>
      <c r="E143" s="13" t="s">
        <v>448</v>
      </c>
      <c r="F143" s="13" t="s">
        <v>456</v>
      </c>
      <c r="G143" s="13" t="s">
        <v>451</v>
      </c>
    </row>
    <row r="144" spans="1:7">
      <c r="A144" s="13">
        <v>143</v>
      </c>
      <c r="B144" s="1" t="s">
        <v>168</v>
      </c>
      <c r="C144" s="2">
        <v>372</v>
      </c>
      <c r="D144" s="2">
        <v>5</v>
      </c>
      <c r="E144" s="13" t="s">
        <v>448</v>
      </c>
      <c r="F144" s="13" t="s">
        <v>456</v>
      </c>
      <c r="G144" s="13" t="s">
        <v>452</v>
      </c>
    </row>
    <row r="145" spans="1:7">
      <c r="A145" s="13">
        <v>144</v>
      </c>
      <c r="B145" s="1" t="s">
        <v>181</v>
      </c>
      <c r="C145" s="2">
        <v>834</v>
      </c>
      <c r="D145" s="2">
        <v>7</v>
      </c>
      <c r="E145" s="13" t="s">
        <v>448</v>
      </c>
      <c r="F145" s="13" t="s">
        <v>456</v>
      </c>
      <c r="G145" s="13" t="s">
        <v>452</v>
      </c>
    </row>
    <row r="146" spans="1:7">
      <c r="A146" s="13">
        <v>145</v>
      </c>
      <c r="B146" s="1" t="s">
        <v>188</v>
      </c>
      <c r="C146" s="2">
        <v>961</v>
      </c>
      <c r="D146" s="2">
        <v>2</v>
      </c>
      <c r="E146" s="13" t="s">
        <v>448</v>
      </c>
      <c r="F146" s="13" t="s">
        <v>456</v>
      </c>
      <c r="G146" s="13" t="s">
        <v>452</v>
      </c>
    </row>
    <row r="147" spans="1:7" hidden="1">
      <c r="A147" s="13">
        <v>146</v>
      </c>
      <c r="B147" s="1" t="s">
        <v>336</v>
      </c>
      <c r="C147" s="2">
        <v>679</v>
      </c>
      <c r="D147" s="2">
        <v>3</v>
      </c>
      <c r="E147" s="13" t="s">
        <v>449</v>
      </c>
      <c r="F147" s="13" t="s">
        <v>455</v>
      </c>
      <c r="G147" s="13" t="s">
        <v>451</v>
      </c>
    </row>
    <row r="148" spans="1:7">
      <c r="A148" s="13">
        <v>147</v>
      </c>
      <c r="B148" s="1" t="s">
        <v>337</v>
      </c>
      <c r="C148" s="2">
        <v>205</v>
      </c>
      <c r="D148" s="2">
        <v>3</v>
      </c>
      <c r="E148" s="13" t="s">
        <v>448</v>
      </c>
      <c r="F148" s="13" t="s">
        <v>456</v>
      </c>
      <c r="G148" s="13" t="s">
        <v>451</v>
      </c>
    </row>
    <row r="149" spans="1:7">
      <c r="A149" s="13">
        <v>148</v>
      </c>
      <c r="B149" s="1" t="s">
        <v>340</v>
      </c>
      <c r="C149" s="2">
        <v>707</v>
      </c>
      <c r="D149" s="2">
        <v>3</v>
      </c>
      <c r="E149" s="13" t="s">
        <v>448</v>
      </c>
      <c r="F149" s="13" t="s">
        <v>456</v>
      </c>
      <c r="G149" s="13" t="s">
        <v>451</v>
      </c>
    </row>
    <row r="150" spans="1:7">
      <c r="A150" s="13">
        <v>149</v>
      </c>
      <c r="B150" s="1" t="s">
        <v>349</v>
      </c>
      <c r="C150" s="2">
        <v>277</v>
      </c>
      <c r="D150" s="2">
        <v>3</v>
      </c>
      <c r="E150" s="13" t="s">
        <v>448</v>
      </c>
      <c r="F150" s="13" t="s">
        <v>456</v>
      </c>
      <c r="G150" s="13" t="s">
        <v>451</v>
      </c>
    </row>
    <row r="151" spans="1:7">
      <c r="A151" s="13">
        <v>150</v>
      </c>
      <c r="B151" s="1" t="s">
        <v>350</v>
      </c>
      <c r="C151" s="2">
        <v>279</v>
      </c>
      <c r="D151" s="2">
        <v>3</v>
      </c>
      <c r="E151" s="13" t="s">
        <v>448</v>
      </c>
      <c r="F151" s="13" t="s">
        <v>456</v>
      </c>
      <c r="G151" s="13" t="s">
        <v>451</v>
      </c>
    </row>
    <row r="152" spans="1:7">
      <c r="A152" s="13">
        <v>151</v>
      </c>
      <c r="B152" s="1" t="s">
        <v>364</v>
      </c>
      <c r="C152" s="2">
        <v>165</v>
      </c>
      <c r="D152" s="2">
        <v>3</v>
      </c>
      <c r="E152" s="13" t="s">
        <v>448</v>
      </c>
      <c r="F152" s="13" t="s">
        <v>456</v>
      </c>
      <c r="G152" s="13" t="s">
        <v>451</v>
      </c>
    </row>
    <row r="153" spans="1:7" hidden="1">
      <c r="A153" s="13">
        <v>152</v>
      </c>
      <c r="B153" s="1" t="s">
        <v>367</v>
      </c>
      <c r="C153" s="2">
        <v>941</v>
      </c>
      <c r="D153" s="2">
        <v>3</v>
      </c>
      <c r="E153" s="13" t="s">
        <v>449</v>
      </c>
      <c r="F153" s="13" t="s">
        <v>455</v>
      </c>
      <c r="G153" s="21" t="s">
        <v>452</v>
      </c>
    </row>
    <row r="154" spans="1:7">
      <c r="A154" s="13">
        <v>153</v>
      </c>
      <c r="B154" s="1" t="s">
        <v>193</v>
      </c>
      <c r="C154" s="2">
        <v>926</v>
      </c>
      <c r="D154" s="2">
        <v>2</v>
      </c>
      <c r="E154" s="13" t="s">
        <v>448</v>
      </c>
      <c r="F154" s="13" t="s">
        <v>456</v>
      </c>
      <c r="G154" s="13" t="s">
        <v>452</v>
      </c>
    </row>
    <row r="155" spans="1:7" hidden="1">
      <c r="A155" s="13">
        <v>154</v>
      </c>
      <c r="B155" s="1" t="s">
        <v>378</v>
      </c>
      <c r="C155" s="2">
        <v>940</v>
      </c>
      <c r="D155" s="2">
        <v>3</v>
      </c>
      <c r="E155" s="13" t="s">
        <v>449</v>
      </c>
      <c r="F155" s="13" t="s">
        <v>455</v>
      </c>
      <c r="G155" s="21" t="s">
        <v>452</v>
      </c>
    </row>
    <row r="156" spans="1:7" hidden="1">
      <c r="A156" s="13">
        <v>155</v>
      </c>
      <c r="B156" s="1" t="s">
        <v>379</v>
      </c>
      <c r="C156" s="2">
        <v>914</v>
      </c>
      <c r="D156" s="2">
        <v>3</v>
      </c>
      <c r="E156" s="13" t="s">
        <v>449</v>
      </c>
      <c r="F156" s="13" t="s">
        <v>455</v>
      </c>
      <c r="G156" s="13" t="s">
        <v>451</v>
      </c>
    </row>
    <row r="157" spans="1:7">
      <c r="A157" s="13">
        <v>156</v>
      </c>
      <c r="B157" s="1" t="s">
        <v>387</v>
      </c>
      <c r="C157" s="2">
        <v>367</v>
      </c>
      <c r="D157" s="2">
        <v>3</v>
      </c>
      <c r="E157" s="13" t="s">
        <v>448</v>
      </c>
      <c r="F157" s="13" t="s">
        <v>456</v>
      </c>
      <c r="G157" s="13" t="s">
        <v>451</v>
      </c>
    </row>
    <row r="158" spans="1:7">
      <c r="A158" s="13">
        <v>157</v>
      </c>
      <c r="B158" s="1" t="s">
        <v>403</v>
      </c>
      <c r="C158" s="2">
        <v>213</v>
      </c>
      <c r="D158" s="2">
        <v>3</v>
      </c>
      <c r="E158" s="13" t="s">
        <v>448</v>
      </c>
      <c r="F158" s="13" t="s">
        <v>456</v>
      </c>
      <c r="G158" s="13" t="s">
        <v>451</v>
      </c>
    </row>
    <row r="159" spans="1:7" hidden="1">
      <c r="A159" s="13">
        <v>158</v>
      </c>
      <c r="B159" s="9" t="s">
        <v>464</v>
      </c>
      <c r="C159" s="2">
        <v>524</v>
      </c>
      <c r="D159" s="5">
        <v>3</v>
      </c>
      <c r="E159" s="13" t="s">
        <v>449</v>
      </c>
      <c r="F159" s="13" t="s">
        <v>455</v>
      </c>
      <c r="G159" s="13" t="s">
        <v>451</v>
      </c>
    </row>
    <row r="160" spans="1:7" hidden="1">
      <c r="A160" s="13">
        <v>159</v>
      </c>
      <c r="B160" s="9" t="s">
        <v>465</v>
      </c>
      <c r="C160" s="2">
        <v>890</v>
      </c>
      <c r="D160" s="5">
        <v>3</v>
      </c>
      <c r="E160" s="13" t="s">
        <v>449</v>
      </c>
      <c r="F160" s="13" t="s">
        <v>455</v>
      </c>
      <c r="G160" s="13" t="s">
        <v>451</v>
      </c>
    </row>
    <row r="161" spans="1:7">
      <c r="A161" s="13">
        <v>160</v>
      </c>
      <c r="B161" s="1" t="s">
        <v>17</v>
      </c>
      <c r="C161" s="2">
        <v>534</v>
      </c>
      <c r="D161" s="2">
        <v>4</v>
      </c>
      <c r="E161" s="13" t="s">
        <v>448</v>
      </c>
      <c r="F161" s="13" t="s">
        <v>456</v>
      </c>
      <c r="G161" s="13" t="s">
        <v>451</v>
      </c>
    </row>
    <row r="162" spans="1:7">
      <c r="A162" s="13">
        <v>161</v>
      </c>
      <c r="B162" s="1" t="s">
        <v>199</v>
      </c>
      <c r="C162" s="2">
        <v>887</v>
      </c>
      <c r="D162" s="2">
        <v>6</v>
      </c>
      <c r="E162" s="13" t="s">
        <v>448</v>
      </c>
      <c r="F162" s="13" t="s">
        <v>456</v>
      </c>
      <c r="G162" s="13" t="s">
        <v>452</v>
      </c>
    </row>
    <row r="163" spans="1:7" hidden="1">
      <c r="A163" s="13">
        <v>162</v>
      </c>
      <c r="B163" s="1" t="s">
        <v>28</v>
      </c>
      <c r="C163" s="2">
        <v>815</v>
      </c>
      <c r="D163" s="2">
        <v>4</v>
      </c>
      <c r="E163" s="13" t="s">
        <v>449</v>
      </c>
      <c r="F163" s="13" t="s">
        <v>455</v>
      </c>
      <c r="G163" s="13" t="s">
        <v>451</v>
      </c>
    </row>
    <row r="164" spans="1:7">
      <c r="A164" s="13">
        <v>163</v>
      </c>
      <c r="B164" s="1" t="s">
        <v>33</v>
      </c>
      <c r="C164" s="2">
        <v>843</v>
      </c>
      <c r="D164" s="2">
        <v>4</v>
      </c>
      <c r="E164" s="13" t="s">
        <v>448</v>
      </c>
      <c r="F164" s="13" t="s">
        <v>456</v>
      </c>
      <c r="G164" s="13" t="s">
        <v>451</v>
      </c>
    </row>
    <row r="165" spans="1:7" hidden="1">
      <c r="A165" s="13">
        <v>164</v>
      </c>
      <c r="B165" s="1" t="s">
        <v>40</v>
      </c>
      <c r="C165" s="2">
        <v>486</v>
      </c>
      <c r="D165" s="2">
        <v>4</v>
      </c>
      <c r="E165" s="13" t="s">
        <v>449</v>
      </c>
      <c r="F165" s="13" t="s">
        <v>455</v>
      </c>
      <c r="G165" s="13" t="s">
        <v>451</v>
      </c>
    </row>
    <row r="166" spans="1:7">
      <c r="A166" s="13">
        <v>165</v>
      </c>
      <c r="B166" s="1" t="s">
        <v>201</v>
      </c>
      <c r="C166" s="2">
        <v>897</v>
      </c>
      <c r="D166" s="2">
        <v>3</v>
      </c>
      <c r="E166" s="13" t="s">
        <v>448</v>
      </c>
      <c r="F166" s="13" t="s">
        <v>456</v>
      </c>
      <c r="G166" s="13" t="s">
        <v>452</v>
      </c>
    </row>
    <row r="167" spans="1:7">
      <c r="A167" s="13">
        <v>166</v>
      </c>
      <c r="B167" s="1" t="s">
        <v>46</v>
      </c>
      <c r="C167" s="2">
        <v>653</v>
      </c>
      <c r="D167" s="2">
        <v>4</v>
      </c>
      <c r="E167" s="13" t="s">
        <v>448</v>
      </c>
      <c r="F167" s="13" t="s">
        <v>456</v>
      </c>
      <c r="G167" s="13" t="s">
        <v>451</v>
      </c>
    </row>
    <row r="168" spans="1:7" hidden="1">
      <c r="A168" s="13">
        <v>167</v>
      </c>
      <c r="B168" s="6" t="s">
        <v>48</v>
      </c>
      <c r="C168" s="2">
        <v>383</v>
      </c>
      <c r="D168" s="2">
        <v>4</v>
      </c>
      <c r="E168" s="13" t="s">
        <v>449</v>
      </c>
      <c r="F168" s="13" t="s">
        <v>456</v>
      </c>
      <c r="G168" s="21" t="s">
        <v>452</v>
      </c>
    </row>
    <row r="169" spans="1:7">
      <c r="A169" s="13">
        <v>168</v>
      </c>
      <c r="B169" s="1" t="s">
        <v>202</v>
      </c>
      <c r="C169" s="2">
        <v>932</v>
      </c>
      <c r="D169" s="2">
        <v>2</v>
      </c>
      <c r="E169" s="13" t="s">
        <v>448</v>
      </c>
      <c r="F169" s="13" t="s">
        <v>456</v>
      </c>
      <c r="G169" s="13" t="s">
        <v>452</v>
      </c>
    </row>
    <row r="170" spans="1:7">
      <c r="A170" s="13">
        <v>169</v>
      </c>
      <c r="B170" s="1" t="s">
        <v>203</v>
      </c>
      <c r="C170" s="2">
        <v>881</v>
      </c>
      <c r="D170" s="2">
        <v>6</v>
      </c>
      <c r="E170" s="13" t="s">
        <v>448</v>
      </c>
      <c r="F170" s="13" t="s">
        <v>456</v>
      </c>
      <c r="G170" s="13" t="s">
        <v>452</v>
      </c>
    </row>
    <row r="171" spans="1:7">
      <c r="A171" s="13">
        <v>170</v>
      </c>
      <c r="B171" s="1" t="s">
        <v>60</v>
      </c>
      <c r="C171" s="2">
        <v>584</v>
      </c>
      <c r="D171" s="2">
        <v>4</v>
      </c>
      <c r="E171" s="13" t="s">
        <v>448</v>
      </c>
      <c r="F171" s="13" t="s">
        <v>456</v>
      </c>
      <c r="G171" s="13" t="s">
        <v>451</v>
      </c>
    </row>
    <row r="172" spans="1:7">
      <c r="A172" s="13">
        <v>171</v>
      </c>
      <c r="B172" s="1" t="s">
        <v>207</v>
      </c>
      <c r="C172" s="2">
        <v>529</v>
      </c>
      <c r="D172" s="2">
        <v>9</v>
      </c>
      <c r="E172" s="13" t="s">
        <v>448</v>
      </c>
      <c r="F172" s="13" t="s">
        <v>456</v>
      </c>
      <c r="G172" s="13" t="s">
        <v>452</v>
      </c>
    </row>
    <row r="173" spans="1:7" hidden="1">
      <c r="A173" s="13">
        <v>172</v>
      </c>
      <c r="B173" s="1" t="s">
        <v>82</v>
      </c>
      <c r="C173" s="2">
        <v>669</v>
      </c>
      <c r="D173" s="2">
        <v>4</v>
      </c>
      <c r="E173" s="13" t="s">
        <v>449</v>
      </c>
      <c r="F173" s="13" t="s">
        <v>455</v>
      </c>
      <c r="G173" s="13" t="s">
        <v>451</v>
      </c>
    </row>
    <row r="174" spans="1:7">
      <c r="A174" s="13">
        <v>173</v>
      </c>
      <c r="B174" s="1" t="s">
        <v>235</v>
      </c>
      <c r="C174" s="2">
        <v>734</v>
      </c>
      <c r="D174" s="2">
        <v>4</v>
      </c>
      <c r="E174" s="13" t="s">
        <v>448</v>
      </c>
      <c r="F174" s="13" t="s">
        <v>456</v>
      </c>
      <c r="G174" s="13" t="s">
        <v>452</v>
      </c>
    </row>
    <row r="175" spans="1:7" hidden="1">
      <c r="A175" s="13">
        <v>174</v>
      </c>
      <c r="B175" s="1" t="s">
        <v>107</v>
      </c>
      <c r="C175" s="2">
        <v>798</v>
      </c>
      <c r="D175" s="2">
        <v>4</v>
      </c>
      <c r="E175" s="13" t="s">
        <v>449</v>
      </c>
      <c r="F175" s="13" t="s">
        <v>455</v>
      </c>
      <c r="G175" s="21" t="s">
        <v>452</v>
      </c>
    </row>
    <row r="176" spans="1:7" hidden="1">
      <c r="A176" s="13">
        <v>175</v>
      </c>
      <c r="B176" s="1" t="s">
        <v>116</v>
      </c>
      <c r="C176" s="2">
        <v>490</v>
      </c>
      <c r="D176" s="2">
        <v>4</v>
      </c>
      <c r="E176" s="13" t="s">
        <v>449</v>
      </c>
      <c r="F176" s="13" t="s">
        <v>455</v>
      </c>
      <c r="G176" s="13" t="s">
        <v>451</v>
      </c>
    </row>
    <row r="177" spans="1:7">
      <c r="A177" s="13">
        <v>176</v>
      </c>
      <c r="B177" s="1" t="s">
        <v>135</v>
      </c>
      <c r="C177" s="2">
        <v>832</v>
      </c>
      <c r="D177" s="2">
        <v>4</v>
      </c>
      <c r="E177" s="13" t="s">
        <v>448</v>
      </c>
      <c r="F177" s="13" t="s">
        <v>456</v>
      </c>
      <c r="G177" s="13" t="s">
        <v>451</v>
      </c>
    </row>
    <row r="178" spans="1:7">
      <c r="A178" s="13">
        <v>177</v>
      </c>
      <c r="B178" s="1" t="s">
        <v>140</v>
      </c>
      <c r="C178" s="2">
        <v>171</v>
      </c>
      <c r="D178" s="2">
        <v>4</v>
      </c>
      <c r="E178" s="13" t="s">
        <v>448</v>
      </c>
      <c r="F178" s="13" t="s">
        <v>456</v>
      </c>
      <c r="G178" s="13" t="s">
        <v>451</v>
      </c>
    </row>
    <row r="179" spans="1:7" hidden="1">
      <c r="A179" s="13">
        <v>178</v>
      </c>
      <c r="B179" s="7" t="s">
        <v>165</v>
      </c>
      <c r="C179" s="5">
        <v>479</v>
      </c>
      <c r="D179" s="2">
        <v>4</v>
      </c>
      <c r="E179" s="13" t="s">
        <v>449</v>
      </c>
      <c r="F179" s="13" t="s">
        <v>455</v>
      </c>
      <c r="G179" s="13" t="s">
        <v>451</v>
      </c>
    </row>
    <row r="180" spans="1:7" hidden="1">
      <c r="A180" s="13">
        <v>179</v>
      </c>
      <c r="B180" s="1" t="s">
        <v>171</v>
      </c>
      <c r="C180" s="2">
        <v>778</v>
      </c>
      <c r="D180" s="2">
        <v>4</v>
      </c>
      <c r="E180" s="13" t="s">
        <v>449</v>
      </c>
      <c r="F180" s="13" t="s">
        <v>456</v>
      </c>
      <c r="G180" s="21" t="s">
        <v>452</v>
      </c>
    </row>
    <row r="181" spans="1:7" hidden="1">
      <c r="A181" s="13">
        <v>180</v>
      </c>
      <c r="B181" s="1" t="s">
        <v>175</v>
      </c>
      <c r="C181" s="2">
        <v>838</v>
      </c>
      <c r="D181" s="2">
        <v>4</v>
      </c>
      <c r="E181" s="13" t="s">
        <v>449</v>
      </c>
      <c r="F181" s="13" t="s">
        <v>455</v>
      </c>
      <c r="G181" s="13" t="s">
        <v>451</v>
      </c>
    </row>
    <row r="182" spans="1:7" hidden="1">
      <c r="A182" s="13">
        <v>181</v>
      </c>
      <c r="B182" s="1" t="s">
        <v>208</v>
      </c>
      <c r="C182" s="2">
        <v>768</v>
      </c>
      <c r="D182" s="2">
        <v>4</v>
      </c>
      <c r="E182" s="13" t="s">
        <v>449</v>
      </c>
      <c r="F182" s="13" t="s">
        <v>455</v>
      </c>
      <c r="G182" s="13" t="s">
        <v>451</v>
      </c>
    </row>
    <row r="183" spans="1:7">
      <c r="A183" s="13">
        <v>182</v>
      </c>
      <c r="B183" s="1" t="s">
        <v>211</v>
      </c>
      <c r="C183" s="2">
        <v>488</v>
      </c>
      <c r="D183" s="2">
        <v>4</v>
      </c>
      <c r="E183" s="13" t="s">
        <v>448</v>
      </c>
      <c r="F183" s="13" t="s">
        <v>456</v>
      </c>
      <c r="G183" s="13" t="s">
        <v>451</v>
      </c>
    </row>
    <row r="184" spans="1:7" hidden="1">
      <c r="A184" s="13">
        <v>183</v>
      </c>
      <c r="B184" s="1" t="s">
        <v>212</v>
      </c>
      <c r="C184" s="2">
        <v>853</v>
      </c>
      <c r="D184" s="2">
        <v>4</v>
      </c>
      <c r="E184" s="13" t="s">
        <v>449</v>
      </c>
      <c r="F184" s="13" t="s">
        <v>455</v>
      </c>
      <c r="G184" s="13" t="s">
        <v>451</v>
      </c>
    </row>
    <row r="185" spans="1:7" hidden="1">
      <c r="A185" s="13">
        <v>184</v>
      </c>
      <c r="B185" s="1" t="s">
        <v>222</v>
      </c>
      <c r="C185" s="2">
        <v>536</v>
      </c>
      <c r="D185" s="2">
        <v>4</v>
      </c>
      <c r="E185" s="13" t="s">
        <v>449</v>
      </c>
      <c r="F185" s="13" t="s">
        <v>455</v>
      </c>
      <c r="G185" s="13" t="s">
        <v>451</v>
      </c>
    </row>
    <row r="186" spans="1:7">
      <c r="A186" s="13">
        <v>185</v>
      </c>
      <c r="B186" s="1" t="s">
        <v>226</v>
      </c>
      <c r="C186" s="2">
        <v>249</v>
      </c>
      <c r="D186" s="2">
        <v>4</v>
      </c>
      <c r="E186" s="13" t="s">
        <v>448</v>
      </c>
      <c r="F186" s="13" t="s">
        <v>456</v>
      </c>
      <c r="G186" s="13" t="s">
        <v>451</v>
      </c>
    </row>
    <row r="187" spans="1:7" hidden="1">
      <c r="A187" s="13">
        <v>186</v>
      </c>
      <c r="B187" s="1" t="s">
        <v>227</v>
      </c>
      <c r="C187" s="2">
        <v>261</v>
      </c>
      <c r="D187" s="2">
        <v>4</v>
      </c>
      <c r="E187" s="13" t="s">
        <v>449</v>
      </c>
      <c r="F187" s="13" t="s">
        <v>455</v>
      </c>
      <c r="G187" s="13" t="s">
        <v>451</v>
      </c>
    </row>
    <row r="188" spans="1:7" hidden="1">
      <c r="A188" s="13">
        <v>187</v>
      </c>
      <c r="B188" s="1" t="s">
        <v>232</v>
      </c>
      <c r="C188" s="2">
        <v>482</v>
      </c>
      <c r="D188" s="2">
        <v>4</v>
      </c>
      <c r="E188" s="13" t="s">
        <v>449</v>
      </c>
      <c r="F188" s="13" t="s">
        <v>455</v>
      </c>
      <c r="G188" s="13" t="s">
        <v>451</v>
      </c>
    </row>
    <row r="189" spans="1:7">
      <c r="A189" s="13">
        <v>188</v>
      </c>
      <c r="B189" s="1" t="s">
        <v>248</v>
      </c>
      <c r="C189" s="2">
        <v>410</v>
      </c>
      <c r="D189" s="2">
        <v>3</v>
      </c>
      <c r="E189" s="13" t="s">
        <v>448</v>
      </c>
      <c r="F189" s="13" t="s">
        <v>456</v>
      </c>
      <c r="G189" s="13" t="s">
        <v>452</v>
      </c>
    </row>
    <row r="190" spans="1:7" hidden="1">
      <c r="A190" s="13">
        <v>189</v>
      </c>
      <c r="B190" s="1" t="s">
        <v>239</v>
      </c>
      <c r="C190" s="2">
        <v>966</v>
      </c>
      <c r="D190" s="2">
        <v>4</v>
      </c>
      <c r="E190" s="13" t="s">
        <v>449</v>
      </c>
      <c r="F190" s="13" t="s">
        <v>455</v>
      </c>
      <c r="G190" s="13" t="s">
        <v>451</v>
      </c>
    </row>
    <row r="191" spans="1:7" hidden="1">
      <c r="A191" s="13">
        <v>190</v>
      </c>
      <c r="B191" s="1" t="s">
        <v>242</v>
      </c>
      <c r="C191" s="2">
        <v>434</v>
      </c>
      <c r="D191" s="2">
        <v>4</v>
      </c>
      <c r="E191" s="13" t="s">
        <v>449</v>
      </c>
      <c r="F191" s="13" t="s">
        <v>455</v>
      </c>
      <c r="G191" s="13" t="s">
        <v>451</v>
      </c>
    </row>
    <row r="192" spans="1:7" hidden="1">
      <c r="A192" s="13">
        <v>191</v>
      </c>
      <c r="B192" s="1" t="s">
        <v>253</v>
      </c>
      <c r="C192" s="2">
        <v>642</v>
      </c>
      <c r="D192" s="2">
        <v>4</v>
      </c>
      <c r="E192" s="13" t="s">
        <v>449</v>
      </c>
      <c r="F192" s="13" t="s">
        <v>455</v>
      </c>
      <c r="G192" s="13" t="s">
        <v>451</v>
      </c>
    </row>
    <row r="193" spans="1:7" hidden="1">
      <c r="A193" s="13">
        <v>192</v>
      </c>
      <c r="B193" s="1" t="s">
        <v>264</v>
      </c>
      <c r="C193" s="2">
        <v>398</v>
      </c>
      <c r="D193" s="2">
        <v>4</v>
      </c>
      <c r="E193" s="13" t="s">
        <v>449</v>
      </c>
      <c r="F193" s="13" t="s">
        <v>455</v>
      </c>
      <c r="G193" s="13" t="s">
        <v>451</v>
      </c>
    </row>
    <row r="194" spans="1:7" hidden="1">
      <c r="A194" s="13">
        <v>193</v>
      </c>
      <c r="B194" s="7" t="s">
        <v>271</v>
      </c>
      <c r="C194" s="2">
        <v>685</v>
      </c>
      <c r="D194" s="2">
        <v>4</v>
      </c>
      <c r="E194" s="13" t="s">
        <v>449</v>
      </c>
      <c r="F194" s="13" t="s">
        <v>455</v>
      </c>
      <c r="G194" s="13" t="s">
        <v>451</v>
      </c>
    </row>
    <row r="195" spans="1:7" hidden="1">
      <c r="A195" s="13">
        <v>194</v>
      </c>
      <c r="B195" s="7" t="s">
        <v>273</v>
      </c>
      <c r="C195" s="2">
        <v>854</v>
      </c>
      <c r="D195" s="2">
        <v>4</v>
      </c>
      <c r="E195" s="13" t="s">
        <v>449</v>
      </c>
      <c r="F195" s="13" t="s">
        <v>455</v>
      </c>
      <c r="G195" s="13" t="s">
        <v>451</v>
      </c>
    </row>
    <row r="196" spans="1:7">
      <c r="A196" s="13">
        <v>195</v>
      </c>
      <c r="B196" s="1" t="s">
        <v>276</v>
      </c>
      <c r="C196" s="2">
        <v>451</v>
      </c>
      <c r="D196" s="2">
        <v>4</v>
      </c>
      <c r="E196" s="13" t="s">
        <v>448</v>
      </c>
      <c r="F196" s="13" t="s">
        <v>456</v>
      </c>
      <c r="G196" s="13" t="s">
        <v>451</v>
      </c>
    </row>
    <row r="197" spans="1:7">
      <c r="A197" s="13">
        <v>196</v>
      </c>
      <c r="B197" s="1" t="s">
        <v>249</v>
      </c>
      <c r="C197" s="2">
        <v>317</v>
      </c>
      <c r="D197" s="2">
        <v>5</v>
      </c>
      <c r="E197" s="13" t="s">
        <v>448</v>
      </c>
      <c r="F197" s="13" t="s">
        <v>456</v>
      </c>
      <c r="G197" s="13" t="s">
        <v>452</v>
      </c>
    </row>
    <row r="198" spans="1:7" hidden="1">
      <c r="A198" s="13">
        <v>197</v>
      </c>
      <c r="B198" s="7" t="s">
        <v>290</v>
      </c>
      <c r="C198" s="2">
        <v>753</v>
      </c>
      <c r="D198" s="2">
        <v>4</v>
      </c>
      <c r="E198" s="13" t="s">
        <v>449</v>
      </c>
      <c r="F198" s="13" t="s">
        <v>455</v>
      </c>
      <c r="G198" s="13" t="s">
        <v>451</v>
      </c>
    </row>
    <row r="199" spans="1:7">
      <c r="A199" s="13">
        <v>198</v>
      </c>
      <c r="B199" s="3" t="s">
        <v>292</v>
      </c>
      <c r="C199" s="2">
        <v>991</v>
      </c>
      <c r="D199" s="2">
        <v>4</v>
      </c>
      <c r="E199" s="13" t="s">
        <v>448</v>
      </c>
      <c r="F199" s="13" t="s">
        <v>456</v>
      </c>
      <c r="G199" s="13" t="s">
        <v>451</v>
      </c>
    </row>
    <row r="200" spans="1:7">
      <c r="A200" s="13">
        <v>199</v>
      </c>
      <c r="B200" s="1" t="s">
        <v>250</v>
      </c>
      <c r="C200" s="2">
        <v>382</v>
      </c>
      <c r="D200" s="2">
        <v>3</v>
      </c>
      <c r="E200" s="13" t="s">
        <v>448</v>
      </c>
      <c r="F200" s="13" t="s">
        <v>456</v>
      </c>
      <c r="G200" s="13" t="s">
        <v>452</v>
      </c>
    </row>
    <row r="201" spans="1:7">
      <c r="A201" s="13">
        <v>200</v>
      </c>
      <c r="B201" s="1" t="s">
        <v>297</v>
      </c>
      <c r="C201" s="2">
        <v>632</v>
      </c>
      <c r="D201" s="2">
        <v>4</v>
      </c>
      <c r="E201" s="13" t="s">
        <v>448</v>
      </c>
      <c r="F201" s="13" t="s">
        <v>456</v>
      </c>
      <c r="G201" s="13" t="s">
        <v>451</v>
      </c>
    </row>
    <row r="202" spans="1:7" hidden="1">
      <c r="A202" s="13">
        <v>201</v>
      </c>
      <c r="B202" s="7" t="s">
        <v>302</v>
      </c>
      <c r="C202" s="2">
        <v>709</v>
      </c>
      <c r="D202" s="2">
        <v>4</v>
      </c>
      <c r="E202" s="13" t="s">
        <v>449</v>
      </c>
      <c r="F202" s="13" t="s">
        <v>455</v>
      </c>
      <c r="G202" s="13" t="s">
        <v>451</v>
      </c>
    </row>
    <row r="203" spans="1:7">
      <c r="A203" s="13">
        <v>202</v>
      </c>
      <c r="B203" s="1" t="s">
        <v>306</v>
      </c>
      <c r="C203" s="2">
        <v>677</v>
      </c>
      <c r="D203" s="2">
        <v>4</v>
      </c>
      <c r="E203" s="13" t="s">
        <v>448</v>
      </c>
      <c r="F203" s="13" t="s">
        <v>456</v>
      </c>
      <c r="G203" s="13" t="s">
        <v>451</v>
      </c>
    </row>
    <row r="204" spans="1:7" hidden="1">
      <c r="A204" s="13">
        <v>203</v>
      </c>
      <c r="B204" s="15" t="s">
        <v>318</v>
      </c>
      <c r="C204" s="2">
        <v>792</v>
      </c>
      <c r="D204" s="2">
        <v>4</v>
      </c>
      <c r="E204" s="13" t="s">
        <v>449</v>
      </c>
      <c r="F204" s="13" t="s">
        <v>455</v>
      </c>
      <c r="G204" s="13" t="s">
        <v>451</v>
      </c>
    </row>
    <row r="205" spans="1:7" hidden="1">
      <c r="A205" s="13">
        <v>204</v>
      </c>
      <c r="B205" s="7" t="s">
        <v>320</v>
      </c>
      <c r="C205" s="2">
        <v>869</v>
      </c>
      <c r="D205" s="2">
        <v>4</v>
      </c>
      <c r="E205" s="13" t="s">
        <v>449</v>
      </c>
      <c r="F205" s="13" t="s">
        <v>455</v>
      </c>
      <c r="G205" s="13" t="s">
        <v>451</v>
      </c>
    </row>
    <row r="206" spans="1:7">
      <c r="A206" s="13">
        <v>205</v>
      </c>
      <c r="B206" s="1" t="s">
        <v>343</v>
      </c>
      <c r="C206" s="2">
        <v>259</v>
      </c>
      <c r="D206" s="2">
        <v>4</v>
      </c>
      <c r="E206" s="13" t="s">
        <v>448</v>
      </c>
      <c r="F206" s="13" t="s">
        <v>456</v>
      </c>
      <c r="G206" s="13" t="s">
        <v>451</v>
      </c>
    </row>
    <row r="207" spans="1:7">
      <c r="A207" s="13">
        <v>206</v>
      </c>
      <c r="B207" s="1" t="s">
        <v>347</v>
      </c>
      <c r="C207" s="2">
        <v>520</v>
      </c>
      <c r="D207" s="2">
        <v>4</v>
      </c>
      <c r="E207" s="13" t="s">
        <v>448</v>
      </c>
      <c r="F207" s="13" t="s">
        <v>456</v>
      </c>
      <c r="G207" s="13" t="s">
        <v>451</v>
      </c>
    </row>
    <row r="208" spans="1:7" hidden="1">
      <c r="A208" s="13">
        <v>207</v>
      </c>
      <c r="B208" s="7" t="s">
        <v>375</v>
      </c>
      <c r="C208" s="2">
        <v>863</v>
      </c>
      <c r="D208" s="2">
        <v>4</v>
      </c>
      <c r="E208" s="13" t="s">
        <v>449</v>
      </c>
      <c r="F208" s="13" t="s">
        <v>455</v>
      </c>
      <c r="G208" s="13" t="s">
        <v>451</v>
      </c>
    </row>
    <row r="209" spans="1:7">
      <c r="A209" s="13">
        <v>208</v>
      </c>
      <c r="B209" s="1" t="s">
        <v>376</v>
      </c>
      <c r="C209" s="2">
        <v>828</v>
      </c>
      <c r="D209" s="2">
        <v>4</v>
      </c>
      <c r="E209" s="13" t="s">
        <v>448</v>
      </c>
      <c r="F209" s="13" t="s">
        <v>456</v>
      </c>
      <c r="G209" s="13" t="s">
        <v>451</v>
      </c>
    </row>
    <row r="210" spans="1:7">
      <c r="A210" s="13">
        <v>209</v>
      </c>
      <c r="B210" s="1" t="s">
        <v>381</v>
      </c>
      <c r="C210" s="2">
        <v>594</v>
      </c>
      <c r="D210" s="2">
        <v>4</v>
      </c>
      <c r="E210" s="13" t="s">
        <v>448</v>
      </c>
      <c r="F210" s="13" t="s">
        <v>456</v>
      </c>
      <c r="G210" s="13" t="s">
        <v>451</v>
      </c>
    </row>
    <row r="211" spans="1:7" hidden="1">
      <c r="A211" s="13">
        <v>210</v>
      </c>
      <c r="B211" s="7" t="s">
        <v>390</v>
      </c>
      <c r="C211" s="2">
        <v>469</v>
      </c>
      <c r="D211" s="2">
        <v>4</v>
      </c>
      <c r="E211" s="13" t="s">
        <v>449</v>
      </c>
      <c r="F211" s="13" t="s">
        <v>455</v>
      </c>
      <c r="G211" s="13" t="s">
        <v>451</v>
      </c>
    </row>
    <row r="212" spans="1:7">
      <c r="A212" s="13">
        <v>211</v>
      </c>
      <c r="B212" s="1" t="s">
        <v>397</v>
      </c>
      <c r="C212" s="2">
        <v>962</v>
      </c>
      <c r="D212" s="2">
        <v>4</v>
      </c>
      <c r="E212" s="13" t="s">
        <v>448</v>
      </c>
      <c r="F212" s="13" t="s">
        <v>456</v>
      </c>
      <c r="G212" s="13" t="s">
        <v>451</v>
      </c>
    </row>
    <row r="213" spans="1:7">
      <c r="A213" s="13">
        <v>212</v>
      </c>
      <c r="B213" s="1" t="s">
        <v>401</v>
      </c>
      <c r="C213" s="2">
        <v>977</v>
      </c>
      <c r="D213" s="2">
        <v>4</v>
      </c>
      <c r="E213" s="13" t="s">
        <v>448</v>
      </c>
      <c r="F213" s="13" t="s">
        <v>456</v>
      </c>
      <c r="G213" s="13" t="s">
        <v>451</v>
      </c>
    </row>
    <row r="214" spans="1:7" hidden="1">
      <c r="A214" s="13">
        <v>213</v>
      </c>
      <c r="B214" s="7" t="s">
        <v>406</v>
      </c>
      <c r="C214" s="2">
        <v>770</v>
      </c>
      <c r="D214" s="2">
        <v>4</v>
      </c>
      <c r="E214" s="13" t="s">
        <v>449</v>
      </c>
      <c r="F214" s="13" t="s">
        <v>455</v>
      </c>
      <c r="G214" s="13" t="s">
        <v>451</v>
      </c>
    </row>
    <row r="215" spans="1:7" hidden="1">
      <c r="A215" s="13">
        <v>214</v>
      </c>
      <c r="B215" s="15" t="s">
        <v>412</v>
      </c>
      <c r="C215" s="2">
        <v>386</v>
      </c>
      <c r="D215" s="2">
        <v>4</v>
      </c>
      <c r="E215" s="13" t="s">
        <v>449</v>
      </c>
      <c r="F215" s="13" t="s">
        <v>455</v>
      </c>
      <c r="G215" s="13" t="s">
        <v>451</v>
      </c>
    </row>
    <row r="216" spans="1:7" hidden="1">
      <c r="A216" s="13">
        <v>215</v>
      </c>
      <c r="B216" s="15" t="s">
        <v>444</v>
      </c>
      <c r="C216" s="2">
        <v>328</v>
      </c>
      <c r="D216" s="2">
        <v>4</v>
      </c>
      <c r="E216" s="13" t="s">
        <v>449</v>
      </c>
      <c r="F216" s="13" t="s">
        <v>455</v>
      </c>
      <c r="G216" s="13" t="s">
        <v>451</v>
      </c>
    </row>
    <row r="217" spans="1:7" hidden="1">
      <c r="A217" s="13">
        <v>216</v>
      </c>
      <c r="B217" s="16" t="s">
        <v>466</v>
      </c>
      <c r="C217" s="2">
        <v>773</v>
      </c>
      <c r="D217" s="5">
        <v>4</v>
      </c>
      <c r="E217" s="13" t="s">
        <v>449</v>
      </c>
      <c r="F217" s="13" t="s">
        <v>455</v>
      </c>
      <c r="G217" s="13" t="s">
        <v>451</v>
      </c>
    </row>
    <row r="218" spans="1:7" hidden="1">
      <c r="A218" s="13">
        <v>217</v>
      </c>
      <c r="B218" s="1" t="s">
        <v>3</v>
      </c>
      <c r="C218" s="2">
        <v>212</v>
      </c>
      <c r="D218" s="2">
        <v>5</v>
      </c>
      <c r="E218" s="13" t="s">
        <v>449</v>
      </c>
      <c r="F218" s="13" t="s">
        <v>456</v>
      </c>
      <c r="G218" s="21" t="s">
        <v>452</v>
      </c>
    </row>
    <row r="219" spans="1:7">
      <c r="A219" s="13">
        <v>218</v>
      </c>
      <c r="B219" s="1" t="s">
        <v>12</v>
      </c>
      <c r="C219" s="2">
        <v>313</v>
      </c>
      <c r="D219" s="2">
        <v>5</v>
      </c>
      <c r="E219" s="13" t="s">
        <v>448</v>
      </c>
      <c r="F219" s="13" t="s">
        <v>456</v>
      </c>
      <c r="G219" s="13" t="s">
        <v>451</v>
      </c>
    </row>
    <row r="220" spans="1:7" hidden="1">
      <c r="A220" s="13">
        <v>219</v>
      </c>
      <c r="B220" s="1" t="s">
        <v>27</v>
      </c>
      <c r="C220" s="2">
        <v>836</v>
      </c>
      <c r="D220" s="2">
        <v>5</v>
      </c>
      <c r="E220" s="13" t="s">
        <v>449</v>
      </c>
      <c r="F220" s="13" t="s">
        <v>455</v>
      </c>
      <c r="G220" s="13" t="s">
        <v>451</v>
      </c>
    </row>
    <row r="221" spans="1:7" hidden="1">
      <c r="A221" s="13">
        <v>220</v>
      </c>
      <c r="B221" s="1" t="s">
        <v>49</v>
      </c>
      <c r="C221" s="2">
        <v>980</v>
      </c>
      <c r="D221" s="2">
        <v>5</v>
      </c>
      <c r="E221" s="13" t="s">
        <v>449</v>
      </c>
      <c r="F221" s="13" t="s">
        <v>455</v>
      </c>
      <c r="G221" s="13" t="s">
        <v>451</v>
      </c>
    </row>
    <row r="222" spans="1:7">
      <c r="A222" s="13">
        <v>221</v>
      </c>
      <c r="B222" s="1" t="s">
        <v>63</v>
      </c>
      <c r="C222" s="2">
        <v>371</v>
      </c>
      <c r="D222" s="2">
        <v>5</v>
      </c>
      <c r="E222" s="13" t="s">
        <v>448</v>
      </c>
      <c r="F222" s="13" t="s">
        <v>456</v>
      </c>
      <c r="G222" s="13" t="s">
        <v>451</v>
      </c>
    </row>
    <row r="223" spans="1:7">
      <c r="A223" s="13">
        <v>222</v>
      </c>
      <c r="B223" s="1" t="s">
        <v>255</v>
      </c>
      <c r="C223" s="2">
        <v>641</v>
      </c>
      <c r="D223" s="2">
        <v>3</v>
      </c>
      <c r="E223" s="13" t="s">
        <v>448</v>
      </c>
      <c r="F223" s="13" t="s">
        <v>456</v>
      </c>
      <c r="G223" s="13" t="s">
        <v>452</v>
      </c>
    </row>
    <row r="224" spans="1:7">
      <c r="A224" s="13">
        <v>223</v>
      </c>
      <c r="B224" s="1" t="s">
        <v>160</v>
      </c>
      <c r="C224" s="2">
        <v>537</v>
      </c>
      <c r="D224" s="2">
        <v>5</v>
      </c>
      <c r="E224" s="13" t="s">
        <v>448</v>
      </c>
      <c r="F224" s="13" t="s">
        <v>456</v>
      </c>
      <c r="G224" s="13" t="s">
        <v>451</v>
      </c>
    </row>
    <row r="225" spans="1:7">
      <c r="A225" s="13">
        <v>224</v>
      </c>
      <c r="B225" s="1" t="s">
        <v>257</v>
      </c>
      <c r="C225" s="2">
        <v>727</v>
      </c>
      <c r="D225" s="2">
        <v>6</v>
      </c>
      <c r="E225" s="13" t="s">
        <v>448</v>
      </c>
      <c r="F225" s="13" t="s">
        <v>456</v>
      </c>
      <c r="G225" s="13" t="s">
        <v>452</v>
      </c>
    </row>
    <row r="226" spans="1:7" hidden="1">
      <c r="A226" s="13">
        <v>225</v>
      </c>
      <c r="B226" s="1" t="s">
        <v>174</v>
      </c>
      <c r="C226" s="2">
        <v>720</v>
      </c>
      <c r="D226" s="2">
        <v>5</v>
      </c>
      <c r="E226" s="13" t="s">
        <v>449</v>
      </c>
      <c r="F226" s="13" t="s">
        <v>455</v>
      </c>
      <c r="G226" s="21" t="s">
        <v>452</v>
      </c>
    </row>
    <row r="227" spans="1:7" hidden="1">
      <c r="A227" s="13">
        <v>226</v>
      </c>
      <c r="B227" s="1" t="s">
        <v>176</v>
      </c>
      <c r="C227" s="2">
        <v>811</v>
      </c>
      <c r="D227" s="2">
        <v>5</v>
      </c>
      <c r="E227" s="13" t="s">
        <v>449</v>
      </c>
      <c r="F227" s="13" t="s">
        <v>456</v>
      </c>
      <c r="G227" s="21" t="s">
        <v>452</v>
      </c>
    </row>
    <row r="228" spans="1:7" hidden="1">
      <c r="A228" s="13">
        <v>227</v>
      </c>
      <c r="B228" s="1" t="s">
        <v>185</v>
      </c>
      <c r="C228" s="2">
        <v>964</v>
      </c>
      <c r="D228" s="4">
        <v>5</v>
      </c>
      <c r="E228" s="13" t="s">
        <v>449</v>
      </c>
      <c r="F228" s="13" t="s">
        <v>455</v>
      </c>
      <c r="G228" s="21" t="s">
        <v>452</v>
      </c>
    </row>
    <row r="229" spans="1:7" hidden="1">
      <c r="A229" s="13">
        <v>228</v>
      </c>
      <c r="B229" s="1" t="s">
        <v>204</v>
      </c>
      <c r="C229" s="2">
        <v>816</v>
      </c>
      <c r="D229" s="2">
        <v>5</v>
      </c>
      <c r="E229" s="13" t="s">
        <v>449</v>
      </c>
      <c r="F229" s="13" t="s">
        <v>455</v>
      </c>
      <c r="G229" s="21" t="s">
        <v>452</v>
      </c>
    </row>
    <row r="230" spans="1:7" hidden="1">
      <c r="A230" s="13">
        <v>229</v>
      </c>
      <c r="B230" s="1" t="s">
        <v>210</v>
      </c>
      <c r="C230" s="2">
        <v>851</v>
      </c>
      <c r="D230" s="2">
        <v>5</v>
      </c>
      <c r="E230" s="13" t="s">
        <v>449</v>
      </c>
      <c r="F230" s="13" t="s">
        <v>455</v>
      </c>
      <c r="G230" s="13" t="s">
        <v>451</v>
      </c>
    </row>
    <row r="231" spans="1:7">
      <c r="A231" s="13">
        <v>230</v>
      </c>
      <c r="B231" s="1" t="s">
        <v>213</v>
      </c>
      <c r="C231" s="2">
        <v>201</v>
      </c>
      <c r="D231" s="2">
        <v>5</v>
      </c>
      <c r="E231" s="13" t="s">
        <v>448</v>
      </c>
      <c r="F231" s="13" t="s">
        <v>456</v>
      </c>
      <c r="G231" s="13" t="s">
        <v>451</v>
      </c>
    </row>
    <row r="232" spans="1:7">
      <c r="A232" s="13">
        <v>231</v>
      </c>
      <c r="B232" s="1" t="s">
        <v>279</v>
      </c>
      <c r="C232" s="2">
        <v>638</v>
      </c>
      <c r="D232" s="2">
        <v>4</v>
      </c>
      <c r="E232" s="13" t="s">
        <v>448</v>
      </c>
      <c r="F232" s="13" t="s">
        <v>456</v>
      </c>
      <c r="G232" s="13" t="s">
        <v>452</v>
      </c>
    </row>
    <row r="233" spans="1:7" hidden="1">
      <c r="A233" s="13">
        <v>232</v>
      </c>
      <c r="B233" s="1" t="s">
        <v>262</v>
      </c>
      <c r="C233" s="2">
        <v>323</v>
      </c>
      <c r="D233" s="2">
        <v>5</v>
      </c>
      <c r="E233" s="13" t="s">
        <v>449</v>
      </c>
      <c r="F233" s="13" t="s">
        <v>455</v>
      </c>
      <c r="G233" s="21" t="s">
        <v>452</v>
      </c>
    </row>
    <row r="234" spans="1:7">
      <c r="A234" s="13">
        <v>233</v>
      </c>
      <c r="B234" s="1" t="s">
        <v>263</v>
      </c>
      <c r="C234" s="2">
        <v>374</v>
      </c>
      <c r="D234" s="2">
        <v>5</v>
      </c>
      <c r="E234" s="13" t="s">
        <v>448</v>
      </c>
      <c r="F234" s="13" t="s">
        <v>456</v>
      </c>
      <c r="G234" s="13" t="s">
        <v>451</v>
      </c>
    </row>
    <row r="235" spans="1:7" hidden="1">
      <c r="A235" s="13">
        <v>234</v>
      </c>
      <c r="B235" s="1" t="s">
        <v>280</v>
      </c>
      <c r="C235" s="2">
        <v>610</v>
      </c>
      <c r="D235" s="4">
        <v>5</v>
      </c>
      <c r="E235" s="13" t="s">
        <v>449</v>
      </c>
      <c r="F235" s="13" t="s">
        <v>455</v>
      </c>
      <c r="G235" s="13" t="s">
        <v>451</v>
      </c>
    </row>
    <row r="236" spans="1:7">
      <c r="A236" s="13">
        <v>235</v>
      </c>
      <c r="B236" s="1" t="s">
        <v>286</v>
      </c>
      <c r="C236" s="2">
        <v>555</v>
      </c>
      <c r="D236" s="2">
        <v>5</v>
      </c>
      <c r="E236" s="13" t="s">
        <v>448</v>
      </c>
      <c r="F236" s="13" t="s">
        <v>456</v>
      </c>
      <c r="G236" s="13" t="s">
        <v>451</v>
      </c>
    </row>
    <row r="237" spans="1:7" hidden="1">
      <c r="A237" s="13">
        <v>236</v>
      </c>
      <c r="B237" s="6" t="s">
        <v>299</v>
      </c>
      <c r="C237" s="2">
        <v>254</v>
      </c>
      <c r="D237" s="2">
        <v>5</v>
      </c>
      <c r="E237" s="13" t="s">
        <v>449</v>
      </c>
      <c r="F237" s="13" t="s">
        <v>455</v>
      </c>
      <c r="G237" s="21" t="s">
        <v>452</v>
      </c>
    </row>
    <row r="238" spans="1:7" hidden="1">
      <c r="A238" s="13">
        <v>237</v>
      </c>
      <c r="B238" s="1" t="s">
        <v>319</v>
      </c>
      <c r="C238" s="2">
        <v>785</v>
      </c>
      <c r="D238" s="2">
        <v>5</v>
      </c>
      <c r="E238" s="13" t="s">
        <v>449</v>
      </c>
      <c r="F238" s="13" t="s">
        <v>455</v>
      </c>
      <c r="G238" s="13" t="s">
        <v>451</v>
      </c>
    </row>
    <row r="239" spans="1:7" hidden="1">
      <c r="A239" s="13">
        <v>238</v>
      </c>
      <c r="B239" s="1" t="s">
        <v>325</v>
      </c>
      <c r="C239" s="2">
        <v>460</v>
      </c>
      <c r="D239" s="2">
        <v>5</v>
      </c>
      <c r="E239" s="13" t="s">
        <v>449</v>
      </c>
      <c r="F239" s="13" t="s">
        <v>455</v>
      </c>
      <c r="G239" s="13" t="s">
        <v>451</v>
      </c>
    </row>
    <row r="240" spans="1:7">
      <c r="A240" s="13">
        <v>239</v>
      </c>
      <c r="B240" s="1" t="s">
        <v>341</v>
      </c>
      <c r="C240" s="2">
        <v>708</v>
      </c>
      <c r="D240" s="2">
        <v>5</v>
      </c>
      <c r="E240" s="13" t="s">
        <v>448</v>
      </c>
      <c r="F240" s="13" t="s">
        <v>456</v>
      </c>
      <c r="G240" s="13" t="s">
        <v>451</v>
      </c>
    </row>
    <row r="241" spans="1:7">
      <c r="A241" s="13">
        <v>240</v>
      </c>
      <c r="B241" s="1" t="s">
        <v>342</v>
      </c>
      <c r="C241" s="2">
        <v>243</v>
      </c>
      <c r="D241" s="2">
        <v>5</v>
      </c>
      <c r="E241" s="13" t="s">
        <v>448</v>
      </c>
      <c r="F241" s="13" t="s">
        <v>456</v>
      </c>
      <c r="G241" s="13" t="s">
        <v>451</v>
      </c>
    </row>
    <row r="242" spans="1:7" hidden="1">
      <c r="A242" s="13">
        <v>241</v>
      </c>
      <c r="B242" s="1" t="s">
        <v>345</v>
      </c>
      <c r="C242" s="2">
        <v>251</v>
      </c>
      <c r="D242" s="2">
        <v>5</v>
      </c>
      <c r="E242" s="13" t="s">
        <v>449</v>
      </c>
      <c r="F242" s="13" t="s">
        <v>455</v>
      </c>
      <c r="G242" s="13" t="s">
        <v>451</v>
      </c>
    </row>
    <row r="243" spans="1:7">
      <c r="A243" s="13">
        <v>242</v>
      </c>
      <c r="B243" s="1" t="s">
        <v>459</v>
      </c>
      <c r="C243" s="2">
        <v>105</v>
      </c>
      <c r="D243" s="2">
        <v>5</v>
      </c>
      <c r="E243" s="13" t="s">
        <v>448</v>
      </c>
      <c r="F243" s="13" t="s">
        <v>456</v>
      </c>
      <c r="G243" s="13" t="s">
        <v>451</v>
      </c>
    </row>
    <row r="244" spans="1:7" hidden="1">
      <c r="A244" s="13">
        <v>243</v>
      </c>
      <c r="B244" s="1" t="s">
        <v>348</v>
      </c>
      <c r="C244" s="2">
        <v>521</v>
      </c>
      <c r="D244" s="2">
        <v>5</v>
      </c>
      <c r="E244" s="13" t="s">
        <v>449</v>
      </c>
      <c r="F244" s="13" t="s">
        <v>455</v>
      </c>
      <c r="G244" s="21" t="s">
        <v>452</v>
      </c>
    </row>
    <row r="245" spans="1:7">
      <c r="A245" s="13">
        <v>244</v>
      </c>
      <c r="B245" s="1" t="s">
        <v>352</v>
      </c>
      <c r="C245" s="2">
        <v>283</v>
      </c>
      <c r="D245" s="2">
        <v>5</v>
      </c>
      <c r="E245" s="13" t="s">
        <v>448</v>
      </c>
      <c r="F245" s="13" t="s">
        <v>456</v>
      </c>
      <c r="G245" s="13" t="s">
        <v>451</v>
      </c>
    </row>
    <row r="246" spans="1:7" hidden="1">
      <c r="A246" s="13">
        <v>245</v>
      </c>
      <c r="B246" s="1" t="s">
        <v>371</v>
      </c>
      <c r="C246" s="2">
        <v>810</v>
      </c>
      <c r="D246" s="2">
        <v>5</v>
      </c>
      <c r="E246" s="13" t="s">
        <v>449</v>
      </c>
      <c r="F246" s="13" t="s">
        <v>455</v>
      </c>
      <c r="G246" s="21" t="s">
        <v>452</v>
      </c>
    </row>
    <row r="247" spans="1:7">
      <c r="A247" s="13">
        <v>246</v>
      </c>
      <c r="B247" s="1" t="s">
        <v>394</v>
      </c>
      <c r="C247" s="2">
        <v>976</v>
      </c>
      <c r="D247" s="2">
        <v>5</v>
      </c>
      <c r="E247" s="13" t="s">
        <v>448</v>
      </c>
      <c r="F247" s="13" t="s">
        <v>456</v>
      </c>
      <c r="G247" s="13" t="s">
        <v>451</v>
      </c>
    </row>
    <row r="248" spans="1:7" hidden="1">
      <c r="A248" s="13">
        <v>247</v>
      </c>
      <c r="B248" s="1" t="s">
        <v>408</v>
      </c>
      <c r="C248" s="2">
        <v>759</v>
      </c>
      <c r="D248" s="2">
        <v>5</v>
      </c>
      <c r="E248" s="13" t="s">
        <v>449</v>
      </c>
      <c r="F248" s="13" t="s">
        <v>455</v>
      </c>
      <c r="G248" s="21" t="s">
        <v>452</v>
      </c>
    </row>
    <row r="249" spans="1:7" hidden="1">
      <c r="A249" s="13">
        <v>248</v>
      </c>
      <c r="B249" s="1" t="s">
        <v>410</v>
      </c>
      <c r="C249" s="2">
        <v>585</v>
      </c>
      <c r="D249" s="2">
        <v>5</v>
      </c>
      <c r="E249" s="13" t="s">
        <v>449</v>
      </c>
      <c r="F249" s="13" t="s">
        <v>455</v>
      </c>
      <c r="G249" s="21" t="s">
        <v>452</v>
      </c>
    </row>
    <row r="250" spans="1:7">
      <c r="A250" s="13">
        <v>249</v>
      </c>
      <c r="B250" s="1" t="s">
        <v>416</v>
      </c>
      <c r="C250" s="2">
        <v>723</v>
      </c>
      <c r="D250" s="2">
        <v>5</v>
      </c>
      <c r="E250" s="13" t="s">
        <v>448</v>
      </c>
      <c r="F250" s="13" t="s">
        <v>456</v>
      </c>
      <c r="G250" s="13" t="s">
        <v>451</v>
      </c>
    </row>
    <row r="251" spans="1:7" hidden="1">
      <c r="A251" s="13">
        <v>250</v>
      </c>
      <c r="B251" s="1" t="s">
        <v>5</v>
      </c>
      <c r="C251" s="2">
        <v>120</v>
      </c>
      <c r="D251" s="2">
        <v>6</v>
      </c>
      <c r="E251" s="13" t="s">
        <v>449</v>
      </c>
      <c r="F251" s="13" t="s">
        <v>455</v>
      </c>
      <c r="G251" s="21" t="s">
        <v>452</v>
      </c>
    </row>
    <row r="252" spans="1:7" hidden="1">
      <c r="A252" s="13">
        <v>251</v>
      </c>
      <c r="B252" s="1" t="s">
        <v>36</v>
      </c>
      <c r="C252" s="2">
        <v>640</v>
      </c>
      <c r="D252" s="2">
        <v>6</v>
      </c>
      <c r="E252" s="13" t="s">
        <v>449</v>
      </c>
      <c r="F252" s="13" t="s">
        <v>455</v>
      </c>
      <c r="G252" s="21" t="s">
        <v>452</v>
      </c>
    </row>
    <row r="253" spans="1:7">
      <c r="A253" s="13">
        <v>252</v>
      </c>
      <c r="B253" s="1" t="s">
        <v>62</v>
      </c>
      <c r="C253" s="2">
        <v>393</v>
      </c>
      <c r="D253" s="2">
        <v>6</v>
      </c>
      <c r="E253" s="13" t="s">
        <v>448</v>
      </c>
      <c r="F253" s="13" t="s">
        <v>456</v>
      </c>
      <c r="G253" s="13" t="s">
        <v>451</v>
      </c>
    </row>
    <row r="254" spans="1:7" hidden="1">
      <c r="A254" s="13">
        <v>253</v>
      </c>
      <c r="B254" s="1" t="s">
        <v>66</v>
      </c>
      <c r="C254" s="2">
        <v>706</v>
      </c>
      <c r="D254" s="2">
        <v>6</v>
      </c>
      <c r="E254" s="13" t="s">
        <v>449</v>
      </c>
      <c r="F254" s="13" t="s">
        <v>455</v>
      </c>
      <c r="G254" s="21" t="s">
        <v>452</v>
      </c>
    </row>
    <row r="255" spans="1:7" hidden="1">
      <c r="A255" s="13">
        <v>254</v>
      </c>
      <c r="B255" s="1" t="s">
        <v>69</v>
      </c>
      <c r="C255" s="2">
        <v>174</v>
      </c>
      <c r="D255" s="2">
        <v>6</v>
      </c>
      <c r="E255" s="13" t="s">
        <v>449</v>
      </c>
      <c r="F255" s="13" t="s">
        <v>455</v>
      </c>
      <c r="G255" s="21" t="s">
        <v>452</v>
      </c>
    </row>
    <row r="256" spans="1:7">
      <c r="A256" s="13">
        <v>255</v>
      </c>
      <c r="B256" s="1" t="s">
        <v>71</v>
      </c>
      <c r="C256" s="2">
        <v>956</v>
      </c>
      <c r="D256" s="2">
        <v>6</v>
      </c>
      <c r="E256" s="13" t="s">
        <v>448</v>
      </c>
      <c r="F256" s="13" t="s">
        <v>456</v>
      </c>
      <c r="G256" s="13" t="s">
        <v>451</v>
      </c>
    </row>
    <row r="257" spans="1:7" hidden="1">
      <c r="A257" s="13">
        <v>256</v>
      </c>
      <c r="B257" s="1" t="s">
        <v>73</v>
      </c>
      <c r="C257" s="2">
        <v>519</v>
      </c>
      <c r="D257" s="2">
        <v>6</v>
      </c>
      <c r="E257" s="13" t="s">
        <v>449</v>
      </c>
      <c r="F257" s="13" t="s">
        <v>455</v>
      </c>
      <c r="G257" s="21" t="s">
        <v>452</v>
      </c>
    </row>
    <row r="258" spans="1:7" hidden="1">
      <c r="A258" s="13">
        <v>257</v>
      </c>
      <c r="B258" s="1" t="s">
        <v>80</v>
      </c>
      <c r="C258" s="2">
        <v>739</v>
      </c>
      <c r="D258" s="2">
        <v>6</v>
      </c>
      <c r="E258" s="13" t="s">
        <v>449</v>
      </c>
      <c r="F258" s="13" t="s">
        <v>455</v>
      </c>
      <c r="G258" s="21" t="s">
        <v>452</v>
      </c>
    </row>
    <row r="259" spans="1:7">
      <c r="A259" s="13">
        <v>258</v>
      </c>
      <c r="B259" s="1" t="s">
        <v>285</v>
      </c>
      <c r="C259" s="2">
        <v>563</v>
      </c>
      <c r="D259" s="2">
        <v>3</v>
      </c>
      <c r="E259" s="13" t="s">
        <v>448</v>
      </c>
      <c r="F259" s="13" t="s">
        <v>456</v>
      </c>
      <c r="G259" s="13" t="s">
        <v>452</v>
      </c>
    </row>
    <row r="260" spans="1:7" hidden="1">
      <c r="A260" s="13">
        <v>259</v>
      </c>
      <c r="B260" s="7" t="s">
        <v>89</v>
      </c>
      <c r="C260" s="2">
        <v>871</v>
      </c>
      <c r="D260" s="2">
        <v>6</v>
      </c>
      <c r="E260" s="13" t="s">
        <v>449</v>
      </c>
      <c r="F260" s="13" t="s">
        <v>455</v>
      </c>
      <c r="G260" s="13" t="s">
        <v>451</v>
      </c>
    </row>
    <row r="261" spans="1:7" hidden="1">
      <c r="A261" s="13">
        <v>260</v>
      </c>
      <c r="B261" s="1" t="s">
        <v>91</v>
      </c>
      <c r="C261" s="2">
        <v>647</v>
      </c>
      <c r="D261" s="2">
        <v>6</v>
      </c>
      <c r="E261" s="13" t="s">
        <v>449</v>
      </c>
      <c r="F261" s="13" t="s">
        <v>455</v>
      </c>
      <c r="G261" s="21" t="s">
        <v>452</v>
      </c>
    </row>
    <row r="262" spans="1:7" hidden="1">
      <c r="A262" s="13">
        <v>261</v>
      </c>
      <c r="B262" s="1" t="s">
        <v>93</v>
      </c>
      <c r="C262" s="2">
        <v>820</v>
      </c>
      <c r="D262" s="2">
        <v>6</v>
      </c>
      <c r="E262" s="13" t="s">
        <v>449</v>
      </c>
      <c r="F262" s="13" t="s">
        <v>455</v>
      </c>
      <c r="G262" s="21" t="s">
        <v>452</v>
      </c>
    </row>
    <row r="263" spans="1:7">
      <c r="A263" s="13">
        <v>262</v>
      </c>
      <c r="B263" s="1" t="s">
        <v>105</v>
      </c>
      <c r="C263" s="2">
        <v>461</v>
      </c>
      <c r="D263" s="2">
        <v>4</v>
      </c>
      <c r="E263" s="13" t="s">
        <v>448</v>
      </c>
      <c r="F263" s="13" t="s">
        <v>455</v>
      </c>
      <c r="G263" s="13" t="s">
        <v>452</v>
      </c>
    </row>
    <row r="264" spans="1:7">
      <c r="A264" s="13">
        <v>263</v>
      </c>
      <c r="B264" s="1" t="s">
        <v>289</v>
      </c>
      <c r="C264" s="2">
        <v>784</v>
      </c>
      <c r="D264" s="2">
        <v>7</v>
      </c>
      <c r="E264" s="13" t="s">
        <v>448</v>
      </c>
      <c r="F264" s="13" t="s">
        <v>456</v>
      </c>
      <c r="G264" s="13" t="s">
        <v>452</v>
      </c>
    </row>
    <row r="265" spans="1:7" hidden="1">
      <c r="A265" s="13">
        <v>264</v>
      </c>
      <c r="B265" s="1" t="s">
        <v>467</v>
      </c>
      <c r="C265" s="2">
        <v>344</v>
      </c>
      <c r="D265" s="2">
        <v>6</v>
      </c>
      <c r="E265" s="13" t="s">
        <v>449</v>
      </c>
      <c r="F265" s="13" t="s">
        <v>455</v>
      </c>
      <c r="G265" s="21" t="s">
        <v>452</v>
      </c>
    </row>
    <row r="266" spans="1:7">
      <c r="A266" s="13">
        <v>265</v>
      </c>
      <c r="B266" s="1" t="s">
        <v>137</v>
      </c>
      <c r="C266" s="2">
        <v>424</v>
      </c>
      <c r="D266" s="2">
        <v>6</v>
      </c>
      <c r="E266" s="13" t="s">
        <v>448</v>
      </c>
      <c r="F266" s="13" t="s">
        <v>456</v>
      </c>
      <c r="G266" s="13" t="s">
        <v>451</v>
      </c>
    </row>
    <row r="267" spans="1:7">
      <c r="A267" s="13">
        <v>266</v>
      </c>
      <c r="B267" s="1" t="s">
        <v>169</v>
      </c>
      <c r="C267" s="2">
        <v>315</v>
      </c>
      <c r="D267" s="2">
        <v>6</v>
      </c>
      <c r="E267" s="13" t="s">
        <v>448</v>
      </c>
      <c r="F267" s="13" t="s">
        <v>456</v>
      </c>
      <c r="G267" s="13" t="s">
        <v>451</v>
      </c>
    </row>
    <row r="268" spans="1:7">
      <c r="A268" s="13">
        <v>267</v>
      </c>
      <c r="B268" s="1" t="s">
        <v>190</v>
      </c>
      <c r="C268" s="2">
        <v>861</v>
      </c>
      <c r="D268" s="2">
        <v>6</v>
      </c>
      <c r="E268" s="13" t="s">
        <v>448</v>
      </c>
      <c r="F268" s="13" t="s">
        <v>456</v>
      </c>
      <c r="G268" s="13" t="s">
        <v>451</v>
      </c>
    </row>
    <row r="269" spans="1:7">
      <c r="A269" s="13">
        <v>268</v>
      </c>
      <c r="B269" s="1" t="s">
        <v>294</v>
      </c>
      <c r="C269" s="2">
        <v>635</v>
      </c>
      <c r="D269" s="2">
        <v>4</v>
      </c>
      <c r="E269" s="13" t="s">
        <v>448</v>
      </c>
      <c r="F269" s="13" t="s">
        <v>456</v>
      </c>
      <c r="G269" s="13" t="s">
        <v>452</v>
      </c>
    </row>
    <row r="270" spans="1:7">
      <c r="A270" s="13">
        <v>269</v>
      </c>
      <c r="B270" s="7" t="s">
        <v>295</v>
      </c>
      <c r="C270" s="2">
        <v>633</v>
      </c>
      <c r="D270" s="2">
        <v>3</v>
      </c>
      <c r="E270" s="13" t="s">
        <v>448</v>
      </c>
      <c r="F270" s="13" t="s">
        <v>456</v>
      </c>
      <c r="G270" s="13" t="s">
        <v>452</v>
      </c>
    </row>
    <row r="271" spans="1:7" hidden="1">
      <c r="A271" s="13">
        <v>270</v>
      </c>
      <c r="B271" s="6" t="s">
        <v>205</v>
      </c>
      <c r="C271" s="2">
        <v>385</v>
      </c>
      <c r="D271" s="2">
        <v>6</v>
      </c>
      <c r="E271" s="13" t="s">
        <v>449</v>
      </c>
      <c r="F271" s="13" t="s">
        <v>455</v>
      </c>
      <c r="G271" s="13" t="s">
        <v>451</v>
      </c>
    </row>
    <row r="272" spans="1:7" hidden="1">
      <c r="A272" s="13">
        <v>271</v>
      </c>
      <c r="B272" s="1" t="s">
        <v>234</v>
      </c>
      <c r="C272" s="2">
        <v>808</v>
      </c>
      <c r="D272" s="2">
        <v>6</v>
      </c>
      <c r="E272" s="13" t="s">
        <v>449</v>
      </c>
      <c r="F272" s="13" t="s">
        <v>455</v>
      </c>
      <c r="G272" s="13" t="s">
        <v>451</v>
      </c>
    </row>
    <row r="273" spans="1:7">
      <c r="A273" s="13">
        <v>272</v>
      </c>
      <c r="B273" s="1" t="s">
        <v>457</v>
      </c>
      <c r="C273" s="2">
        <v>253</v>
      </c>
      <c r="D273" s="2">
        <v>2</v>
      </c>
      <c r="E273" s="13" t="s">
        <v>448</v>
      </c>
      <c r="F273" s="13" t="s">
        <v>456</v>
      </c>
      <c r="G273" s="13" t="s">
        <v>452</v>
      </c>
    </row>
    <row r="274" spans="1:7">
      <c r="A274" s="13">
        <v>273</v>
      </c>
      <c r="B274" s="1" t="s">
        <v>274</v>
      </c>
      <c r="C274" s="2">
        <v>247</v>
      </c>
      <c r="D274" s="2">
        <v>6</v>
      </c>
      <c r="E274" s="13" t="s">
        <v>448</v>
      </c>
      <c r="F274" s="13" t="s">
        <v>456</v>
      </c>
      <c r="G274" s="13" t="s">
        <v>451</v>
      </c>
    </row>
    <row r="275" spans="1:7">
      <c r="A275" s="13">
        <v>274</v>
      </c>
      <c r="B275" s="1" t="s">
        <v>282</v>
      </c>
      <c r="C275" s="2">
        <v>595</v>
      </c>
      <c r="D275" s="2">
        <v>6</v>
      </c>
      <c r="E275" s="13" t="s">
        <v>448</v>
      </c>
      <c r="F275" s="13" t="s">
        <v>456</v>
      </c>
      <c r="G275" s="13" t="s">
        <v>451</v>
      </c>
    </row>
    <row r="276" spans="1:7" hidden="1">
      <c r="A276" s="13">
        <v>275</v>
      </c>
      <c r="B276" s="1" t="s">
        <v>287</v>
      </c>
      <c r="C276" s="2">
        <v>981</v>
      </c>
      <c r="D276" s="2">
        <v>6</v>
      </c>
      <c r="E276" s="13" t="s">
        <v>449</v>
      </c>
      <c r="F276" s="13" t="s">
        <v>455</v>
      </c>
      <c r="G276" s="13" t="s">
        <v>451</v>
      </c>
    </row>
    <row r="277" spans="1:7">
      <c r="A277" s="13">
        <v>276</v>
      </c>
      <c r="B277" s="1" t="s">
        <v>124</v>
      </c>
      <c r="C277" s="2">
        <v>341</v>
      </c>
      <c r="D277" s="2">
        <v>6</v>
      </c>
      <c r="E277" s="13" t="s">
        <v>448</v>
      </c>
      <c r="F277" s="13" t="s">
        <v>455</v>
      </c>
      <c r="G277" s="13" t="s">
        <v>452</v>
      </c>
    </row>
    <row r="278" spans="1:7" hidden="1">
      <c r="A278" s="13">
        <v>277</v>
      </c>
      <c r="B278" s="6" t="s">
        <v>298</v>
      </c>
      <c r="C278" s="2">
        <v>219</v>
      </c>
      <c r="D278" s="2">
        <v>6</v>
      </c>
      <c r="E278" s="13" t="s">
        <v>449</v>
      </c>
      <c r="F278" s="13" t="s">
        <v>455</v>
      </c>
      <c r="G278" s="13" t="s">
        <v>451</v>
      </c>
    </row>
    <row r="279" spans="1:7">
      <c r="A279" s="13">
        <v>278</v>
      </c>
      <c r="B279" s="1" t="s">
        <v>304</v>
      </c>
      <c r="C279" s="2">
        <v>126</v>
      </c>
      <c r="D279" s="2">
        <v>6</v>
      </c>
      <c r="E279" s="13" t="s">
        <v>448</v>
      </c>
      <c r="F279" s="13" t="s">
        <v>456</v>
      </c>
      <c r="G279" s="13" t="s">
        <v>451</v>
      </c>
    </row>
    <row r="280" spans="1:7">
      <c r="A280" s="13">
        <v>279</v>
      </c>
      <c r="B280" s="1" t="s">
        <v>311</v>
      </c>
      <c r="C280" s="2">
        <v>586</v>
      </c>
      <c r="D280" s="2">
        <v>6</v>
      </c>
      <c r="E280" s="13" t="s">
        <v>448</v>
      </c>
      <c r="F280" s="13" t="s">
        <v>456</v>
      </c>
      <c r="G280" s="13" t="s">
        <v>451</v>
      </c>
    </row>
    <row r="281" spans="1:7" hidden="1">
      <c r="A281" s="13">
        <v>280</v>
      </c>
      <c r="B281" s="1" t="s">
        <v>335</v>
      </c>
      <c r="C281" s="2">
        <v>500</v>
      </c>
      <c r="D281" s="2">
        <v>6</v>
      </c>
      <c r="E281" s="13" t="s">
        <v>449</v>
      </c>
      <c r="F281" s="13" t="s">
        <v>455</v>
      </c>
      <c r="G281" s="21" t="s">
        <v>452</v>
      </c>
    </row>
    <row r="282" spans="1:7">
      <c r="A282" s="13">
        <v>281</v>
      </c>
      <c r="B282" s="1" t="s">
        <v>301</v>
      </c>
      <c r="C282" s="2">
        <v>396</v>
      </c>
      <c r="D282" s="2">
        <v>7</v>
      </c>
      <c r="E282" s="13" t="s">
        <v>448</v>
      </c>
      <c r="F282" s="13" t="s">
        <v>456</v>
      </c>
      <c r="G282" s="13" t="s">
        <v>452</v>
      </c>
    </row>
    <row r="283" spans="1:7" hidden="1">
      <c r="A283" s="13">
        <v>282</v>
      </c>
      <c r="B283" s="1" t="s">
        <v>388</v>
      </c>
      <c r="C283" s="2">
        <v>408</v>
      </c>
      <c r="D283" s="2">
        <v>6</v>
      </c>
      <c r="E283" s="13" t="s">
        <v>449</v>
      </c>
      <c r="F283" s="13" t="s">
        <v>456</v>
      </c>
      <c r="G283" s="21" t="s">
        <v>452</v>
      </c>
    </row>
    <row r="284" spans="1:7">
      <c r="A284" s="13">
        <v>283</v>
      </c>
      <c r="B284" s="1" t="s">
        <v>393</v>
      </c>
      <c r="C284" s="2">
        <v>910</v>
      </c>
      <c r="D284" s="2">
        <v>6</v>
      </c>
      <c r="E284" s="13" t="s">
        <v>448</v>
      </c>
      <c r="F284" s="13" t="s">
        <v>456</v>
      </c>
      <c r="G284" s="13" t="s">
        <v>451</v>
      </c>
    </row>
    <row r="285" spans="1:7">
      <c r="A285" s="13">
        <v>284</v>
      </c>
      <c r="B285" s="1" t="s">
        <v>396</v>
      </c>
      <c r="C285" s="2">
        <v>905</v>
      </c>
      <c r="D285" s="2">
        <v>6</v>
      </c>
      <c r="E285" s="13" t="s">
        <v>448</v>
      </c>
      <c r="F285" s="13" t="s">
        <v>456</v>
      </c>
      <c r="G285" s="13" t="s">
        <v>451</v>
      </c>
    </row>
    <row r="286" spans="1:7" hidden="1">
      <c r="A286" s="13">
        <v>285</v>
      </c>
      <c r="B286" s="1" t="s">
        <v>404</v>
      </c>
      <c r="C286" s="2">
        <v>912</v>
      </c>
      <c r="D286" s="2">
        <v>6</v>
      </c>
      <c r="E286" s="13" t="s">
        <v>449</v>
      </c>
      <c r="F286" s="13" t="s">
        <v>455</v>
      </c>
      <c r="G286" s="13" t="s">
        <v>451</v>
      </c>
    </row>
    <row r="287" spans="1:7">
      <c r="A287" s="13">
        <v>286</v>
      </c>
      <c r="B287" s="1" t="s">
        <v>417</v>
      </c>
      <c r="C287" s="2">
        <v>538</v>
      </c>
      <c r="D287" s="2">
        <v>6</v>
      </c>
      <c r="E287" s="13" t="s">
        <v>448</v>
      </c>
      <c r="F287" s="13" t="s">
        <v>456</v>
      </c>
      <c r="G287" s="13" t="s">
        <v>451</v>
      </c>
    </row>
    <row r="288" spans="1:7" hidden="1">
      <c r="A288" s="13">
        <v>287</v>
      </c>
      <c r="B288" s="1" t="s">
        <v>419</v>
      </c>
      <c r="C288" s="2">
        <v>140</v>
      </c>
      <c r="D288" s="2">
        <v>6</v>
      </c>
      <c r="E288" s="13" t="s">
        <v>449</v>
      </c>
      <c r="F288" s="13" t="s">
        <v>455</v>
      </c>
      <c r="G288" s="13" t="s">
        <v>451</v>
      </c>
    </row>
    <row r="289" spans="1:7">
      <c r="A289" s="13">
        <v>288</v>
      </c>
      <c r="B289" s="1" t="s">
        <v>312</v>
      </c>
      <c r="C289" s="2">
        <v>736</v>
      </c>
      <c r="D289" s="2">
        <v>9</v>
      </c>
      <c r="E289" s="13" t="s">
        <v>448</v>
      </c>
      <c r="F289" s="13" t="s">
        <v>456</v>
      </c>
      <c r="G289" s="13" t="s">
        <v>452</v>
      </c>
    </row>
    <row r="290" spans="1:7" hidden="1">
      <c r="A290" s="13">
        <v>289</v>
      </c>
      <c r="B290" s="1" t="s">
        <v>7</v>
      </c>
      <c r="C290" s="2">
        <v>492</v>
      </c>
      <c r="D290" s="2">
        <v>7</v>
      </c>
      <c r="E290" s="13" t="s">
        <v>449</v>
      </c>
      <c r="F290" s="13" t="s">
        <v>455</v>
      </c>
      <c r="G290" s="13" t="s">
        <v>451</v>
      </c>
    </row>
    <row r="291" spans="1:7">
      <c r="A291" s="13">
        <v>290</v>
      </c>
      <c r="B291" s="1" t="s">
        <v>18</v>
      </c>
      <c r="C291" s="2">
        <v>309</v>
      </c>
      <c r="D291" s="2">
        <v>7</v>
      </c>
      <c r="E291" s="13" t="s">
        <v>448</v>
      </c>
      <c r="F291" s="13" t="s">
        <v>456</v>
      </c>
      <c r="G291" s="13" t="s">
        <v>451</v>
      </c>
    </row>
    <row r="292" spans="1:7">
      <c r="A292" s="13">
        <v>291</v>
      </c>
      <c r="B292" s="1" t="s">
        <v>38</v>
      </c>
      <c r="C292" s="2">
        <v>161</v>
      </c>
      <c r="D292" s="2">
        <v>7</v>
      </c>
      <c r="E292" s="13" t="s">
        <v>448</v>
      </c>
      <c r="F292" s="13" t="s">
        <v>456</v>
      </c>
      <c r="G292" s="13" t="s">
        <v>451</v>
      </c>
    </row>
    <row r="293" spans="1:7" hidden="1">
      <c r="A293" s="13">
        <v>292</v>
      </c>
      <c r="B293" s="1" t="s">
        <v>45</v>
      </c>
      <c r="C293" s="2">
        <v>661</v>
      </c>
      <c r="D293" s="2">
        <v>7</v>
      </c>
      <c r="E293" s="13" t="s">
        <v>449</v>
      </c>
      <c r="F293" s="13" t="s">
        <v>455</v>
      </c>
      <c r="G293" s="21" t="s">
        <v>452</v>
      </c>
    </row>
    <row r="294" spans="1:7" hidden="1">
      <c r="A294" s="13">
        <v>293</v>
      </c>
      <c r="B294" s="3" t="s">
        <v>51</v>
      </c>
      <c r="C294" s="2">
        <v>747</v>
      </c>
      <c r="D294" s="2">
        <v>7</v>
      </c>
      <c r="E294" s="13" t="s">
        <v>449</v>
      </c>
      <c r="F294" s="13" t="s">
        <v>455</v>
      </c>
      <c r="G294" s="21" t="s">
        <v>452</v>
      </c>
    </row>
    <row r="295" spans="1:7">
      <c r="A295" s="13">
        <v>294</v>
      </c>
      <c r="B295" s="1" t="s">
        <v>70</v>
      </c>
      <c r="C295" s="2">
        <v>955</v>
      </c>
      <c r="D295" s="2">
        <v>7</v>
      </c>
      <c r="E295" s="13" t="s">
        <v>448</v>
      </c>
      <c r="F295" s="13" t="s">
        <v>456</v>
      </c>
      <c r="G295" s="13" t="s">
        <v>451</v>
      </c>
    </row>
    <row r="296" spans="1:7" hidden="1">
      <c r="A296" s="13">
        <v>295</v>
      </c>
      <c r="B296" s="1" t="s">
        <v>77</v>
      </c>
      <c r="C296" s="2">
        <v>121</v>
      </c>
      <c r="D296" s="2">
        <v>7</v>
      </c>
      <c r="E296" s="13" t="s">
        <v>449</v>
      </c>
      <c r="F296" s="13" t="s">
        <v>455</v>
      </c>
      <c r="G296" s="21" t="s">
        <v>452</v>
      </c>
    </row>
    <row r="297" spans="1:7">
      <c r="A297" s="13">
        <v>296</v>
      </c>
      <c r="B297" s="1" t="s">
        <v>469</v>
      </c>
      <c r="C297" s="2">
        <v>296</v>
      </c>
      <c r="D297" s="2">
        <v>3</v>
      </c>
      <c r="E297" s="13" t="s">
        <v>448</v>
      </c>
      <c r="F297" s="13" t="s">
        <v>456</v>
      </c>
      <c r="G297" s="13" t="s">
        <v>452</v>
      </c>
    </row>
    <row r="298" spans="1:7" hidden="1">
      <c r="A298" s="13">
        <v>297</v>
      </c>
      <c r="B298" s="1" t="s">
        <v>103</v>
      </c>
      <c r="C298" s="2">
        <v>735</v>
      </c>
      <c r="D298" s="2">
        <v>7</v>
      </c>
      <c r="E298" s="13" t="s">
        <v>449</v>
      </c>
      <c r="F298" s="13" t="s">
        <v>455</v>
      </c>
      <c r="G298" s="21" t="s">
        <v>452</v>
      </c>
    </row>
    <row r="299" spans="1:7">
      <c r="A299" s="13">
        <v>298</v>
      </c>
      <c r="B299" s="1" t="s">
        <v>330</v>
      </c>
      <c r="C299" s="2">
        <v>209</v>
      </c>
      <c r="D299" s="2">
        <v>3</v>
      </c>
      <c r="E299" s="13" t="s">
        <v>448</v>
      </c>
      <c r="F299" s="13" t="s">
        <v>456</v>
      </c>
      <c r="G299" s="13" t="s">
        <v>452</v>
      </c>
    </row>
    <row r="300" spans="1:7" hidden="1">
      <c r="A300" s="13">
        <v>299</v>
      </c>
      <c r="B300" s="1" t="s">
        <v>127</v>
      </c>
      <c r="C300" s="2">
        <v>978</v>
      </c>
      <c r="D300" s="2">
        <v>7</v>
      </c>
      <c r="E300" s="13" t="s">
        <v>449</v>
      </c>
      <c r="F300" s="13" t="s">
        <v>455</v>
      </c>
      <c r="G300" s="21" t="s">
        <v>452</v>
      </c>
    </row>
    <row r="301" spans="1:7">
      <c r="A301" s="13">
        <v>300</v>
      </c>
      <c r="B301" s="1" t="s">
        <v>111</v>
      </c>
      <c r="C301" s="2">
        <v>463</v>
      </c>
      <c r="D301" s="2">
        <v>6</v>
      </c>
      <c r="E301" s="13" t="s">
        <v>448</v>
      </c>
      <c r="F301" s="13" t="s">
        <v>455</v>
      </c>
      <c r="G301" s="13" t="s">
        <v>451</v>
      </c>
    </row>
    <row r="302" spans="1:7">
      <c r="A302" s="13">
        <v>301</v>
      </c>
      <c r="B302" s="1" t="s">
        <v>134</v>
      </c>
      <c r="C302" s="2">
        <v>530</v>
      </c>
      <c r="D302" s="2">
        <v>7</v>
      </c>
      <c r="E302" s="13" t="s">
        <v>448</v>
      </c>
      <c r="F302" s="13" t="s">
        <v>456</v>
      </c>
      <c r="G302" s="13" t="s">
        <v>451</v>
      </c>
    </row>
    <row r="303" spans="1:7">
      <c r="A303" s="13">
        <v>302</v>
      </c>
      <c r="B303" s="1" t="s">
        <v>153</v>
      </c>
      <c r="C303" s="2">
        <v>245</v>
      </c>
      <c r="D303" s="2">
        <v>7</v>
      </c>
      <c r="E303" s="13" t="s">
        <v>448</v>
      </c>
      <c r="F303" s="13" t="s">
        <v>456</v>
      </c>
      <c r="G303" s="13" t="s">
        <v>451</v>
      </c>
    </row>
    <row r="304" spans="1:7" hidden="1">
      <c r="A304" s="13">
        <v>303</v>
      </c>
      <c r="B304" s="1" t="s">
        <v>166</v>
      </c>
      <c r="C304" s="2">
        <v>339</v>
      </c>
      <c r="D304" s="2">
        <v>7</v>
      </c>
      <c r="E304" s="13" t="s">
        <v>449</v>
      </c>
      <c r="F304" s="13" t="s">
        <v>455</v>
      </c>
      <c r="G304" s="21" t="s">
        <v>452</v>
      </c>
    </row>
    <row r="305" spans="1:7">
      <c r="A305" s="13">
        <v>304</v>
      </c>
      <c r="B305" s="1" t="s">
        <v>167</v>
      </c>
      <c r="C305" s="2">
        <v>322</v>
      </c>
      <c r="D305" s="2">
        <v>7</v>
      </c>
      <c r="E305" s="13" t="s">
        <v>448</v>
      </c>
      <c r="F305" s="13" t="s">
        <v>456</v>
      </c>
      <c r="G305" s="13" t="s">
        <v>451</v>
      </c>
    </row>
    <row r="306" spans="1:7" hidden="1">
      <c r="A306" s="13">
        <v>305</v>
      </c>
      <c r="B306" s="1" t="s">
        <v>172</v>
      </c>
      <c r="C306" s="2">
        <v>849</v>
      </c>
      <c r="D306" s="2">
        <v>7</v>
      </c>
      <c r="E306" s="13" t="s">
        <v>449</v>
      </c>
      <c r="F306" s="13" t="s">
        <v>455</v>
      </c>
      <c r="G306" s="21" t="s">
        <v>452</v>
      </c>
    </row>
    <row r="307" spans="1:7" hidden="1">
      <c r="A307" s="13">
        <v>306</v>
      </c>
      <c r="B307" s="7" t="s">
        <v>180</v>
      </c>
      <c r="C307" s="2">
        <v>634</v>
      </c>
      <c r="D307" s="2">
        <v>7</v>
      </c>
      <c r="E307" s="13" t="s">
        <v>449</v>
      </c>
      <c r="F307" s="13" t="s">
        <v>455</v>
      </c>
      <c r="G307" s="13" t="s">
        <v>451</v>
      </c>
    </row>
    <row r="308" spans="1:7">
      <c r="A308" s="13">
        <v>307</v>
      </c>
      <c r="B308" s="1" t="s">
        <v>468</v>
      </c>
      <c r="C308" s="2">
        <v>129</v>
      </c>
      <c r="D308" s="2">
        <v>6</v>
      </c>
      <c r="E308" s="13" t="s">
        <v>448</v>
      </c>
      <c r="F308" s="13" t="s">
        <v>455</v>
      </c>
      <c r="G308" s="13" t="s">
        <v>451</v>
      </c>
    </row>
    <row r="309" spans="1:7">
      <c r="A309" s="13">
        <v>308</v>
      </c>
      <c r="B309" s="1" t="s">
        <v>187</v>
      </c>
      <c r="C309" s="2">
        <v>864</v>
      </c>
      <c r="D309" s="2">
        <v>7</v>
      </c>
      <c r="E309" s="13" t="s">
        <v>448</v>
      </c>
      <c r="F309" s="13" t="s">
        <v>456</v>
      </c>
      <c r="G309" s="13" t="s">
        <v>451</v>
      </c>
    </row>
    <row r="310" spans="1:7">
      <c r="A310" s="13">
        <v>309</v>
      </c>
      <c r="B310" s="1" t="s">
        <v>189</v>
      </c>
      <c r="C310" s="2">
        <v>845</v>
      </c>
      <c r="D310" s="2">
        <v>7</v>
      </c>
      <c r="E310" s="13" t="s">
        <v>448</v>
      </c>
      <c r="F310" s="13" t="s">
        <v>456</v>
      </c>
      <c r="G310" s="13" t="s">
        <v>451</v>
      </c>
    </row>
    <row r="311" spans="1:7" hidden="1">
      <c r="A311" s="13">
        <v>310</v>
      </c>
      <c r="B311" s="1" t="s">
        <v>206</v>
      </c>
      <c r="C311" s="2">
        <v>654</v>
      </c>
      <c r="D311" s="2">
        <v>7</v>
      </c>
      <c r="E311" s="13" t="s">
        <v>449</v>
      </c>
      <c r="F311" s="13" t="s">
        <v>456</v>
      </c>
      <c r="G311" s="21" t="s">
        <v>452</v>
      </c>
    </row>
    <row r="312" spans="1:7">
      <c r="A312" s="13">
        <v>311</v>
      </c>
      <c r="B312" s="1" t="s">
        <v>214</v>
      </c>
      <c r="C312" s="2">
        <v>830</v>
      </c>
      <c r="D312" s="2">
        <v>7</v>
      </c>
      <c r="E312" s="13" t="s">
        <v>448</v>
      </c>
      <c r="F312" s="13" t="s">
        <v>456</v>
      </c>
      <c r="G312" s="13" t="s">
        <v>451</v>
      </c>
    </row>
    <row r="313" spans="1:7">
      <c r="A313" s="13">
        <v>312</v>
      </c>
      <c r="B313" s="1" t="s">
        <v>218</v>
      </c>
      <c r="C313" s="2">
        <v>850</v>
      </c>
      <c r="D313" s="2">
        <v>7</v>
      </c>
      <c r="E313" s="13" t="s">
        <v>448</v>
      </c>
      <c r="F313" s="13" t="s">
        <v>456</v>
      </c>
      <c r="G313" s="13" t="s">
        <v>451</v>
      </c>
    </row>
    <row r="314" spans="1:7" hidden="1">
      <c r="A314" s="13">
        <v>313</v>
      </c>
      <c r="B314" s="1" t="s">
        <v>219</v>
      </c>
      <c r="C314" s="2">
        <v>750</v>
      </c>
      <c r="D314" s="2">
        <v>7</v>
      </c>
      <c r="E314" s="13" t="s">
        <v>449</v>
      </c>
      <c r="F314" s="13" t="s">
        <v>455</v>
      </c>
      <c r="G314" s="21" t="s">
        <v>452</v>
      </c>
    </row>
    <row r="315" spans="1:7">
      <c r="A315" s="13">
        <v>314</v>
      </c>
      <c r="B315" s="1" t="s">
        <v>221</v>
      </c>
      <c r="C315" s="2">
        <v>566</v>
      </c>
      <c r="D315" s="2">
        <v>7</v>
      </c>
      <c r="E315" s="13" t="s">
        <v>448</v>
      </c>
      <c r="F315" s="13" t="s">
        <v>456</v>
      </c>
      <c r="G315" s="13" t="s">
        <v>451</v>
      </c>
    </row>
    <row r="316" spans="1:7">
      <c r="A316" s="13">
        <v>315</v>
      </c>
      <c r="B316" s="1" t="s">
        <v>247</v>
      </c>
      <c r="C316" s="2">
        <v>369</v>
      </c>
      <c r="D316" s="2">
        <v>7</v>
      </c>
      <c r="E316" s="13" t="s">
        <v>448</v>
      </c>
      <c r="F316" s="13" t="s">
        <v>456</v>
      </c>
      <c r="G316" s="13" t="s">
        <v>451</v>
      </c>
    </row>
    <row r="317" spans="1:7" hidden="1">
      <c r="A317" s="13">
        <v>316</v>
      </c>
      <c r="B317" s="1" t="s">
        <v>254</v>
      </c>
      <c r="C317" s="2">
        <v>783</v>
      </c>
      <c r="D317" s="2">
        <v>7</v>
      </c>
      <c r="E317" s="13" t="s">
        <v>449</v>
      </c>
      <c r="F317" s="13" t="s">
        <v>455</v>
      </c>
      <c r="G317" s="13" t="s">
        <v>451</v>
      </c>
    </row>
    <row r="318" spans="1:7" hidden="1">
      <c r="A318" s="13">
        <v>317</v>
      </c>
      <c r="B318" s="1" t="s">
        <v>259</v>
      </c>
      <c r="C318" s="2">
        <v>644</v>
      </c>
      <c r="D318" s="2">
        <v>7</v>
      </c>
      <c r="E318" s="13" t="s">
        <v>449</v>
      </c>
      <c r="F318" s="13" t="s">
        <v>455</v>
      </c>
      <c r="G318" s="13" t="s">
        <v>451</v>
      </c>
    </row>
    <row r="319" spans="1:7" hidden="1">
      <c r="A319" s="13">
        <v>318</v>
      </c>
      <c r="B319" s="1" t="s">
        <v>260</v>
      </c>
      <c r="C319" s="2">
        <v>855</v>
      </c>
      <c r="D319" s="2">
        <v>7</v>
      </c>
      <c r="E319" s="13" t="s">
        <v>449</v>
      </c>
      <c r="F319" s="13" t="s">
        <v>455</v>
      </c>
      <c r="G319" s="13" t="s">
        <v>451</v>
      </c>
    </row>
    <row r="320" spans="1:7" hidden="1">
      <c r="A320" s="13">
        <v>319</v>
      </c>
      <c r="B320" s="1" t="s">
        <v>261</v>
      </c>
      <c r="C320" s="2">
        <v>793</v>
      </c>
      <c r="D320" s="2">
        <v>7</v>
      </c>
      <c r="E320" s="13" t="s">
        <v>449</v>
      </c>
      <c r="F320" s="13" t="s">
        <v>455</v>
      </c>
      <c r="G320" s="13" t="s">
        <v>451</v>
      </c>
    </row>
    <row r="321" spans="1:7">
      <c r="A321" s="13">
        <v>320</v>
      </c>
      <c r="B321" s="6" t="s">
        <v>443</v>
      </c>
      <c r="C321" s="2">
        <v>496</v>
      </c>
      <c r="D321" s="2">
        <v>6</v>
      </c>
      <c r="E321" s="13" t="s">
        <v>448</v>
      </c>
      <c r="F321" s="13" t="s">
        <v>455</v>
      </c>
      <c r="G321" s="13" t="s">
        <v>452</v>
      </c>
    </row>
    <row r="322" spans="1:7" hidden="1">
      <c r="A322" s="13">
        <v>321</v>
      </c>
      <c r="B322" s="1" t="s">
        <v>269</v>
      </c>
      <c r="C322" s="2">
        <v>660</v>
      </c>
      <c r="D322" s="2">
        <v>7</v>
      </c>
      <c r="E322" s="13" t="s">
        <v>449</v>
      </c>
      <c r="F322" s="13" t="s">
        <v>455</v>
      </c>
      <c r="G322" s="13" t="s">
        <v>451</v>
      </c>
    </row>
    <row r="323" spans="1:7">
      <c r="A323" s="13">
        <v>322</v>
      </c>
      <c r="B323" s="1" t="s">
        <v>270</v>
      </c>
      <c r="C323" s="2">
        <v>607</v>
      </c>
      <c r="D323" s="2">
        <v>7</v>
      </c>
      <c r="E323" s="13" t="s">
        <v>448</v>
      </c>
      <c r="F323" s="13" t="s">
        <v>456</v>
      </c>
      <c r="G323" s="13" t="s">
        <v>451</v>
      </c>
    </row>
    <row r="324" spans="1:7" hidden="1">
      <c r="A324" s="13">
        <v>323</v>
      </c>
      <c r="B324" s="1" t="s">
        <v>277</v>
      </c>
      <c r="C324" s="2">
        <v>787</v>
      </c>
      <c r="D324" s="2">
        <v>7</v>
      </c>
      <c r="E324" s="13" t="s">
        <v>449</v>
      </c>
      <c r="F324" s="13" t="s">
        <v>455</v>
      </c>
      <c r="G324" s="21" t="s">
        <v>452</v>
      </c>
    </row>
    <row r="325" spans="1:7" hidden="1">
      <c r="A325" s="13">
        <v>324</v>
      </c>
      <c r="B325" s="1" t="s">
        <v>283</v>
      </c>
      <c r="C325" s="2">
        <v>639</v>
      </c>
      <c r="D325" s="2">
        <v>7</v>
      </c>
      <c r="E325" s="13" t="s">
        <v>449</v>
      </c>
      <c r="F325" s="13" t="s">
        <v>455</v>
      </c>
      <c r="G325" s="13" t="s">
        <v>451</v>
      </c>
    </row>
    <row r="326" spans="1:7">
      <c r="A326" s="13">
        <v>325</v>
      </c>
      <c r="B326" s="1" t="s">
        <v>369</v>
      </c>
      <c r="C326" s="2">
        <v>806</v>
      </c>
      <c r="D326" s="2">
        <v>3</v>
      </c>
      <c r="E326" s="13" t="s">
        <v>448</v>
      </c>
      <c r="F326" s="13" t="s">
        <v>456</v>
      </c>
      <c r="G326" s="13" t="s">
        <v>452</v>
      </c>
    </row>
    <row r="327" spans="1:7" hidden="1">
      <c r="A327" s="13">
        <v>326</v>
      </c>
      <c r="B327" s="3" t="s">
        <v>291</v>
      </c>
      <c r="C327" s="2">
        <v>748</v>
      </c>
      <c r="D327" s="2">
        <v>7</v>
      </c>
      <c r="E327" s="13" t="s">
        <v>449</v>
      </c>
      <c r="F327" s="13" t="s">
        <v>455</v>
      </c>
      <c r="G327" s="21" t="s">
        <v>452</v>
      </c>
    </row>
    <row r="328" spans="1:7">
      <c r="A328" s="13">
        <v>327</v>
      </c>
      <c r="B328" s="1" t="s">
        <v>132</v>
      </c>
      <c r="C328" s="2">
        <v>337</v>
      </c>
      <c r="D328" s="2">
        <v>7</v>
      </c>
      <c r="E328" s="13" t="s">
        <v>448</v>
      </c>
      <c r="F328" s="13" t="s">
        <v>455</v>
      </c>
      <c r="G328" s="13" t="s">
        <v>452</v>
      </c>
    </row>
    <row r="329" spans="1:7">
      <c r="A329" s="13">
        <v>328</v>
      </c>
      <c r="B329" s="1" t="s">
        <v>303</v>
      </c>
      <c r="C329" s="2">
        <v>535</v>
      </c>
      <c r="D329" s="2">
        <v>7</v>
      </c>
      <c r="E329" s="13" t="s">
        <v>448</v>
      </c>
      <c r="F329" s="13" t="s">
        <v>456</v>
      </c>
      <c r="G329" s="13" t="s">
        <v>451</v>
      </c>
    </row>
    <row r="330" spans="1:7" hidden="1">
      <c r="A330" s="13">
        <v>329</v>
      </c>
      <c r="B330" s="6" t="s">
        <v>308</v>
      </c>
      <c r="C330" s="2">
        <v>868</v>
      </c>
      <c r="D330" s="2">
        <v>7</v>
      </c>
      <c r="E330" s="13" t="s">
        <v>449</v>
      </c>
      <c r="F330" s="13" t="s">
        <v>455</v>
      </c>
      <c r="G330" s="21" t="s">
        <v>452</v>
      </c>
    </row>
    <row r="331" spans="1:7">
      <c r="A331" s="13">
        <v>330</v>
      </c>
      <c r="B331" s="1" t="s">
        <v>374</v>
      </c>
      <c r="C331" s="2">
        <v>755</v>
      </c>
      <c r="D331" s="2">
        <v>6</v>
      </c>
      <c r="E331" s="13" t="s">
        <v>448</v>
      </c>
      <c r="F331" s="13" t="s">
        <v>456</v>
      </c>
      <c r="G331" s="13" t="s">
        <v>452</v>
      </c>
    </row>
    <row r="332" spans="1:7">
      <c r="A332" s="13">
        <v>331</v>
      </c>
      <c r="B332" s="1" t="s">
        <v>370</v>
      </c>
      <c r="C332" s="2">
        <v>809</v>
      </c>
      <c r="D332" s="2">
        <v>7</v>
      </c>
      <c r="E332" s="13" t="s">
        <v>448</v>
      </c>
      <c r="F332" s="13" t="s">
        <v>456</v>
      </c>
      <c r="G332" s="13" t="s">
        <v>451</v>
      </c>
    </row>
    <row r="333" spans="1:7">
      <c r="A333" s="13">
        <v>332</v>
      </c>
      <c r="B333" s="1" t="s">
        <v>373</v>
      </c>
      <c r="C333" s="2">
        <v>754</v>
      </c>
      <c r="D333" s="2">
        <v>7</v>
      </c>
      <c r="E333" s="13" t="s">
        <v>448</v>
      </c>
      <c r="F333" s="13" t="s">
        <v>456</v>
      </c>
      <c r="G333" s="13" t="s">
        <v>451</v>
      </c>
    </row>
    <row r="334" spans="1:7" hidden="1">
      <c r="A334" s="13">
        <v>333</v>
      </c>
      <c r="B334" s="1" t="s">
        <v>389</v>
      </c>
      <c r="C334" s="2">
        <v>467</v>
      </c>
      <c r="D334" s="2">
        <v>7</v>
      </c>
      <c r="E334" s="13" t="s">
        <v>449</v>
      </c>
      <c r="F334" s="13" t="s">
        <v>455</v>
      </c>
      <c r="G334" s="21" t="s">
        <v>452</v>
      </c>
    </row>
    <row r="335" spans="1:7" hidden="1">
      <c r="A335" s="13">
        <v>334</v>
      </c>
      <c r="B335" s="1" t="s">
        <v>395</v>
      </c>
      <c r="C335" s="2">
        <v>539</v>
      </c>
      <c r="D335" s="2">
        <v>7</v>
      </c>
      <c r="E335" s="13" t="s">
        <v>449</v>
      </c>
      <c r="F335" s="13" t="s">
        <v>455</v>
      </c>
      <c r="G335" s="13" t="s">
        <v>451</v>
      </c>
    </row>
    <row r="336" spans="1:7" hidden="1">
      <c r="A336" s="13">
        <v>335</v>
      </c>
      <c r="B336" s="1" t="s">
        <v>405</v>
      </c>
      <c r="C336" s="2">
        <v>771</v>
      </c>
      <c r="D336" s="2">
        <v>7</v>
      </c>
      <c r="E336" s="13" t="s">
        <v>449</v>
      </c>
      <c r="F336" s="13" t="s">
        <v>455</v>
      </c>
      <c r="G336" s="13" t="s">
        <v>451</v>
      </c>
    </row>
    <row r="337" spans="1:7" hidden="1">
      <c r="A337" s="13">
        <v>336</v>
      </c>
      <c r="B337" s="1" t="s">
        <v>141</v>
      </c>
      <c r="C337" s="2">
        <v>172</v>
      </c>
      <c r="D337" s="2">
        <v>8</v>
      </c>
      <c r="E337" s="13" t="s">
        <v>449</v>
      </c>
      <c r="F337" s="13" t="s">
        <v>455</v>
      </c>
      <c r="G337" s="21" t="s">
        <v>452</v>
      </c>
    </row>
    <row r="338" spans="1:7">
      <c r="A338" s="13">
        <v>337</v>
      </c>
      <c r="B338" s="1" t="s">
        <v>377</v>
      </c>
      <c r="C338" s="2">
        <v>979</v>
      </c>
      <c r="D338" s="2">
        <v>9</v>
      </c>
      <c r="E338" s="13" t="s">
        <v>448</v>
      </c>
      <c r="F338" s="13" t="s">
        <v>456</v>
      </c>
      <c r="G338" s="13" t="s">
        <v>452</v>
      </c>
    </row>
    <row r="339" spans="1:7">
      <c r="A339" s="13">
        <v>338</v>
      </c>
      <c r="B339" s="1" t="s">
        <v>196</v>
      </c>
      <c r="C339" s="2">
        <v>115</v>
      </c>
      <c r="D339" s="2">
        <v>8</v>
      </c>
      <c r="E339" s="13" t="s">
        <v>448</v>
      </c>
      <c r="F339" s="13" t="s">
        <v>456</v>
      </c>
      <c r="G339" s="13" t="s">
        <v>451</v>
      </c>
    </row>
    <row r="340" spans="1:7" hidden="1">
      <c r="A340" s="13">
        <v>339</v>
      </c>
      <c r="B340" s="1" t="s">
        <v>223</v>
      </c>
      <c r="C340" s="2">
        <v>192</v>
      </c>
      <c r="D340" s="2">
        <v>8</v>
      </c>
      <c r="E340" s="13" t="s">
        <v>449</v>
      </c>
      <c r="F340" s="13" t="s">
        <v>455</v>
      </c>
      <c r="G340" s="21" t="s">
        <v>452</v>
      </c>
    </row>
    <row r="341" spans="1:7" hidden="1">
      <c r="A341" s="13">
        <v>340</v>
      </c>
      <c r="B341" s="1" t="s">
        <v>224</v>
      </c>
      <c r="C341" s="2">
        <v>193</v>
      </c>
      <c r="D341" s="2">
        <v>8</v>
      </c>
      <c r="E341" s="13" t="s">
        <v>449</v>
      </c>
      <c r="F341" s="13" t="s">
        <v>455</v>
      </c>
      <c r="G341" s="21" t="s">
        <v>452</v>
      </c>
    </row>
    <row r="342" spans="1:7">
      <c r="A342" s="13">
        <v>341</v>
      </c>
      <c r="B342" s="1" t="s">
        <v>225</v>
      </c>
      <c r="C342" s="2">
        <v>252</v>
      </c>
      <c r="D342" s="2">
        <v>8</v>
      </c>
      <c r="E342" s="13" t="s">
        <v>448</v>
      </c>
      <c r="F342" s="13" t="s">
        <v>456</v>
      </c>
      <c r="G342" s="13" t="s">
        <v>451</v>
      </c>
    </row>
    <row r="343" spans="1:7" hidden="1">
      <c r="A343" s="13">
        <v>342</v>
      </c>
      <c r="B343" s="1" t="s">
        <v>228</v>
      </c>
      <c r="C343" s="2">
        <v>262</v>
      </c>
      <c r="D343" s="2">
        <v>8</v>
      </c>
      <c r="E343" s="13" t="s">
        <v>449</v>
      </c>
      <c r="F343" s="13" t="s">
        <v>455</v>
      </c>
      <c r="G343" s="21" t="s">
        <v>452</v>
      </c>
    </row>
    <row r="344" spans="1:7">
      <c r="A344" s="13">
        <v>343</v>
      </c>
      <c r="B344" s="1" t="s">
        <v>275</v>
      </c>
      <c r="C344" s="2">
        <v>248</v>
      </c>
      <c r="D344" s="2">
        <v>8</v>
      </c>
      <c r="E344" s="13" t="s">
        <v>448</v>
      </c>
      <c r="F344" s="13" t="s">
        <v>456</v>
      </c>
      <c r="G344" s="13" t="s">
        <v>451</v>
      </c>
    </row>
    <row r="345" spans="1:7" hidden="1">
      <c r="A345" s="13">
        <v>344</v>
      </c>
      <c r="B345" s="1" t="s">
        <v>288</v>
      </c>
      <c r="C345" s="2">
        <v>553</v>
      </c>
      <c r="D345" s="2">
        <v>8</v>
      </c>
      <c r="E345" s="13" t="s">
        <v>449</v>
      </c>
      <c r="F345" s="13" t="s">
        <v>455</v>
      </c>
      <c r="G345" s="21" t="s">
        <v>452</v>
      </c>
    </row>
    <row r="346" spans="1:7" hidden="1">
      <c r="A346" s="13">
        <v>345</v>
      </c>
      <c r="B346" s="6" t="s">
        <v>305</v>
      </c>
      <c r="C346" s="2">
        <v>194</v>
      </c>
      <c r="D346" s="2">
        <v>8</v>
      </c>
      <c r="E346" s="13" t="s">
        <v>449</v>
      </c>
      <c r="F346" s="13" t="s">
        <v>455</v>
      </c>
      <c r="G346" s="21" t="s">
        <v>452</v>
      </c>
    </row>
    <row r="347" spans="1:7">
      <c r="A347" s="13">
        <v>346</v>
      </c>
      <c r="B347" s="1" t="s">
        <v>338</v>
      </c>
      <c r="C347" s="2">
        <v>206</v>
      </c>
      <c r="D347" s="2">
        <v>8</v>
      </c>
      <c r="E347" s="13" t="s">
        <v>448</v>
      </c>
      <c r="F347" s="13" t="s">
        <v>456</v>
      </c>
      <c r="G347" s="13" t="s">
        <v>451</v>
      </c>
    </row>
    <row r="348" spans="1:7">
      <c r="A348" s="13">
        <v>347</v>
      </c>
      <c r="B348" s="1" t="s">
        <v>344</v>
      </c>
      <c r="C348" s="2">
        <v>244</v>
      </c>
      <c r="D348" s="2">
        <v>8</v>
      </c>
      <c r="E348" s="13" t="s">
        <v>448</v>
      </c>
      <c r="F348" s="13" t="s">
        <v>456</v>
      </c>
      <c r="G348" s="13" t="s">
        <v>451</v>
      </c>
    </row>
    <row r="349" spans="1:7">
      <c r="A349" s="13">
        <v>348</v>
      </c>
      <c r="B349" s="1" t="s">
        <v>355</v>
      </c>
      <c r="C349" s="2">
        <v>282</v>
      </c>
      <c r="D349" s="2">
        <v>8</v>
      </c>
      <c r="E349" s="13" t="s">
        <v>448</v>
      </c>
      <c r="F349" s="13" t="s">
        <v>456</v>
      </c>
      <c r="G349" s="13" t="s">
        <v>451</v>
      </c>
    </row>
    <row r="350" spans="1:7">
      <c r="A350" s="13">
        <v>349</v>
      </c>
      <c r="B350" s="1" t="s">
        <v>356</v>
      </c>
      <c r="C350" s="2">
        <v>284</v>
      </c>
      <c r="D350" s="2">
        <v>8</v>
      </c>
      <c r="E350" s="13" t="s">
        <v>448</v>
      </c>
      <c r="F350" s="13" t="s">
        <v>456</v>
      </c>
      <c r="G350" s="13" t="s">
        <v>451</v>
      </c>
    </row>
    <row r="351" spans="1:7">
      <c r="A351" s="13">
        <v>350</v>
      </c>
      <c r="B351" s="1" t="s">
        <v>365</v>
      </c>
      <c r="C351" s="2">
        <v>166</v>
      </c>
      <c r="D351" s="2">
        <v>8</v>
      </c>
      <c r="E351" s="13" t="s">
        <v>448</v>
      </c>
      <c r="F351" s="13" t="s">
        <v>456</v>
      </c>
      <c r="G351" s="13" t="s">
        <v>451</v>
      </c>
    </row>
    <row r="352" spans="1:7" hidden="1">
      <c r="A352" s="13">
        <v>351</v>
      </c>
      <c r="B352" s="1" t="s">
        <v>424</v>
      </c>
      <c r="C352" s="2">
        <v>169</v>
      </c>
      <c r="D352" s="2">
        <v>8</v>
      </c>
      <c r="E352" s="13" t="s">
        <v>449</v>
      </c>
      <c r="F352" s="13" t="s">
        <v>455</v>
      </c>
      <c r="G352" s="21" t="s">
        <v>452</v>
      </c>
    </row>
    <row r="353" spans="1:7">
      <c r="A353" s="13">
        <v>352</v>
      </c>
      <c r="B353" s="1" t="s">
        <v>439</v>
      </c>
      <c r="C353" s="2">
        <v>751</v>
      </c>
      <c r="D353" s="2">
        <v>8</v>
      </c>
      <c r="E353" s="13" t="s">
        <v>448</v>
      </c>
      <c r="F353" s="13" t="s">
        <v>456</v>
      </c>
      <c r="G353" s="13" t="s">
        <v>451</v>
      </c>
    </row>
    <row r="354" spans="1:7" hidden="1">
      <c r="A354" s="13">
        <v>353</v>
      </c>
      <c r="B354" s="1" t="s">
        <v>41</v>
      </c>
      <c r="C354" s="2">
        <v>464</v>
      </c>
      <c r="D354" s="2">
        <v>9</v>
      </c>
      <c r="E354" s="13" t="s">
        <v>449</v>
      </c>
      <c r="F354" s="13" t="s">
        <v>455</v>
      </c>
      <c r="G354" s="13" t="s">
        <v>451</v>
      </c>
    </row>
    <row r="355" spans="1:7" hidden="1">
      <c r="A355" s="13">
        <v>354</v>
      </c>
      <c r="B355" s="1" t="s">
        <v>42</v>
      </c>
      <c r="C355" s="2">
        <v>702</v>
      </c>
      <c r="D355" s="2">
        <v>9</v>
      </c>
      <c r="E355" s="13" t="s">
        <v>449</v>
      </c>
      <c r="F355" s="13" t="s">
        <v>455</v>
      </c>
      <c r="G355" s="13" t="s">
        <v>451</v>
      </c>
    </row>
    <row r="356" spans="1:7">
      <c r="A356" s="13">
        <v>355</v>
      </c>
      <c r="B356" s="1" t="s">
        <v>47</v>
      </c>
      <c r="C356" s="2">
        <v>495</v>
      </c>
      <c r="D356" s="2">
        <v>9</v>
      </c>
      <c r="E356" s="13" t="s">
        <v>448</v>
      </c>
      <c r="F356" s="13" t="s">
        <v>456</v>
      </c>
      <c r="G356" s="13" t="s">
        <v>451</v>
      </c>
    </row>
    <row r="357" spans="1:7">
      <c r="A357" s="13">
        <v>356</v>
      </c>
      <c r="B357" s="1" t="s">
        <v>380</v>
      </c>
      <c r="C357" s="2">
        <v>614</v>
      </c>
      <c r="D357" s="2">
        <v>1</v>
      </c>
      <c r="E357" s="13" t="s">
        <v>448</v>
      </c>
      <c r="F357" s="13" t="s">
        <v>456</v>
      </c>
      <c r="G357" s="13" t="s">
        <v>452</v>
      </c>
    </row>
    <row r="358" spans="1:7" hidden="1">
      <c r="A358" s="13">
        <v>357</v>
      </c>
      <c r="B358" s="1" t="s">
        <v>95</v>
      </c>
      <c r="C358" s="2">
        <v>348</v>
      </c>
      <c r="D358" s="2">
        <v>9</v>
      </c>
      <c r="E358" s="13" t="s">
        <v>449</v>
      </c>
      <c r="F358" s="13" t="s">
        <v>455</v>
      </c>
      <c r="G358" s="13" t="s">
        <v>451</v>
      </c>
    </row>
    <row r="359" spans="1:7" hidden="1">
      <c r="A359" s="13">
        <v>358</v>
      </c>
      <c r="B359" s="1" t="s">
        <v>106</v>
      </c>
      <c r="C359" s="2">
        <v>430</v>
      </c>
      <c r="D359" s="2">
        <v>9</v>
      </c>
      <c r="E359" s="13" t="s">
        <v>449</v>
      </c>
      <c r="F359" s="13" t="s">
        <v>455</v>
      </c>
      <c r="G359" s="13" t="s">
        <v>451</v>
      </c>
    </row>
    <row r="360" spans="1:7" hidden="1">
      <c r="A360" s="13">
        <v>359</v>
      </c>
      <c r="B360" s="1" t="s">
        <v>108</v>
      </c>
      <c r="C360" s="2">
        <v>431</v>
      </c>
      <c r="D360" s="2">
        <v>9</v>
      </c>
      <c r="E360" s="13" t="s">
        <v>449</v>
      </c>
      <c r="F360" s="13" t="s">
        <v>455</v>
      </c>
      <c r="G360" s="13" t="s">
        <v>451</v>
      </c>
    </row>
    <row r="361" spans="1:7" hidden="1">
      <c r="A361" s="13">
        <v>360</v>
      </c>
      <c r="B361" s="1" t="s">
        <v>139</v>
      </c>
      <c r="C361" s="2">
        <v>416</v>
      </c>
      <c r="D361" s="2">
        <v>9</v>
      </c>
      <c r="E361" s="13" t="s">
        <v>449</v>
      </c>
      <c r="F361" s="13" t="s">
        <v>455</v>
      </c>
      <c r="G361" s="13" t="s">
        <v>451</v>
      </c>
    </row>
    <row r="362" spans="1:7" hidden="1">
      <c r="A362" s="13">
        <v>361</v>
      </c>
      <c r="B362" s="1" t="s">
        <v>142</v>
      </c>
      <c r="C362" s="2">
        <v>428</v>
      </c>
      <c r="D362" s="2">
        <v>9</v>
      </c>
      <c r="E362" s="13" t="s">
        <v>449</v>
      </c>
      <c r="F362" s="13" t="s">
        <v>455</v>
      </c>
      <c r="G362" s="13" t="s">
        <v>451</v>
      </c>
    </row>
    <row r="363" spans="1:7" hidden="1">
      <c r="A363" s="13">
        <v>362</v>
      </c>
      <c r="B363" s="1" t="s">
        <v>150</v>
      </c>
      <c r="C363" s="2">
        <v>137</v>
      </c>
      <c r="D363" s="2">
        <v>9</v>
      </c>
      <c r="E363" s="13" t="s">
        <v>449</v>
      </c>
      <c r="F363" s="13" t="s">
        <v>455</v>
      </c>
      <c r="G363" s="13" t="s">
        <v>451</v>
      </c>
    </row>
    <row r="364" spans="1:7" hidden="1">
      <c r="A364" s="13">
        <v>363</v>
      </c>
      <c r="B364" s="3" t="s">
        <v>152</v>
      </c>
      <c r="C364" s="2">
        <v>870</v>
      </c>
      <c r="D364" s="2">
        <v>9</v>
      </c>
      <c r="E364" s="13" t="s">
        <v>449</v>
      </c>
      <c r="F364" s="13" t="s">
        <v>455</v>
      </c>
      <c r="G364" s="13" t="s">
        <v>451</v>
      </c>
    </row>
    <row r="365" spans="1:7">
      <c r="A365" s="13">
        <v>364</v>
      </c>
      <c r="B365" s="1" t="s">
        <v>470</v>
      </c>
      <c r="C365" s="2">
        <v>432</v>
      </c>
      <c r="D365" s="2">
        <v>9</v>
      </c>
      <c r="E365" s="13" t="s">
        <v>448</v>
      </c>
      <c r="F365" s="13" t="s">
        <v>456</v>
      </c>
      <c r="G365" s="13" t="s">
        <v>451</v>
      </c>
    </row>
    <row r="366" spans="1:7">
      <c r="A366" s="13">
        <v>365</v>
      </c>
      <c r="B366" s="1" t="s">
        <v>173</v>
      </c>
      <c r="C366" s="2">
        <v>719</v>
      </c>
      <c r="D366" s="2">
        <v>9</v>
      </c>
      <c r="E366" s="13" t="s">
        <v>448</v>
      </c>
      <c r="F366" s="13" t="s">
        <v>456</v>
      </c>
      <c r="G366" s="13" t="s">
        <v>451</v>
      </c>
    </row>
    <row r="367" spans="1:7" hidden="1">
      <c r="A367" s="13">
        <v>366</v>
      </c>
      <c r="B367" s="1" t="s">
        <v>191</v>
      </c>
      <c r="C367" s="2">
        <v>726</v>
      </c>
      <c r="D367" s="2">
        <v>9</v>
      </c>
      <c r="E367" s="13" t="s">
        <v>449</v>
      </c>
      <c r="F367" s="13" t="s">
        <v>455</v>
      </c>
      <c r="G367" s="13" t="s">
        <v>451</v>
      </c>
    </row>
    <row r="368" spans="1:7" hidden="1">
      <c r="A368" s="13">
        <v>367</v>
      </c>
      <c r="B368" s="1" t="s">
        <v>197</v>
      </c>
      <c r="C368" s="2">
        <v>413</v>
      </c>
      <c r="D368" s="2">
        <v>9</v>
      </c>
      <c r="E368" s="13" t="s">
        <v>449</v>
      </c>
      <c r="F368" s="13" t="s">
        <v>455</v>
      </c>
      <c r="G368" s="13" t="s">
        <v>451</v>
      </c>
    </row>
    <row r="369" spans="1:7">
      <c r="A369" s="13">
        <v>368</v>
      </c>
      <c r="B369" s="1" t="s">
        <v>392</v>
      </c>
      <c r="C369" s="2">
        <v>178</v>
      </c>
      <c r="D369" s="2">
        <v>9</v>
      </c>
      <c r="E369" s="13" t="s">
        <v>448</v>
      </c>
      <c r="F369" s="13" t="s">
        <v>456</v>
      </c>
      <c r="G369" s="13" t="s">
        <v>452</v>
      </c>
    </row>
    <row r="370" spans="1:7">
      <c r="A370" s="13">
        <v>369</v>
      </c>
      <c r="B370" s="7" t="s">
        <v>216</v>
      </c>
      <c r="C370" s="8">
        <v>606</v>
      </c>
      <c r="D370" s="8">
        <v>9</v>
      </c>
      <c r="E370" s="13" t="s">
        <v>448</v>
      </c>
      <c r="F370" s="13" t="s">
        <v>456</v>
      </c>
      <c r="G370" s="13" t="s">
        <v>451</v>
      </c>
    </row>
    <row r="371" spans="1:7" hidden="1">
      <c r="A371" s="13">
        <v>370</v>
      </c>
      <c r="B371" s="1" t="s">
        <v>236</v>
      </c>
      <c r="C371" s="2">
        <v>499</v>
      </c>
      <c r="D371" s="2">
        <v>9</v>
      </c>
      <c r="E371" s="13" t="s">
        <v>449</v>
      </c>
      <c r="F371" s="13" t="s">
        <v>455</v>
      </c>
      <c r="G371" s="13" t="s">
        <v>451</v>
      </c>
    </row>
    <row r="372" spans="1:7" hidden="1">
      <c r="A372" s="13">
        <v>371</v>
      </c>
      <c r="B372" s="7" t="s">
        <v>240</v>
      </c>
      <c r="C372" s="8">
        <v>842</v>
      </c>
      <c r="D372" s="8">
        <v>9</v>
      </c>
      <c r="E372" s="13" t="s">
        <v>449</v>
      </c>
      <c r="F372" s="13" t="s">
        <v>455</v>
      </c>
      <c r="G372" s="13" t="s">
        <v>451</v>
      </c>
    </row>
    <row r="373" spans="1:7" hidden="1">
      <c r="A373" s="13">
        <v>372</v>
      </c>
      <c r="B373" s="1" t="s">
        <v>246</v>
      </c>
      <c r="C373" s="2">
        <v>689</v>
      </c>
      <c r="D373" s="2">
        <v>9</v>
      </c>
      <c r="E373" s="13" t="s">
        <v>449</v>
      </c>
      <c r="F373" s="13" t="s">
        <v>455</v>
      </c>
      <c r="G373" s="13" t="s">
        <v>451</v>
      </c>
    </row>
    <row r="374" spans="1:7" hidden="1">
      <c r="A374" s="13">
        <v>373</v>
      </c>
      <c r="B374" s="1" t="s">
        <v>296</v>
      </c>
      <c r="C374" s="2">
        <v>577</v>
      </c>
      <c r="D374" s="2">
        <v>9</v>
      </c>
      <c r="E374" s="13" t="s">
        <v>449</v>
      </c>
      <c r="F374" s="13" t="s">
        <v>455</v>
      </c>
      <c r="G374" s="13" t="s">
        <v>451</v>
      </c>
    </row>
    <row r="375" spans="1:7">
      <c r="A375" s="13">
        <v>374</v>
      </c>
      <c r="B375" s="1" t="s">
        <v>461</v>
      </c>
      <c r="C375" s="2">
        <v>583</v>
      </c>
      <c r="D375" s="2">
        <v>1</v>
      </c>
      <c r="E375" s="13" t="s">
        <v>448</v>
      </c>
      <c r="F375" s="13" t="s">
        <v>456</v>
      </c>
      <c r="G375" s="13" t="s">
        <v>452</v>
      </c>
    </row>
    <row r="376" spans="1:7" hidden="1">
      <c r="A376" s="13">
        <v>375</v>
      </c>
      <c r="B376" s="1" t="s">
        <v>317</v>
      </c>
      <c r="C376" s="2">
        <v>690</v>
      </c>
      <c r="D376" s="2">
        <v>9</v>
      </c>
      <c r="E376" s="13" t="s">
        <v>449</v>
      </c>
      <c r="F376" s="13" t="s">
        <v>455</v>
      </c>
      <c r="G376" s="13" t="s">
        <v>451</v>
      </c>
    </row>
    <row r="377" spans="1:7">
      <c r="A377" s="13">
        <v>376</v>
      </c>
      <c r="B377" s="1" t="s">
        <v>402</v>
      </c>
      <c r="C377" s="2">
        <v>217</v>
      </c>
      <c r="D377" s="2">
        <v>10</v>
      </c>
      <c r="E377" s="13" t="s">
        <v>448</v>
      </c>
      <c r="F377" s="13" t="s">
        <v>456</v>
      </c>
      <c r="G377" s="13" t="s">
        <v>452</v>
      </c>
    </row>
    <row r="378" spans="1:7">
      <c r="A378" s="13">
        <v>377</v>
      </c>
      <c r="B378" s="1" t="s">
        <v>361</v>
      </c>
      <c r="C378" s="2">
        <v>131</v>
      </c>
      <c r="D378" s="2">
        <v>7</v>
      </c>
      <c r="E378" s="13" t="s">
        <v>448</v>
      </c>
      <c r="F378" s="13" t="s">
        <v>455</v>
      </c>
      <c r="G378" s="13" t="s">
        <v>452</v>
      </c>
    </row>
    <row r="379" spans="1:7" hidden="1">
      <c r="A379" s="13">
        <v>378</v>
      </c>
      <c r="B379" s="1" t="s">
        <v>407</v>
      </c>
      <c r="C379" s="2">
        <v>507</v>
      </c>
      <c r="D379" s="2">
        <v>9</v>
      </c>
      <c r="E379" s="13" t="s">
        <v>449</v>
      </c>
      <c r="F379" s="13" t="s">
        <v>455</v>
      </c>
      <c r="G379" s="13" t="s">
        <v>451</v>
      </c>
    </row>
    <row r="380" spans="1:7" hidden="1">
      <c r="A380" s="13">
        <v>379</v>
      </c>
      <c r="B380" s="1" t="s">
        <v>409</v>
      </c>
      <c r="C380" s="2">
        <v>772</v>
      </c>
      <c r="D380" s="2">
        <v>9</v>
      </c>
      <c r="E380" s="13" t="s">
        <v>449</v>
      </c>
      <c r="F380" s="13" t="s">
        <v>455</v>
      </c>
      <c r="G380" s="13" t="s">
        <v>451</v>
      </c>
    </row>
    <row r="381" spans="1:7" hidden="1">
      <c r="A381" s="13">
        <v>380</v>
      </c>
      <c r="B381" s="6" t="s">
        <v>414</v>
      </c>
      <c r="C381" s="2">
        <v>522</v>
      </c>
      <c r="D381" s="2">
        <v>9</v>
      </c>
      <c r="E381" s="13" t="s">
        <v>449</v>
      </c>
      <c r="F381" s="13" t="s">
        <v>455</v>
      </c>
      <c r="G381" s="13" t="s">
        <v>451</v>
      </c>
    </row>
    <row r="382" spans="1:7" hidden="1">
      <c r="A382" s="13">
        <v>381</v>
      </c>
      <c r="B382" s="1" t="s">
        <v>418</v>
      </c>
      <c r="C382" s="2">
        <v>216</v>
      </c>
      <c r="D382" s="2">
        <v>9</v>
      </c>
      <c r="E382" s="13" t="s">
        <v>449</v>
      </c>
      <c r="F382" s="13" t="s">
        <v>455</v>
      </c>
      <c r="G382" s="13" t="s">
        <v>451</v>
      </c>
    </row>
    <row r="383" spans="1:7">
      <c r="A383" s="13">
        <v>382</v>
      </c>
      <c r="B383" s="1" t="s">
        <v>421</v>
      </c>
      <c r="C383" s="2">
        <v>717</v>
      </c>
      <c r="D383" s="2">
        <v>9</v>
      </c>
      <c r="E383" s="13" t="s">
        <v>448</v>
      </c>
      <c r="F383" s="13" t="s">
        <v>456</v>
      </c>
      <c r="G383" s="13" t="s">
        <v>451</v>
      </c>
    </row>
    <row r="384" spans="1:7" hidden="1">
      <c r="A384" s="13">
        <v>383</v>
      </c>
      <c r="B384" s="1" t="s">
        <v>427</v>
      </c>
      <c r="C384" s="2">
        <v>900</v>
      </c>
      <c r="D384" s="2">
        <v>9</v>
      </c>
      <c r="E384" s="13" t="s">
        <v>449</v>
      </c>
      <c r="F384" s="13" t="s">
        <v>455</v>
      </c>
      <c r="G384" s="21" t="s">
        <v>452</v>
      </c>
    </row>
    <row r="385" spans="1:7" hidden="1">
      <c r="A385" s="13">
        <v>384</v>
      </c>
      <c r="B385" s="1" t="s">
        <v>428</v>
      </c>
      <c r="C385" s="2">
        <v>215</v>
      </c>
      <c r="D385" s="2">
        <v>9</v>
      </c>
      <c r="E385" s="13" t="s">
        <v>449</v>
      </c>
      <c r="F385" s="13" t="s">
        <v>455</v>
      </c>
      <c r="G385" s="21" t="s">
        <v>452</v>
      </c>
    </row>
    <row r="386" spans="1:7" hidden="1">
      <c r="A386" s="13">
        <v>385</v>
      </c>
      <c r="B386" s="1" t="s">
        <v>431</v>
      </c>
      <c r="C386" s="2">
        <v>343</v>
      </c>
      <c r="D386" s="2">
        <v>9</v>
      </c>
      <c r="E386" s="13" t="s">
        <v>449</v>
      </c>
      <c r="F386" s="13" t="s">
        <v>455</v>
      </c>
      <c r="G386" s="13" t="s">
        <v>451</v>
      </c>
    </row>
    <row r="387" spans="1:7" hidden="1">
      <c r="A387" s="13">
        <v>386</v>
      </c>
      <c r="B387" s="1" t="s">
        <v>434</v>
      </c>
      <c r="C387" s="2">
        <v>562</v>
      </c>
      <c r="D387" s="2">
        <v>9</v>
      </c>
      <c r="E387" s="13" t="s">
        <v>449</v>
      </c>
      <c r="F387" s="13" t="s">
        <v>455</v>
      </c>
      <c r="G387" s="13" t="s">
        <v>451</v>
      </c>
    </row>
    <row r="388" spans="1:7" hidden="1">
      <c r="A388" s="13">
        <v>387</v>
      </c>
      <c r="B388" s="1" t="s">
        <v>435</v>
      </c>
      <c r="C388" s="2">
        <v>336</v>
      </c>
      <c r="D388" s="2">
        <v>9</v>
      </c>
      <c r="E388" s="13" t="s">
        <v>449</v>
      </c>
      <c r="F388" s="13" t="s">
        <v>455</v>
      </c>
      <c r="G388" s="13" t="s">
        <v>451</v>
      </c>
    </row>
    <row r="389" spans="1:7" hidden="1">
      <c r="A389" s="13">
        <v>388</v>
      </c>
      <c r="B389" s="6" t="s">
        <v>442</v>
      </c>
      <c r="C389" s="2">
        <v>133</v>
      </c>
      <c r="D389" s="2">
        <v>9</v>
      </c>
      <c r="E389" s="13" t="s">
        <v>449</v>
      </c>
      <c r="F389" s="13" t="s">
        <v>455</v>
      </c>
      <c r="G389" s="13" t="s">
        <v>451</v>
      </c>
    </row>
    <row r="390" spans="1:7" hidden="1">
      <c r="A390" s="13">
        <v>389</v>
      </c>
      <c r="B390" s="1" t="s">
        <v>39</v>
      </c>
      <c r="C390" s="2">
        <v>162</v>
      </c>
      <c r="D390" s="2">
        <v>10</v>
      </c>
      <c r="E390" s="13" t="s">
        <v>449</v>
      </c>
      <c r="F390" s="13" t="s">
        <v>455</v>
      </c>
      <c r="G390" s="21" t="s">
        <v>452</v>
      </c>
    </row>
    <row r="391" spans="1:7">
      <c r="A391" s="13">
        <v>390</v>
      </c>
      <c r="B391" s="1" t="s">
        <v>68</v>
      </c>
      <c r="C391" s="2">
        <v>117</v>
      </c>
      <c r="D391" s="2">
        <v>10</v>
      </c>
      <c r="E391" s="13" t="s">
        <v>448</v>
      </c>
      <c r="F391" s="13" t="s">
        <v>456</v>
      </c>
      <c r="G391" s="13" t="s">
        <v>451</v>
      </c>
    </row>
    <row r="392" spans="1:7">
      <c r="A392" s="13">
        <v>391</v>
      </c>
      <c r="B392" s="1" t="s">
        <v>471</v>
      </c>
      <c r="C392" s="2">
        <v>421</v>
      </c>
      <c r="D392" s="2">
        <v>10</v>
      </c>
      <c r="E392" s="13" t="s">
        <v>448</v>
      </c>
      <c r="F392" s="13" t="s">
        <v>456</v>
      </c>
      <c r="G392" s="13" t="s">
        <v>451</v>
      </c>
    </row>
    <row r="393" spans="1:7">
      <c r="A393" s="13">
        <v>392</v>
      </c>
      <c r="B393" s="1" t="s">
        <v>155</v>
      </c>
      <c r="C393" s="2">
        <v>433</v>
      </c>
      <c r="D393" s="2">
        <v>10</v>
      </c>
      <c r="E393" s="13" t="s">
        <v>448</v>
      </c>
      <c r="F393" s="13" t="s">
        <v>456</v>
      </c>
      <c r="G393" s="13" t="s">
        <v>451</v>
      </c>
    </row>
    <row r="394" spans="1:7">
      <c r="A394" s="13">
        <v>393</v>
      </c>
      <c r="B394" s="1" t="s">
        <v>220</v>
      </c>
      <c r="C394" s="2">
        <v>683</v>
      </c>
      <c r="D394" s="2">
        <v>10</v>
      </c>
      <c r="E394" s="13" t="s">
        <v>448</v>
      </c>
      <c r="F394" s="13" t="s">
        <v>456</v>
      </c>
      <c r="G394" s="13" t="s">
        <v>451</v>
      </c>
    </row>
    <row r="395" spans="1:7">
      <c r="A395" s="13">
        <v>394</v>
      </c>
      <c r="B395" s="1" t="s">
        <v>244</v>
      </c>
      <c r="C395" s="2">
        <v>423</v>
      </c>
      <c r="D395" s="2">
        <v>10</v>
      </c>
      <c r="E395" s="13" t="s">
        <v>448</v>
      </c>
      <c r="F395" s="13" t="s">
        <v>456</v>
      </c>
      <c r="G395" s="13" t="s">
        <v>451</v>
      </c>
    </row>
    <row r="396" spans="1:7">
      <c r="A396" s="13">
        <v>395</v>
      </c>
      <c r="B396" s="1" t="s">
        <v>329</v>
      </c>
      <c r="C396" s="2">
        <v>112</v>
      </c>
      <c r="D396" s="2">
        <v>10</v>
      </c>
      <c r="E396" s="13" t="s">
        <v>448</v>
      </c>
      <c r="F396" s="13" t="s">
        <v>456</v>
      </c>
      <c r="G396" s="13" t="s">
        <v>451</v>
      </c>
    </row>
    <row r="397" spans="1:7">
      <c r="A397" s="13">
        <v>396</v>
      </c>
      <c r="B397" s="1" t="s">
        <v>333</v>
      </c>
      <c r="C397" s="2">
        <v>491</v>
      </c>
      <c r="D397" s="2">
        <v>10</v>
      </c>
      <c r="E397" s="13" t="s">
        <v>448</v>
      </c>
      <c r="F397" s="13" t="s">
        <v>456</v>
      </c>
      <c r="G397" s="13" t="s">
        <v>451</v>
      </c>
    </row>
    <row r="398" spans="1:7">
      <c r="A398" s="13">
        <v>397</v>
      </c>
      <c r="B398" s="1" t="s">
        <v>346</v>
      </c>
      <c r="C398" s="2">
        <v>106</v>
      </c>
      <c r="D398" s="2">
        <v>10</v>
      </c>
      <c r="E398" s="13" t="s">
        <v>448</v>
      </c>
      <c r="F398" s="13" t="s">
        <v>456</v>
      </c>
      <c r="G398" s="13" t="s">
        <v>451</v>
      </c>
    </row>
    <row r="399" spans="1:7">
      <c r="A399" s="13">
        <v>398</v>
      </c>
      <c r="B399" s="1" t="s">
        <v>267</v>
      </c>
      <c r="C399" s="2">
        <v>447</v>
      </c>
      <c r="D399" s="2">
        <v>7</v>
      </c>
      <c r="E399" s="13" t="s">
        <v>448</v>
      </c>
      <c r="F399" s="13" t="s">
        <v>455</v>
      </c>
      <c r="G399" s="13" t="s">
        <v>451</v>
      </c>
    </row>
    <row r="400" spans="1:7">
      <c r="A400" s="13">
        <v>399</v>
      </c>
      <c r="B400" s="1" t="s">
        <v>472</v>
      </c>
      <c r="C400" s="2">
        <v>285</v>
      </c>
      <c r="D400" s="2">
        <v>10</v>
      </c>
      <c r="E400" s="13" t="s">
        <v>448</v>
      </c>
      <c r="F400" s="13" t="s">
        <v>456</v>
      </c>
      <c r="G400" s="13" t="s">
        <v>451</v>
      </c>
    </row>
    <row r="401" spans="1:7" hidden="1">
      <c r="A401" s="13">
        <v>400</v>
      </c>
      <c r="B401" s="1" t="s">
        <v>382</v>
      </c>
      <c r="C401" s="2">
        <v>286</v>
      </c>
      <c r="D401" s="2">
        <v>10</v>
      </c>
      <c r="E401" s="13" t="s">
        <v>449</v>
      </c>
      <c r="F401" s="13" t="s">
        <v>456</v>
      </c>
      <c r="G401" s="21" t="s">
        <v>452</v>
      </c>
    </row>
    <row r="402" spans="1:7">
      <c r="A402" s="13">
        <v>401</v>
      </c>
      <c r="B402" s="1" t="s">
        <v>383</v>
      </c>
      <c r="C402" s="2">
        <v>287</v>
      </c>
      <c r="D402" s="2">
        <v>10</v>
      </c>
      <c r="E402" s="13" t="s">
        <v>448</v>
      </c>
      <c r="F402" s="13" t="s">
        <v>456</v>
      </c>
      <c r="G402" s="13" t="s">
        <v>451</v>
      </c>
    </row>
    <row r="403" spans="1:7">
      <c r="A403" s="13">
        <v>402</v>
      </c>
      <c r="B403" s="1" t="s">
        <v>384</v>
      </c>
      <c r="C403" s="2">
        <v>289</v>
      </c>
      <c r="D403" s="2">
        <v>10</v>
      </c>
      <c r="E403" s="13" t="s">
        <v>448</v>
      </c>
      <c r="F403" s="13" t="s">
        <v>456</v>
      </c>
      <c r="G403" s="13" t="s">
        <v>451</v>
      </c>
    </row>
    <row r="404" spans="1:7">
      <c r="A404" s="13">
        <v>403</v>
      </c>
      <c r="B404" s="1" t="s">
        <v>422</v>
      </c>
      <c r="C404" s="2">
        <v>331</v>
      </c>
      <c r="D404" s="2">
        <v>10</v>
      </c>
      <c r="E404" s="13" t="s">
        <v>448</v>
      </c>
      <c r="F404" s="13" t="s">
        <v>456</v>
      </c>
      <c r="G404" s="13" t="s">
        <v>452</v>
      </c>
    </row>
    <row r="405" spans="1:7">
      <c r="A405" s="13">
        <v>404</v>
      </c>
      <c r="B405" s="1" t="s">
        <v>420</v>
      </c>
      <c r="C405" s="2">
        <v>703</v>
      </c>
      <c r="D405" s="2">
        <v>10</v>
      </c>
      <c r="E405" s="13" t="s">
        <v>448</v>
      </c>
      <c r="F405" s="13" t="s">
        <v>456</v>
      </c>
      <c r="G405" s="13" t="s">
        <v>451</v>
      </c>
    </row>
    <row r="406" spans="1:7">
      <c r="A406" s="13">
        <v>405</v>
      </c>
      <c r="B406" s="1" t="s">
        <v>473</v>
      </c>
      <c r="C406" s="2">
        <v>255</v>
      </c>
      <c r="D406" s="2">
        <v>11</v>
      </c>
      <c r="E406" s="13" t="s">
        <v>448</v>
      </c>
      <c r="F406" s="13" t="s">
        <v>456</v>
      </c>
      <c r="G406" s="13" t="s">
        <v>452</v>
      </c>
    </row>
    <row r="407" spans="1:7">
      <c r="A407" s="13">
        <v>406</v>
      </c>
      <c r="B407" s="1" t="s">
        <v>423</v>
      </c>
      <c r="C407" s="2">
        <v>168</v>
      </c>
      <c r="D407" s="2">
        <v>10</v>
      </c>
      <c r="E407" s="13" t="s">
        <v>448</v>
      </c>
      <c r="F407" s="13" t="s">
        <v>456</v>
      </c>
      <c r="G407" s="13" t="s">
        <v>451</v>
      </c>
    </row>
    <row r="408" spans="1:7">
      <c r="A408" s="13">
        <v>407</v>
      </c>
      <c r="B408" s="1" t="s">
        <v>426</v>
      </c>
      <c r="C408" s="2">
        <v>204</v>
      </c>
      <c r="D408" s="2">
        <v>10</v>
      </c>
      <c r="E408" s="13" t="s">
        <v>448</v>
      </c>
      <c r="F408" s="13" t="s">
        <v>456</v>
      </c>
      <c r="G408" s="13" t="s">
        <v>451</v>
      </c>
    </row>
    <row r="409" spans="1:7" hidden="1">
      <c r="A409" s="13">
        <v>408</v>
      </c>
      <c r="B409" s="1" t="s">
        <v>429</v>
      </c>
      <c r="C409" s="2">
        <v>608</v>
      </c>
      <c r="D409" s="2">
        <v>10</v>
      </c>
      <c r="E409" s="13" t="s">
        <v>449</v>
      </c>
      <c r="F409" s="13" t="s">
        <v>455</v>
      </c>
      <c r="G409" s="13" t="s">
        <v>451</v>
      </c>
    </row>
    <row r="410" spans="1:7">
      <c r="A410" s="13">
        <v>409</v>
      </c>
      <c r="B410" s="1" t="s">
        <v>430</v>
      </c>
      <c r="C410" s="2">
        <v>957</v>
      </c>
      <c r="D410" s="2">
        <v>10</v>
      </c>
      <c r="E410" s="13" t="s">
        <v>448</v>
      </c>
      <c r="F410" s="13" t="s">
        <v>456</v>
      </c>
      <c r="G410" s="13" t="s">
        <v>451</v>
      </c>
    </row>
    <row r="411" spans="1:7">
      <c r="A411" s="13">
        <v>410</v>
      </c>
      <c r="B411" s="6" t="s">
        <v>441</v>
      </c>
      <c r="C411" s="2">
        <v>109</v>
      </c>
      <c r="D411" s="2">
        <v>10</v>
      </c>
      <c r="E411" s="13" t="s">
        <v>448</v>
      </c>
      <c r="F411" s="13" t="s">
        <v>456</v>
      </c>
      <c r="G411" s="13" t="s">
        <v>451</v>
      </c>
    </row>
    <row r="412" spans="1:7">
      <c r="A412" s="13">
        <v>411</v>
      </c>
      <c r="B412" s="1" t="s">
        <v>2</v>
      </c>
      <c r="C412" s="2">
        <v>211</v>
      </c>
      <c r="D412" s="2">
        <v>11</v>
      </c>
      <c r="E412" s="13" t="s">
        <v>448</v>
      </c>
      <c r="F412" s="13" t="s">
        <v>456</v>
      </c>
      <c r="G412" s="13" t="s">
        <v>451</v>
      </c>
    </row>
    <row r="413" spans="1:7">
      <c r="A413" s="13">
        <v>412</v>
      </c>
      <c r="B413" s="1" t="s">
        <v>4</v>
      </c>
      <c r="C413" s="2">
        <v>119</v>
      </c>
      <c r="D413" s="2">
        <v>11</v>
      </c>
      <c r="E413" s="13" t="s">
        <v>448</v>
      </c>
      <c r="F413" s="13" t="s">
        <v>456</v>
      </c>
      <c r="G413" s="13" t="s">
        <v>451</v>
      </c>
    </row>
    <row r="414" spans="1:7">
      <c r="A414" s="13">
        <v>413</v>
      </c>
      <c r="B414" s="1" t="s">
        <v>359</v>
      </c>
      <c r="C414" s="2">
        <v>959</v>
      </c>
      <c r="D414" s="2">
        <v>10</v>
      </c>
      <c r="E414" s="13" t="s">
        <v>448</v>
      </c>
      <c r="F414" s="13" t="s">
        <v>455</v>
      </c>
      <c r="G414" s="13" t="s">
        <v>451</v>
      </c>
    </row>
    <row r="415" spans="1:7" hidden="1">
      <c r="A415" s="13">
        <v>414</v>
      </c>
      <c r="B415" s="1" t="s">
        <v>21</v>
      </c>
      <c r="C415" s="2">
        <v>160</v>
      </c>
      <c r="D415" s="2">
        <v>11</v>
      </c>
      <c r="E415" s="13" t="s">
        <v>449</v>
      </c>
      <c r="F415" s="13" t="s">
        <v>455</v>
      </c>
      <c r="G415" s="21" t="s">
        <v>452</v>
      </c>
    </row>
    <row r="416" spans="1:7" hidden="1">
      <c r="A416" s="13">
        <v>415</v>
      </c>
      <c r="B416" s="1" t="s">
        <v>22</v>
      </c>
      <c r="C416" s="2">
        <v>159</v>
      </c>
      <c r="D416" s="2">
        <v>11</v>
      </c>
      <c r="E416" s="13" t="s">
        <v>449</v>
      </c>
      <c r="F416" s="13" t="s">
        <v>455</v>
      </c>
      <c r="G416" s="13" t="s">
        <v>451</v>
      </c>
    </row>
    <row r="417" spans="1:7">
      <c r="A417" s="13">
        <v>416</v>
      </c>
      <c r="B417" s="1" t="s">
        <v>20</v>
      </c>
      <c r="C417" s="2">
        <v>100</v>
      </c>
      <c r="D417" s="2">
        <v>11</v>
      </c>
      <c r="E417" s="13" t="s">
        <v>448</v>
      </c>
      <c r="F417" s="13" t="s">
        <v>455</v>
      </c>
      <c r="G417" s="13" t="s">
        <v>454</v>
      </c>
    </row>
    <row r="418" spans="1:7">
      <c r="A418" s="13">
        <v>417</v>
      </c>
      <c r="B418" s="1" t="s">
        <v>24</v>
      </c>
      <c r="C418" s="4">
        <v>101</v>
      </c>
      <c r="D418" s="2">
        <v>11</v>
      </c>
      <c r="E418" s="13" t="s">
        <v>448</v>
      </c>
      <c r="F418" s="13" t="s">
        <v>455</v>
      </c>
      <c r="G418" s="13" t="s">
        <v>454</v>
      </c>
    </row>
    <row r="419" spans="1:7">
      <c r="A419" s="13">
        <v>418</v>
      </c>
      <c r="B419" s="1" t="s">
        <v>31</v>
      </c>
      <c r="C419" s="2">
        <v>826</v>
      </c>
      <c r="D419" s="2">
        <v>11</v>
      </c>
      <c r="E419" s="13" t="s">
        <v>448</v>
      </c>
      <c r="F419" s="13" t="s">
        <v>456</v>
      </c>
      <c r="G419" s="13" t="s">
        <v>451</v>
      </c>
    </row>
    <row r="420" spans="1:7">
      <c r="A420" s="13">
        <v>419</v>
      </c>
      <c r="B420" s="1" t="s">
        <v>53</v>
      </c>
      <c r="C420" s="2">
        <v>497</v>
      </c>
      <c r="D420" s="2">
        <v>11</v>
      </c>
      <c r="E420" s="13" t="s">
        <v>448</v>
      </c>
      <c r="F420" s="13" t="s">
        <v>456</v>
      </c>
      <c r="G420" s="13" t="s">
        <v>451</v>
      </c>
    </row>
    <row r="421" spans="1:7">
      <c r="A421" s="13">
        <v>420</v>
      </c>
      <c r="B421" s="1" t="s">
        <v>64</v>
      </c>
      <c r="C421" s="2">
        <v>116</v>
      </c>
      <c r="D421" s="2">
        <v>11</v>
      </c>
      <c r="E421" s="13" t="s">
        <v>448</v>
      </c>
      <c r="F421" s="13" t="s">
        <v>456</v>
      </c>
      <c r="G421" s="13" t="s">
        <v>451</v>
      </c>
    </row>
    <row r="422" spans="1:7" hidden="1">
      <c r="A422" s="13">
        <v>421</v>
      </c>
      <c r="B422" s="1" t="s">
        <v>96</v>
      </c>
      <c r="C422" s="2">
        <v>548</v>
      </c>
      <c r="D422" s="2">
        <v>11</v>
      </c>
      <c r="E422" s="13" t="s">
        <v>449</v>
      </c>
      <c r="F422" s="13" t="s">
        <v>455</v>
      </c>
      <c r="G422" s="21" t="s">
        <v>452</v>
      </c>
    </row>
    <row r="423" spans="1:7" hidden="1">
      <c r="A423" s="13">
        <v>422</v>
      </c>
      <c r="B423" s="7" t="s">
        <v>97</v>
      </c>
      <c r="C423" s="8">
        <v>947</v>
      </c>
      <c r="D423" s="8">
        <v>11</v>
      </c>
      <c r="E423" s="13" t="s">
        <v>449</v>
      </c>
      <c r="F423" s="13" t="s">
        <v>455</v>
      </c>
      <c r="G423" s="21" t="s">
        <v>452</v>
      </c>
    </row>
    <row r="424" spans="1:7" hidden="1">
      <c r="A424" s="13">
        <v>423</v>
      </c>
      <c r="B424" s="7" t="s">
        <v>101</v>
      </c>
      <c r="C424" s="2">
        <v>946</v>
      </c>
      <c r="D424" s="2">
        <v>11</v>
      </c>
      <c r="E424" s="13" t="s">
        <v>449</v>
      </c>
      <c r="F424" s="13" t="s">
        <v>455</v>
      </c>
      <c r="G424" s="13" t="s">
        <v>451</v>
      </c>
    </row>
    <row r="425" spans="1:7" hidden="1">
      <c r="A425" s="13">
        <v>424</v>
      </c>
      <c r="B425" s="1" t="s">
        <v>123</v>
      </c>
      <c r="C425" s="2">
        <v>938</v>
      </c>
      <c r="D425" s="2">
        <v>11</v>
      </c>
      <c r="E425" s="13" t="s">
        <v>449</v>
      </c>
      <c r="F425" s="13" t="s">
        <v>455</v>
      </c>
      <c r="G425" s="21" t="s">
        <v>452</v>
      </c>
    </row>
    <row r="426" spans="1:7" hidden="1">
      <c r="A426" s="13">
        <v>425</v>
      </c>
      <c r="B426" s="1" t="s">
        <v>129</v>
      </c>
      <c r="C426" s="2">
        <v>889</v>
      </c>
      <c r="D426" s="2">
        <v>11</v>
      </c>
      <c r="E426" s="13" t="s">
        <v>449</v>
      </c>
      <c r="F426" s="13" t="s">
        <v>455</v>
      </c>
      <c r="G426" s="21" t="s">
        <v>452</v>
      </c>
    </row>
    <row r="427" spans="1:7" hidden="1">
      <c r="A427" s="13">
        <v>426</v>
      </c>
      <c r="B427" s="1" t="s">
        <v>163</v>
      </c>
      <c r="C427" s="2">
        <v>444</v>
      </c>
      <c r="D427" s="2">
        <v>11</v>
      </c>
      <c r="E427" s="13" t="s">
        <v>449</v>
      </c>
      <c r="F427" s="13" t="s">
        <v>455</v>
      </c>
      <c r="G427" s="13" t="s">
        <v>451</v>
      </c>
    </row>
    <row r="428" spans="1:7" hidden="1">
      <c r="A428" s="13">
        <v>427</v>
      </c>
      <c r="B428" s="1" t="s">
        <v>164</v>
      </c>
      <c r="C428" s="2">
        <v>743</v>
      </c>
      <c r="D428" s="2">
        <v>11</v>
      </c>
      <c r="E428" s="13" t="s">
        <v>449</v>
      </c>
      <c r="F428" s="13" t="s">
        <v>455</v>
      </c>
      <c r="G428" s="13" t="s">
        <v>451</v>
      </c>
    </row>
    <row r="429" spans="1:7" hidden="1">
      <c r="A429" s="13">
        <v>428</v>
      </c>
      <c r="B429" s="1" t="s">
        <v>266</v>
      </c>
      <c r="C429" s="2">
        <v>456</v>
      </c>
      <c r="D429" s="2">
        <v>11</v>
      </c>
      <c r="E429" s="13" t="s">
        <v>449</v>
      </c>
      <c r="F429" s="13" t="s">
        <v>455</v>
      </c>
      <c r="G429" s="21" t="s">
        <v>452</v>
      </c>
    </row>
    <row r="430" spans="1:7">
      <c r="A430" s="13">
        <v>429</v>
      </c>
      <c r="B430" s="1" t="s">
        <v>278</v>
      </c>
      <c r="C430" s="2">
        <v>766</v>
      </c>
      <c r="D430" s="2">
        <v>11</v>
      </c>
      <c r="E430" s="13" t="s">
        <v>448</v>
      </c>
      <c r="F430" s="13" t="s">
        <v>456</v>
      </c>
      <c r="G430" s="13" t="s">
        <v>451</v>
      </c>
    </row>
    <row r="431" spans="1:7">
      <c r="A431" s="13">
        <v>430</v>
      </c>
      <c r="B431" s="1" t="s">
        <v>324</v>
      </c>
      <c r="C431" s="2">
        <v>292</v>
      </c>
      <c r="D431" s="2">
        <v>11</v>
      </c>
      <c r="E431" s="13" t="s">
        <v>448</v>
      </c>
      <c r="F431" s="13" t="s">
        <v>456</v>
      </c>
      <c r="G431" s="13" t="s">
        <v>451</v>
      </c>
    </row>
    <row r="432" spans="1:7">
      <c r="A432" s="13">
        <v>431</v>
      </c>
      <c r="B432" s="1" t="s">
        <v>326</v>
      </c>
      <c r="C432" s="2">
        <v>711</v>
      </c>
      <c r="D432" s="2">
        <v>11</v>
      </c>
      <c r="E432" s="13" t="s">
        <v>448</v>
      </c>
      <c r="F432" s="13" t="s">
        <v>456</v>
      </c>
      <c r="G432" s="13" t="s">
        <v>451</v>
      </c>
    </row>
    <row r="433" spans="1:7" hidden="1">
      <c r="A433" s="13">
        <v>432</v>
      </c>
      <c r="B433" s="1" t="s">
        <v>332</v>
      </c>
      <c r="C433" s="2">
        <v>198</v>
      </c>
      <c r="D433" s="2">
        <v>11</v>
      </c>
      <c r="E433" s="13" t="s">
        <v>449</v>
      </c>
      <c r="F433" s="13" t="s">
        <v>455</v>
      </c>
      <c r="G433" s="21" t="s">
        <v>452</v>
      </c>
    </row>
    <row r="434" spans="1:7" hidden="1">
      <c r="A434" s="13">
        <v>433</v>
      </c>
      <c r="B434" s="1" t="s">
        <v>339</v>
      </c>
      <c r="C434" s="2">
        <v>191</v>
      </c>
      <c r="D434" s="2">
        <v>11</v>
      </c>
      <c r="E434" s="13" t="s">
        <v>449</v>
      </c>
      <c r="F434" s="13" t="s">
        <v>455</v>
      </c>
      <c r="G434" s="13" t="s">
        <v>451</v>
      </c>
    </row>
    <row r="435" spans="1:7" hidden="1">
      <c r="A435" s="13">
        <v>434</v>
      </c>
      <c r="B435" s="1" t="s">
        <v>363</v>
      </c>
      <c r="C435" s="2">
        <v>745</v>
      </c>
      <c r="D435" s="2">
        <v>11</v>
      </c>
      <c r="E435" s="13" t="s">
        <v>449</v>
      </c>
      <c r="F435" s="13" t="s">
        <v>455</v>
      </c>
      <c r="G435" s="13" t="s">
        <v>451</v>
      </c>
    </row>
    <row r="436" spans="1:7">
      <c r="A436" s="13">
        <v>435</v>
      </c>
      <c r="B436" s="1" t="s">
        <v>366</v>
      </c>
      <c r="C436" s="2">
        <v>164</v>
      </c>
      <c r="D436" s="2">
        <v>11</v>
      </c>
      <c r="E436" s="13" t="s">
        <v>448</v>
      </c>
      <c r="F436" s="13" t="s">
        <v>456</v>
      </c>
      <c r="G436" s="13" t="s">
        <v>451</v>
      </c>
    </row>
    <row r="437" spans="1:7">
      <c r="A437" s="13">
        <v>436</v>
      </c>
      <c r="B437" s="1" t="s">
        <v>425</v>
      </c>
      <c r="C437" s="2">
        <v>203</v>
      </c>
      <c r="D437" s="2">
        <v>11</v>
      </c>
      <c r="E437" s="13" t="s">
        <v>448</v>
      </c>
      <c r="F437" s="13" t="s">
        <v>456</v>
      </c>
      <c r="G437" s="13" t="s">
        <v>451</v>
      </c>
    </row>
    <row r="438" spans="1:7">
      <c r="A438" s="13">
        <v>437</v>
      </c>
      <c r="B438" s="1" t="s">
        <v>432</v>
      </c>
      <c r="C438" s="2">
        <v>516</v>
      </c>
      <c r="D438" s="2">
        <v>11</v>
      </c>
      <c r="E438" s="13" t="s">
        <v>448</v>
      </c>
      <c r="F438" s="13" t="s">
        <v>456</v>
      </c>
      <c r="G438" s="13" t="s">
        <v>451</v>
      </c>
    </row>
    <row r="439" spans="1:7">
      <c r="A439" s="13">
        <v>438</v>
      </c>
      <c r="B439" s="1" t="s">
        <v>433</v>
      </c>
      <c r="C439" s="2">
        <v>311</v>
      </c>
      <c r="D439" s="2">
        <v>11</v>
      </c>
      <c r="E439" s="13" t="s">
        <v>448</v>
      </c>
      <c r="F439" s="13" t="s">
        <v>456</v>
      </c>
      <c r="G439" s="13" t="s">
        <v>451</v>
      </c>
    </row>
    <row r="440" spans="1:7">
      <c r="A440" s="13">
        <v>439</v>
      </c>
      <c r="B440" s="1" t="s">
        <v>25</v>
      </c>
      <c r="C440" s="2">
        <v>98</v>
      </c>
      <c r="D440" s="2">
        <v>11</v>
      </c>
      <c r="E440" s="13" t="s">
        <v>448</v>
      </c>
      <c r="F440" s="13" t="s">
        <v>455</v>
      </c>
      <c r="G440" s="13" t="s">
        <v>454</v>
      </c>
    </row>
    <row r="441" spans="1:7" hidden="1">
      <c r="A441" s="13">
        <v>440</v>
      </c>
      <c r="B441" s="1" t="s">
        <v>437</v>
      </c>
      <c r="C441" s="2">
        <v>256</v>
      </c>
      <c r="D441" s="2">
        <v>11</v>
      </c>
      <c r="E441" s="13" t="s">
        <v>449</v>
      </c>
      <c r="F441" s="13" t="s">
        <v>456</v>
      </c>
      <c r="G441" s="21" t="s">
        <v>452</v>
      </c>
    </row>
    <row r="442" spans="1:7">
      <c r="A442" s="13">
        <v>441</v>
      </c>
      <c r="B442" s="1" t="s">
        <v>438</v>
      </c>
      <c r="C442" s="2">
        <v>527</v>
      </c>
      <c r="D442" s="2">
        <v>11</v>
      </c>
      <c r="E442" s="13" t="s">
        <v>448</v>
      </c>
      <c r="F442" s="13" t="s">
        <v>456</v>
      </c>
      <c r="G442" s="13" t="s">
        <v>451</v>
      </c>
    </row>
    <row r="443" spans="1:7">
      <c r="A443" s="13">
        <v>442</v>
      </c>
      <c r="B443" s="1" t="s">
        <v>440</v>
      </c>
      <c r="C443" s="2">
        <v>883</v>
      </c>
      <c r="D443" s="2">
        <v>11</v>
      </c>
      <c r="E443" s="13" t="s">
        <v>448</v>
      </c>
      <c r="F443" s="13" t="s">
        <v>456</v>
      </c>
      <c r="G443" s="13" t="s">
        <v>451</v>
      </c>
    </row>
    <row r="444" spans="1:7">
      <c r="A444" s="13">
        <v>443</v>
      </c>
      <c r="B444" s="1" t="s">
        <v>460</v>
      </c>
      <c r="C444" s="2">
        <v>108</v>
      </c>
      <c r="D444" s="2">
        <v>11</v>
      </c>
      <c r="E444" s="13" t="s">
        <v>448</v>
      </c>
      <c r="F444" s="13" t="s">
        <v>456</v>
      </c>
      <c r="G444" s="13" t="s">
        <v>451</v>
      </c>
    </row>
    <row r="445" spans="1:7" hidden="1">
      <c r="A445" s="13">
        <v>444</v>
      </c>
      <c r="B445" s="1" t="s">
        <v>32</v>
      </c>
      <c r="C445" s="2">
        <v>827</v>
      </c>
      <c r="D445" s="2">
        <v>12</v>
      </c>
      <c r="E445" s="13" t="s">
        <v>449</v>
      </c>
      <c r="F445" s="13" t="s">
        <v>456</v>
      </c>
      <c r="G445" s="21" t="s">
        <v>452</v>
      </c>
    </row>
    <row r="446" spans="1:7" hidden="1">
      <c r="A446" s="13">
        <v>445</v>
      </c>
      <c r="B446" s="1" t="s">
        <v>44</v>
      </c>
      <c r="C446" s="2">
        <v>942</v>
      </c>
      <c r="D446" s="2">
        <v>12</v>
      </c>
      <c r="E446" s="13" t="s">
        <v>449</v>
      </c>
      <c r="F446" s="13" t="s">
        <v>455</v>
      </c>
      <c r="G446" s="21" t="s">
        <v>452</v>
      </c>
    </row>
    <row r="447" spans="1:7">
      <c r="A447" s="13">
        <v>446</v>
      </c>
      <c r="B447" s="1" t="s">
        <v>76</v>
      </c>
      <c r="C447" s="2">
        <v>175</v>
      </c>
      <c r="D447" s="2">
        <v>12</v>
      </c>
      <c r="E447" s="13" t="s">
        <v>448</v>
      </c>
      <c r="F447" s="13" t="s">
        <v>456</v>
      </c>
      <c r="G447" s="13" t="s">
        <v>451</v>
      </c>
    </row>
    <row r="448" spans="1:7" hidden="1">
      <c r="A448" s="13">
        <v>447</v>
      </c>
      <c r="B448" s="1" t="s">
        <v>88</v>
      </c>
      <c r="C448" s="2">
        <v>350</v>
      </c>
      <c r="D448" s="2">
        <v>12</v>
      </c>
      <c r="E448" s="13" t="s">
        <v>449</v>
      </c>
      <c r="F448" s="13" t="s">
        <v>455</v>
      </c>
      <c r="G448" s="21" t="s">
        <v>452</v>
      </c>
    </row>
    <row r="449" spans="1:7" hidden="1">
      <c r="A449" s="13">
        <v>448</v>
      </c>
      <c r="B449" s="1" t="s">
        <v>138</v>
      </c>
      <c r="C449" s="2">
        <v>425</v>
      </c>
      <c r="D449" s="2">
        <v>12</v>
      </c>
      <c r="E449" s="13" t="s">
        <v>449</v>
      </c>
      <c r="F449" s="13" t="s">
        <v>455</v>
      </c>
      <c r="G449" s="21" t="s">
        <v>452</v>
      </c>
    </row>
    <row r="450" spans="1:7" hidden="1">
      <c r="A450" s="13">
        <v>449</v>
      </c>
      <c r="B450" s="3" t="s">
        <v>154</v>
      </c>
      <c r="C450" s="2">
        <v>246</v>
      </c>
      <c r="D450" s="4">
        <v>12</v>
      </c>
      <c r="E450" s="13" t="s">
        <v>449</v>
      </c>
      <c r="F450" s="13" t="s">
        <v>455</v>
      </c>
      <c r="G450" s="21" t="s">
        <v>452</v>
      </c>
    </row>
    <row r="451" spans="1:7" hidden="1">
      <c r="A451" s="13">
        <v>450</v>
      </c>
      <c r="B451" s="1" t="s">
        <v>162</v>
      </c>
      <c r="C451" s="2">
        <v>552</v>
      </c>
      <c r="D451" s="2">
        <v>12</v>
      </c>
      <c r="E451" s="13" t="s">
        <v>449</v>
      </c>
      <c r="F451" s="13" t="s">
        <v>455</v>
      </c>
      <c r="G451" s="13" t="s">
        <v>451</v>
      </c>
    </row>
    <row r="452" spans="1:7" hidden="1">
      <c r="A452" s="13">
        <v>451</v>
      </c>
      <c r="B452" s="1" t="s">
        <v>162</v>
      </c>
      <c r="C452" s="2">
        <v>674</v>
      </c>
      <c r="D452" s="2">
        <v>12</v>
      </c>
      <c r="E452" s="13" t="s">
        <v>449</v>
      </c>
      <c r="F452" s="13" t="s">
        <v>455</v>
      </c>
      <c r="G452" s="13" t="s">
        <v>451</v>
      </c>
    </row>
    <row r="453" spans="1:7" hidden="1">
      <c r="A453" s="13">
        <v>452</v>
      </c>
      <c r="B453" s="1" t="s">
        <v>194</v>
      </c>
      <c r="C453" s="2">
        <v>264</v>
      </c>
      <c r="D453" s="2">
        <v>12</v>
      </c>
      <c r="E453" s="13" t="s">
        <v>449</v>
      </c>
      <c r="F453" s="13" t="s">
        <v>455</v>
      </c>
      <c r="G453" s="21" t="s">
        <v>452</v>
      </c>
    </row>
    <row r="454" spans="1:7" hidden="1">
      <c r="A454" s="13">
        <v>453</v>
      </c>
      <c r="B454" s="6" t="s">
        <v>200</v>
      </c>
      <c r="C454" s="2">
        <v>882</v>
      </c>
      <c r="D454" s="2">
        <v>12</v>
      </c>
      <c r="E454" s="13" t="s">
        <v>449</v>
      </c>
      <c r="F454" s="13" t="s">
        <v>455</v>
      </c>
      <c r="G454" s="21" t="s">
        <v>452</v>
      </c>
    </row>
    <row r="455" spans="1:7" hidden="1">
      <c r="A455" s="13">
        <v>454</v>
      </c>
      <c r="B455" s="1" t="s">
        <v>215</v>
      </c>
      <c r="C455" s="2">
        <v>831</v>
      </c>
      <c r="D455" s="2">
        <v>12</v>
      </c>
      <c r="E455" s="13" t="s">
        <v>449</v>
      </c>
      <c r="F455" s="13" t="s">
        <v>455</v>
      </c>
      <c r="G455" s="21" t="s">
        <v>452</v>
      </c>
    </row>
    <row r="456" spans="1:7" hidden="1">
      <c r="A456" s="13">
        <v>455</v>
      </c>
      <c r="B456" s="1" t="s">
        <v>217</v>
      </c>
      <c r="C456" s="2">
        <v>786</v>
      </c>
      <c r="D456" s="2">
        <v>12</v>
      </c>
      <c r="E456" s="13" t="s">
        <v>449</v>
      </c>
      <c r="F456" s="13" t="s">
        <v>455</v>
      </c>
      <c r="G456" s="21" t="s">
        <v>452</v>
      </c>
    </row>
    <row r="457" spans="1:7">
      <c r="A457" s="13">
        <v>456</v>
      </c>
      <c r="B457" s="1" t="s">
        <v>229</v>
      </c>
      <c r="C457" s="2">
        <v>250</v>
      </c>
      <c r="D457" s="2">
        <v>12</v>
      </c>
      <c r="E457" s="13" t="s">
        <v>448</v>
      </c>
      <c r="F457" s="13" t="s">
        <v>456</v>
      </c>
      <c r="G457" s="13" t="s">
        <v>451</v>
      </c>
    </row>
    <row r="458" spans="1:7" hidden="1">
      <c r="A458" s="13">
        <v>457</v>
      </c>
      <c r="B458" s="6" t="s">
        <v>328</v>
      </c>
      <c r="C458" s="2">
        <v>297</v>
      </c>
      <c r="D458" s="2">
        <v>12</v>
      </c>
      <c r="E458" s="13" t="s">
        <v>449</v>
      </c>
      <c r="F458" s="13" t="s">
        <v>455</v>
      </c>
      <c r="G458" s="21" t="s">
        <v>452</v>
      </c>
    </row>
    <row r="459" spans="1:7">
      <c r="A459" s="13">
        <v>458</v>
      </c>
      <c r="B459" s="1" t="s">
        <v>331</v>
      </c>
      <c r="C459" s="2">
        <v>202</v>
      </c>
      <c r="D459" s="2">
        <v>12</v>
      </c>
      <c r="E459" s="13" t="s">
        <v>448</v>
      </c>
      <c r="F459" s="13" t="s">
        <v>455</v>
      </c>
      <c r="G459" s="13" t="s">
        <v>451</v>
      </c>
    </row>
    <row r="460" spans="1:7">
      <c r="A460" s="13">
        <v>459</v>
      </c>
      <c r="B460" s="1" t="s">
        <v>353</v>
      </c>
      <c r="C460" s="2">
        <v>278</v>
      </c>
      <c r="D460" s="2">
        <v>12</v>
      </c>
      <c r="E460" s="13" t="s">
        <v>448</v>
      </c>
      <c r="F460" s="13" t="s">
        <v>456</v>
      </c>
      <c r="G460" s="13" t="s">
        <v>451</v>
      </c>
    </row>
    <row r="461" spans="1:7">
      <c r="A461" s="13">
        <v>460</v>
      </c>
      <c r="B461" s="1" t="s">
        <v>354</v>
      </c>
      <c r="C461" s="2">
        <v>280</v>
      </c>
      <c r="D461" s="2">
        <v>12</v>
      </c>
      <c r="E461" s="13" t="s">
        <v>448</v>
      </c>
      <c r="F461" s="13" t="s">
        <v>456</v>
      </c>
      <c r="G461" s="13" t="s">
        <v>451</v>
      </c>
    </row>
    <row r="462" spans="1:7" hidden="1">
      <c r="A462" s="13">
        <v>461</v>
      </c>
      <c r="B462" s="1" t="s">
        <v>357</v>
      </c>
      <c r="C462" s="2">
        <v>300</v>
      </c>
      <c r="D462" s="2">
        <v>12</v>
      </c>
      <c r="E462" s="13" t="s">
        <v>449</v>
      </c>
      <c r="F462" s="13" t="s">
        <v>455</v>
      </c>
      <c r="G462" s="21" t="s">
        <v>452</v>
      </c>
    </row>
    <row r="463" spans="1:7" hidden="1">
      <c r="A463" s="13">
        <v>462</v>
      </c>
      <c r="B463" s="1" t="s">
        <v>358</v>
      </c>
      <c r="C463" s="2">
        <v>301</v>
      </c>
      <c r="D463" s="2">
        <v>12</v>
      </c>
      <c r="E463" s="13" t="s">
        <v>449</v>
      </c>
      <c r="F463" s="13" t="s">
        <v>455</v>
      </c>
      <c r="G463" s="21" t="s">
        <v>452</v>
      </c>
    </row>
    <row r="464" spans="1:7">
      <c r="B464" s="10"/>
      <c r="C464" s="10"/>
      <c r="D464" s="10"/>
      <c r="E464" s="18"/>
      <c r="F464" s="18"/>
    </row>
  </sheetData>
  <autoFilter ref="A1:G463">
    <filterColumn colId="4">
      <filters>
        <filter val="AV"/>
      </filters>
    </filterColumn>
    <sortState ref="A2:G463">
      <sortCondition ref="A1"/>
    </sortState>
  </autoFilter>
  <conditionalFormatting sqref="B1:B1048576">
    <cfRule type="duplicateValues" dxfId="19" priority="52"/>
  </conditionalFormatting>
  <conditionalFormatting sqref="B1:B1048576">
    <cfRule type="duplicateValues" dxfId="18" priority="53"/>
  </conditionalFormatting>
  <conditionalFormatting sqref="B1:B1048576">
    <cfRule type="duplicateValues" dxfId="17" priority="54"/>
  </conditionalFormatting>
  <conditionalFormatting sqref="I4 B1:B1048576">
    <cfRule type="duplicateValues" dxfId="16" priority="12"/>
  </conditionalFormatting>
  <conditionalFormatting sqref="B1:B1048576">
    <cfRule type="duplicateValues" dxfId="15" priority="56"/>
  </conditionalFormatting>
  <pageMargins left="0.25" right="0.25" top="0.25" bottom="0.2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workbookViewId="0">
      <selection activeCell="J3" sqref="J3:J14"/>
    </sheetView>
  </sheetViews>
  <sheetFormatPr defaultRowHeight="15"/>
  <cols>
    <col min="1" max="1" width="6.5703125" bestFit="1" customWidth="1"/>
    <col min="2" max="2" width="19.28515625" bestFit="1" customWidth="1"/>
    <col min="3" max="3" width="9" bestFit="1" customWidth="1"/>
    <col min="4" max="4" width="7.5703125" bestFit="1" customWidth="1"/>
    <col min="5" max="5" width="14.140625" bestFit="1" customWidth="1"/>
    <col min="6" max="6" width="18.28515625" bestFit="1" customWidth="1"/>
    <col min="7" max="7" width="9.42578125" bestFit="1" customWidth="1"/>
    <col min="9" max="9" width="5.28515625" customWidth="1"/>
    <col min="10" max="10" width="15.85546875" customWidth="1"/>
  </cols>
  <sheetData>
    <row r="1" spans="1:13">
      <c r="A1" s="12" t="s">
        <v>491</v>
      </c>
      <c r="B1" s="12" t="s">
        <v>446</v>
      </c>
      <c r="C1" s="12" t="s">
        <v>0</v>
      </c>
      <c r="D1" s="12" t="s">
        <v>1</v>
      </c>
      <c r="E1" s="11" t="s">
        <v>447</v>
      </c>
      <c r="F1" s="11" t="s">
        <v>453</v>
      </c>
      <c r="G1" s="20" t="s">
        <v>450</v>
      </c>
      <c r="J1" s="93" t="s">
        <v>452</v>
      </c>
      <c r="K1" s="93"/>
      <c r="L1" s="93" t="s">
        <v>451</v>
      </c>
      <c r="M1" s="93"/>
    </row>
    <row r="2" spans="1:13">
      <c r="A2" s="13">
        <v>1</v>
      </c>
      <c r="B2" s="1" t="s">
        <v>10</v>
      </c>
      <c r="C2" s="2">
        <v>569</v>
      </c>
      <c r="D2" s="2">
        <v>1</v>
      </c>
      <c r="E2" s="13" t="s">
        <v>448</v>
      </c>
      <c r="F2" s="13" t="s">
        <v>456</v>
      </c>
      <c r="G2" s="13" t="s">
        <v>452</v>
      </c>
      <c r="I2" t="s">
        <v>1</v>
      </c>
      <c r="J2" s="53" t="s">
        <v>493</v>
      </c>
      <c r="K2" t="s">
        <v>493</v>
      </c>
      <c r="L2" t="s">
        <v>492</v>
      </c>
      <c r="M2" t="s">
        <v>493</v>
      </c>
    </row>
    <row r="3" spans="1:13">
      <c r="A3" s="13">
        <v>2</v>
      </c>
      <c r="B3" s="1" t="s">
        <v>11</v>
      </c>
      <c r="C3" s="2">
        <v>509</v>
      </c>
      <c r="D3" s="2">
        <v>1</v>
      </c>
      <c r="E3" s="13" t="s">
        <v>448</v>
      </c>
      <c r="F3" s="13" t="s">
        <v>455</v>
      </c>
      <c r="G3" s="13" t="s">
        <v>452</v>
      </c>
      <c r="I3">
        <v>1</v>
      </c>
      <c r="J3">
        <f>COUNTIF($D$2:$D$235,1)</f>
        <v>7</v>
      </c>
    </row>
    <row r="4" spans="1:13">
      <c r="A4" s="13">
        <v>13</v>
      </c>
      <c r="B4" s="1" t="s">
        <v>13</v>
      </c>
      <c r="C4" s="2">
        <v>712</v>
      </c>
      <c r="D4" s="2">
        <v>2</v>
      </c>
      <c r="E4" s="13" t="s">
        <v>448</v>
      </c>
      <c r="F4" s="13" t="s">
        <v>456</v>
      </c>
      <c r="G4" s="13" t="s">
        <v>452</v>
      </c>
      <c r="I4">
        <v>2</v>
      </c>
      <c r="J4">
        <f>COUNTIF($D$2:$D$235,2)</f>
        <v>11</v>
      </c>
    </row>
    <row r="5" spans="1:13">
      <c r="A5" s="13">
        <v>17</v>
      </c>
      <c r="B5" s="1" t="s">
        <v>19</v>
      </c>
      <c r="C5" s="2">
        <v>769</v>
      </c>
      <c r="D5" s="2">
        <v>2</v>
      </c>
      <c r="E5" s="13" t="s">
        <v>448</v>
      </c>
      <c r="F5" s="13" t="s">
        <v>456</v>
      </c>
      <c r="G5" s="13" t="s">
        <v>452</v>
      </c>
      <c r="I5">
        <v>3</v>
      </c>
      <c r="J5">
        <f>COUNTIF($D$2:$D$235,3)</f>
        <v>14</v>
      </c>
    </row>
    <row r="6" spans="1:13">
      <c r="A6" s="13">
        <v>21</v>
      </c>
      <c r="B6" s="1" t="s">
        <v>26</v>
      </c>
      <c r="C6" s="2">
        <v>395</v>
      </c>
      <c r="D6" s="2">
        <v>4</v>
      </c>
      <c r="E6" s="13" t="s">
        <v>448</v>
      </c>
      <c r="F6" s="13" t="s">
        <v>456</v>
      </c>
      <c r="G6" s="13" t="s">
        <v>452</v>
      </c>
      <c r="I6">
        <v>4</v>
      </c>
      <c r="J6">
        <f>COUNTIF($D$2:$D$235,4)</f>
        <v>9</v>
      </c>
    </row>
    <row r="7" spans="1:13">
      <c r="A7" s="13">
        <v>46</v>
      </c>
      <c r="B7" s="1" t="s">
        <v>34</v>
      </c>
      <c r="C7" s="2">
        <v>852</v>
      </c>
      <c r="D7" s="2">
        <v>2</v>
      </c>
      <c r="E7" s="13" t="s">
        <v>448</v>
      </c>
      <c r="F7" s="13" t="s">
        <v>456</v>
      </c>
      <c r="G7" s="13" t="s">
        <v>452</v>
      </c>
      <c r="I7">
        <v>5</v>
      </c>
      <c r="J7">
        <f>COUNTIF($D$2:$D$235,5)</f>
        <v>3</v>
      </c>
    </row>
    <row r="8" spans="1:13">
      <c r="A8" s="13">
        <v>49</v>
      </c>
      <c r="B8" s="1" t="s">
        <v>43</v>
      </c>
      <c r="C8" s="2">
        <v>391</v>
      </c>
      <c r="D8" s="2">
        <v>4</v>
      </c>
      <c r="E8" s="13" t="s">
        <v>448</v>
      </c>
      <c r="F8" s="13" t="s">
        <v>456</v>
      </c>
      <c r="G8" s="13" t="s">
        <v>452</v>
      </c>
      <c r="I8">
        <v>6</v>
      </c>
      <c r="J8">
        <f>COUNTIF($D$2:$D$235,6)</f>
        <v>6</v>
      </c>
    </row>
    <row r="9" spans="1:13">
      <c r="A9" s="13">
        <v>56</v>
      </c>
      <c r="B9" s="1" t="s">
        <v>54</v>
      </c>
      <c r="C9" s="2">
        <v>686</v>
      </c>
      <c r="D9" s="2">
        <v>4</v>
      </c>
      <c r="E9" s="13" t="s">
        <v>448</v>
      </c>
      <c r="F9" s="13" t="s">
        <v>456</v>
      </c>
      <c r="G9" s="13" t="s">
        <v>452</v>
      </c>
      <c r="I9">
        <v>7</v>
      </c>
      <c r="J9">
        <f>COUNTIF($D$2:$D$235,7)</f>
        <v>7</v>
      </c>
    </row>
    <row r="10" spans="1:13">
      <c r="A10" s="13">
        <v>58</v>
      </c>
      <c r="B10" s="1" t="s">
        <v>372</v>
      </c>
      <c r="C10" s="2">
        <v>789</v>
      </c>
      <c r="D10" s="2">
        <v>2</v>
      </c>
      <c r="E10" s="13" t="s">
        <v>448</v>
      </c>
      <c r="F10" s="13" t="s">
        <v>455</v>
      </c>
      <c r="G10" s="13" t="s">
        <v>452</v>
      </c>
      <c r="I10">
        <v>8</v>
      </c>
      <c r="J10">
        <f>COUNTIF($D$2:$D$235,8)</f>
        <v>0</v>
      </c>
    </row>
    <row r="11" spans="1:13">
      <c r="A11" s="13">
        <v>59</v>
      </c>
      <c r="B11" s="1" t="s">
        <v>61</v>
      </c>
      <c r="C11" s="2">
        <v>379</v>
      </c>
      <c r="D11" s="2">
        <v>4</v>
      </c>
      <c r="E11" s="13" t="s">
        <v>448</v>
      </c>
      <c r="F11" s="13" t="s">
        <v>456</v>
      </c>
      <c r="G11" s="13" t="s">
        <v>452</v>
      </c>
      <c r="I11">
        <v>9</v>
      </c>
      <c r="J11">
        <f>COUNTIF($D$2:$D$235,9)</f>
        <v>5</v>
      </c>
    </row>
    <row r="12" spans="1:13">
      <c r="A12" s="13">
        <v>71</v>
      </c>
      <c r="B12" s="1" t="s">
        <v>462</v>
      </c>
      <c r="C12" s="2">
        <v>173</v>
      </c>
      <c r="D12" s="2">
        <v>5</v>
      </c>
      <c r="E12" s="13" t="s">
        <v>448</v>
      </c>
      <c r="F12" s="13" t="s">
        <v>456</v>
      </c>
      <c r="G12" s="13" t="s">
        <v>452</v>
      </c>
      <c r="I12">
        <v>10</v>
      </c>
      <c r="J12">
        <f>COUNTIF($D$2:$D$235,10)</f>
        <v>2</v>
      </c>
    </row>
    <row r="13" spans="1:13">
      <c r="A13" s="13">
        <v>79</v>
      </c>
      <c r="B13" s="1" t="s">
        <v>78</v>
      </c>
      <c r="C13" s="2">
        <v>655</v>
      </c>
      <c r="D13" s="2">
        <v>9</v>
      </c>
      <c r="E13" s="13" t="s">
        <v>448</v>
      </c>
      <c r="F13" s="13" t="s">
        <v>456</v>
      </c>
      <c r="G13" s="13" t="s">
        <v>452</v>
      </c>
      <c r="I13">
        <v>11</v>
      </c>
      <c r="J13">
        <f>COUNTIF($D$2:$D$235,11)</f>
        <v>1</v>
      </c>
    </row>
    <row r="14" spans="1:13">
      <c r="A14" s="13">
        <v>80</v>
      </c>
      <c r="B14" s="1" t="s">
        <v>79</v>
      </c>
      <c r="C14" s="2">
        <v>652</v>
      </c>
      <c r="D14" s="2">
        <v>7</v>
      </c>
      <c r="E14" s="13" t="s">
        <v>448</v>
      </c>
      <c r="F14" s="13" t="s">
        <v>456</v>
      </c>
      <c r="G14" s="13" t="s">
        <v>452</v>
      </c>
      <c r="I14">
        <v>12</v>
      </c>
      <c r="J14">
        <f>COUNTIF($D$2:$D$235,12)</f>
        <v>0</v>
      </c>
    </row>
    <row r="15" spans="1:13">
      <c r="A15" s="13">
        <v>82</v>
      </c>
      <c r="B15" s="1" t="s">
        <v>83</v>
      </c>
      <c r="C15" s="2">
        <v>995</v>
      </c>
      <c r="D15" s="2">
        <v>6</v>
      </c>
      <c r="E15" s="13" t="s">
        <v>448</v>
      </c>
      <c r="F15" s="13" t="s">
        <v>456</v>
      </c>
      <c r="G15" s="13" t="s">
        <v>452</v>
      </c>
    </row>
    <row r="16" spans="1:13">
      <c r="A16" s="13">
        <v>90</v>
      </c>
      <c r="B16" s="1" t="s">
        <v>92</v>
      </c>
      <c r="C16" s="2">
        <v>617</v>
      </c>
      <c r="D16" s="2">
        <v>1</v>
      </c>
      <c r="E16" s="13" t="s">
        <v>448</v>
      </c>
      <c r="F16" s="13" t="s">
        <v>456</v>
      </c>
      <c r="G16" s="13" t="s">
        <v>452</v>
      </c>
    </row>
    <row r="17" spans="1:7">
      <c r="A17" s="13">
        <v>96</v>
      </c>
      <c r="B17" s="1" t="s">
        <v>100</v>
      </c>
      <c r="C17" s="2">
        <v>626</v>
      </c>
      <c r="D17" s="2">
        <v>1</v>
      </c>
      <c r="E17" s="13" t="s">
        <v>448</v>
      </c>
      <c r="F17" s="13" t="s">
        <v>456</v>
      </c>
      <c r="G17" s="13" t="s">
        <v>452</v>
      </c>
    </row>
    <row r="18" spans="1:7">
      <c r="A18" s="13">
        <v>99</v>
      </c>
      <c r="B18" s="1" t="s">
        <v>415</v>
      </c>
      <c r="C18" s="2">
        <v>487</v>
      </c>
      <c r="D18" s="2">
        <v>2</v>
      </c>
      <c r="E18" s="13" t="s">
        <v>448</v>
      </c>
      <c r="F18" s="13" t="s">
        <v>455</v>
      </c>
      <c r="G18" s="13" t="s">
        <v>452</v>
      </c>
    </row>
    <row r="19" spans="1:7">
      <c r="A19" s="13">
        <v>100</v>
      </c>
      <c r="B19" s="1" t="s">
        <v>436</v>
      </c>
      <c r="C19" s="2">
        <v>622</v>
      </c>
      <c r="D19" s="2">
        <v>2</v>
      </c>
      <c r="E19" s="13" t="s">
        <v>448</v>
      </c>
      <c r="F19" s="13" t="s">
        <v>456</v>
      </c>
      <c r="G19" s="13" t="s">
        <v>452</v>
      </c>
    </row>
    <row r="20" spans="1:7">
      <c r="A20" s="13">
        <v>117</v>
      </c>
      <c r="B20" s="1" t="s">
        <v>114</v>
      </c>
      <c r="C20" s="2">
        <v>397</v>
      </c>
      <c r="D20" s="2">
        <v>7</v>
      </c>
      <c r="E20" s="13" t="s">
        <v>448</v>
      </c>
      <c r="F20" s="13" t="s">
        <v>456</v>
      </c>
      <c r="G20" s="13" t="s">
        <v>452</v>
      </c>
    </row>
    <row r="21" spans="1:7">
      <c r="A21" s="13">
        <v>122</v>
      </c>
      <c r="B21" s="1" t="s">
        <v>117</v>
      </c>
      <c r="C21" s="2">
        <v>879</v>
      </c>
      <c r="D21" s="2">
        <v>3</v>
      </c>
      <c r="E21" s="13" t="s">
        <v>448</v>
      </c>
      <c r="F21" s="13" t="s">
        <v>456</v>
      </c>
      <c r="G21" s="13" t="s">
        <v>452</v>
      </c>
    </row>
    <row r="22" spans="1:7">
      <c r="A22" s="13">
        <v>123</v>
      </c>
      <c r="B22" s="1" t="s">
        <v>334</v>
      </c>
      <c r="C22" s="2">
        <v>132</v>
      </c>
      <c r="D22" s="2">
        <v>3</v>
      </c>
      <c r="E22" s="13" t="s">
        <v>448</v>
      </c>
      <c r="F22" s="13" t="s">
        <v>455</v>
      </c>
      <c r="G22" s="13" t="s">
        <v>452</v>
      </c>
    </row>
    <row r="23" spans="1:7">
      <c r="A23" s="13">
        <v>124</v>
      </c>
      <c r="B23" s="1" t="s">
        <v>126</v>
      </c>
      <c r="C23" s="2">
        <v>582</v>
      </c>
      <c r="D23" s="2">
        <v>1</v>
      </c>
      <c r="E23" s="13" t="s">
        <v>448</v>
      </c>
      <c r="F23" s="13" t="s">
        <v>456</v>
      </c>
      <c r="G23" s="13" t="s">
        <v>452</v>
      </c>
    </row>
    <row r="24" spans="1:7">
      <c r="A24" s="13">
        <v>128</v>
      </c>
      <c r="B24" s="1" t="s">
        <v>57</v>
      </c>
      <c r="C24" s="2">
        <v>801</v>
      </c>
      <c r="D24" s="2">
        <v>4</v>
      </c>
      <c r="E24" s="13" t="s">
        <v>448</v>
      </c>
      <c r="F24" s="13" t="s">
        <v>455</v>
      </c>
      <c r="G24" s="13" t="s">
        <v>452</v>
      </c>
    </row>
    <row r="25" spans="1:7">
      <c r="A25" s="13">
        <v>131</v>
      </c>
      <c r="B25" s="1" t="s">
        <v>143</v>
      </c>
      <c r="C25" s="2">
        <v>885</v>
      </c>
      <c r="D25" s="2">
        <v>2</v>
      </c>
      <c r="E25" s="13" t="s">
        <v>448</v>
      </c>
      <c r="F25" s="13" t="s">
        <v>456</v>
      </c>
      <c r="G25" s="13" t="s">
        <v>452</v>
      </c>
    </row>
    <row r="26" spans="1:7">
      <c r="A26" s="13">
        <v>132</v>
      </c>
      <c r="B26" s="1" t="s">
        <v>144</v>
      </c>
      <c r="C26" s="2">
        <v>933</v>
      </c>
      <c r="D26" s="2">
        <v>3</v>
      </c>
      <c r="E26" s="13" t="s">
        <v>448</v>
      </c>
      <c r="F26" s="13" t="s">
        <v>456</v>
      </c>
      <c r="G26" s="13" t="s">
        <v>452</v>
      </c>
    </row>
    <row r="27" spans="1:7">
      <c r="A27" s="13">
        <v>133</v>
      </c>
      <c r="B27" s="1" t="s">
        <v>146</v>
      </c>
      <c r="C27" s="2">
        <v>930</v>
      </c>
      <c r="D27" s="2">
        <v>3</v>
      </c>
      <c r="E27" s="13" t="s">
        <v>448</v>
      </c>
      <c r="F27" s="13" t="s">
        <v>456</v>
      </c>
      <c r="G27" s="13" t="s">
        <v>452</v>
      </c>
    </row>
    <row r="28" spans="1:7">
      <c r="A28" s="13">
        <v>136</v>
      </c>
      <c r="B28" s="1" t="s">
        <v>147</v>
      </c>
      <c r="C28" s="2">
        <v>919</v>
      </c>
      <c r="D28" s="2">
        <v>3</v>
      </c>
      <c r="E28" s="13" t="s">
        <v>448</v>
      </c>
      <c r="F28" s="13" t="s">
        <v>456</v>
      </c>
      <c r="G28" s="13" t="s">
        <v>452</v>
      </c>
    </row>
    <row r="29" spans="1:7">
      <c r="A29" s="13">
        <v>143</v>
      </c>
      <c r="B29" s="1" t="s">
        <v>168</v>
      </c>
      <c r="C29" s="2">
        <v>372</v>
      </c>
      <c r="D29" s="2">
        <v>5</v>
      </c>
      <c r="E29" s="13" t="s">
        <v>448</v>
      </c>
      <c r="F29" s="13" t="s">
        <v>456</v>
      </c>
      <c r="G29" s="13" t="s">
        <v>452</v>
      </c>
    </row>
    <row r="30" spans="1:7">
      <c r="A30" s="13">
        <v>144</v>
      </c>
      <c r="B30" s="1" t="s">
        <v>181</v>
      </c>
      <c r="C30" s="2">
        <v>834</v>
      </c>
      <c r="D30" s="2">
        <v>7</v>
      </c>
      <c r="E30" s="13" t="s">
        <v>448</v>
      </c>
      <c r="F30" s="13" t="s">
        <v>456</v>
      </c>
      <c r="G30" s="13" t="s">
        <v>452</v>
      </c>
    </row>
    <row r="31" spans="1:7">
      <c r="A31" s="13">
        <v>145</v>
      </c>
      <c r="B31" s="1" t="s">
        <v>188</v>
      </c>
      <c r="C31" s="2">
        <v>961</v>
      </c>
      <c r="D31" s="2">
        <v>2</v>
      </c>
      <c r="E31" s="13" t="s">
        <v>448</v>
      </c>
      <c r="F31" s="13" t="s">
        <v>456</v>
      </c>
      <c r="G31" s="13" t="s">
        <v>452</v>
      </c>
    </row>
    <row r="32" spans="1:7">
      <c r="A32" s="13">
        <v>153</v>
      </c>
      <c r="B32" s="1" t="s">
        <v>193</v>
      </c>
      <c r="C32" s="2">
        <v>926</v>
      </c>
      <c r="D32" s="2">
        <v>2</v>
      </c>
      <c r="E32" s="13" t="s">
        <v>448</v>
      </c>
      <c r="F32" s="13" t="s">
        <v>456</v>
      </c>
      <c r="G32" s="13" t="s">
        <v>452</v>
      </c>
    </row>
    <row r="33" spans="1:7">
      <c r="A33" s="13">
        <v>161</v>
      </c>
      <c r="B33" s="1" t="s">
        <v>199</v>
      </c>
      <c r="C33" s="2">
        <v>887</v>
      </c>
      <c r="D33" s="2">
        <v>6</v>
      </c>
      <c r="E33" s="13" t="s">
        <v>448</v>
      </c>
      <c r="F33" s="13" t="s">
        <v>456</v>
      </c>
      <c r="G33" s="13" t="s">
        <v>452</v>
      </c>
    </row>
    <row r="34" spans="1:7">
      <c r="A34" s="13">
        <v>165</v>
      </c>
      <c r="B34" s="1" t="s">
        <v>201</v>
      </c>
      <c r="C34" s="2">
        <v>897</v>
      </c>
      <c r="D34" s="2">
        <v>3</v>
      </c>
      <c r="E34" s="13" t="s">
        <v>448</v>
      </c>
      <c r="F34" s="13" t="s">
        <v>456</v>
      </c>
      <c r="G34" s="13" t="s">
        <v>452</v>
      </c>
    </row>
    <row r="35" spans="1:7">
      <c r="A35" s="13">
        <v>168</v>
      </c>
      <c r="B35" s="1" t="s">
        <v>202</v>
      </c>
      <c r="C35" s="2">
        <v>932</v>
      </c>
      <c r="D35" s="2">
        <v>2</v>
      </c>
      <c r="E35" s="13" t="s">
        <v>448</v>
      </c>
      <c r="F35" s="13" t="s">
        <v>456</v>
      </c>
      <c r="G35" s="13" t="s">
        <v>452</v>
      </c>
    </row>
    <row r="36" spans="1:7">
      <c r="A36" s="13">
        <v>169</v>
      </c>
      <c r="B36" s="1" t="s">
        <v>203</v>
      </c>
      <c r="C36" s="2">
        <v>881</v>
      </c>
      <c r="D36" s="2">
        <v>6</v>
      </c>
      <c r="E36" s="13" t="s">
        <v>448</v>
      </c>
      <c r="F36" s="13" t="s">
        <v>456</v>
      </c>
      <c r="G36" s="13" t="s">
        <v>452</v>
      </c>
    </row>
    <row r="37" spans="1:7">
      <c r="A37" s="13">
        <v>171</v>
      </c>
      <c r="B37" s="1" t="s">
        <v>207</v>
      </c>
      <c r="C37" s="2">
        <v>529</v>
      </c>
      <c r="D37" s="2">
        <v>9</v>
      </c>
      <c r="E37" s="13" t="s">
        <v>448</v>
      </c>
      <c r="F37" s="13" t="s">
        <v>456</v>
      </c>
      <c r="G37" s="13" t="s">
        <v>452</v>
      </c>
    </row>
    <row r="38" spans="1:7">
      <c r="A38" s="13">
        <v>173</v>
      </c>
      <c r="B38" s="1" t="s">
        <v>235</v>
      </c>
      <c r="C38" s="2">
        <v>734</v>
      </c>
      <c r="D38" s="2">
        <v>4</v>
      </c>
      <c r="E38" s="13" t="s">
        <v>448</v>
      </c>
      <c r="F38" s="13" t="s">
        <v>456</v>
      </c>
      <c r="G38" s="13" t="s">
        <v>452</v>
      </c>
    </row>
    <row r="39" spans="1:7">
      <c r="A39" s="13">
        <v>188</v>
      </c>
      <c r="B39" s="1" t="s">
        <v>248</v>
      </c>
      <c r="C39" s="2">
        <v>410</v>
      </c>
      <c r="D39" s="2">
        <v>3</v>
      </c>
      <c r="E39" s="13" t="s">
        <v>448</v>
      </c>
      <c r="F39" s="13" t="s">
        <v>456</v>
      </c>
      <c r="G39" s="13" t="s">
        <v>452</v>
      </c>
    </row>
    <row r="40" spans="1:7">
      <c r="A40" s="13">
        <v>196</v>
      </c>
      <c r="B40" s="1" t="s">
        <v>249</v>
      </c>
      <c r="C40" s="2">
        <v>317</v>
      </c>
      <c r="D40" s="2">
        <v>5</v>
      </c>
      <c r="E40" s="13" t="s">
        <v>448</v>
      </c>
      <c r="F40" s="13" t="s">
        <v>456</v>
      </c>
      <c r="G40" s="13" t="s">
        <v>452</v>
      </c>
    </row>
    <row r="41" spans="1:7">
      <c r="A41" s="13">
        <v>199</v>
      </c>
      <c r="B41" s="1" t="s">
        <v>250</v>
      </c>
      <c r="C41" s="2">
        <v>382</v>
      </c>
      <c r="D41" s="2">
        <v>3</v>
      </c>
      <c r="E41" s="13" t="s">
        <v>448</v>
      </c>
      <c r="F41" s="13" t="s">
        <v>456</v>
      </c>
      <c r="G41" s="13" t="s">
        <v>452</v>
      </c>
    </row>
    <row r="42" spans="1:7">
      <c r="A42" s="13">
        <v>222</v>
      </c>
      <c r="B42" s="1" t="s">
        <v>255</v>
      </c>
      <c r="C42" s="2">
        <v>641</v>
      </c>
      <c r="D42" s="2">
        <v>3</v>
      </c>
      <c r="E42" s="13" t="s">
        <v>448</v>
      </c>
      <c r="F42" s="13" t="s">
        <v>456</v>
      </c>
      <c r="G42" s="13" t="s">
        <v>452</v>
      </c>
    </row>
    <row r="43" spans="1:7">
      <c r="A43" s="13">
        <v>224</v>
      </c>
      <c r="B43" s="1" t="s">
        <v>257</v>
      </c>
      <c r="C43" s="2">
        <v>727</v>
      </c>
      <c r="D43" s="2">
        <v>6</v>
      </c>
      <c r="E43" s="13" t="s">
        <v>448</v>
      </c>
      <c r="F43" s="13" t="s">
        <v>456</v>
      </c>
      <c r="G43" s="13" t="s">
        <v>452</v>
      </c>
    </row>
    <row r="44" spans="1:7">
      <c r="A44" s="13">
        <v>231</v>
      </c>
      <c r="B44" s="1" t="s">
        <v>279</v>
      </c>
      <c r="C44" s="2">
        <v>638</v>
      </c>
      <c r="D44" s="2">
        <v>4</v>
      </c>
      <c r="E44" s="13" t="s">
        <v>448</v>
      </c>
      <c r="F44" s="13" t="s">
        <v>456</v>
      </c>
      <c r="G44" s="13" t="s">
        <v>452</v>
      </c>
    </row>
    <row r="45" spans="1:7">
      <c r="A45" s="13">
        <v>258</v>
      </c>
      <c r="B45" s="1" t="s">
        <v>285</v>
      </c>
      <c r="C45" s="2">
        <v>563</v>
      </c>
      <c r="D45" s="2">
        <v>3</v>
      </c>
      <c r="E45" s="13" t="s">
        <v>448</v>
      </c>
      <c r="F45" s="13" t="s">
        <v>456</v>
      </c>
      <c r="G45" s="13" t="s">
        <v>452</v>
      </c>
    </row>
    <row r="46" spans="1:7">
      <c r="A46" s="13">
        <v>262</v>
      </c>
      <c r="B46" s="1" t="s">
        <v>105</v>
      </c>
      <c r="C46" s="2">
        <v>461</v>
      </c>
      <c r="D46" s="2">
        <v>4</v>
      </c>
      <c r="E46" s="13" t="s">
        <v>448</v>
      </c>
      <c r="F46" s="13" t="s">
        <v>455</v>
      </c>
      <c r="G46" s="13" t="s">
        <v>452</v>
      </c>
    </row>
    <row r="47" spans="1:7">
      <c r="A47" s="13">
        <v>263</v>
      </c>
      <c r="B47" s="1" t="s">
        <v>289</v>
      </c>
      <c r="C47" s="2">
        <v>784</v>
      </c>
      <c r="D47" s="2">
        <v>7</v>
      </c>
      <c r="E47" s="13" t="s">
        <v>448</v>
      </c>
      <c r="F47" s="13" t="s">
        <v>456</v>
      </c>
      <c r="G47" s="13" t="s">
        <v>452</v>
      </c>
    </row>
    <row r="48" spans="1:7">
      <c r="A48" s="13">
        <v>268</v>
      </c>
      <c r="B48" s="1" t="s">
        <v>294</v>
      </c>
      <c r="C48" s="2">
        <v>635</v>
      </c>
      <c r="D48" s="2">
        <v>4</v>
      </c>
      <c r="E48" s="13" t="s">
        <v>448</v>
      </c>
      <c r="F48" s="13" t="s">
        <v>456</v>
      </c>
      <c r="G48" s="13" t="s">
        <v>452</v>
      </c>
    </row>
    <row r="49" spans="1:7">
      <c r="A49" s="13">
        <v>269</v>
      </c>
      <c r="B49" s="7" t="s">
        <v>295</v>
      </c>
      <c r="C49" s="2">
        <v>633</v>
      </c>
      <c r="D49" s="2">
        <v>3</v>
      </c>
      <c r="E49" s="13" t="s">
        <v>448</v>
      </c>
      <c r="F49" s="13" t="s">
        <v>456</v>
      </c>
      <c r="G49" s="13" t="s">
        <v>452</v>
      </c>
    </row>
    <row r="50" spans="1:7">
      <c r="A50" s="13">
        <v>272</v>
      </c>
      <c r="B50" s="1" t="s">
        <v>457</v>
      </c>
      <c r="C50" s="2">
        <v>253</v>
      </c>
      <c r="D50" s="2">
        <v>2</v>
      </c>
      <c r="E50" s="13" t="s">
        <v>448</v>
      </c>
      <c r="F50" s="13" t="s">
        <v>456</v>
      </c>
      <c r="G50" s="13" t="s">
        <v>452</v>
      </c>
    </row>
    <row r="51" spans="1:7">
      <c r="A51" s="13">
        <v>276</v>
      </c>
      <c r="B51" s="1" t="s">
        <v>124</v>
      </c>
      <c r="C51" s="2">
        <v>341</v>
      </c>
      <c r="D51" s="2">
        <v>6</v>
      </c>
      <c r="E51" s="13" t="s">
        <v>448</v>
      </c>
      <c r="F51" s="13" t="s">
        <v>455</v>
      </c>
      <c r="G51" s="13" t="s">
        <v>452</v>
      </c>
    </row>
    <row r="52" spans="1:7">
      <c r="A52" s="13">
        <v>281</v>
      </c>
      <c r="B52" s="1" t="s">
        <v>301</v>
      </c>
      <c r="C52" s="2">
        <v>396</v>
      </c>
      <c r="D52" s="2">
        <v>7</v>
      </c>
      <c r="E52" s="13" t="s">
        <v>448</v>
      </c>
      <c r="F52" s="13" t="s">
        <v>456</v>
      </c>
      <c r="G52" s="13" t="s">
        <v>452</v>
      </c>
    </row>
    <row r="53" spans="1:7">
      <c r="A53" s="13">
        <v>288</v>
      </c>
      <c r="B53" s="1" t="s">
        <v>312</v>
      </c>
      <c r="C53" s="2">
        <v>736</v>
      </c>
      <c r="D53" s="2">
        <v>9</v>
      </c>
      <c r="E53" s="13" t="s">
        <v>448</v>
      </c>
      <c r="F53" s="13" t="s">
        <v>456</v>
      </c>
      <c r="G53" s="13" t="s">
        <v>452</v>
      </c>
    </row>
    <row r="54" spans="1:7">
      <c r="A54" s="13">
        <v>296</v>
      </c>
      <c r="B54" s="1" t="s">
        <v>469</v>
      </c>
      <c r="C54" s="2">
        <v>296</v>
      </c>
      <c r="D54" s="2">
        <v>3</v>
      </c>
      <c r="E54" s="13" t="s">
        <v>448</v>
      </c>
      <c r="F54" s="13" t="s">
        <v>456</v>
      </c>
      <c r="G54" s="13" t="s">
        <v>452</v>
      </c>
    </row>
    <row r="55" spans="1:7">
      <c r="A55" s="13">
        <v>298</v>
      </c>
      <c r="B55" s="1" t="s">
        <v>330</v>
      </c>
      <c r="C55" s="2">
        <v>209</v>
      </c>
      <c r="D55" s="2">
        <v>3</v>
      </c>
      <c r="E55" s="13" t="s">
        <v>448</v>
      </c>
      <c r="F55" s="13" t="s">
        <v>456</v>
      </c>
      <c r="G55" s="13" t="s">
        <v>452</v>
      </c>
    </row>
    <row r="56" spans="1:7">
      <c r="A56" s="13">
        <v>320</v>
      </c>
      <c r="B56" s="6" t="s">
        <v>443</v>
      </c>
      <c r="C56" s="2">
        <v>496</v>
      </c>
      <c r="D56" s="2">
        <v>6</v>
      </c>
      <c r="E56" s="13" t="s">
        <v>448</v>
      </c>
      <c r="F56" s="13" t="s">
        <v>455</v>
      </c>
      <c r="G56" s="13" t="s">
        <v>452</v>
      </c>
    </row>
    <row r="57" spans="1:7">
      <c r="A57" s="13">
        <v>325</v>
      </c>
      <c r="B57" s="1" t="s">
        <v>369</v>
      </c>
      <c r="C57" s="2">
        <v>806</v>
      </c>
      <c r="D57" s="2">
        <v>3</v>
      </c>
      <c r="E57" s="13" t="s">
        <v>448</v>
      </c>
      <c r="F57" s="13" t="s">
        <v>456</v>
      </c>
      <c r="G57" s="13" t="s">
        <v>452</v>
      </c>
    </row>
    <row r="58" spans="1:7">
      <c r="A58" s="13">
        <v>327</v>
      </c>
      <c r="B58" s="1" t="s">
        <v>132</v>
      </c>
      <c r="C58" s="2">
        <v>337</v>
      </c>
      <c r="D58" s="2">
        <v>7</v>
      </c>
      <c r="E58" s="13" t="s">
        <v>448</v>
      </c>
      <c r="F58" s="13" t="s">
        <v>455</v>
      </c>
      <c r="G58" s="13" t="s">
        <v>452</v>
      </c>
    </row>
    <row r="59" spans="1:7">
      <c r="A59" s="13">
        <v>337</v>
      </c>
      <c r="B59" s="1" t="s">
        <v>377</v>
      </c>
      <c r="C59" s="2">
        <v>979</v>
      </c>
      <c r="D59" s="2">
        <v>9</v>
      </c>
      <c r="E59" s="13" t="s">
        <v>448</v>
      </c>
      <c r="F59" s="13" t="s">
        <v>456</v>
      </c>
      <c r="G59" s="13" t="s">
        <v>452</v>
      </c>
    </row>
    <row r="60" spans="1:7">
      <c r="A60" s="13">
        <v>356</v>
      </c>
      <c r="B60" s="1" t="s">
        <v>380</v>
      </c>
      <c r="C60" s="2">
        <v>614</v>
      </c>
      <c r="D60" s="2">
        <v>1</v>
      </c>
      <c r="E60" s="13" t="s">
        <v>448</v>
      </c>
      <c r="F60" s="13" t="s">
        <v>456</v>
      </c>
      <c r="G60" s="13" t="s">
        <v>452</v>
      </c>
    </row>
    <row r="61" spans="1:7">
      <c r="A61" s="13">
        <v>368</v>
      </c>
      <c r="B61" s="1" t="s">
        <v>392</v>
      </c>
      <c r="C61" s="2">
        <v>178</v>
      </c>
      <c r="D61" s="2">
        <v>9</v>
      </c>
      <c r="E61" s="13" t="s">
        <v>448</v>
      </c>
      <c r="F61" s="13" t="s">
        <v>456</v>
      </c>
      <c r="G61" s="13" t="s">
        <v>452</v>
      </c>
    </row>
    <row r="62" spans="1:7">
      <c r="A62" s="13">
        <v>374</v>
      </c>
      <c r="B62" s="1" t="s">
        <v>461</v>
      </c>
      <c r="C62" s="2">
        <v>583</v>
      </c>
      <c r="D62" s="2">
        <v>1</v>
      </c>
      <c r="E62" s="13" t="s">
        <v>448</v>
      </c>
      <c r="F62" s="13" t="s">
        <v>456</v>
      </c>
      <c r="G62" s="13" t="s">
        <v>452</v>
      </c>
    </row>
    <row r="63" spans="1:7">
      <c r="A63" s="13">
        <v>376</v>
      </c>
      <c r="B63" s="1" t="s">
        <v>402</v>
      </c>
      <c r="C63" s="2">
        <v>217</v>
      </c>
      <c r="D63" s="2">
        <v>10</v>
      </c>
      <c r="E63" s="13" t="s">
        <v>448</v>
      </c>
      <c r="F63" s="13" t="s">
        <v>456</v>
      </c>
      <c r="G63" s="13" t="s">
        <v>452</v>
      </c>
    </row>
    <row r="64" spans="1:7">
      <c r="A64" s="13">
        <v>377</v>
      </c>
      <c r="B64" s="1" t="s">
        <v>361</v>
      </c>
      <c r="C64" s="2">
        <v>131</v>
      </c>
      <c r="D64" s="2">
        <v>7</v>
      </c>
      <c r="E64" s="13" t="s">
        <v>448</v>
      </c>
      <c r="F64" s="13" t="s">
        <v>455</v>
      </c>
      <c r="G64" s="13" t="s">
        <v>452</v>
      </c>
    </row>
    <row r="65" spans="1:7">
      <c r="A65" s="13">
        <v>403</v>
      </c>
      <c r="B65" s="1" t="s">
        <v>422</v>
      </c>
      <c r="C65" s="2">
        <v>331</v>
      </c>
      <c r="D65" s="2">
        <v>10</v>
      </c>
      <c r="E65" s="13" t="s">
        <v>448</v>
      </c>
      <c r="F65" s="13" t="s">
        <v>456</v>
      </c>
      <c r="G65" s="13" t="s">
        <v>452</v>
      </c>
    </row>
    <row r="66" spans="1:7">
      <c r="A66" s="13">
        <v>405</v>
      </c>
      <c r="B66" s="1" t="s">
        <v>473</v>
      </c>
      <c r="C66" s="2">
        <v>255</v>
      </c>
      <c r="D66" s="2">
        <v>11</v>
      </c>
      <c r="E66" s="13" t="s">
        <v>448</v>
      </c>
      <c r="F66" s="13" t="s">
        <v>456</v>
      </c>
      <c r="G66" s="13" t="s">
        <v>452</v>
      </c>
    </row>
    <row r="67" spans="1:7">
      <c r="A67" s="13"/>
      <c r="B67" s="1"/>
      <c r="C67" s="2"/>
      <c r="D67" s="2"/>
      <c r="E67" s="13"/>
      <c r="F67" s="13"/>
      <c r="G67" s="13"/>
    </row>
    <row r="68" spans="1:7">
      <c r="A68" s="13"/>
      <c r="B68" s="1"/>
      <c r="C68" s="2"/>
      <c r="D68" s="2"/>
      <c r="E68" s="13"/>
      <c r="F68" s="13"/>
      <c r="G68" s="13"/>
    </row>
    <row r="69" spans="1:7">
      <c r="A69" s="13"/>
      <c r="B69" s="1"/>
      <c r="C69" s="2"/>
      <c r="D69" s="2"/>
      <c r="E69" s="13"/>
      <c r="F69" s="13"/>
      <c r="G69" s="13"/>
    </row>
    <row r="70" spans="1:7">
      <c r="A70" s="13"/>
      <c r="B70" s="1"/>
      <c r="C70" s="2"/>
      <c r="D70" s="2"/>
      <c r="E70" s="13"/>
      <c r="F70" s="13"/>
      <c r="G70" s="13"/>
    </row>
    <row r="71" spans="1:7">
      <c r="A71" s="13"/>
      <c r="B71" s="1"/>
      <c r="C71" s="2"/>
      <c r="D71" s="2"/>
      <c r="E71" s="13"/>
      <c r="F71" s="13"/>
      <c r="G71" s="13"/>
    </row>
    <row r="72" spans="1:7">
      <c r="A72" s="13"/>
      <c r="B72" s="1"/>
      <c r="C72" s="2"/>
      <c r="D72" s="2"/>
      <c r="E72" s="13"/>
      <c r="F72" s="13"/>
      <c r="G72" s="13"/>
    </row>
    <row r="73" spans="1:7">
      <c r="A73" s="13"/>
      <c r="B73" s="1"/>
      <c r="C73" s="2"/>
      <c r="D73" s="2"/>
      <c r="E73" s="13"/>
      <c r="F73" s="13"/>
      <c r="G73" s="13"/>
    </row>
    <row r="74" spans="1:7">
      <c r="A74" s="13"/>
      <c r="B74" s="1"/>
      <c r="C74" s="2"/>
      <c r="D74" s="2"/>
      <c r="E74" s="13"/>
      <c r="F74" s="13"/>
      <c r="G74" s="13"/>
    </row>
    <row r="75" spans="1:7">
      <c r="A75" s="13"/>
      <c r="B75" s="1"/>
      <c r="C75" s="2"/>
      <c r="D75" s="2"/>
      <c r="E75" s="13"/>
      <c r="F75" s="13"/>
      <c r="G75" s="13"/>
    </row>
    <row r="76" spans="1:7">
      <c r="A76" s="13"/>
      <c r="B76" s="1"/>
      <c r="C76" s="2"/>
      <c r="D76" s="2"/>
      <c r="E76" s="13"/>
      <c r="F76" s="13"/>
      <c r="G76" s="13"/>
    </row>
    <row r="77" spans="1:7">
      <c r="A77" s="13"/>
      <c r="B77" s="1"/>
      <c r="C77" s="2"/>
      <c r="D77" s="2"/>
      <c r="E77" s="13"/>
      <c r="F77" s="13"/>
      <c r="G77" s="13"/>
    </row>
    <row r="78" spans="1:7">
      <c r="A78" s="13"/>
      <c r="B78" s="1"/>
      <c r="C78" s="2"/>
      <c r="D78" s="2"/>
      <c r="E78" s="13"/>
      <c r="F78" s="13"/>
      <c r="G78" s="13"/>
    </row>
    <row r="79" spans="1:7">
      <c r="A79" s="13"/>
      <c r="B79" s="1"/>
      <c r="C79" s="2"/>
      <c r="D79" s="2"/>
      <c r="E79" s="13"/>
      <c r="F79" s="13"/>
      <c r="G79" s="13"/>
    </row>
    <row r="80" spans="1:7">
      <c r="A80" s="13"/>
      <c r="B80" s="1"/>
      <c r="C80" s="2"/>
      <c r="D80" s="2"/>
      <c r="E80" s="13"/>
      <c r="F80" s="13"/>
      <c r="G80" s="13"/>
    </row>
    <row r="81" spans="1:7">
      <c r="A81" s="13"/>
      <c r="B81" s="1"/>
      <c r="C81" s="2"/>
      <c r="D81" s="2"/>
      <c r="E81" s="13"/>
      <c r="F81" s="13"/>
      <c r="G81" s="13"/>
    </row>
    <row r="82" spans="1:7">
      <c r="A82" s="13"/>
      <c r="B82" s="1"/>
      <c r="C82" s="2"/>
      <c r="D82" s="2"/>
      <c r="E82" s="13"/>
      <c r="F82" s="13"/>
      <c r="G82" s="13"/>
    </row>
    <row r="83" spans="1:7">
      <c r="A83" s="13"/>
      <c r="B83" s="1"/>
      <c r="C83" s="2"/>
      <c r="D83" s="2"/>
      <c r="E83" s="13"/>
      <c r="F83" s="13"/>
      <c r="G83" s="13"/>
    </row>
    <row r="84" spans="1:7">
      <c r="A84" s="13"/>
      <c r="B84" s="1"/>
      <c r="C84" s="2"/>
      <c r="D84" s="2"/>
      <c r="E84" s="13"/>
      <c r="F84" s="13"/>
      <c r="G84" s="13"/>
    </row>
    <row r="85" spans="1:7">
      <c r="A85" s="13"/>
      <c r="B85" s="1"/>
      <c r="C85" s="2"/>
      <c r="D85" s="2"/>
      <c r="E85" s="13"/>
      <c r="F85" s="13"/>
      <c r="G85" s="13"/>
    </row>
    <row r="86" spans="1:7">
      <c r="A86" s="13"/>
      <c r="B86" s="1"/>
      <c r="C86" s="2"/>
      <c r="D86" s="2"/>
      <c r="E86" s="13"/>
      <c r="F86" s="13"/>
      <c r="G86" s="13"/>
    </row>
    <row r="87" spans="1:7">
      <c r="A87" s="13"/>
      <c r="B87" s="1"/>
      <c r="C87" s="2"/>
      <c r="D87" s="2"/>
      <c r="E87" s="13"/>
      <c r="F87" s="13"/>
      <c r="G87" s="13"/>
    </row>
    <row r="88" spans="1:7">
      <c r="A88" s="13"/>
      <c r="B88" s="1"/>
      <c r="C88" s="2"/>
      <c r="D88" s="2"/>
      <c r="E88" s="13"/>
      <c r="F88" s="13"/>
      <c r="G88" s="13"/>
    </row>
    <row r="89" spans="1:7">
      <c r="A89" s="13"/>
      <c r="B89" s="1"/>
      <c r="C89" s="2"/>
      <c r="D89" s="2"/>
      <c r="E89" s="13"/>
      <c r="F89" s="13"/>
      <c r="G89" s="13"/>
    </row>
    <row r="90" spans="1:7">
      <c r="A90" s="13"/>
      <c r="B90" s="1"/>
      <c r="C90" s="2"/>
      <c r="D90" s="2"/>
      <c r="E90" s="13"/>
      <c r="F90" s="13"/>
      <c r="G90" s="13"/>
    </row>
    <row r="91" spans="1:7">
      <c r="A91" s="13"/>
      <c r="B91" s="1"/>
      <c r="C91" s="2"/>
      <c r="D91" s="2"/>
      <c r="E91" s="13"/>
      <c r="F91" s="13"/>
      <c r="G91" s="13"/>
    </row>
    <row r="92" spans="1:7">
      <c r="A92" s="13"/>
      <c r="B92" s="1"/>
      <c r="C92" s="2"/>
      <c r="D92" s="2"/>
      <c r="E92" s="13"/>
      <c r="F92" s="13"/>
      <c r="G92" s="13"/>
    </row>
    <row r="93" spans="1:7">
      <c r="A93" s="13"/>
      <c r="B93" s="1"/>
      <c r="C93" s="2"/>
      <c r="D93" s="2"/>
      <c r="E93" s="13"/>
      <c r="F93" s="13"/>
      <c r="G93" s="13"/>
    </row>
    <row r="94" spans="1:7">
      <c r="A94" s="13"/>
      <c r="B94" s="1"/>
      <c r="C94" s="2"/>
      <c r="D94" s="2"/>
      <c r="E94" s="13"/>
      <c r="F94" s="13"/>
      <c r="G94" s="13"/>
    </row>
    <row r="95" spans="1:7">
      <c r="A95" s="13"/>
      <c r="B95" s="1"/>
      <c r="C95" s="2"/>
      <c r="D95" s="2"/>
      <c r="E95" s="13"/>
      <c r="F95" s="13"/>
      <c r="G95" s="13"/>
    </row>
    <row r="96" spans="1:7">
      <c r="A96" s="13"/>
      <c r="B96" s="1"/>
      <c r="C96" s="2"/>
      <c r="D96" s="2"/>
      <c r="E96" s="13"/>
      <c r="F96" s="13"/>
      <c r="G96" s="13"/>
    </row>
    <row r="97" spans="1:7">
      <c r="A97" s="13"/>
      <c r="B97" s="1"/>
      <c r="C97" s="2"/>
      <c r="D97" s="2"/>
      <c r="E97" s="13"/>
      <c r="F97" s="13"/>
      <c r="G97" s="13"/>
    </row>
    <row r="98" spans="1:7">
      <c r="A98" s="13"/>
      <c r="B98" s="1"/>
      <c r="C98" s="2"/>
      <c r="D98" s="2"/>
      <c r="E98" s="13"/>
      <c r="F98" s="13"/>
      <c r="G98" s="13"/>
    </row>
    <row r="99" spans="1:7">
      <c r="A99" s="13"/>
      <c r="B99" s="1"/>
      <c r="C99" s="2"/>
      <c r="D99" s="2"/>
      <c r="E99" s="13"/>
      <c r="F99" s="13"/>
      <c r="G99" s="13"/>
    </row>
    <row r="100" spans="1:7">
      <c r="A100" s="13"/>
      <c r="B100" s="1"/>
      <c r="C100" s="2"/>
      <c r="D100" s="2"/>
      <c r="E100" s="13"/>
      <c r="F100" s="13"/>
      <c r="G100" s="13"/>
    </row>
    <row r="101" spans="1:7">
      <c r="A101" s="13"/>
      <c r="B101" s="1"/>
      <c r="C101" s="2"/>
      <c r="D101" s="2"/>
      <c r="E101" s="13"/>
      <c r="F101" s="13"/>
      <c r="G101" s="13"/>
    </row>
    <row r="102" spans="1:7">
      <c r="A102" s="13"/>
      <c r="B102" s="1"/>
      <c r="C102" s="2"/>
      <c r="D102" s="2"/>
      <c r="E102" s="13"/>
      <c r="F102" s="13"/>
      <c r="G102" s="13"/>
    </row>
    <row r="103" spans="1:7">
      <c r="A103" s="13"/>
      <c r="B103" s="1"/>
      <c r="C103" s="2"/>
      <c r="D103" s="2"/>
      <c r="E103" s="13"/>
      <c r="F103" s="13"/>
      <c r="G103" s="13"/>
    </row>
    <row r="104" spans="1:7">
      <c r="A104" s="13"/>
      <c r="B104" s="1"/>
      <c r="C104" s="2"/>
      <c r="D104" s="2"/>
      <c r="E104" s="13"/>
      <c r="F104" s="13"/>
      <c r="G104" s="13"/>
    </row>
    <row r="105" spans="1:7">
      <c r="A105" s="13"/>
      <c r="B105" s="1"/>
      <c r="C105" s="2"/>
      <c r="D105" s="2"/>
      <c r="E105" s="13"/>
      <c r="F105" s="13"/>
      <c r="G105" s="13"/>
    </row>
    <row r="106" spans="1:7">
      <c r="A106" s="13"/>
      <c r="B106" s="1"/>
      <c r="C106" s="2"/>
      <c r="D106" s="2"/>
      <c r="E106" s="13"/>
      <c r="F106" s="13"/>
      <c r="G106" s="13"/>
    </row>
    <row r="107" spans="1:7">
      <c r="A107" s="13"/>
      <c r="B107" s="1"/>
      <c r="C107" s="2"/>
      <c r="D107" s="2"/>
      <c r="E107" s="13"/>
      <c r="F107" s="13"/>
      <c r="G107" s="13"/>
    </row>
    <row r="108" spans="1:7">
      <c r="A108" s="13"/>
      <c r="B108" s="1"/>
      <c r="C108" s="2"/>
      <c r="D108" s="2"/>
      <c r="E108" s="13"/>
      <c r="F108" s="13"/>
      <c r="G108" s="13"/>
    </row>
    <row r="109" spans="1:7">
      <c r="A109" s="13"/>
      <c r="B109" s="1"/>
      <c r="C109" s="2"/>
      <c r="D109" s="2"/>
      <c r="E109" s="13"/>
      <c r="F109" s="13"/>
      <c r="G109" s="13"/>
    </row>
    <row r="110" spans="1:7">
      <c r="A110" s="13"/>
      <c r="B110" s="1"/>
      <c r="C110" s="2"/>
      <c r="D110" s="2"/>
      <c r="E110" s="13"/>
      <c r="F110" s="13"/>
      <c r="G110" s="13"/>
    </row>
    <row r="111" spans="1:7">
      <c r="A111" s="13"/>
      <c r="B111" s="1"/>
      <c r="C111" s="2"/>
      <c r="D111" s="2"/>
      <c r="E111" s="13"/>
      <c r="F111" s="13"/>
      <c r="G111" s="13"/>
    </row>
    <row r="112" spans="1:7">
      <c r="A112" s="13"/>
      <c r="B112" s="1"/>
      <c r="C112" s="2"/>
      <c r="D112" s="2"/>
      <c r="E112" s="13"/>
      <c r="F112" s="13"/>
      <c r="G112" s="13"/>
    </row>
    <row r="113" spans="1:7">
      <c r="A113" s="13"/>
      <c r="B113" s="1"/>
      <c r="C113" s="2"/>
      <c r="D113" s="2"/>
      <c r="E113" s="13"/>
      <c r="F113" s="13"/>
      <c r="G113" s="13"/>
    </row>
    <row r="114" spans="1:7">
      <c r="A114" s="13"/>
      <c r="B114" s="1"/>
      <c r="C114" s="2"/>
      <c r="D114" s="2"/>
      <c r="E114" s="13"/>
      <c r="F114" s="13"/>
      <c r="G114" s="13"/>
    </row>
    <row r="115" spans="1:7">
      <c r="A115" s="13"/>
      <c r="B115" s="1"/>
      <c r="C115" s="2"/>
      <c r="D115" s="2"/>
      <c r="E115" s="13"/>
      <c r="F115" s="13"/>
      <c r="G115" s="13"/>
    </row>
    <row r="116" spans="1:7">
      <c r="A116" s="13"/>
      <c r="B116" s="1"/>
      <c r="C116" s="2"/>
      <c r="D116" s="2"/>
      <c r="E116" s="13"/>
      <c r="F116" s="13"/>
      <c r="G116" s="13"/>
    </row>
    <row r="117" spans="1:7">
      <c r="A117" s="13"/>
      <c r="B117" s="1"/>
      <c r="C117" s="2"/>
      <c r="D117" s="2"/>
      <c r="E117" s="13"/>
      <c r="F117" s="13"/>
      <c r="G117" s="13"/>
    </row>
    <row r="118" spans="1:7">
      <c r="A118" s="13"/>
      <c r="B118" s="7"/>
      <c r="C118" s="8"/>
      <c r="D118" s="8"/>
      <c r="E118" s="13"/>
      <c r="F118" s="13"/>
      <c r="G118" s="13"/>
    </row>
    <row r="119" spans="1:7">
      <c r="A119" s="13"/>
      <c r="B119" s="1"/>
      <c r="C119" s="2"/>
      <c r="D119" s="2"/>
      <c r="E119" s="13"/>
      <c r="F119" s="13"/>
      <c r="G119" s="13"/>
    </row>
    <row r="120" spans="1:7">
      <c r="A120" s="13"/>
      <c r="B120" s="1"/>
      <c r="C120" s="2"/>
      <c r="D120" s="2"/>
      <c r="E120" s="13"/>
      <c r="F120" s="13"/>
      <c r="G120" s="13"/>
    </row>
    <row r="121" spans="1:7">
      <c r="A121" s="13"/>
      <c r="B121" s="1"/>
      <c r="C121" s="2"/>
      <c r="D121" s="2"/>
      <c r="E121" s="13"/>
      <c r="F121" s="13"/>
      <c r="G121" s="13"/>
    </row>
    <row r="122" spans="1:7">
      <c r="A122" s="13"/>
      <c r="B122" s="1"/>
      <c r="C122" s="2"/>
      <c r="D122" s="2"/>
      <c r="E122" s="13"/>
      <c r="F122" s="13"/>
      <c r="G122" s="13"/>
    </row>
    <row r="123" spans="1:7">
      <c r="A123" s="13"/>
      <c r="B123" s="1"/>
      <c r="C123" s="2"/>
      <c r="D123" s="2"/>
      <c r="E123" s="13"/>
      <c r="F123" s="13"/>
      <c r="G123" s="13"/>
    </row>
    <row r="124" spans="1:7">
      <c r="A124" s="13"/>
      <c r="B124" s="1"/>
      <c r="C124" s="2"/>
      <c r="D124" s="2"/>
      <c r="E124" s="13"/>
      <c r="F124" s="13"/>
      <c r="G124" s="13"/>
    </row>
    <row r="125" spans="1:7">
      <c r="A125" s="13"/>
      <c r="B125" s="1"/>
      <c r="C125" s="2"/>
      <c r="D125" s="2"/>
      <c r="E125" s="13"/>
      <c r="F125" s="13"/>
      <c r="G125" s="13"/>
    </row>
    <row r="126" spans="1:7">
      <c r="A126" s="13"/>
      <c r="B126" s="1"/>
      <c r="C126" s="2"/>
      <c r="D126" s="2"/>
      <c r="E126" s="13"/>
      <c r="F126" s="13"/>
      <c r="G126" s="13"/>
    </row>
    <row r="127" spans="1:7">
      <c r="A127" s="13"/>
      <c r="B127" s="1"/>
      <c r="C127" s="2"/>
      <c r="D127" s="2"/>
      <c r="E127" s="13"/>
      <c r="F127" s="13"/>
      <c r="G127" s="13"/>
    </row>
    <row r="128" spans="1:7">
      <c r="A128" s="13"/>
      <c r="B128" s="1"/>
      <c r="C128" s="2"/>
      <c r="D128" s="2"/>
      <c r="E128" s="13"/>
      <c r="F128" s="13"/>
      <c r="G128" s="13"/>
    </row>
    <row r="129" spans="1:7">
      <c r="A129" s="13"/>
      <c r="B129" s="1"/>
      <c r="C129" s="2"/>
      <c r="D129" s="2"/>
      <c r="E129" s="13"/>
      <c r="F129" s="13"/>
      <c r="G129" s="13"/>
    </row>
    <row r="130" spans="1:7">
      <c r="A130" s="13"/>
      <c r="B130" s="1"/>
      <c r="C130" s="2"/>
      <c r="D130" s="2"/>
      <c r="E130" s="13"/>
      <c r="F130" s="13"/>
      <c r="G130" s="13"/>
    </row>
    <row r="131" spans="1:7">
      <c r="A131" s="13"/>
      <c r="B131" s="1"/>
      <c r="C131" s="2"/>
      <c r="D131" s="2"/>
      <c r="E131" s="13"/>
      <c r="F131" s="13"/>
      <c r="G131" s="13"/>
    </row>
    <row r="132" spans="1:7">
      <c r="A132" s="13"/>
      <c r="B132" s="1"/>
      <c r="C132" s="4"/>
      <c r="D132" s="2"/>
      <c r="E132" s="13"/>
      <c r="F132" s="13"/>
      <c r="G132" s="13"/>
    </row>
    <row r="133" spans="1:7">
      <c r="A133" s="13"/>
      <c r="B133" s="1"/>
      <c r="C133" s="2"/>
      <c r="D133" s="2"/>
      <c r="E133" s="13"/>
      <c r="F133" s="13"/>
      <c r="G133" s="13"/>
    </row>
    <row r="134" spans="1:7">
      <c r="A134" s="13"/>
      <c r="B134" s="1"/>
      <c r="C134" s="2"/>
      <c r="D134" s="2"/>
      <c r="E134" s="13"/>
      <c r="F134" s="13"/>
      <c r="G134" s="13"/>
    </row>
    <row r="135" spans="1:7">
      <c r="A135" s="13"/>
      <c r="B135" s="1"/>
      <c r="C135" s="2"/>
      <c r="D135" s="2"/>
      <c r="E135" s="13"/>
      <c r="F135" s="13"/>
      <c r="G135" s="13"/>
    </row>
    <row r="136" spans="1:7">
      <c r="A136" s="13"/>
      <c r="B136" s="1"/>
      <c r="C136" s="2"/>
      <c r="D136" s="2"/>
      <c r="E136" s="13"/>
      <c r="F136" s="13"/>
      <c r="G136" s="13"/>
    </row>
    <row r="137" spans="1:7">
      <c r="A137" s="13"/>
      <c r="B137" s="1"/>
      <c r="C137" s="2"/>
      <c r="D137" s="2"/>
      <c r="E137" s="13"/>
      <c r="F137" s="13"/>
      <c r="G137" s="13"/>
    </row>
    <row r="138" spans="1:7">
      <c r="A138" s="13"/>
      <c r="B138" s="1"/>
      <c r="C138" s="2"/>
      <c r="D138" s="2"/>
      <c r="E138" s="13"/>
      <c r="F138" s="13"/>
      <c r="G138" s="13"/>
    </row>
    <row r="139" spans="1:7">
      <c r="A139" s="13"/>
      <c r="B139" s="1"/>
      <c r="C139" s="2"/>
      <c r="D139" s="2"/>
      <c r="E139" s="13"/>
      <c r="F139" s="13"/>
      <c r="G139" s="13"/>
    </row>
    <row r="140" spans="1:7">
      <c r="A140" s="13"/>
      <c r="B140" s="1"/>
      <c r="C140" s="2"/>
      <c r="D140" s="2"/>
      <c r="E140" s="13"/>
      <c r="F140" s="13"/>
      <c r="G140" s="13"/>
    </row>
    <row r="141" spans="1:7">
      <c r="A141" s="13"/>
      <c r="B141" s="1"/>
      <c r="C141" s="2"/>
      <c r="D141" s="2"/>
      <c r="E141" s="13"/>
      <c r="F141" s="13"/>
      <c r="G141" s="13"/>
    </row>
    <row r="142" spans="1:7">
      <c r="A142" s="13"/>
      <c r="B142" s="1"/>
      <c r="C142" s="2"/>
      <c r="D142" s="2"/>
      <c r="E142" s="13"/>
      <c r="F142" s="13"/>
      <c r="G142" s="13"/>
    </row>
    <row r="143" spans="1:7">
      <c r="A143" s="13"/>
      <c r="B143" s="1"/>
      <c r="C143" s="2"/>
      <c r="D143" s="2"/>
      <c r="E143" s="13"/>
      <c r="F143" s="13"/>
      <c r="G143" s="13"/>
    </row>
    <row r="144" spans="1:7">
      <c r="A144" s="13"/>
      <c r="B144" s="1"/>
      <c r="C144" s="2"/>
      <c r="D144" s="2"/>
      <c r="E144" s="13"/>
      <c r="F144" s="13"/>
      <c r="G144" s="13"/>
    </row>
    <row r="145" spans="1:7">
      <c r="A145" s="13"/>
      <c r="B145" s="1"/>
      <c r="C145" s="2"/>
      <c r="D145" s="2"/>
      <c r="E145" s="13"/>
      <c r="F145" s="13"/>
      <c r="G145" s="13"/>
    </row>
  </sheetData>
  <sortState ref="A2:G27">
    <sortCondition ref="G1"/>
  </sortState>
  <mergeCells count="2">
    <mergeCell ref="J1:K1"/>
    <mergeCell ref="L1:M1"/>
  </mergeCells>
  <conditionalFormatting sqref="B67:B145">
    <cfRule type="duplicateValues" dxfId="14" priority="7"/>
  </conditionalFormatting>
  <conditionalFormatting sqref="B67:B145">
    <cfRule type="duplicateValues" dxfId="13" priority="8"/>
  </conditionalFormatting>
  <conditionalFormatting sqref="B67:B145">
    <cfRule type="duplicateValues" dxfId="12" priority="9"/>
  </conditionalFormatting>
  <conditionalFormatting sqref="B67:B145">
    <cfRule type="duplicateValues" dxfId="11" priority="6"/>
  </conditionalFormatting>
  <conditionalFormatting sqref="B67:B145">
    <cfRule type="duplicateValues" dxfId="10" priority="10"/>
  </conditionalFormatting>
  <conditionalFormatting sqref="B1:B66">
    <cfRule type="duplicateValues" dxfId="9" priority="2"/>
  </conditionalFormatting>
  <conditionalFormatting sqref="B1:B66">
    <cfRule type="duplicateValues" dxfId="8" priority="3"/>
  </conditionalFormatting>
  <conditionalFormatting sqref="B1:B66">
    <cfRule type="duplicateValues" dxfId="7" priority="4"/>
  </conditionalFormatting>
  <conditionalFormatting sqref="B1:B66">
    <cfRule type="duplicateValues" dxfId="6" priority="1"/>
  </conditionalFormatting>
  <conditionalFormatting sqref="B1:B66">
    <cfRule type="duplicateValues" dxfId="5" priority="5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10"/>
  <sheetViews>
    <sheetView workbookViewId="0">
      <selection sqref="A1:G210"/>
    </sheetView>
  </sheetViews>
  <sheetFormatPr defaultRowHeight="15"/>
  <cols>
    <col min="1" max="1" width="4" bestFit="1" customWidth="1"/>
    <col min="2" max="2" width="17" bestFit="1" customWidth="1"/>
    <col min="3" max="3" width="4.42578125" bestFit="1" customWidth="1"/>
    <col min="4" max="4" width="3" bestFit="1" customWidth="1"/>
    <col min="5" max="5" width="9.5703125" bestFit="1" customWidth="1"/>
    <col min="6" max="6" width="13.7109375" bestFit="1" customWidth="1"/>
    <col min="7" max="7" width="9.42578125" bestFit="1" customWidth="1"/>
  </cols>
  <sheetData>
    <row r="1" spans="1:7">
      <c r="A1" s="12" t="s">
        <v>491</v>
      </c>
      <c r="B1" s="12" t="s">
        <v>446</v>
      </c>
      <c r="C1" s="12" t="s">
        <v>0</v>
      </c>
      <c r="D1" s="12" t="s">
        <v>1</v>
      </c>
      <c r="E1" s="11" t="s">
        <v>447</v>
      </c>
      <c r="F1" s="11" t="s">
        <v>453</v>
      </c>
      <c r="G1" s="20" t="s">
        <v>450</v>
      </c>
    </row>
    <row r="2" spans="1:7">
      <c r="A2" s="13">
        <v>1</v>
      </c>
      <c r="B2" s="1" t="s">
        <v>10</v>
      </c>
      <c r="C2" s="2">
        <v>569</v>
      </c>
      <c r="D2" s="2">
        <v>1</v>
      </c>
      <c r="E2" s="13" t="s">
        <v>448</v>
      </c>
      <c r="F2" s="13" t="s">
        <v>456</v>
      </c>
      <c r="G2" s="13" t="s">
        <v>452</v>
      </c>
    </row>
    <row r="3" spans="1:7">
      <c r="A3" s="13">
        <v>2</v>
      </c>
      <c r="B3" s="1" t="s">
        <v>11</v>
      </c>
      <c r="C3" s="2">
        <v>509</v>
      </c>
      <c r="D3" s="2">
        <v>1</v>
      </c>
      <c r="E3" s="13" t="s">
        <v>448</v>
      </c>
      <c r="F3" s="13" t="s">
        <v>455</v>
      </c>
      <c r="G3" s="13" t="s">
        <v>452</v>
      </c>
    </row>
    <row r="4" spans="1:7" hidden="1">
      <c r="A4" s="13">
        <v>3</v>
      </c>
      <c r="B4" s="1" t="s">
        <v>23</v>
      </c>
      <c r="C4" s="2">
        <v>99</v>
      </c>
      <c r="D4" s="2">
        <v>1</v>
      </c>
      <c r="E4" s="13" t="s">
        <v>448</v>
      </c>
      <c r="F4" s="13" t="s">
        <v>455</v>
      </c>
      <c r="G4" s="13" t="s">
        <v>451</v>
      </c>
    </row>
    <row r="5" spans="1:7" hidden="1">
      <c r="A5" s="13">
        <v>6</v>
      </c>
      <c r="B5" s="1" t="s">
        <v>67</v>
      </c>
      <c r="C5" s="2">
        <v>578</v>
      </c>
      <c r="D5" s="2">
        <v>1</v>
      </c>
      <c r="E5" s="13" t="s">
        <v>448</v>
      </c>
      <c r="F5" s="13" t="s">
        <v>456</v>
      </c>
      <c r="G5" s="13" t="s">
        <v>451</v>
      </c>
    </row>
    <row r="6" spans="1:7">
      <c r="A6" s="13">
        <v>13</v>
      </c>
      <c r="B6" s="1" t="s">
        <v>13</v>
      </c>
      <c r="C6" s="2">
        <v>712</v>
      </c>
      <c r="D6" s="2">
        <v>2</v>
      </c>
      <c r="E6" s="13" t="s">
        <v>448</v>
      </c>
      <c r="F6" s="13" t="s">
        <v>456</v>
      </c>
      <c r="G6" s="13" t="s">
        <v>452</v>
      </c>
    </row>
    <row r="7" spans="1:7">
      <c r="A7" s="13">
        <v>17</v>
      </c>
      <c r="B7" s="1" t="s">
        <v>19</v>
      </c>
      <c r="C7" s="2">
        <v>769</v>
      </c>
      <c r="D7" s="2">
        <v>2</v>
      </c>
      <c r="E7" s="13" t="s">
        <v>448</v>
      </c>
      <c r="F7" s="13" t="s">
        <v>456</v>
      </c>
      <c r="G7" s="13" t="s">
        <v>452</v>
      </c>
    </row>
    <row r="8" spans="1:7">
      <c r="A8" s="13">
        <v>21</v>
      </c>
      <c r="B8" s="1" t="s">
        <v>26</v>
      </c>
      <c r="C8" s="2">
        <v>395</v>
      </c>
      <c r="D8" s="2">
        <v>4</v>
      </c>
      <c r="E8" s="13" t="s">
        <v>448</v>
      </c>
      <c r="F8" s="13" t="s">
        <v>456</v>
      </c>
      <c r="G8" s="13" t="s">
        <v>452</v>
      </c>
    </row>
    <row r="9" spans="1:7" hidden="1">
      <c r="A9" s="13">
        <v>24</v>
      </c>
      <c r="B9" s="1" t="s">
        <v>145</v>
      </c>
      <c r="C9" s="2">
        <v>895</v>
      </c>
      <c r="D9" s="2">
        <v>1</v>
      </c>
      <c r="E9" s="13" t="s">
        <v>448</v>
      </c>
      <c r="F9" s="13" t="s">
        <v>456</v>
      </c>
      <c r="G9" s="13" t="s">
        <v>451</v>
      </c>
    </row>
    <row r="10" spans="1:7" hidden="1">
      <c r="A10" s="13">
        <v>25</v>
      </c>
      <c r="B10" s="1" t="s">
        <v>148</v>
      </c>
      <c r="C10" s="2">
        <v>877</v>
      </c>
      <c r="D10" s="2">
        <v>1</v>
      </c>
      <c r="E10" s="13" t="s">
        <v>448</v>
      </c>
      <c r="F10" s="13" t="s">
        <v>456</v>
      </c>
      <c r="G10" s="13" t="s">
        <v>451</v>
      </c>
    </row>
    <row r="11" spans="1:7" hidden="1">
      <c r="A11" s="13">
        <v>30</v>
      </c>
      <c r="B11" s="1" t="s">
        <v>192</v>
      </c>
      <c r="C11" s="2">
        <v>756</v>
      </c>
      <c r="D11" s="2">
        <v>1</v>
      </c>
      <c r="E11" s="13" t="s">
        <v>448</v>
      </c>
      <c r="F11" s="13" t="s">
        <v>456</v>
      </c>
      <c r="G11" s="13" t="s">
        <v>451</v>
      </c>
    </row>
    <row r="12" spans="1:7" hidden="1">
      <c r="A12" s="13">
        <v>42</v>
      </c>
      <c r="B12" s="1" t="s">
        <v>316</v>
      </c>
      <c r="C12" s="2">
        <v>596</v>
      </c>
      <c r="D12" s="2">
        <v>1</v>
      </c>
      <c r="E12" s="13" t="s">
        <v>448</v>
      </c>
      <c r="F12" s="13" t="s">
        <v>456</v>
      </c>
      <c r="G12" s="13" t="s">
        <v>451</v>
      </c>
    </row>
    <row r="13" spans="1:7" hidden="1">
      <c r="A13" s="13">
        <v>44</v>
      </c>
      <c r="B13" s="1" t="s">
        <v>362</v>
      </c>
      <c r="C13" s="2">
        <v>758</v>
      </c>
      <c r="D13" s="2">
        <v>1</v>
      </c>
      <c r="E13" s="13" t="s">
        <v>448</v>
      </c>
      <c r="F13" s="13" t="s">
        <v>456</v>
      </c>
      <c r="G13" s="13" t="s">
        <v>451</v>
      </c>
    </row>
    <row r="14" spans="1:7">
      <c r="A14" s="13">
        <v>46</v>
      </c>
      <c r="B14" s="1" t="s">
        <v>34</v>
      </c>
      <c r="C14" s="2">
        <v>852</v>
      </c>
      <c r="D14" s="2">
        <v>2</v>
      </c>
      <c r="E14" s="13" t="s">
        <v>448</v>
      </c>
      <c r="F14" s="13" t="s">
        <v>456</v>
      </c>
      <c r="G14" s="13" t="s">
        <v>452</v>
      </c>
    </row>
    <row r="15" spans="1:7">
      <c r="A15" s="13">
        <v>49</v>
      </c>
      <c r="B15" s="1" t="s">
        <v>43</v>
      </c>
      <c r="C15" s="2">
        <v>391</v>
      </c>
      <c r="D15" s="2">
        <v>4</v>
      </c>
      <c r="E15" s="13" t="s">
        <v>448</v>
      </c>
      <c r="F15" s="13" t="s">
        <v>456</v>
      </c>
      <c r="G15" s="13" t="s">
        <v>452</v>
      </c>
    </row>
    <row r="16" spans="1:7" hidden="1">
      <c r="A16" s="13">
        <v>50</v>
      </c>
      <c r="B16" s="1" t="s">
        <v>398</v>
      </c>
      <c r="C16" s="2">
        <v>970</v>
      </c>
      <c r="D16" s="2">
        <v>1</v>
      </c>
      <c r="E16" s="13" t="s">
        <v>448</v>
      </c>
      <c r="F16" s="13" t="s">
        <v>456</v>
      </c>
      <c r="G16" s="13" t="s">
        <v>451</v>
      </c>
    </row>
    <row r="17" spans="1:7" hidden="1">
      <c r="A17" s="13">
        <v>51</v>
      </c>
      <c r="B17" s="1" t="s">
        <v>399</v>
      </c>
      <c r="C17" s="2">
        <v>990</v>
      </c>
      <c r="D17" s="2">
        <v>1</v>
      </c>
      <c r="E17" s="13" t="s">
        <v>448</v>
      </c>
      <c r="F17" s="13" t="s">
        <v>456</v>
      </c>
      <c r="G17" s="13" t="s">
        <v>451</v>
      </c>
    </row>
    <row r="18" spans="1:7" hidden="1">
      <c r="A18" s="13">
        <v>52</v>
      </c>
      <c r="B18" s="1" t="s">
        <v>400</v>
      </c>
      <c r="C18" s="2">
        <v>953</v>
      </c>
      <c r="D18" s="2">
        <v>1</v>
      </c>
      <c r="E18" s="13" t="s">
        <v>448</v>
      </c>
      <c r="F18" s="13" t="s">
        <v>456</v>
      </c>
      <c r="G18" s="13" t="s">
        <v>451</v>
      </c>
    </row>
    <row r="19" spans="1:7" hidden="1">
      <c r="A19" s="13">
        <v>55</v>
      </c>
      <c r="B19" s="1" t="s">
        <v>9</v>
      </c>
      <c r="C19" s="2">
        <v>484</v>
      </c>
      <c r="D19" s="2">
        <v>2</v>
      </c>
      <c r="E19" s="13" t="s">
        <v>448</v>
      </c>
      <c r="F19" s="13" t="s">
        <v>456</v>
      </c>
      <c r="G19" s="13" t="s">
        <v>451</v>
      </c>
    </row>
    <row r="20" spans="1:7">
      <c r="A20" s="13">
        <v>56</v>
      </c>
      <c r="B20" s="1" t="s">
        <v>54</v>
      </c>
      <c r="C20" s="2">
        <v>686</v>
      </c>
      <c r="D20" s="2">
        <v>4</v>
      </c>
      <c r="E20" s="13" t="s">
        <v>448</v>
      </c>
      <c r="F20" s="13" t="s">
        <v>456</v>
      </c>
      <c r="G20" s="13" t="s">
        <v>452</v>
      </c>
    </row>
    <row r="21" spans="1:7" hidden="1">
      <c r="A21" s="13">
        <v>57</v>
      </c>
      <c r="B21" s="1" t="s">
        <v>16</v>
      </c>
      <c r="C21" s="2">
        <v>724</v>
      </c>
      <c r="D21" s="2">
        <v>2</v>
      </c>
      <c r="E21" s="13" t="s">
        <v>448</v>
      </c>
      <c r="F21" s="13" t="s">
        <v>456</v>
      </c>
      <c r="G21" s="13" t="s">
        <v>451</v>
      </c>
    </row>
    <row r="22" spans="1:7">
      <c r="A22" s="13">
        <v>58</v>
      </c>
      <c r="B22" s="1" t="s">
        <v>372</v>
      </c>
      <c r="C22" s="2">
        <v>789</v>
      </c>
      <c r="D22" s="2">
        <v>2</v>
      </c>
      <c r="E22" s="13" t="s">
        <v>448</v>
      </c>
      <c r="F22" s="13" t="s">
        <v>455</v>
      </c>
      <c r="G22" s="13" t="s">
        <v>452</v>
      </c>
    </row>
    <row r="23" spans="1:7">
      <c r="A23" s="13">
        <v>59</v>
      </c>
      <c r="B23" s="1" t="s">
        <v>61</v>
      </c>
      <c r="C23" s="2">
        <v>379</v>
      </c>
      <c r="D23" s="2">
        <v>4</v>
      </c>
      <c r="E23" s="13" t="s">
        <v>448</v>
      </c>
      <c r="F23" s="13" t="s">
        <v>456</v>
      </c>
      <c r="G23" s="13" t="s">
        <v>452</v>
      </c>
    </row>
    <row r="24" spans="1:7" hidden="1">
      <c r="A24" s="13">
        <v>60</v>
      </c>
      <c r="B24" s="1" t="s">
        <v>35</v>
      </c>
      <c r="C24" s="2">
        <v>835</v>
      </c>
      <c r="D24" s="2">
        <v>2</v>
      </c>
      <c r="E24" s="13" t="s">
        <v>448</v>
      </c>
      <c r="F24" s="13" t="s">
        <v>456</v>
      </c>
      <c r="G24" s="13" t="s">
        <v>451</v>
      </c>
    </row>
    <row r="25" spans="1:7" hidden="1">
      <c r="A25" s="13">
        <v>61</v>
      </c>
      <c r="B25" s="1" t="s">
        <v>458</v>
      </c>
      <c r="C25" s="2">
        <v>124</v>
      </c>
      <c r="D25" s="2">
        <v>2</v>
      </c>
      <c r="E25" s="13" t="s">
        <v>448</v>
      </c>
      <c r="F25" s="13" t="s">
        <v>456</v>
      </c>
      <c r="G25" s="13" t="s">
        <v>451</v>
      </c>
    </row>
    <row r="26" spans="1:7" hidden="1">
      <c r="A26" s="13">
        <v>62</v>
      </c>
      <c r="B26" s="1" t="s">
        <v>59</v>
      </c>
      <c r="C26" s="2">
        <v>329</v>
      </c>
      <c r="D26" s="2">
        <v>2</v>
      </c>
      <c r="E26" s="13" t="s">
        <v>448</v>
      </c>
      <c r="F26" s="13" t="s">
        <v>456</v>
      </c>
      <c r="G26" s="13" t="s">
        <v>451</v>
      </c>
    </row>
    <row r="27" spans="1:7" hidden="1">
      <c r="A27" s="13">
        <v>65</v>
      </c>
      <c r="B27" s="1" t="s">
        <v>112</v>
      </c>
      <c r="C27" s="2">
        <v>457</v>
      </c>
      <c r="D27" s="2">
        <v>2</v>
      </c>
      <c r="E27" s="13" t="s">
        <v>448</v>
      </c>
      <c r="F27" s="13" t="s">
        <v>456</v>
      </c>
      <c r="G27" s="13" t="s">
        <v>451</v>
      </c>
    </row>
    <row r="28" spans="1:7" hidden="1">
      <c r="A28" s="13">
        <v>66</v>
      </c>
      <c r="B28" s="1" t="s">
        <v>115</v>
      </c>
      <c r="C28" s="2">
        <v>643</v>
      </c>
      <c r="D28" s="2">
        <v>2</v>
      </c>
      <c r="E28" s="13" t="s">
        <v>448</v>
      </c>
      <c r="F28" s="13" t="s">
        <v>456</v>
      </c>
      <c r="G28" s="13" t="s">
        <v>451</v>
      </c>
    </row>
    <row r="29" spans="1:7" hidden="1">
      <c r="A29" s="13">
        <v>67</v>
      </c>
      <c r="B29" s="1" t="s">
        <v>119</v>
      </c>
      <c r="C29" s="2">
        <v>381</v>
      </c>
      <c r="D29" s="2">
        <v>2</v>
      </c>
      <c r="E29" s="13" t="s">
        <v>448</v>
      </c>
      <c r="F29" s="13" t="s">
        <v>456</v>
      </c>
      <c r="G29" s="13" t="s">
        <v>451</v>
      </c>
    </row>
    <row r="30" spans="1:7" hidden="1">
      <c r="A30" s="13">
        <v>70</v>
      </c>
      <c r="B30" s="1" t="s">
        <v>133</v>
      </c>
      <c r="C30" s="2">
        <v>625</v>
      </c>
      <c r="D30" s="2">
        <v>2</v>
      </c>
      <c r="E30" s="13" t="s">
        <v>448</v>
      </c>
      <c r="F30" s="13" t="s">
        <v>456</v>
      </c>
      <c r="G30" s="13" t="s">
        <v>451</v>
      </c>
    </row>
    <row r="31" spans="1:7">
      <c r="A31" s="13">
        <v>71</v>
      </c>
      <c r="B31" s="1" t="s">
        <v>462</v>
      </c>
      <c r="C31" s="2">
        <v>173</v>
      </c>
      <c r="D31" s="2">
        <v>5</v>
      </c>
      <c r="E31" s="13" t="s">
        <v>448</v>
      </c>
      <c r="F31" s="13" t="s">
        <v>456</v>
      </c>
      <c r="G31" s="13" t="s">
        <v>452</v>
      </c>
    </row>
    <row r="32" spans="1:7" hidden="1">
      <c r="A32" s="13">
        <v>72</v>
      </c>
      <c r="B32" s="1" t="s">
        <v>157</v>
      </c>
      <c r="C32" s="2">
        <v>453</v>
      </c>
      <c r="D32" s="2">
        <v>2</v>
      </c>
      <c r="E32" s="13" t="s">
        <v>448</v>
      </c>
      <c r="F32" s="13" t="s">
        <v>456</v>
      </c>
      <c r="G32" s="13" t="s">
        <v>451</v>
      </c>
    </row>
    <row r="33" spans="1:7" hidden="1">
      <c r="A33" s="13">
        <v>77</v>
      </c>
      <c r="B33" s="1" t="s">
        <v>183</v>
      </c>
      <c r="C33" s="2">
        <v>760</v>
      </c>
      <c r="D33" s="2">
        <v>2</v>
      </c>
      <c r="E33" s="13" t="s">
        <v>448</v>
      </c>
      <c r="F33" s="13" t="s">
        <v>456</v>
      </c>
      <c r="G33" s="13" t="s">
        <v>451</v>
      </c>
    </row>
    <row r="34" spans="1:7">
      <c r="A34" s="13">
        <v>79</v>
      </c>
      <c r="B34" s="1" t="s">
        <v>78</v>
      </c>
      <c r="C34" s="2">
        <v>655</v>
      </c>
      <c r="D34" s="2">
        <v>9</v>
      </c>
      <c r="E34" s="13" t="s">
        <v>448</v>
      </c>
      <c r="F34" s="13" t="s">
        <v>456</v>
      </c>
      <c r="G34" s="13" t="s">
        <v>452</v>
      </c>
    </row>
    <row r="35" spans="1:7">
      <c r="A35" s="13">
        <v>80</v>
      </c>
      <c r="B35" s="1" t="s">
        <v>79</v>
      </c>
      <c r="C35" s="2">
        <v>652</v>
      </c>
      <c r="D35" s="2">
        <v>7</v>
      </c>
      <c r="E35" s="13" t="s">
        <v>448</v>
      </c>
      <c r="F35" s="13" t="s">
        <v>456</v>
      </c>
      <c r="G35" s="13" t="s">
        <v>452</v>
      </c>
    </row>
    <row r="36" spans="1:7" hidden="1">
      <c r="A36" s="13">
        <v>81</v>
      </c>
      <c r="B36" s="1" t="s">
        <v>195</v>
      </c>
      <c r="C36" s="2">
        <v>114</v>
      </c>
      <c r="D36" s="2">
        <v>2</v>
      </c>
      <c r="E36" s="13" t="s">
        <v>448</v>
      </c>
      <c r="F36" s="13" t="s">
        <v>456</v>
      </c>
      <c r="G36" s="13" t="s">
        <v>451</v>
      </c>
    </row>
    <row r="37" spans="1:7">
      <c r="A37" s="13">
        <v>82</v>
      </c>
      <c r="B37" s="1" t="s">
        <v>83</v>
      </c>
      <c r="C37" s="2">
        <v>995</v>
      </c>
      <c r="D37" s="2">
        <v>6</v>
      </c>
      <c r="E37" s="13" t="s">
        <v>448</v>
      </c>
      <c r="F37" s="13" t="s">
        <v>456</v>
      </c>
      <c r="G37" s="13" t="s">
        <v>452</v>
      </c>
    </row>
    <row r="38" spans="1:7" hidden="1">
      <c r="A38" s="13">
        <v>84</v>
      </c>
      <c r="B38" s="1" t="s">
        <v>230</v>
      </c>
      <c r="C38" s="2">
        <v>207</v>
      </c>
      <c r="D38" s="2">
        <v>2</v>
      </c>
      <c r="E38" s="13" t="s">
        <v>448</v>
      </c>
      <c r="F38" s="13" t="s">
        <v>456</v>
      </c>
      <c r="G38" s="13" t="s">
        <v>451</v>
      </c>
    </row>
    <row r="39" spans="1:7" hidden="1">
      <c r="A39" s="13">
        <v>88</v>
      </c>
      <c r="B39" s="1" t="s">
        <v>284</v>
      </c>
      <c r="C39" s="2">
        <v>568</v>
      </c>
      <c r="D39" s="2">
        <v>2</v>
      </c>
      <c r="E39" s="13" t="s">
        <v>448</v>
      </c>
      <c r="F39" s="13" t="s">
        <v>456</v>
      </c>
      <c r="G39" s="13" t="s">
        <v>451</v>
      </c>
    </row>
    <row r="40" spans="1:7" hidden="1">
      <c r="A40" s="13">
        <v>89</v>
      </c>
      <c r="B40" s="1" t="s">
        <v>293</v>
      </c>
      <c r="C40" s="2">
        <v>764</v>
      </c>
      <c r="D40" s="2">
        <v>2</v>
      </c>
      <c r="E40" s="13" t="s">
        <v>448</v>
      </c>
      <c r="F40" s="13" t="s">
        <v>456</v>
      </c>
      <c r="G40" s="13" t="s">
        <v>451</v>
      </c>
    </row>
    <row r="41" spans="1:7">
      <c r="A41" s="13">
        <v>90</v>
      </c>
      <c r="B41" s="1" t="s">
        <v>92</v>
      </c>
      <c r="C41" s="2">
        <v>617</v>
      </c>
      <c r="D41" s="2">
        <v>1</v>
      </c>
      <c r="E41" s="13" t="s">
        <v>448</v>
      </c>
      <c r="F41" s="13" t="s">
        <v>456</v>
      </c>
      <c r="G41" s="13" t="s">
        <v>452</v>
      </c>
    </row>
    <row r="42" spans="1:7" hidden="1">
      <c r="A42" s="13">
        <v>94</v>
      </c>
      <c r="B42" s="1" t="s">
        <v>351</v>
      </c>
      <c r="C42" s="2">
        <v>281</v>
      </c>
      <c r="D42" s="2">
        <v>2</v>
      </c>
      <c r="E42" s="13" t="s">
        <v>448</v>
      </c>
      <c r="F42" s="13" t="s">
        <v>456</v>
      </c>
      <c r="G42" s="13" t="s">
        <v>451</v>
      </c>
    </row>
    <row r="43" spans="1:7" hidden="1">
      <c r="A43" s="13">
        <v>95</v>
      </c>
      <c r="B43" s="1" t="s">
        <v>360</v>
      </c>
      <c r="C43" s="2">
        <v>972</v>
      </c>
      <c r="D43" s="2">
        <v>2</v>
      </c>
      <c r="E43" s="13" t="s">
        <v>448</v>
      </c>
      <c r="F43" s="13" t="s">
        <v>456</v>
      </c>
      <c r="G43" s="13" t="s">
        <v>451</v>
      </c>
    </row>
    <row r="44" spans="1:7">
      <c r="A44" s="13">
        <v>96</v>
      </c>
      <c r="B44" s="1" t="s">
        <v>100</v>
      </c>
      <c r="C44" s="2">
        <v>626</v>
      </c>
      <c r="D44" s="2">
        <v>1</v>
      </c>
      <c r="E44" s="13" t="s">
        <v>448</v>
      </c>
      <c r="F44" s="13" t="s">
        <v>456</v>
      </c>
      <c r="G44" s="13" t="s">
        <v>452</v>
      </c>
    </row>
    <row r="45" spans="1:7">
      <c r="A45" s="13">
        <v>99</v>
      </c>
      <c r="B45" s="1" t="s">
        <v>415</v>
      </c>
      <c r="C45" s="2">
        <v>487</v>
      </c>
      <c r="D45" s="2">
        <v>2</v>
      </c>
      <c r="E45" s="13" t="s">
        <v>448</v>
      </c>
      <c r="F45" s="13" t="s">
        <v>455</v>
      </c>
      <c r="G45" s="13" t="s">
        <v>452</v>
      </c>
    </row>
    <row r="46" spans="1:7">
      <c r="A46" s="13">
        <v>100</v>
      </c>
      <c r="B46" s="1" t="s">
        <v>436</v>
      </c>
      <c r="C46" s="2">
        <v>622</v>
      </c>
      <c r="D46" s="2">
        <v>2</v>
      </c>
      <c r="E46" s="13" t="s">
        <v>448</v>
      </c>
      <c r="F46" s="13" t="s">
        <v>456</v>
      </c>
      <c r="G46" s="13" t="s">
        <v>452</v>
      </c>
    </row>
    <row r="47" spans="1:7" hidden="1">
      <c r="A47" s="13">
        <v>102</v>
      </c>
      <c r="B47" s="1" t="s">
        <v>8</v>
      </c>
      <c r="C47" s="2">
        <v>544</v>
      </c>
      <c r="D47" s="2">
        <v>3</v>
      </c>
      <c r="E47" s="13" t="s">
        <v>448</v>
      </c>
      <c r="F47" s="13" t="s">
        <v>456</v>
      </c>
      <c r="G47" s="13" t="s">
        <v>451</v>
      </c>
    </row>
    <row r="48" spans="1:7" hidden="1">
      <c r="A48" s="13">
        <v>103</v>
      </c>
      <c r="B48" s="1" t="s">
        <v>14</v>
      </c>
      <c r="C48" s="2">
        <v>681</v>
      </c>
      <c r="D48" s="2">
        <v>3</v>
      </c>
      <c r="E48" s="13" t="s">
        <v>448</v>
      </c>
      <c r="F48" s="13" t="s">
        <v>456</v>
      </c>
      <c r="G48" s="13" t="s">
        <v>451</v>
      </c>
    </row>
    <row r="49" spans="1:7" hidden="1">
      <c r="A49" s="13">
        <v>108</v>
      </c>
      <c r="B49" s="1" t="s">
        <v>463</v>
      </c>
      <c r="C49" s="2">
        <v>134</v>
      </c>
      <c r="D49" s="2">
        <v>3</v>
      </c>
      <c r="E49" s="13" t="s">
        <v>448</v>
      </c>
      <c r="F49" s="13" t="s">
        <v>456</v>
      </c>
      <c r="G49" s="13" t="s">
        <v>451</v>
      </c>
    </row>
    <row r="50" spans="1:7" hidden="1">
      <c r="A50" s="13">
        <v>109</v>
      </c>
      <c r="B50" s="1" t="s">
        <v>52</v>
      </c>
      <c r="C50" s="2">
        <v>449</v>
      </c>
      <c r="D50" s="2">
        <v>3</v>
      </c>
      <c r="E50" s="13" t="s">
        <v>448</v>
      </c>
      <c r="F50" s="13" t="s">
        <v>456</v>
      </c>
      <c r="G50" s="13" t="s">
        <v>451</v>
      </c>
    </row>
    <row r="51" spans="1:7" hidden="1">
      <c r="A51" s="13">
        <v>112</v>
      </c>
      <c r="B51" s="1" t="s">
        <v>65</v>
      </c>
      <c r="C51" s="2">
        <v>705</v>
      </c>
      <c r="D51" s="2">
        <v>3</v>
      </c>
      <c r="E51" s="13" t="s">
        <v>448</v>
      </c>
      <c r="F51" s="13" t="s">
        <v>456</v>
      </c>
      <c r="G51" s="13" t="s">
        <v>451</v>
      </c>
    </row>
    <row r="52" spans="1:7" hidden="1">
      <c r="A52" s="13">
        <v>113</v>
      </c>
      <c r="B52" s="1" t="s">
        <v>72</v>
      </c>
      <c r="C52" s="2">
        <v>518</v>
      </c>
      <c r="D52" s="2">
        <v>3</v>
      </c>
      <c r="E52" s="13" t="s">
        <v>448</v>
      </c>
      <c r="F52" s="13" t="s">
        <v>456</v>
      </c>
      <c r="G52" s="13" t="s">
        <v>451</v>
      </c>
    </row>
    <row r="53" spans="1:7" hidden="1">
      <c r="A53" s="13">
        <v>114</v>
      </c>
      <c r="B53" s="1" t="s">
        <v>74</v>
      </c>
      <c r="C53" s="2">
        <v>593</v>
      </c>
      <c r="D53" s="2">
        <v>3</v>
      </c>
      <c r="E53" s="13" t="s">
        <v>448</v>
      </c>
      <c r="F53" s="13" t="s">
        <v>456</v>
      </c>
      <c r="G53" s="13" t="s">
        <v>451</v>
      </c>
    </row>
    <row r="54" spans="1:7" hidden="1">
      <c r="A54" s="13">
        <v>115</v>
      </c>
      <c r="B54" s="1" t="s">
        <v>104</v>
      </c>
      <c r="C54" s="2">
        <v>420</v>
      </c>
      <c r="D54" s="2">
        <v>3</v>
      </c>
      <c r="E54" s="13" t="s">
        <v>448</v>
      </c>
      <c r="F54" s="13" t="s">
        <v>456</v>
      </c>
      <c r="G54" s="13" t="s">
        <v>451</v>
      </c>
    </row>
    <row r="55" spans="1:7" hidden="1">
      <c r="A55" s="13">
        <v>116</v>
      </c>
      <c r="B55" s="1" t="s">
        <v>110</v>
      </c>
      <c r="C55" s="2">
        <v>458</v>
      </c>
      <c r="D55" s="2">
        <v>3</v>
      </c>
      <c r="E55" s="13" t="s">
        <v>448</v>
      </c>
      <c r="F55" s="13" t="s">
        <v>456</v>
      </c>
      <c r="G55" s="13" t="s">
        <v>451</v>
      </c>
    </row>
    <row r="56" spans="1:7">
      <c r="A56" s="13">
        <v>117</v>
      </c>
      <c r="B56" s="1" t="s">
        <v>114</v>
      </c>
      <c r="C56" s="2">
        <v>397</v>
      </c>
      <c r="D56" s="2">
        <v>7</v>
      </c>
      <c r="E56" s="13" t="s">
        <v>448</v>
      </c>
      <c r="F56" s="13" t="s">
        <v>456</v>
      </c>
      <c r="G56" s="13" t="s">
        <v>452</v>
      </c>
    </row>
    <row r="57" spans="1:7" hidden="1">
      <c r="A57" s="13">
        <v>118</v>
      </c>
      <c r="B57" s="1" t="s">
        <v>120</v>
      </c>
      <c r="C57" s="2">
        <v>904</v>
      </c>
      <c r="D57" s="2">
        <v>3</v>
      </c>
      <c r="E57" s="13" t="s">
        <v>448</v>
      </c>
      <c r="F57" s="13" t="s">
        <v>456</v>
      </c>
      <c r="G57" s="13" t="s">
        <v>451</v>
      </c>
    </row>
    <row r="58" spans="1:7" hidden="1">
      <c r="A58" s="13">
        <v>119</v>
      </c>
      <c r="B58" s="1" t="s">
        <v>121</v>
      </c>
      <c r="C58" s="2">
        <v>664</v>
      </c>
      <c r="D58" s="2">
        <v>3</v>
      </c>
      <c r="E58" s="13" t="s">
        <v>448</v>
      </c>
      <c r="F58" s="13" t="s">
        <v>456</v>
      </c>
      <c r="G58" s="13" t="s">
        <v>451</v>
      </c>
    </row>
    <row r="59" spans="1:7" hidden="1">
      <c r="A59" s="13">
        <v>121</v>
      </c>
      <c r="B59" s="1" t="s">
        <v>131</v>
      </c>
      <c r="C59" s="2">
        <v>916</v>
      </c>
      <c r="D59" s="2">
        <v>3</v>
      </c>
      <c r="E59" s="13" t="s">
        <v>448</v>
      </c>
      <c r="F59" s="13" t="s">
        <v>456</v>
      </c>
      <c r="G59" s="13" t="s">
        <v>451</v>
      </c>
    </row>
    <row r="60" spans="1:7">
      <c r="A60" s="13">
        <v>122</v>
      </c>
      <c r="B60" s="1" t="s">
        <v>117</v>
      </c>
      <c r="C60" s="2">
        <v>879</v>
      </c>
      <c r="D60" s="2">
        <v>3</v>
      </c>
      <c r="E60" s="13" t="s">
        <v>448</v>
      </c>
      <c r="F60" s="13" t="s">
        <v>456</v>
      </c>
      <c r="G60" s="13" t="s">
        <v>452</v>
      </c>
    </row>
    <row r="61" spans="1:7">
      <c r="A61" s="13">
        <v>123</v>
      </c>
      <c r="B61" s="1" t="s">
        <v>334</v>
      </c>
      <c r="C61" s="2">
        <v>132</v>
      </c>
      <c r="D61" s="2">
        <v>3</v>
      </c>
      <c r="E61" s="13" t="s">
        <v>448</v>
      </c>
      <c r="F61" s="13" t="s">
        <v>455</v>
      </c>
      <c r="G61" s="13" t="s">
        <v>452</v>
      </c>
    </row>
    <row r="62" spans="1:7">
      <c r="A62" s="13">
        <v>124</v>
      </c>
      <c r="B62" s="1" t="s">
        <v>126</v>
      </c>
      <c r="C62" s="2">
        <v>582</v>
      </c>
      <c r="D62" s="2">
        <v>1</v>
      </c>
      <c r="E62" s="13" t="s">
        <v>448</v>
      </c>
      <c r="F62" s="13" t="s">
        <v>456</v>
      </c>
      <c r="G62" s="13" t="s">
        <v>452</v>
      </c>
    </row>
    <row r="63" spans="1:7">
      <c r="A63" s="13">
        <v>128</v>
      </c>
      <c r="B63" s="1" t="s">
        <v>57</v>
      </c>
      <c r="C63" s="2">
        <v>801</v>
      </c>
      <c r="D63" s="2">
        <v>4</v>
      </c>
      <c r="E63" s="13" t="s">
        <v>448</v>
      </c>
      <c r="F63" s="13" t="s">
        <v>455</v>
      </c>
      <c r="G63" s="13" t="s">
        <v>452</v>
      </c>
    </row>
    <row r="64" spans="1:7" hidden="1">
      <c r="A64" s="13">
        <v>129</v>
      </c>
      <c r="B64" s="1" t="s">
        <v>231</v>
      </c>
      <c r="C64" s="2">
        <v>480</v>
      </c>
      <c r="D64" s="2">
        <v>3</v>
      </c>
      <c r="E64" s="13" t="s">
        <v>448</v>
      </c>
      <c r="F64" s="13" t="s">
        <v>456</v>
      </c>
      <c r="G64" s="13" t="s">
        <v>451</v>
      </c>
    </row>
    <row r="65" spans="1:7" hidden="1">
      <c r="A65" s="13">
        <v>130</v>
      </c>
      <c r="B65" s="1" t="s">
        <v>243</v>
      </c>
      <c r="C65" s="2">
        <v>422</v>
      </c>
      <c r="D65" s="2">
        <v>3</v>
      </c>
      <c r="E65" s="13" t="s">
        <v>448</v>
      </c>
      <c r="F65" s="13" t="s">
        <v>456</v>
      </c>
      <c r="G65" s="13" t="s">
        <v>451</v>
      </c>
    </row>
    <row r="66" spans="1:7">
      <c r="A66" s="13">
        <v>131</v>
      </c>
      <c r="B66" s="1" t="s">
        <v>143</v>
      </c>
      <c r="C66" s="2">
        <v>885</v>
      </c>
      <c r="D66" s="2">
        <v>2</v>
      </c>
      <c r="E66" s="13" t="s">
        <v>448</v>
      </c>
      <c r="F66" s="13" t="s">
        <v>456</v>
      </c>
      <c r="G66" s="13" t="s">
        <v>452</v>
      </c>
    </row>
    <row r="67" spans="1:7">
      <c r="A67" s="13">
        <v>132</v>
      </c>
      <c r="B67" s="1" t="s">
        <v>144</v>
      </c>
      <c r="C67" s="2">
        <v>933</v>
      </c>
      <c r="D67" s="2">
        <v>3</v>
      </c>
      <c r="E67" s="13" t="s">
        <v>448</v>
      </c>
      <c r="F67" s="13" t="s">
        <v>456</v>
      </c>
      <c r="G67" s="13" t="s">
        <v>452</v>
      </c>
    </row>
    <row r="68" spans="1:7">
      <c r="A68" s="13">
        <v>133</v>
      </c>
      <c r="B68" s="1" t="s">
        <v>146</v>
      </c>
      <c r="C68" s="2">
        <v>930</v>
      </c>
      <c r="D68" s="2">
        <v>3</v>
      </c>
      <c r="E68" s="13" t="s">
        <v>448</v>
      </c>
      <c r="F68" s="13" t="s">
        <v>456</v>
      </c>
      <c r="G68" s="13" t="s">
        <v>452</v>
      </c>
    </row>
    <row r="69" spans="1:7" hidden="1">
      <c r="A69" s="13">
        <v>134</v>
      </c>
      <c r="B69" s="1" t="s">
        <v>265</v>
      </c>
      <c r="C69" s="2">
        <v>455</v>
      </c>
      <c r="D69" s="2">
        <v>3</v>
      </c>
      <c r="E69" s="13" t="s">
        <v>448</v>
      </c>
      <c r="F69" s="13" t="s">
        <v>456</v>
      </c>
      <c r="G69" s="13" t="s">
        <v>451</v>
      </c>
    </row>
    <row r="70" spans="1:7" hidden="1">
      <c r="A70" s="13">
        <v>135</v>
      </c>
      <c r="B70" s="1" t="s">
        <v>268</v>
      </c>
      <c r="C70" s="2">
        <v>906</v>
      </c>
      <c r="D70" s="2">
        <v>3</v>
      </c>
      <c r="E70" s="13" t="s">
        <v>448</v>
      </c>
      <c r="F70" s="13" t="s">
        <v>456</v>
      </c>
      <c r="G70" s="13" t="s">
        <v>451</v>
      </c>
    </row>
    <row r="71" spans="1:7">
      <c r="A71" s="13">
        <v>136</v>
      </c>
      <c r="B71" s="1" t="s">
        <v>147</v>
      </c>
      <c r="C71" s="2">
        <v>919</v>
      </c>
      <c r="D71" s="2">
        <v>3</v>
      </c>
      <c r="E71" s="13" t="s">
        <v>448</v>
      </c>
      <c r="F71" s="13" t="s">
        <v>456</v>
      </c>
      <c r="G71" s="13" t="s">
        <v>452</v>
      </c>
    </row>
    <row r="72" spans="1:7" hidden="1">
      <c r="A72" s="13">
        <v>140</v>
      </c>
      <c r="B72" s="1" t="s">
        <v>315</v>
      </c>
      <c r="C72" s="2">
        <v>682</v>
      </c>
      <c r="D72" s="2">
        <v>3</v>
      </c>
      <c r="E72" s="13" t="s">
        <v>448</v>
      </c>
      <c r="F72" s="13" t="s">
        <v>456</v>
      </c>
      <c r="G72" s="13" t="s">
        <v>451</v>
      </c>
    </row>
    <row r="73" spans="1:7" hidden="1">
      <c r="A73" s="13">
        <v>141</v>
      </c>
      <c r="B73" s="1" t="s">
        <v>323</v>
      </c>
      <c r="C73" s="2">
        <v>291</v>
      </c>
      <c r="D73" s="2">
        <v>3</v>
      </c>
      <c r="E73" s="13" t="s">
        <v>448</v>
      </c>
      <c r="F73" s="13" t="s">
        <v>456</v>
      </c>
      <c r="G73" s="13" t="s">
        <v>451</v>
      </c>
    </row>
    <row r="74" spans="1:7" hidden="1">
      <c r="A74" s="13">
        <v>142</v>
      </c>
      <c r="B74" s="1" t="s">
        <v>327</v>
      </c>
      <c r="C74" s="2">
        <v>111</v>
      </c>
      <c r="D74" s="2">
        <v>3</v>
      </c>
      <c r="E74" s="13" t="s">
        <v>448</v>
      </c>
      <c r="F74" s="13" t="s">
        <v>456</v>
      </c>
      <c r="G74" s="13" t="s">
        <v>451</v>
      </c>
    </row>
    <row r="75" spans="1:7">
      <c r="A75" s="13">
        <v>143</v>
      </c>
      <c r="B75" s="1" t="s">
        <v>168</v>
      </c>
      <c r="C75" s="2">
        <v>372</v>
      </c>
      <c r="D75" s="2">
        <v>5</v>
      </c>
      <c r="E75" s="13" t="s">
        <v>448</v>
      </c>
      <c r="F75" s="13" t="s">
        <v>456</v>
      </c>
      <c r="G75" s="13" t="s">
        <v>452</v>
      </c>
    </row>
    <row r="76" spans="1:7">
      <c r="A76" s="13">
        <v>144</v>
      </c>
      <c r="B76" s="1" t="s">
        <v>181</v>
      </c>
      <c r="C76" s="2">
        <v>834</v>
      </c>
      <c r="D76" s="2">
        <v>7</v>
      </c>
      <c r="E76" s="13" t="s">
        <v>448</v>
      </c>
      <c r="F76" s="13" t="s">
        <v>456</v>
      </c>
      <c r="G76" s="13" t="s">
        <v>452</v>
      </c>
    </row>
    <row r="77" spans="1:7">
      <c r="A77" s="13">
        <v>145</v>
      </c>
      <c r="B77" s="1" t="s">
        <v>188</v>
      </c>
      <c r="C77" s="2">
        <v>961</v>
      </c>
      <c r="D77" s="2">
        <v>2</v>
      </c>
      <c r="E77" s="13" t="s">
        <v>448</v>
      </c>
      <c r="F77" s="13" t="s">
        <v>456</v>
      </c>
      <c r="G77" s="13" t="s">
        <v>452</v>
      </c>
    </row>
    <row r="78" spans="1:7" hidden="1">
      <c r="A78" s="13">
        <v>147</v>
      </c>
      <c r="B78" s="1" t="s">
        <v>337</v>
      </c>
      <c r="C78" s="2">
        <v>205</v>
      </c>
      <c r="D78" s="2">
        <v>3</v>
      </c>
      <c r="E78" s="13" t="s">
        <v>448</v>
      </c>
      <c r="F78" s="13" t="s">
        <v>456</v>
      </c>
      <c r="G78" s="13" t="s">
        <v>451</v>
      </c>
    </row>
    <row r="79" spans="1:7" hidden="1">
      <c r="A79" s="13">
        <v>148</v>
      </c>
      <c r="B79" s="1" t="s">
        <v>340</v>
      </c>
      <c r="C79" s="2">
        <v>707</v>
      </c>
      <c r="D79" s="2">
        <v>3</v>
      </c>
      <c r="E79" s="13" t="s">
        <v>448</v>
      </c>
      <c r="F79" s="13" t="s">
        <v>456</v>
      </c>
      <c r="G79" s="13" t="s">
        <v>451</v>
      </c>
    </row>
    <row r="80" spans="1:7" hidden="1">
      <c r="A80" s="13">
        <v>149</v>
      </c>
      <c r="B80" s="1" t="s">
        <v>349</v>
      </c>
      <c r="C80" s="2">
        <v>277</v>
      </c>
      <c r="D80" s="2">
        <v>3</v>
      </c>
      <c r="E80" s="13" t="s">
        <v>448</v>
      </c>
      <c r="F80" s="13" t="s">
        <v>456</v>
      </c>
      <c r="G80" s="13" t="s">
        <v>451</v>
      </c>
    </row>
    <row r="81" spans="1:7" hidden="1">
      <c r="A81" s="13">
        <v>150</v>
      </c>
      <c r="B81" s="1" t="s">
        <v>350</v>
      </c>
      <c r="C81" s="2">
        <v>279</v>
      </c>
      <c r="D81" s="2">
        <v>3</v>
      </c>
      <c r="E81" s="13" t="s">
        <v>448</v>
      </c>
      <c r="F81" s="13" t="s">
        <v>456</v>
      </c>
      <c r="G81" s="13" t="s">
        <v>451</v>
      </c>
    </row>
    <row r="82" spans="1:7" hidden="1">
      <c r="A82" s="13">
        <v>151</v>
      </c>
      <c r="B82" s="1" t="s">
        <v>364</v>
      </c>
      <c r="C82" s="2">
        <v>165</v>
      </c>
      <c r="D82" s="2">
        <v>3</v>
      </c>
      <c r="E82" s="13" t="s">
        <v>448</v>
      </c>
      <c r="F82" s="13" t="s">
        <v>456</v>
      </c>
      <c r="G82" s="13" t="s">
        <v>451</v>
      </c>
    </row>
    <row r="83" spans="1:7">
      <c r="A83" s="13">
        <v>153</v>
      </c>
      <c r="B83" s="1" t="s">
        <v>193</v>
      </c>
      <c r="C83" s="2">
        <v>926</v>
      </c>
      <c r="D83" s="2">
        <v>2</v>
      </c>
      <c r="E83" s="13" t="s">
        <v>448</v>
      </c>
      <c r="F83" s="13" t="s">
        <v>456</v>
      </c>
      <c r="G83" s="13" t="s">
        <v>452</v>
      </c>
    </row>
    <row r="84" spans="1:7" hidden="1">
      <c r="A84" s="13">
        <v>156</v>
      </c>
      <c r="B84" s="1" t="s">
        <v>387</v>
      </c>
      <c r="C84" s="2">
        <v>367</v>
      </c>
      <c r="D84" s="2">
        <v>3</v>
      </c>
      <c r="E84" s="13" t="s">
        <v>448</v>
      </c>
      <c r="F84" s="13" t="s">
        <v>456</v>
      </c>
      <c r="G84" s="13" t="s">
        <v>451</v>
      </c>
    </row>
    <row r="85" spans="1:7" hidden="1">
      <c r="A85" s="13">
        <v>157</v>
      </c>
      <c r="B85" s="1" t="s">
        <v>403</v>
      </c>
      <c r="C85" s="2">
        <v>213</v>
      </c>
      <c r="D85" s="2">
        <v>3</v>
      </c>
      <c r="E85" s="13" t="s">
        <v>448</v>
      </c>
      <c r="F85" s="13" t="s">
        <v>456</v>
      </c>
      <c r="G85" s="13" t="s">
        <v>451</v>
      </c>
    </row>
    <row r="86" spans="1:7" hidden="1">
      <c r="A86" s="13">
        <v>160</v>
      </c>
      <c r="B86" s="1" t="s">
        <v>17</v>
      </c>
      <c r="C86" s="2">
        <v>534</v>
      </c>
      <c r="D86" s="2">
        <v>4</v>
      </c>
      <c r="E86" s="13" t="s">
        <v>448</v>
      </c>
      <c r="F86" s="13" t="s">
        <v>456</v>
      </c>
      <c r="G86" s="13" t="s">
        <v>451</v>
      </c>
    </row>
    <row r="87" spans="1:7">
      <c r="A87" s="13">
        <v>161</v>
      </c>
      <c r="B87" s="1" t="s">
        <v>199</v>
      </c>
      <c r="C87" s="2">
        <v>887</v>
      </c>
      <c r="D87" s="2">
        <v>6</v>
      </c>
      <c r="E87" s="13" t="s">
        <v>448</v>
      </c>
      <c r="F87" s="13" t="s">
        <v>456</v>
      </c>
      <c r="G87" s="13" t="s">
        <v>452</v>
      </c>
    </row>
    <row r="88" spans="1:7" hidden="1">
      <c r="A88" s="13">
        <v>163</v>
      </c>
      <c r="B88" s="1" t="s">
        <v>33</v>
      </c>
      <c r="C88" s="2">
        <v>843</v>
      </c>
      <c r="D88" s="2">
        <v>4</v>
      </c>
      <c r="E88" s="13" t="s">
        <v>448</v>
      </c>
      <c r="F88" s="13" t="s">
        <v>456</v>
      </c>
      <c r="G88" s="13" t="s">
        <v>451</v>
      </c>
    </row>
    <row r="89" spans="1:7">
      <c r="A89" s="13">
        <v>165</v>
      </c>
      <c r="B89" s="1" t="s">
        <v>201</v>
      </c>
      <c r="C89" s="2">
        <v>897</v>
      </c>
      <c r="D89" s="2">
        <v>3</v>
      </c>
      <c r="E89" s="13" t="s">
        <v>448</v>
      </c>
      <c r="F89" s="13" t="s">
        <v>456</v>
      </c>
      <c r="G89" s="13" t="s">
        <v>452</v>
      </c>
    </row>
    <row r="90" spans="1:7" hidden="1">
      <c r="A90" s="13">
        <v>166</v>
      </c>
      <c r="B90" s="1" t="s">
        <v>46</v>
      </c>
      <c r="C90" s="2">
        <v>653</v>
      </c>
      <c r="D90" s="2">
        <v>4</v>
      </c>
      <c r="E90" s="13" t="s">
        <v>448</v>
      </c>
      <c r="F90" s="13" t="s">
        <v>456</v>
      </c>
      <c r="G90" s="13" t="s">
        <v>451</v>
      </c>
    </row>
    <row r="91" spans="1:7">
      <c r="A91" s="13">
        <v>168</v>
      </c>
      <c r="B91" s="1" t="s">
        <v>202</v>
      </c>
      <c r="C91" s="2">
        <v>932</v>
      </c>
      <c r="D91" s="2">
        <v>2</v>
      </c>
      <c r="E91" s="13" t="s">
        <v>448</v>
      </c>
      <c r="F91" s="13" t="s">
        <v>456</v>
      </c>
      <c r="G91" s="13" t="s">
        <v>452</v>
      </c>
    </row>
    <row r="92" spans="1:7">
      <c r="A92" s="13">
        <v>169</v>
      </c>
      <c r="B92" s="1" t="s">
        <v>203</v>
      </c>
      <c r="C92" s="2">
        <v>881</v>
      </c>
      <c r="D92" s="2">
        <v>6</v>
      </c>
      <c r="E92" s="13" t="s">
        <v>448</v>
      </c>
      <c r="F92" s="13" t="s">
        <v>456</v>
      </c>
      <c r="G92" s="13" t="s">
        <v>452</v>
      </c>
    </row>
    <row r="93" spans="1:7" hidden="1">
      <c r="A93" s="13">
        <v>170</v>
      </c>
      <c r="B93" s="1" t="s">
        <v>60</v>
      </c>
      <c r="C93" s="2">
        <v>584</v>
      </c>
      <c r="D93" s="2">
        <v>4</v>
      </c>
      <c r="E93" s="13" t="s">
        <v>448</v>
      </c>
      <c r="F93" s="13" t="s">
        <v>456</v>
      </c>
      <c r="G93" s="13" t="s">
        <v>451</v>
      </c>
    </row>
    <row r="94" spans="1:7">
      <c r="A94" s="13">
        <v>171</v>
      </c>
      <c r="B94" s="1" t="s">
        <v>207</v>
      </c>
      <c r="C94" s="2">
        <v>529</v>
      </c>
      <c r="D94" s="2">
        <v>9</v>
      </c>
      <c r="E94" s="13" t="s">
        <v>448</v>
      </c>
      <c r="F94" s="13" t="s">
        <v>456</v>
      </c>
      <c r="G94" s="13" t="s">
        <v>452</v>
      </c>
    </row>
    <row r="95" spans="1:7">
      <c r="A95" s="13">
        <v>173</v>
      </c>
      <c r="B95" s="1" t="s">
        <v>235</v>
      </c>
      <c r="C95" s="2">
        <v>734</v>
      </c>
      <c r="D95" s="2">
        <v>4</v>
      </c>
      <c r="E95" s="13" t="s">
        <v>448</v>
      </c>
      <c r="F95" s="13" t="s">
        <v>456</v>
      </c>
      <c r="G95" s="13" t="s">
        <v>452</v>
      </c>
    </row>
    <row r="96" spans="1:7" hidden="1">
      <c r="A96" s="13">
        <v>176</v>
      </c>
      <c r="B96" s="1" t="s">
        <v>135</v>
      </c>
      <c r="C96" s="2">
        <v>832</v>
      </c>
      <c r="D96" s="2">
        <v>4</v>
      </c>
      <c r="E96" s="13" t="s">
        <v>448</v>
      </c>
      <c r="F96" s="13" t="s">
        <v>456</v>
      </c>
      <c r="G96" s="13" t="s">
        <v>451</v>
      </c>
    </row>
    <row r="97" spans="1:7" hidden="1">
      <c r="A97" s="13">
        <v>177</v>
      </c>
      <c r="B97" s="1" t="s">
        <v>140</v>
      </c>
      <c r="C97" s="2">
        <v>171</v>
      </c>
      <c r="D97" s="2">
        <v>4</v>
      </c>
      <c r="E97" s="13" t="s">
        <v>448</v>
      </c>
      <c r="F97" s="13" t="s">
        <v>456</v>
      </c>
      <c r="G97" s="13" t="s">
        <v>451</v>
      </c>
    </row>
    <row r="98" spans="1:7" hidden="1">
      <c r="A98" s="13">
        <v>182</v>
      </c>
      <c r="B98" s="1" t="s">
        <v>211</v>
      </c>
      <c r="C98" s="2">
        <v>488</v>
      </c>
      <c r="D98" s="2">
        <v>4</v>
      </c>
      <c r="E98" s="13" t="s">
        <v>448</v>
      </c>
      <c r="F98" s="13" t="s">
        <v>456</v>
      </c>
      <c r="G98" s="13" t="s">
        <v>451</v>
      </c>
    </row>
    <row r="99" spans="1:7" hidden="1">
      <c r="A99" s="13">
        <v>185</v>
      </c>
      <c r="B99" s="1" t="s">
        <v>226</v>
      </c>
      <c r="C99" s="2">
        <v>249</v>
      </c>
      <c r="D99" s="2">
        <v>4</v>
      </c>
      <c r="E99" s="13" t="s">
        <v>448</v>
      </c>
      <c r="F99" s="13" t="s">
        <v>456</v>
      </c>
      <c r="G99" s="13" t="s">
        <v>451</v>
      </c>
    </row>
    <row r="100" spans="1:7">
      <c r="A100" s="13">
        <v>188</v>
      </c>
      <c r="B100" s="1" t="s">
        <v>248</v>
      </c>
      <c r="C100" s="2">
        <v>410</v>
      </c>
      <c r="D100" s="2">
        <v>3</v>
      </c>
      <c r="E100" s="13" t="s">
        <v>448</v>
      </c>
      <c r="F100" s="13" t="s">
        <v>456</v>
      </c>
      <c r="G100" s="13" t="s">
        <v>452</v>
      </c>
    </row>
    <row r="101" spans="1:7" hidden="1">
      <c r="A101" s="13">
        <v>195</v>
      </c>
      <c r="B101" s="1" t="s">
        <v>276</v>
      </c>
      <c r="C101" s="2">
        <v>451</v>
      </c>
      <c r="D101" s="2">
        <v>4</v>
      </c>
      <c r="E101" s="13" t="s">
        <v>448</v>
      </c>
      <c r="F101" s="13" t="s">
        <v>456</v>
      </c>
      <c r="G101" s="13" t="s">
        <v>451</v>
      </c>
    </row>
    <row r="102" spans="1:7">
      <c r="A102" s="13">
        <v>196</v>
      </c>
      <c r="B102" s="1" t="s">
        <v>249</v>
      </c>
      <c r="C102" s="2">
        <v>317</v>
      </c>
      <c r="D102" s="2">
        <v>5</v>
      </c>
      <c r="E102" s="13" t="s">
        <v>448</v>
      </c>
      <c r="F102" s="13" t="s">
        <v>456</v>
      </c>
      <c r="G102" s="13" t="s">
        <v>452</v>
      </c>
    </row>
    <row r="103" spans="1:7" hidden="1">
      <c r="A103" s="13">
        <v>198</v>
      </c>
      <c r="B103" s="3" t="s">
        <v>292</v>
      </c>
      <c r="C103" s="2">
        <v>991</v>
      </c>
      <c r="D103" s="2">
        <v>4</v>
      </c>
      <c r="E103" s="13" t="s">
        <v>448</v>
      </c>
      <c r="F103" s="13" t="s">
        <v>456</v>
      </c>
      <c r="G103" s="13" t="s">
        <v>451</v>
      </c>
    </row>
    <row r="104" spans="1:7">
      <c r="A104" s="13">
        <v>199</v>
      </c>
      <c r="B104" s="1" t="s">
        <v>250</v>
      </c>
      <c r="C104" s="2">
        <v>382</v>
      </c>
      <c r="D104" s="2">
        <v>3</v>
      </c>
      <c r="E104" s="13" t="s">
        <v>448</v>
      </c>
      <c r="F104" s="13" t="s">
        <v>456</v>
      </c>
      <c r="G104" s="13" t="s">
        <v>452</v>
      </c>
    </row>
    <row r="105" spans="1:7" hidden="1">
      <c r="A105" s="13">
        <v>200</v>
      </c>
      <c r="B105" s="1" t="s">
        <v>297</v>
      </c>
      <c r="C105" s="2">
        <v>632</v>
      </c>
      <c r="D105" s="2">
        <v>4</v>
      </c>
      <c r="E105" s="13" t="s">
        <v>448</v>
      </c>
      <c r="F105" s="13" t="s">
        <v>456</v>
      </c>
      <c r="G105" s="13" t="s">
        <v>451</v>
      </c>
    </row>
    <row r="106" spans="1:7" hidden="1">
      <c r="A106" s="13">
        <v>202</v>
      </c>
      <c r="B106" s="1" t="s">
        <v>306</v>
      </c>
      <c r="C106" s="2">
        <v>677</v>
      </c>
      <c r="D106" s="2">
        <v>4</v>
      </c>
      <c r="E106" s="13" t="s">
        <v>448</v>
      </c>
      <c r="F106" s="13" t="s">
        <v>456</v>
      </c>
      <c r="G106" s="13" t="s">
        <v>451</v>
      </c>
    </row>
    <row r="107" spans="1:7" hidden="1">
      <c r="A107" s="13">
        <v>205</v>
      </c>
      <c r="B107" s="1" t="s">
        <v>343</v>
      </c>
      <c r="C107" s="2">
        <v>259</v>
      </c>
      <c r="D107" s="2">
        <v>4</v>
      </c>
      <c r="E107" s="13" t="s">
        <v>448</v>
      </c>
      <c r="F107" s="13" t="s">
        <v>456</v>
      </c>
      <c r="G107" s="13" t="s">
        <v>451</v>
      </c>
    </row>
    <row r="108" spans="1:7" hidden="1">
      <c r="A108" s="13">
        <v>206</v>
      </c>
      <c r="B108" s="1" t="s">
        <v>347</v>
      </c>
      <c r="C108" s="2">
        <v>520</v>
      </c>
      <c r="D108" s="2">
        <v>4</v>
      </c>
      <c r="E108" s="13" t="s">
        <v>448</v>
      </c>
      <c r="F108" s="13" t="s">
        <v>456</v>
      </c>
      <c r="G108" s="13" t="s">
        <v>451</v>
      </c>
    </row>
    <row r="109" spans="1:7" hidden="1">
      <c r="A109" s="13">
        <v>208</v>
      </c>
      <c r="B109" s="1" t="s">
        <v>376</v>
      </c>
      <c r="C109" s="2">
        <v>828</v>
      </c>
      <c r="D109" s="2">
        <v>4</v>
      </c>
      <c r="E109" s="13" t="s">
        <v>448</v>
      </c>
      <c r="F109" s="13" t="s">
        <v>456</v>
      </c>
      <c r="G109" s="13" t="s">
        <v>451</v>
      </c>
    </row>
    <row r="110" spans="1:7" hidden="1">
      <c r="A110" s="13">
        <v>209</v>
      </c>
      <c r="B110" s="1" t="s">
        <v>381</v>
      </c>
      <c r="C110" s="2">
        <v>594</v>
      </c>
      <c r="D110" s="2">
        <v>4</v>
      </c>
      <c r="E110" s="13" t="s">
        <v>448</v>
      </c>
      <c r="F110" s="13" t="s">
        <v>456</v>
      </c>
      <c r="G110" s="13" t="s">
        <v>451</v>
      </c>
    </row>
    <row r="111" spans="1:7" hidden="1">
      <c r="A111" s="13">
        <v>211</v>
      </c>
      <c r="B111" s="1" t="s">
        <v>397</v>
      </c>
      <c r="C111" s="2">
        <v>962</v>
      </c>
      <c r="D111" s="2">
        <v>4</v>
      </c>
      <c r="E111" s="13" t="s">
        <v>448</v>
      </c>
      <c r="F111" s="13" t="s">
        <v>456</v>
      </c>
      <c r="G111" s="13" t="s">
        <v>451</v>
      </c>
    </row>
    <row r="112" spans="1:7" hidden="1">
      <c r="A112" s="13">
        <v>212</v>
      </c>
      <c r="B112" s="1" t="s">
        <v>401</v>
      </c>
      <c r="C112" s="2">
        <v>977</v>
      </c>
      <c r="D112" s="2">
        <v>4</v>
      </c>
      <c r="E112" s="13" t="s">
        <v>448</v>
      </c>
      <c r="F112" s="13" t="s">
        <v>456</v>
      </c>
      <c r="G112" s="13" t="s">
        <v>451</v>
      </c>
    </row>
    <row r="113" spans="1:7" hidden="1">
      <c r="A113" s="13">
        <v>218</v>
      </c>
      <c r="B113" s="1" t="s">
        <v>12</v>
      </c>
      <c r="C113" s="2">
        <v>313</v>
      </c>
      <c r="D113" s="2">
        <v>5</v>
      </c>
      <c r="E113" s="13" t="s">
        <v>448</v>
      </c>
      <c r="F113" s="13" t="s">
        <v>456</v>
      </c>
      <c r="G113" s="13" t="s">
        <v>451</v>
      </c>
    </row>
    <row r="114" spans="1:7" hidden="1">
      <c r="A114" s="13">
        <v>221</v>
      </c>
      <c r="B114" s="1" t="s">
        <v>63</v>
      </c>
      <c r="C114" s="2">
        <v>371</v>
      </c>
      <c r="D114" s="2">
        <v>5</v>
      </c>
      <c r="E114" s="13" t="s">
        <v>448</v>
      </c>
      <c r="F114" s="13" t="s">
        <v>456</v>
      </c>
      <c r="G114" s="13" t="s">
        <v>451</v>
      </c>
    </row>
    <row r="115" spans="1:7">
      <c r="A115" s="13">
        <v>222</v>
      </c>
      <c r="B115" s="1" t="s">
        <v>255</v>
      </c>
      <c r="C115" s="2">
        <v>641</v>
      </c>
      <c r="D115" s="2">
        <v>3</v>
      </c>
      <c r="E115" s="13" t="s">
        <v>448</v>
      </c>
      <c r="F115" s="13" t="s">
        <v>456</v>
      </c>
      <c r="G115" s="13" t="s">
        <v>452</v>
      </c>
    </row>
    <row r="116" spans="1:7" hidden="1">
      <c r="A116" s="13">
        <v>223</v>
      </c>
      <c r="B116" s="1" t="s">
        <v>160</v>
      </c>
      <c r="C116" s="2">
        <v>537</v>
      </c>
      <c r="D116" s="2">
        <v>5</v>
      </c>
      <c r="E116" s="13" t="s">
        <v>448</v>
      </c>
      <c r="F116" s="13" t="s">
        <v>456</v>
      </c>
      <c r="G116" s="13" t="s">
        <v>451</v>
      </c>
    </row>
    <row r="117" spans="1:7">
      <c r="A117" s="13">
        <v>224</v>
      </c>
      <c r="B117" s="1" t="s">
        <v>257</v>
      </c>
      <c r="C117" s="2">
        <v>727</v>
      </c>
      <c r="D117" s="2">
        <v>6</v>
      </c>
      <c r="E117" s="13" t="s">
        <v>448</v>
      </c>
      <c r="F117" s="13" t="s">
        <v>456</v>
      </c>
      <c r="G117" s="13" t="s">
        <v>452</v>
      </c>
    </row>
    <row r="118" spans="1:7" hidden="1">
      <c r="A118" s="13">
        <v>230</v>
      </c>
      <c r="B118" s="1" t="s">
        <v>213</v>
      </c>
      <c r="C118" s="2">
        <v>201</v>
      </c>
      <c r="D118" s="2">
        <v>5</v>
      </c>
      <c r="E118" s="13" t="s">
        <v>448</v>
      </c>
      <c r="F118" s="13" t="s">
        <v>456</v>
      </c>
      <c r="G118" s="13" t="s">
        <v>451</v>
      </c>
    </row>
    <row r="119" spans="1:7">
      <c r="A119" s="13">
        <v>231</v>
      </c>
      <c r="B119" s="1" t="s">
        <v>279</v>
      </c>
      <c r="C119" s="2">
        <v>638</v>
      </c>
      <c r="D119" s="2">
        <v>4</v>
      </c>
      <c r="E119" s="13" t="s">
        <v>448</v>
      </c>
      <c r="F119" s="13" t="s">
        <v>456</v>
      </c>
      <c r="G119" s="13" t="s">
        <v>452</v>
      </c>
    </row>
    <row r="120" spans="1:7" hidden="1">
      <c r="A120" s="13">
        <v>233</v>
      </c>
      <c r="B120" s="1" t="s">
        <v>263</v>
      </c>
      <c r="C120" s="2">
        <v>374</v>
      </c>
      <c r="D120" s="2">
        <v>5</v>
      </c>
      <c r="E120" s="13" t="s">
        <v>448</v>
      </c>
      <c r="F120" s="13" t="s">
        <v>456</v>
      </c>
      <c r="G120" s="13" t="s">
        <v>451</v>
      </c>
    </row>
    <row r="121" spans="1:7" hidden="1">
      <c r="A121" s="13">
        <v>235</v>
      </c>
      <c r="B121" s="1" t="s">
        <v>286</v>
      </c>
      <c r="C121" s="2">
        <v>555</v>
      </c>
      <c r="D121" s="2">
        <v>5</v>
      </c>
      <c r="E121" s="13" t="s">
        <v>448</v>
      </c>
      <c r="F121" s="13" t="s">
        <v>456</v>
      </c>
      <c r="G121" s="13" t="s">
        <v>451</v>
      </c>
    </row>
    <row r="122" spans="1:7" hidden="1">
      <c r="A122" s="13">
        <v>240</v>
      </c>
      <c r="B122" s="1" t="s">
        <v>342</v>
      </c>
      <c r="C122" s="2">
        <v>243</v>
      </c>
      <c r="D122" s="2">
        <v>5</v>
      </c>
      <c r="E122" s="13" t="s">
        <v>448</v>
      </c>
      <c r="F122" s="13" t="s">
        <v>456</v>
      </c>
      <c r="G122" s="13" t="s">
        <v>451</v>
      </c>
    </row>
    <row r="123" spans="1:7" hidden="1">
      <c r="A123" s="13">
        <v>242</v>
      </c>
      <c r="B123" s="1" t="s">
        <v>459</v>
      </c>
      <c r="C123" s="2">
        <v>105</v>
      </c>
      <c r="D123" s="2">
        <v>5</v>
      </c>
      <c r="E123" s="13" t="s">
        <v>448</v>
      </c>
      <c r="F123" s="13" t="s">
        <v>456</v>
      </c>
      <c r="G123" s="13" t="s">
        <v>451</v>
      </c>
    </row>
    <row r="124" spans="1:7" hidden="1">
      <c r="A124" s="13">
        <v>244</v>
      </c>
      <c r="B124" s="1" t="s">
        <v>352</v>
      </c>
      <c r="C124" s="2">
        <v>283</v>
      </c>
      <c r="D124" s="2">
        <v>5</v>
      </c>
      <c r="E124" s="13" t="s">
        <v>448</v>
      </c>
      <c r="F124" s="13" t="s">
        <v>456</v>
      </c>
      <c r="G124" s="13" t="s">
        <v>451</v>
      </c>
    </row>
    <row r="125" spans="1:7" hidden="1">
      <c r="A125" s="13">
        <v>246</v>
      </c>
      <c r="B125" s="1" t="s">
        <v>394</v>
      </c>
      <c r="C125" s="2">
        <v>976</v>
      </c>
      <c r="D125" s="2">
        <v>5</v>
      </c>
      <c r="E125" s="13" t="s">
        <v>448</v>
      </c>
      <c r="F125" s="13" t="s">
        <v>456</v>
      </c>
      <c r="G125" s="13" t="s">
        <v>451</v>
      </c>
    </row>
    <row r="126" spans="1:7" hidden="1">
      <c r="A126" s="13">
        <v>249</v>
      </c>
      <c r="B126" s="1" t="s">
        <v>416</v>
      </c>
      <c r="C126" s="2">
        <v>723</v>
      </c>
      <c r="D126" s="2">
        <v>5</v>
      </c>
      <c r="E126" s="13" t="s">
        <v>448</v>
      </c>
      <c r="F126" s="13" t="s">
        <v>456</v>
      </c>
      <c r="G126" s="13" t="s">
        <v>451</v>
      </c>
    </row>
    <row r="127" spans="1:7" hidden="1">
      <c r="A127" s="13">
        <v>252</v>
      </c>
      <c r="B127" s="1" t="s">
        <v>62</v>
      </c>
      <c r="C127" s="2">
        <v>393</v>
      </c>
      <c r="D127" s="2">
        <v>6</v>
      </c>
      <c r="E127" s="13" t="s">
        <v>448</v>
      </c>
      <c r="F127" s="13" t="s">
        <v>456</v>
      </c>
      <c r="G127" s="13" t="s">
        <v>451</v>
      </c>
    </row>
    <row r="128" spans="1:7">
      <c r="A128" s="13">
        <v>258</v>
      </c>
      <c r="B128" s="1" t="s">
        <v>285</v>
      </c>
      <c r="C128" s="2">
        <v>563</v>
      </c>
      <c r="D128" s="2">
        <v>3</v>
      </c>
      <c r="E128" s="13" t="s">
        <v>448</v>
      </c>
      <c r="F128" s="13" t="s">
        <v>456</v>
      </c>
      <c r="G128" s="13" t="s">
        <v>452</v>
      </c>
    </row>
    <row r="129" spans="1:7">
      <c r="A129" s="13">
        <v>262</v>
      </c>
      <c r="B129" s="1" t="s">
        <v>105</v>
      </c>
      <c r="C129" s="2">
        <v>461</v>
      </c>
      <c r="D129" s="2">
        <v>4</v>
      </c>
      <c r="E129" s="13" t="s">
        <v>448</v>
      </c>
      <c r="F129" s="13" t="s">
        <v>455</v>
      </c>
      <c r="G129" s="13" t="s">
        <v>452</v>
      </c>
    </row>
    <row r="130" spans="1:7">
      <c r="A130" s="13">
        <v>263</v>
      </c>
      <c r="B130" s="1" t="s">
        <v>289</v>
      </c>
      <c r="C130" s="2">
        <v>784</v>
      </c>
      <c r="D130" s="2">
        <v>7</v>
      </c>
      <c r="E130" s="13" t="s">
        <v>448</v>
      </c>
      <c r="F130" s="13" t="s">
        <v>456</v>
      </c>
      <c r="G130" s="13" t="s">
        <v>452</v>
      </c>
    </row>
    <row r="131" spans="1:7" hidden="1">
      <c r="A131" s="13">
        <v>265</v>
      </c>
      <c r="B131" s="1" t="s">
        <v>137</v>
      </c>
      <c r="C131" s="2">
        <v>424</v>
      </c>
      <c r="D131" s="2">
        <v>6</v>
      </c>
      <c r="E131" s="13" t="s">
        <v>448</v>
      </c>
      <c r="F131" s="13" t="s">
        <v>456</v>
      </c>
      <c r="G131" s="13" t="s">
        <v>451</v>
      </c>
    </row>
    <row r="132" spans="1:7" hidden="1">
      <c r="A132" s="13">
        <v>266</v>
      </c>
      <c r="B132" s="1" t="s">
        <v>169</v>
      </c>
      <c r="C132" s="2">
        <v>315</v>
      </c>
      <c r="D132" s="2">
        <v>6</v>
      </c>
      <c r="E132" s="13" t="s">
        <v>448</v>
      </c>
      <c r="F132" s="13" t="s">
        <v>456</v>
      </c>
      <c r="G132" s="13" t="s">
        <v>451</v>
      </c>
    </row>
    <row r="133" spans="1:7" hidden="1">
      <c r="A133" s="13">
        <v>267</v>
      </c>
      <c r="B133" s="1" t="s">
        <v>190</v>
      </c>
      <c r="C133" s="2">
        <v>861</v>
      </c>
      <c r="D133" s="2">
        <v>6</v>
      </c>
      <c r="E133" s="13" t="s">
        <v>448</v>
      </c>
      <c r="F133" s="13" t="s">
        <v>456</v>
      </c>
      <c r="G133" s="13" t="s">
        <v>451</v>
      </c>
    </row>
    <row r="134" spans="1:7">
      <c r="A134" s="13">
        <v>268</v>
      </c>
      <c r="B134" s="1" t="s">
        <v>294</v>
      </c>
      <c r="C134" s="2">
        <v>635</v>
      </c>
      <c r="D134" s="2">
        <v>4</v>
      </c>
      <c r="E134" s="13" t="s">
        <v>448</v>
      </c>
      <c r="F134" s="13" t="s">
        <v>456</v>
      </c>
      <c r="G134" s="13" t="s">
        <v>452</v>
      </c>
    </row>
    <row r="135" spans="1:7">
      <c r="A135" s="13">
        <v>269</v>
      </c>
      <c r="B135" s="7" t="s">
        <v>295</v>
      </c>
      <c r="C135" s="2">
        <v>633</v>
      </c>
      <c r="D135" s="2">
        <v>3</v>
      </c>
      <c r="E135" s="13" t="s">
        <v>448</v>
      </c>
      <c r="F135" s="13" t="s">
        <v>456</v>
      </c>
      <c r="G135" s="13" t="s">
        <v>452</v>
      </c>
    </row>
    <row r="136" spans="1:7">
      <c r="A136" s="13">
        <v>272</v>
      </c>
      <c r="B136" s="1" t="s">
        <v>457</v>
      </c>
      <c r="C136" s="2">
        <v>253</v>
      </c>
      <c r="D136" s="2">
        <v>2</v>
      </c>
      <c r="E136" s="13" t="s">
        <v>448</v>
      </c>
      <c r="F136" s="13" t="s">
        <v>456</v>
      </c>
      <c r="G136" s="13" t="s">
        <v>452</v>
      </c>
    </row>
    <row r="137" spans="1:7" hidden="1">
      <c r="A137" s="13">
        <v>273</v>
      </c>
      <c r="B137" s="1" t="s">
        <v>274</v>
      </c>
      <c r="C137" s="2">
        <v>247</v>
      </c>
      <c r="D137" s="2">
        <v>6</v>
      </c>
      <c r="E137" s="13" t="s">
        <v>448</v>
      </c>
      <c r="F137" s="13" t="s">
        <v>456</v>
      </c>
      <c r="G137" s="13" t="s">
        <v>451</v>
      </c>
    </row>
    <row r="138" spans="1:7" hidden="1">
      <c r="A138" s="13">
        <v>274</v>
      </c>
      <c r="B138" s="1" t="s">
        <v>282</v>
      </c>
      <c r="C138" s="2">
        <v>595</v>
      </c>
      <c r="D138" s="2">
        <v>6</v>
      </c>
      <c r="E138" s="13" t="s">
        <v>448</v>
      </c>
      <c r="F138" s="13" t="s">
        <v>456</v>
      </c>
      <c r="G138" s="13" t="s">
        <v>451</v>
      </c>
    </row>
    <row r="139" spans="1:7">
      <c r="A139" s="13">
        <v>276</v>
      </c>
      <c r="B139" s="1" t="s">
        <v>124</v>
      </c>
      <c r="C139" s="2">
        <v>341</v>
      </c>
      <c r="D139" s="2">
        <v>6</v>
      </c>
      <c r="E139" s="13" t="s">
        <v>448</v>
      </c>
      <c r="F139" s="13" t="s">
        <v>455</v>
      </c>
      <c r="G139" s="13" t="s">
        <v>452</v>
      </c>
    </row>
    <row r="140" spans="1:7" hidden="1">
      <c r="A140" s="13">
        <v>278</v>
      </c>
      <c r="B140" s="1" t="s">
        <v>304</v>
      </c>
      <c r="C140" s="2">
        <v>126</v>
      </c>
      <c r="D140" s="2">
        <v>6</v>
      </c>
      <c r="E140" s="13" t="s">
        <v>448</v>
      </c>
      <c r="F140" s="13" t="s">
        <v>456</v>
      </c>
      <c r="G140" s="13" t="s">
        <v>451</v>
      </c>
    </row>
    <row r="141" spans="1:7" hidden="1">
      <c r="A141" s="13">
        <v>279</v>
      </c>
      <c r="B141" s="1" t="s">
        <v>311</v>
      </c>
      <c r="C141" s="2">
        <v>586</v>
      </c>
      <c r="D141" s="2">
        <v>6</v>
      </c>
      <c r="E141" s="13" t="s">
        <v>448</v>
      </c>
      <c r="F141" s="13" t="s">
        <v>456</v>
      </c>
      <c r="G141" s="13" t="s">
        <v>451</v>
      </c>
    </row>
    <row r="142" spans="1:7">
      <c r="A142" s="13">
        <v>281</v>
      </c>
      <c r="B142" s="1" t="s">
        <v>301</v>
      </c>
      <c r="C142" s="2">
        <v>396</v>
      </c>
      <c r="D142" s="2">
        <v>7</v>
      </c>
      <c r="E142" s="13" t="s">
        <v>448</v>
      </c>
      <c r="F142" s="13" t="s">
        <v>456</v>
      </c>
      <c r="G142" s="13" t="s">
        <v>452</v>
      </c>
    </row>
    <row r="143" spans="1:7" hidden="1">
      <c r="A143" s="13">
        <v>283</v>
      </c>
      <c r="B143" s="1" t="s">
        <v>393</v>
      </c>
      <c r="C143" s="2">
        <v>910</v>
      </c>
      <c r="D143" s="2">
        <v>6</v>
      </c>
      <c r="E143" s="13" t="s">
        <v>448</v>
      </c>
      <c r="F143" s="13" t="s">
        <v>456</v>
      </c>
      <c r="G143" s="13" t="s">
        <v>451</v>
      </c>
    </row>
    <row r="144" spans="1:7" hidden="1">
      <c r="A144" s="13">
        <v>284</v>
      </c>
      <c r="B144" s="1" t="s">
        <v>396</v>
      </c>
      <c r="C144" s="2">
        <v>905</v>
      </c>
      <c r="D144" s="2">
        <v>6</v>
      </c>
      <c r="E144" s="13" t="s">
        <v>448</v>
      </c>
      <c r="F144" s="13" t="s">
        <v>456</v>
      </c>
      <c r="G144" s="13" t="s">
        <v>451</v>
      </c>
    </row>
    <row r="145" spans="1:7" hidden="1">
      <c r="A145" s="13">
        <v>286</v>
      </c>
      <c r="B145" s="1" t="s">
        <v>417</v>
      </c>
      <c r="C145" s="2">
        <v>538</v>
      </c>
      <c r="D145" s="2">
        <v>6</v>
      </c>
      <c r="E145" s="13" t="s">
        <v>448</v>
      </c>
      <c r="F145" s="13" t="s">
        <v>456</v>
      </c>
      <c r="G145" s="13" t="s">
        <v>451</v>
      </c>
    </row>
    <row r="146" spans="1:7">
      <c r="A146" s="13">
        <v>288</v>
      </c>
      <c r="B146" s="1" t="s">
        <v>312</v>
      </c>
      <c r="C146" s="2">
        <v>736</v>
      </c>
      <c r="D146" s="2">
        <v>9</v>
      </c>
      <c r="E146" s="13" t="s">
        <v>448</v>
      </c>
      <c r="F146" s="13" t="s">
        <v>456</v>
      </c>
      <c r="G146" s="13" t="s">
        <v>452</v>
      </c>
    </row>
    <row r="147" spans="1:7" hidden="1">
      <c r="A147" s="13">
        <v>290</v>
      </c>
      <c r="B147" s="1" t="s">
        <v>18</v>
      </c>
      <c r="C147" s="2">
        <v>309</v>
      </c>
      <c r="D147" s="2">
        <v>7</v>
      </c>
      <c r="E147" s="13" t="s">
        <v>448</v>
      </c>
      <c r="F147" s="13" t="s">
        <v>456</v>
      </c>
      <c r="G147" s="13" t="s">
        <v>451</v>
      </c>
    </row>
    <row r="148" spans="1:7" hidden="1">
      <c r="A148" s="13">
        <v>291</v>
      </c>
      <c r="B148" s="1" t="s">
        <v>38</v>
      </c>
      <c r="C148" s="2">
        <v>161</v>
      </c>
      <c r="D148" s="2">
        <v>7</v>
      </c>
      <c r="E148" s="13" t="s">
        <v>448</v>
      </c>
      <c r="F148" s="13" t="s">
        <v>456</v>
      </c>
      <c r="G148" s="13" t="s">
        <v>451</v>
      </c>
    </row>
    <row r="149" spans="1:7" hidden="1">
      <c r="A149" s="13">
        <v>294</v>
      </c>
      <c r="B149" s="1" t="s">
        <v>70</v>
      </c>
      <c r="C149" s="2">
        <v>955</v>
      </c>
      <c r="D149" s="2">
        <v>7</v>
      </c>
      <c r="E149" s="13" t="s">
        <v>448</v>
      </c>
      <c r="F149" s="13" t="s">
        <v>456</v>
      </c>
      <c r="G149" s="13" t="s">
        <v>451</v>
      </c>
    </row>
    <row r="150" spans="1:7">
      <c r="A150" s="13">
        <v>296</v>
      </c>
      <c r="B150" s="1" t="s">
        <v>469</v>
      </c>
      <c r="C150" s="2">
        <v>296</v>
      </c>
      <c r="D150" s="2">
        <v>3</v>
      </c>
      <c r="E150" s="13" t="s">
        <v>448</v>
      </c>
      <c r="F150" s="13" t="s">
        <v>456</v>
      </c>
      <c r="G150" s="13" t="s">
        <v>452</v>
      </c>
    </row>
    <row r="151" spans="1:7">
      <c r="A151" s="13">
        <v>298</v>
      </c>
      <c r="B151" s="1" t="s">
        <v>330</v>
      </c>
      <c r="C151" s="2">
        <v>209</v>
      </c>
      <c r="D151" s="2">
        <v>3</v>
      </c>
      <c r="E151" s="13" t="s">
        <v>448</v>
      </c>
      <c r="F151" s="13" t="s">
        <v>456</v>
      </c>
      <c r="G151" s="13" t="s">
        <v>452</v>
      </c>
    </row>
    <row r="152" spans="1:7" hidden="1">
      <c r="A152" s="13">
        <v>300</v>
      </c>
      <c r="B152" s="1" t="s">
        <v>111</v>
      </c>
      <c r="C152" s="2">
        <v>463</v>
      </c>
      <c r="D152" s="2">
        <v>6</v>
      </c>
      <c r="E152" s="13" t="s">
        <v>448</v>
      </c>
      <c r="F152" s="13" t="s">
        <v>455</v>
      </c>
      <c r="G152" s="13" t="s">
        <v>451</v>
      </c>
    </row>
    <row r="153" spans="1:7" hidden="1">
      <c r="A153" s="13">
        <v>301</v>
      </c>
      <c r="B153" s="1" t="s">
        <v>134</v>
      </c>
      <c r="C153" s="2">
        <v>530</v>
      </c>
      <c r="D153" s="2">
        <v>7</v>
      </c>
      <c r="E153" s="13" t="s">
        <v>448</v>
      </c>
      <c r="F153" s="13" t="s">
        <v>456</v>
      </c>
      <c r="G153" s="13" t="s">
        <v>451</v>
      </c>
    </row>
    <row r="154" spans="1:7" hidden="1">
      <c r="A154" s="13">
        <v>302</v>
      </c>
      <c r="B154" s="1" t="s">
        <v>153</v>
      </c>
      <c r="C154" s="2">
        <v>245</v>
      </c>
      <c r="D154" s="2">
        <v>7</v>
      </c>
      <c r="E154" s="13" t="s">
        <v>448</v>
      </c>
      <c r="F154" s="13" t="s">
        <v>456</v>
      </c>
      <c r="G154" s="13" t="s">
        <v>451</v>
      </c>
    </row>
    <row r="155" spans="1:7" hidden="1">
      <c r="A155" s="13">
        <v>304</v>
      </c>
      <c r="B155" s="1" t="s">
        <v>167</v>
      </c>
      <c r="C155" s="2">
        <v>322</v>
      </c>
      <c r="D155" s="2">
        <v>7</v>
      </c>
      <c r="E155" s="13" t="s">
        <v>448</v>
      </c>
      <c r="F155" s="13" t="s">
        <v>456</v>
      </c>
      <c r="G155" s="13" t="s">
        <v>451</v>
      </c>
    </row>
    <row r="156" spans="1:7" hidden="1">
      <c r="A156" s="13">
        <v>307</v>
      </c>
      <c r="B156" s="1" t="s">
        <v>468</v>
      </c>
      <c r="C156" s="2">
        <v>129</v>
      </c>
      <c r="D156" s="2">
        <v>6</v>
      </c>
      <c r="E156" s="13" t="s">
        <v>448</v>
      </c>
      <c r="F156" s="13" t="s">
        <v>455</v>
      </c>
      <c r="G156" s="13" t="s">
        <v>451</v>
      </c>
    </row>
    <row r="157" spans="1:7" hidden="1">
      <c r="A157" s="13">
        <v>308</v>
      </c>
      <c r="B157" s="1" t="s">
        <v>187</v>
      </c>
      <c r="C157" s="2">
        <v>864</v>
      </c>
      <c r="D157" s="2">
        <v>7</v>
      </c>
      <c r="E157" s="13" t="s">
        <v>448</v>
      </c>
      <c r="F157" s="13" t="s">
        <v>456</v>
      </c>
      <c r="G157" s="13" t="s">
        <v>451</v>
      </c>
    </row>
    <row r="158" spans="1:7" hidden="1">
      <c r="A158" s="13">
        <v>309</v>
      </c>
      <c r="B158" s="1" t="s">
        <v>189</v>
      </c>
      <c r="C158" s="2">
        <v>845</v>
      </c>
      <c r="D158" s="2">
        <v>7</v>
      </c>
      <c r="E158" s="13" t="s">
        <v>448</v>
      </c>
      <c r="F158" s="13" t="s">
        <v>456</v>
      </c>
      <c r="G158" s="13" t="s">
        <v>451</v>
      </c>
    </row>
    <row r="159" spans="1:7" hidden="1">
      <c r="A159" s="13">
        <v>311</v>
      </c>
      <c r="B159" s="1" t="s">
        <v>214</v>
      </c>
      <c r="C159" s="2">
        <v>830</v>
      </c>
      <c r="D159" s="2">
        <v>7</v>
      </c>
      <c r="E159" s="13" t="s">
        <v>448</v>
      </c>
      <c r="F159" s="13" t="s">
        <v>456</v>
      </c>
      <c r="G159" s="13" t="s">
        <v>451</v>
      </c>
    </row>
    <row r="160" spans="1:7" hidden="1">
      <c r="A160" s="13">
        <v>312</v>
      </c>
      <c r="B160" s="1" t="s">
        <v>218</v>
      </c>
      <c r="C160" s="2">
        <v>850</v>
      </c>
      <c r="D160" s="2">
        <v>7</v>
      </c>
      <c r="E160" s="13" t="s">
        <v>448</v>
      </c>
      <c r="F160" s="13" t="s">
        <v>456</v>
      </c>
      <c r="G160" s="13" t="s">
        <v>451</v>
      </c>
    </row>
    <row r="161" spans="1:7" hidden="1">
      <c r="A161" s="13">
        <v>314</v>
      </c>
      <c r="B161" s="1" t="s">
        <v>221</v>
      </c>
      <c r="C161" s="2">
        <v>566</v>
      </c>
      <c r="D161" s="2">
        <v>7</v>
      </c>
      <c r="E161" s="13" t="s">
        <v>448</v>
      </c>
      <c r="F161" s="13" t="s">
        <v>456</v>
      </c>
      <c r="G161" s="13" t="s">
        <v>451</v>
      </c>
    </row>
    <row r="162" spans="1:7" hidden="1">
      <c r="A162" s="13">
        <v>315</v>
      </c>
      <c r="B162" s="1" t="s">
        <v>247</v>
      </c>
      <c r="C162" s="2">
        <v>369</v>
      </c>
      <c r="D162" s="2">
        <v>7</v>
      </c>
      <c r="E162" s="13" t="s">
        <v>448</v>
      </c>
      <c r="F162" s="13" t="s">
        <v>456</v>
      </c>
      <c r="G162" s="13" t="s">
        <v>451</v>
      </c>
    </row>
    <row r="163" spans="1:7">
      <c r="A163" s="13">
        <v>320</v>
      </c>
      <c r="B163" s="6" t="s">
        <v>443</v>
      </c>
      <c r="C163" s="2">
        <v>496</v>
      </c>
      <c r="D163" s="2">
        <v>6</v>
      </c>
      <c r="E163" s="13" t="s">
        <v>448</v>
      </c>
      <c r="F163" s="13" t="s">
        <v>455</v>
      </c>
      <c r="G163" s="13" t="s">
        <v>452</v>
      </c>
    </row>
    <row r="164" spans="1:7" hidden="1">
      <c r="A164" s="13">
        <v>322</v>
      </c>
      <c r="B164" s="1" t="s">
        <v>270</v>
      </c>
      <c r="C164" s="2">
        <v>607</v>
      </c>
      <c r="D164" s="2">
        <v>7</v>
      </c>
      <c r="E164" s="13" t="s">
        <v>448</v>
      </c>
      <c r="F164" s="13" t="s">
        <v>456</v>
      </c>
      <c r="G164" s="13" t="s">
        <v>451</v>
      </c>
    </row>
    <row r="165" spans="1:7">
      <c r="A165" s="13">
        <v>325</v>
      </c>
      <c r="B165" s="1" t="s">
        <v>369</v>
      </c>
      <c r="C165" s="2">
        <v>806</v>
      </c>
      <c r="D165" s="2">
        <v>3</v>
      </c>
      <c r="E165" s="13" t="s">
        <v>448</v>
      </c>
      <c r="F165" s="13" t="s">
        <v>456</v>
      </c>
      <c r="G165" s="13" t="s">
        <v>452</v>
      </c>
    </row>
    <row r="166" spans="1:7">
      <c r="A166" s="13">
        <v>327</v>
      </c>
      <c r="B166" s="1" t="s">
        <v>132</v>
      </c>
      <c r="C166" s="2">
        <v>337</v>
      </c>
      <c r="D166" s="2">
        <v>7</v>
      </c>
      <c r="E166" s="13" t="s">
        <v>448</v>
      </c>
      <c r="F166" s="13" t="s">
        <v>455</v>
      </c>
      <c r="G166" s="13" t="s">
        <v>452</v>
      </c>
    </row>
    <row r="167" spans="1:7" hidden="1">
      <c r="A167" s="13">
        <v>328</v>
      </c>
      <c r="B167" s="1" t="s">
        <v>303</v>
      </c>
      <c r="C167" s="2">
        <v>535</v>
      </c>
      <c r="D167" s="2">
        <v>7</v>
      </c>
      <c r="E167" s="13" t="s">
        <v>448</v>
      </c>
      <c r="F167" s="13" t="s">
        <v>456</v>
      </c>
      <c r="G167" s="13" t="s">
        <v>451</v>
      </c>
    </row>
    <row r="168" spans="1:7" hidden="1">
      <c r="A168" s="13">
        <v>331</v>
      </c>
      <c r="B168" s="1" t="s">
        <v>370</v>
      </c>
      <c r="C168" s="2">
        <v>809</v>
      </c>
      <c r="D168" s="2">
        <v>7</v>
      </c>
      <c r="E168" s="13" t="s">
        <v>448</v>
      </c>
      <c r="F168" s="13" t="s">
        <v>456</v>
      </c>
      <c r="G168" s="13" t="s">
        <v>451</v>
      </c>
    </row>
    <row r="169" spans="1:7" hidden="1">
      <c r="A169" s="13">
        <v>332</v>
      </c>
      <c r="B169" s="1" t="s">
        <v>373</v>
      </c>
      <c r="C169" s="2">
        <v>754</v>
      </c>
      <c r="D169" s="2">
        <v>7</v>
      </c>
      <c r="E169" s="13" t="s">
        <v>448</v>
      </c>
      <c r="F169" s="13" t="s">
        <v>456</v>
      </c>
      <c r="G169" s="13" t="s">
        <v>451</v>
      </c>
    </row>
    <row r="170" spans="1:7">
      <c r="A170" s="13">
        <v>337</v>
      </c>
      <c r="B170" s="1" t="s">
        <v>377</v>
      </c>
      <c r="C170" s="2">
        <v>979</v>
      </c>
      <c r="D170" s="2">
        <v>9</v>
      </c>
      <c r="E170" s="13" t="s">
        <v>448</v>
      </c>
      <c r="F170" s="13" t="s">
        <v>456</v>
      </c>
      <c r="G170" s="13" t="s">
        <v>452</v>
      </c>
    </row>
    <row r="171" spans="1:7" hidden="1">
      <c r="A171" s="13">
        <v>341</v>
      </c>
      <c r="B171" s="1" t="s">
        <v>225</v>
      </c>
      <c r="C171" s="2">
        <v>252</v>
      </c>
      <c r="D171" s="2">
        <v>8</v>
      </c>
      <c r="E171" s="13" t="s">
        <v>448</v>
      </c>
      <c r="F171" s="13" t="s">
        <v>456</v>
      </c>
      <c r="G171" s="13" t="s">
        <v>451</v>
      </c>
    </row>
    <row r="172" spans="1:7" hidden="1">
      <c r="A172" s="13">
        <v>352</v>
      </c>
      <c r="B172" s="1" t="s">
        <v>439</v>
      </c>
      <c r="C172" s="2">
        <v>751</v>
      </c>
      <c r="D172" s="2">
        <v>8</v>
      </c>
      <c r="E172" s="13" t="s">
        <v>448</v>
      </c>
      <c r="F172" s="13" t="s">
        <v>456</v>
      </c>
      <c r="G172" s="13" t="s">
        <v>451</v>
      </c>
    </row>
    <row r="173" spans="1:7" hidden="1">
      <c r="A173" s="13">
        <v>355</v>
      </c>
      <c r="B173" s="1" t="s">
        <v>47</v>
      </c>
      <c r="C173" s="2">
        <v>495</v>
      </c>
      <c r="D173" s="2">
        <v>9</v>
      </c>
      <c r="E173" s="13" t="s">
        <v>448</v>
      </c>
      <c r="F173" s="13" t="s">
        <v>456</v>
      </c>
      <c r="G173" s="13" t="s">
        <v>451</v>
      </c>
    </row>
    <row r="174" spans="1:7">
      <c r="A174" s="13">
        <v>356</v>
      </c>
      <c r="B174" s="1" t="s">
        <v>380</v>
      </c>
      <c r="C174" s="2">
        <v>614</v>
      </c>
      <c r="D174" s="2">
        <v>1</v>
      </c>
      <c r="E174" s="13" t="s">
        <v>448</v>
      </c>
      <c r="F174" s="13" t="s">
        <v>456</v>
      </c>
      <c r="G174" s="13" t="s">
        <v>452</v>
      </c>
    </row>
    <row r="175" spans="1:7" hidden="1">
      <c r="A175" s="13">
        <v>364</v>
      </c>
      <c r="B175" s="1" t="s">
        <v>470</v>
      </c>
      <c r="C175" s="2">
        <v>432</v>
      </c>
      <c r="D175" s="2">
        <v>9</v>
      </c>
      <c r="E175" s="13" t="s">
        <v>448</v>
      </c>
      <c r="F175" s="13" t="s">
        <v>456</v>
      </c>
      <c r="G175" s="13" t="s">
        <v>451</v>
      </c>
    </row>
    <row r="176" spans="1:7" hidden="1">
      <c r="A176" s="13">
        <v>365</v>
      </c>
      <c r="B176" s="1" t="s">
        <v>173</v>
      </c>
      <c r="C176" s="2">
        <v>719</v>
      </c>
      <c r="D176" s="2">
        <v>9</v>
      </c>
      <c r="E176" s="13" t="s">
        <v>448</v>
      </c>
      <c r="F176" s="13" t="s">
        <v>456</v>
      </c>
      <c r="G176" s="13" t="s">
        <v>451</v>
      </c>
    </row>
    <row r="177" spans="1:7">
      <c r="A177" s="13">
        <v>368</v>
      </c>
      <c r="B177" s="1" t="s">
        <v>392</v>
      </c>
      <c r="C177" s="2">
        <v>178</v>
      </c>
      <c r="D177" s="2">
        <v>9</v>
      </c>
      <c r="E177" s="13" t="s">
        <v>448</v>
      </c>
      <c r="F177" s="13" t="s">
        <v>456</v>
      </c>
      <c r="G177" s="13" t="s">
        <v>452</v>
      </c>
    </row>
    <row r="178" spans="1:7" hidden="1">
      <c r="A178" s="13">
        <v>369</v>
      </c>
      <c r="B178" s="7" t="s">
        <v>216</v>
      </c>
      <c r="C178" s="8">
        <v>606</v>
      </c>
      <c r="D178" s="8">
        <v>9</v>
      </c>
      <c r="E178" s="13" t="s">
        <v>448</v>
      </c>
      <c r="F178" s="13" t="s">
        <v>456</v>
      </c>
      <c r="G178" s="13" t="s">
        <v>451</v>
      </c>
    </row>
    <row r="179" spans="1:7">
      <c r="A179" s="13">
        <v>374</v>
      </c>
      <c r="B179" s="1" t="s">
        <v>461</v>
      </c>
      <c r="C179" s="2">
        <v>583</v>
      </c>
      <c r="D179" s="2">
        <v>1</v>
      </c>
      <c r="E179" s="13" t="s">
        <v>448</v>
      </c>
      <c r="F179" s="13" t="s">
        <v>456</v>
      </c>
      <c r="G179" s="13" t="s">
        <v>452</v>
      </c>
    </row>
    <row r="180" spans="1:7">
      <c r="A180" s="13">
        <v>376</v>
      </c>
      <c r="B180" s="1" t="s">
        <v>402</v>
      </c>
      <c r="C180" s="2">
        <v>217</v>
      </c>
      <c r="D180" s="2">
        <v>10</v>
      </c>
      <c r="E180" s="13" t="s">
        <v>448</v>
      </c>
      <c r="F180" s="13" t="s">
        <v>456</v>
      </c>
      <c r="G180" s="13" t="s">
        <v>452</v>
      </c>
    </row>
    <row r="181" spans="1:7">
      <c r="A181" s="13">
        <v>377</v>
      </c>
      <c r="B181" s="1" t="s">
        <v>361</v>
      </c>
      <c r="C181" s="2">
        <v>131</v>
      </c>
      <c r="D181" s="2">
        <v>7</v>
      </c>
      <c r="E181" s="13" t="s">
        <v>448</v>
      </c>
      <c r="F181" s="13" t="s">
        <v>455</v>
      </c>
      <c r="G181" s="13" t="s">
        <v>452</v>
      </c>
    </row>
    <row r="182" spans="1:7" hidden="1">
      <c r="A182" s="13">
        <v>382</v>
      </c>
      <c r="B182" s="1" t="s">
        <v>421</v>
      </c>
      <c r="C182" s="2">
        <v>717</v>
      </c>
      <c r="D182" s="2">
        <v>9</v>
      </c>
      <c r="E182" s="13" t="s">
        <v>448</v>
      </c>
      <c r="F182" s="13" t="s">
        <v>456</v>
      </c>
      <c r="G182" s="13" t="s">
        <v>451</v>
      </c>
    </row>
    <row r="183" spans="1:7" hidden="1">
      <c r="A183" s="13">
        <v>393</v>
      </c>
      <c r="B183" s="1" t="s">
        <v>220</v>
      </c>
      <c r="C183" s="2">
        <v>683</v>
      </c>
      <c r="D183" s="2">
        <v>10</v>
      </c>
      <c r="E183" s="13" t="s">
        <v>448</v>
      </c>
      <c r="F183" s="13" t="s">
        <v>456</v>
      </c>
      <c r="G183" s="13" t="s">
        <v>451</v>
      </c>
    </row>
    <row r="184" spans="1:7" hidden="1">
      <c r="A184" s="13">
        <v>396</v>
      </c>
      <c r="B184" s="1" t="s">
        <v>333</v>
      </c>
      <c r="C184" s="2">
        <v>491</v>
      </c>
      <c r="D184" s="2">
        <v>10</v>
      </c>
      <c r="E184" s="13" t="s">
        <v>448</v>
      </c>
      <c r="F184" s="13" t="s">
        <v>456</v>
      </c>
      <c r="G184" s="13" t="s">
        <v>451</v>
      </c>
    </row>
    <row r="185" spans="1:7" hidden="1">
      <c r="A185" s="13">
        <v>398</v>
      </c>
      <c r="B185" s="1" t="s">
        <v>267</v>
      </c>
      <c r="C185" s="2">
        <v>447</v>
      </c>
      <c r="D185" s="2">
        <v>7</v>
      </c>
      <c r="E185" s="13" t="s">
        <v>448</v>
      </c>
      <c r="F185" s="13" t="s">
        <v>455</v>
      </c>
      <c r="G185" s="13" t="s">
        <v>451</v>
      </c>
    </row>
    <row r="186" spans="1:7" hidden="1">
      <c r="A186" s="13">
        <v>399</v>
      </c>
      <c r="B186" s="1" t="s">
        <v>472</v>
      </c>
      <c r="C186" s="2">
        <v>285</v>
      </c>
      <c r="D186" s="2">
        <v>10</v>
      </c>
      <c r="E186" s="13" t="s">
        <v>448</v>
      </c>
      <c r="F186" s="13" t="s">
        <v>456</v>
      </c>
      <c r="G186" s="13" t="s">
        <v>451</v>
      </c>
    </row>
    <row r="187" spans="1:7" hidden="1">
      <c r="A187" s="13">
        <v>401</v>
      </c>
      <c r="B187" s="1" t="s">
        <v>383</v>
      </c>
      <c r="C187" s="2">
        <v>287</v>
      </c>
      <c r="D187" s="2">
        <v>10</v>
      </c>
      <c r="E187" s="13" t="s">
        <v>448</v>
      </c>
      <c r="F187" s="13" t="s">
        <v>456</v>
      </c>
      <c r="G187" s="13" t="s">
        <v>451</v>
      </c>
    </row>
    <row r="188" spans="1:7" hidden="1">
      <c r="A188" s="13">
        <v>402</v>
      </c>
      <c r="B188" s="1" t="s">
        <v>384</v>
      </c>
      <c r="C188" s="2">
        <v>289</v>
      </c>
      <c r="D188" s="2">
        <v>10</v>
      </c>
      <c r="E188" s="13" t="s">
        <v>448</v>
      </c>
      <c r="F188" s="13" t="s">
        <v>456</v>
      </c>
      <c r="G188" s="13" t="s">
        <v>451</v>
      </c>
    </row>
    <row r="189" spans="1:7">
      <c r="A189" s="13">
        <v>403</v>
      </c>
      <c r="B189" s="1" t="s">
        <v>422</v>
      </c>
      <c r="C189" s="2">
        <v>331</v>
      </c>
      <c r="D189" s="2">
        <v>10</v>
      </c>
      <c r="E189" s="13" t="s">
        <v>448</v>
      </c>
      <c r="F189" s="13" t="s">
        <v>456</v>
      </c>
      <c r="G189" s="13" t="s">
        <v>452</v>
      </c>
    </row>
    <row r="190" spans="1:7" hidden="1">
      <c r="A190" s="13">
        <v>404</v>
      </c>
      <c r="B190" s="1" t="s">
        <v>420</v>
      </c>
      <c r="C190" s="2">
        <v>703</v>
      </c>
      <c r="D190" s="2">
        <v>10</v>
      </c>
      <c r="E190" s="13" t="s">
        <v>448</v>
      </c>
      <c r="F190" s="13" t="s">
        <v>456</v>
      </c>
      <c r="G190" s="13" t="s">
        <v>451</v>
      </c>
    </row>
    <row r="191" spans="1:7">
      <c r="A191" s="13">
        <v>405</v>
      </c>
      <c r="B191" s="1" t="s">
        <v>473</v>
      </c>
      <c r="C191" s="2">
        <v>255</v>
      </c>
      <c r="D191" s="2">
        <v>11</v>
      </c>
      <c r="E191" s="13" t="s">
        <v>448</v>
      </c>
      <c r="F191" s="13" t="s">
        <v>456</v>
      </c>
      <c r="G191" s="13" t="s">
        <v>452</v>
      </c>
    </row>
    <row r="192" spans="1:7" hidden="1">
      <c r="A192" s="13">
        <v>406</v>
      </c>
      <c r="B192" s="1" t="s">
        <v>423</v>
      </c>
      <c r="C192" s="2">
        <v>168</v>
      </c>
      <c r="D192" s="2">
        <v>10</v>
      </c>
      <c r="E192" s="13" t="s">
        <v>448</v>
      </c>
      <c r="F192" s="13" t="s">
        <v>456</v>
      </c>
      <c r="G192" s="13" t="s">
        <v>451</v>
      </c>
    </row>
    <row r="193" spans="1:7" hidden="1">
      <c r="A193" s="13">
        <v>409</v>
      </c>
      <c r="B193" s="1" t="s">
        <v>430</v>
      </c>
      <c r="C193" s="2">
        <v>957</v>
      </c>
      <c r="D193" s="2">
        <v>10</v>
      </c>
      <c r="E193" s="13" t="s">
        <v>448</v>
      </c>
      <c r="F193" s="13" t="s">
        <v>456</v>
      </c>
      <c r="G193" s="13" t="s">
        <v>451</v>
      </c>
    </row>
    <row r="194" spans="1:7" hidden="1">
      <c r="A194" s="13">
        <v>411</v>
      </c>
      <c r="B194" s="1" t="s">
        <v>2</v>
      </c>
      <c r="C194" s="2">
        <v>211</v>
      </c>
      <c r="D194" s="2">
        <v>11</v>
      </c>
      <c r="E194" s="13" t="s">
        <v>448</v>
      </c>
      <c r="F194" s="13" t="s">
        <v>456</v>
      </c>
      <c r="G194" s="13" t="s">
        <v>451</v>
      </c>
    </row>
    <row r="195" spans="1:7" hidden="1">
      <c r="A195" s="13">
        <v>412</v>
      </c>
      <c r="B195" s="1" t="s">
        <v>4</v>
      </c>
      <c r="C195" s="2">
        <v>119</v>
      </c>
      <c r="D195" s="2">
        <v>11</v>
      </c>
      <c r="E195" s="13" t="s">
        <v>448</v>
      </c>
      <c r="F195" s="13" t="s">
        <v>456</v>
      </c>
      <c r="G195" s="13" t="s">
        <v>451</v>
      </c>
    </row>
    <row r="196" spans="1:7" hidden="1">
      <c r="A196" s="13">
        <v>413</v>
      </c>
      <c r="B196" s="1" t="s">
        <v>359</v>
      </c>
      <c r="C196" s="2">
        <v>959</v>
      </c>
      <c r="D196" s="2">
        <v>10</v>
      </c>
      <c r="E196" s="13" t="s">
        <v>448</v>
      </c>
      <c r="F196" s="13" t="s">
        <v>455</v>
      </c>
      <c r="G196" s="13" t="s">
        <v>451</v>
      </c>
    </row>
    <row r="197" spans="1:7" hidden="1">
      <c r="A197" s="13">
        <v>417</v>
      </c>
      <c r="B197" s="1" t="s">
        <v>24</v>
      </c>
      <c r="C197" s="4">
        <v>101</v>
      </c>
      <c r="D197" s="2">
        <v>11</v>
      </c>
      <c r="E197" s="13" t="s">
        <v>448</v>
      </c>
      <c r="F197" s="13" t="s">
        <v>455</v>
      </c>
      <c r="G197" s="13" t="s">
        <v>454</v>
      </c>
    </row>
    <row r="198" spans="1:7" hidden="1">
      <c r="A198" s="13">
        <v>418</v>
      </c>
      <c r="B198" s="1" t="s">
        <v>31</v>
      </c>
      <c r="C198" s="2">
        <v>826</v>
      </c>
      <c r="D198" s="2">
        <v>11</v>
      </c>
      <c r="E198" s="13" t="s">
        <v>448</v>
      </c>
      <c r="F198" s="13" t="s">
        <v>456</v>
      </c>
      <c r="G198" s="13" t="s">
        <v>451</v>
      </c>
    </row>
    <row r="199" spans="1:7" hidden="1">
      <c r="A199" s="13">
        <v>419</v>
      </c>
      <c r="B199" s="1" t="s">
        <v>53</v>
      </c>
      <c r="C199" s="2">
        <v>497</v>
      </c>
      <c r="D199" s="2">
        <v>11</v>
      </c>
      <c r="E199" s="13" t="s">
        <v>448</v>
      </c>
      <c r="F199" s="13" t="s">
        <v>456</v>
      </c>
      <c r="G199" s="13" t="s">
        <v>451</v>
      </c>
    </row>
    <row r="200" spans="1:7" hidden="1">
      <c r="A200" s="13">
        <v>420</v>
      </c>
      <c r="B200" s="1" t="s">
        <v>64</v>
      </c>
      <c r="C200" s="2">
        <v>116</v>
      </c>
      <c r="D200" s="2">
        <v>11</v>
      </c>
      <c r="E200" s="13" t="s">
        <v>448</v>
      </c>
      <c r="F200" s="13" t="s">
        <v>456</v>
      </c>
      <c r="G200" s="13" t="s">
        <v>451</v>
      </c>
    </row>
    <row r="201" spans="1:7" hidden="1">
      <c r="A201" s="13">
        <v>429</v>
      </c>
      <c r="B201" s="1" t="s">
        <v>278</v>
      </c>
      <c r="C201" s="2">
        <v>766</v>
      </c>
      <c r="D201" s="2">
        <v>11</v>
      </c>
      <c r="E201" s="13" t="s">
        <v>448</v>
      </c>
      <c r="F201" s="13" t="s">
        <v>456</v>
      </c>
      <c r="G201" s="13" t="s">
        <v>451</v>
      </c>
    </row>
    <row r="202" spans="1:7" hidden="1">
      <c r="A202" s="13">
        <v>431</v>
      </c>
      <c r="B202" s="1" t="s">
        <v>326</v>
      </c>
      <c r="C202" s="2">
        <v>711</v>
      </c>
      <c r="D202" s="2">
        <v>11</v>
      </c>
      <c r="E202" s="13" t="s">
        <v>448</v>
      </c>
      <c r="F202" s="13" t="s">
        <v>456</v>
      </c>
      <c r="G202" s="13" t="s">
        <v>451</v>
      </c>
    </row>
    <row r="203" spans="1:7" hidden="1">
      <c r="A203" s="13">
        <v>436</v>
      </c>
      <c r="B203" s="1" t="s">
        <v>425</v>
      </c>
      <c r="C203" s="2">
        <v>203</v>
      </c>
      <c r="D203" s="2">
        <v>11</v>
      </c>
      <c r="E203" s="13" t="s">
        <v>448</v>
      </c>
      <c r="F203" s="13" t="s">
        <v>456</v>
      </c>
      <c r="G203" s="13" t="s">
        <v>451</v>
      </c>
    </row>
    <row r="204" spans="1:7" hidden="1">
      <c r="A204" s="13">
        <v>437</v>
      </c>
      <c r="B204" s="1" t="s">
        <v>432</v>
      </c>
      <c r="C204" s="2">
        <v>516</v>
      </c>
      <c r="D204" s="2">
        <v>11</v>
      </c>
      <c r="E204" s="13" t="s">
        <v>448</v>
      </c>
      <c r="F204" s="13" t="s">
        <v>456</v>
      </c>
      <c r="G204" s="13" t="s">
        <v>451</v>
      </c>
    </row>
    <row r="205" spans="1:7" hidden="1">
      <c r="A205" s="13">
        <v>438</v>
      </c>
      <c r="B205" s="1" t="s">
        <v>433</v>
      </c>
      <c r="C205" s="2">
        <v>311</v>
      </c>
      <c r="D205" s="2">
        <v>11</v>
      </c>
      <c r="E205" s="13" t="s">
        <v>448</v>
      </c>
      <c r="F205" s="13" t="s">
        <v>456</v>
      </c>
      <c r="G205" s="13" t="s">
        <v>451</v>
      </c>
    </row>
    <row r="206" spans="1:7" hidden="1">
      <c r="A206" s="13">
        <v>439</v>
      </c>
      <c r="B206" s="1" t="s">
        <v>25</v>
      </c>
      <c r="C206" s="2">
        <v>98</v>
      </c>
      <c r="D206" s="2">
        <v>11</v>
      </c>
      <c r="E206" s="13" t="s">
        <v>448</v>
      </c>
      <c r="F206" s="13" t="s">
        <v>455</v>
      </c>
      <c r="G206" s="13" t="s">
        <v>454</v>
      </c>
    </row>
    <row r="207" spans="1:7" hidden="1">
      <c r="A207" s="13">
        <v>441</v>
      </c>
      <c r="B207" s="1" t="s">
        <v>438</v>
      </c>
      <c r="C207" s="2">
        <v>527</v>
      </c>
      <c r="D207" s="2">
        <v>11</v>
      </c>
      <c r="E207" s="13" t="s">
        <v>448</v>
      </c>
      <c r="F207" s="13" t="s">
        <v>456</v>
      </c>
      <c r="G207" s="13" t="s">
        <v>451</v>
      </c>
    </row>
    <row r="208" spans="1:7" hidden="1">
      <c r="A208" s="13">
        <v>442</v>
      </c>
      <c r="B208" s="1" t="s">
        <v>440</v>
      </c>
      <c r="C208" s="2">
        <v>883</v>
      </c>
      <c r="D208" s="2">
        <v>11</v>
      </c>
      <c r="E208" s="13" t="s">
        <v>448</v>
      </c>
      <c r="F208" s="13" t="s">
        <v>456</v>
      </c>
      <c r="G208" s="13" t="s">
        <v>451</v>
      </c>
    </row>
    <row r="209" spans="1:7" hidden="1">
      <c r="A209" s="13">
        <v>443</v>
      </c>
      <c r="B209" s="1" t="s">
        <v>460</v>
      </c>
      <c r="C209" s="2">
        <v>108</v>
      </c>
      <c r="D209" s="2">
        <v>11</v>
      </c>
      <c r="E209" s="13" t="s">
        <v>448</v>
      </c>
      <c r="F209" s="13" t="s">
        <v>456</v>
      </c>
      <c r="G209" s="13" t="s">
        <v>451</v>
      </c>
    </row>
    <row r="210" spans="1:7" hidden="1">
      <c r="A210" s="13">
        <v>446</v>
      </c>
      <c r="B210" s="1" t="s">
        <v>76</v>
      </c>
      <c r="C210" s="2">
        <v>175</v>
      </c>
      <c r="D210" s="2">
        <v>12</v>
      </c>
      <c r="E210" s="13" t="s">
        <v>448</v>
      </c>
      <c r="F210" s="13" t="s">
        <v>456</v>
      </c>
      <c r="G210" s="13" t="s">
        <v>451</v>
      </c>
    </row>
  </sheetData>
  <autoFilter ref="A1:G210">
    <filterColumn colId="6">
      <filters>
        <filter val="Harmonic"/>
      </filters>
    </filterColumn>
  </autoFilter>
  <conditionalFormatting sqref="B1:B210">
    <cfRule type="duplicateValues" dxfId="4" priority="2"/>
  </conditionalFormatting>
  <conditionalFormatting sqref="B1:B210">
    <cfRule type="duplicateValues" dxfId="3" priority="3"/>
  </conditionalFormatting>
  <conditionalFormatting sqref="B1:B210">
    <cfRule type="duplicateValues" dxfId="2" priority="4"/>
  </conditionalFormatting>
  <conditionalFormatting sqref="B1:B210">
    <cfRule type="duplicateValues" dxfId="1" priority="1"/>
  </conditionalFormatting>
  <conditionalFormatting sqref="B1:B210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Channel Lineup</vt:lpstr>
      <vt:lpstr>Sheet3</vt:lpstr>
      <vt:lpstr>Sheet4</vt:lpstr>
      <vt:lpstr>'Channel Lineup'!Print_Area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 Khan</dc:creator>
  <cp:lastModifiedBy>Janardhan</cp:lastModifiedBy>
  <cp:lastPrinted>2017-02-25T10:51:08Z</cp:lastPrinted>
  <dcterms:created xsi:type="dcterms:W3CDTF">2017-02-25T02:34:04Z</dcterms:created>
  <dcterms:modified xsi:type="dcterms:W3CDTF">2017-02-26T11:14:20Z</dcterms:modified>
</cp:coreProperties>
</file>