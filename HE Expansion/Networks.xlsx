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0" yWindow="0" windowWidth="20490" windowHeight="7935" tabRatio="828" activeTab="8"/>
  </bookViews>
  <sheets>
    <sheet name="ABBR" sheetId="6" r:id="rId1"/>
    <sheet name="DB Calc" sheetId="10" r:id="rId2"/>
    <sheet name="LOG" sheetId="11" r:id="rId3"/>
    <sheet name="RF Frequency" sheetId="9" r:id="rId4"/>
    <sheet name="Platform View" sheetId="5" r:id="rId5"/>
    <sheet name="IP Ports View" sheetId="1" r:id="rId6"/>
    <sheet name="ASI Ports View" sheetId="4" r:id="rId7"/>
    <sheet name="Cross Connect View" sheetId="2" r:id="rId8"/>
    <sheet name="Channel Line-up" sheetId="3" r:id="rId9"/>
    <sheet name="ASSETS Properties" sheetId="8" r:id="rId10"/>
  </sheets>
  <definedNames>
    <definedName name="_xlnm._FilterDatabase" localSheetId="8" hidden="1">'Channel Line-up'!$A$4:$AB$375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F1" i="3"/>
  <c r="T300" i="3"/>
  <c r="U300" i="3"/>
  <c r="W300" i="3"/>
  <c r="X300" i="3" s="1"/>
  <c r="Y300" i="3"/>
  <c r="Z300" i="3" s="1"/>
  <c r="T53" i="3"/>
  <c r="U53" i="3"/>
  <c r="W53" i="3"/>
  <c r="X53" i="3" s="1"/>
  <c r="Y53" i="3"/>
  <c r="Z53" i="3" s="1"/>
  <c r="T5" i="3"/>
  <c r="U5" i="3"/>
  <c r="W5" i="3"/>
  <c r="X5" i="3" s="1"/>
  <c r="Y5" i="3"/>
  <c r="Z5" i="3" s="1"/>
  <c r="T6" i="3"/>
  <c r="U6" i="3"/>
  <c r="W6" i="3"/>
  <c r="X6" i="3" s="1"/>
  <c r="Y6" i="3"/>
  <c r="Z6" i="3" s="1"/>
  <c r="T7" i="3"/>
  <c r="U7" i="3"/>
  <c r="W7" i="3"/>
  <c r="X7" i="3" s="1"/>
  <c r="Y7" i="3"/>
  <c r="Z7" i="3" s="1"/>
  <c r="T280" i="3"/>
  <c r="U280" i="3"/>
  <c r="W280" i="3"/>
  <c r="X280" i="3" s="1"/>
  <c r="Y280" i="3"/>
  <c r="Z280" i="3" s="1"/>
  <c r="T9" i="3"/>
  <c r="U9" i="3"/>
  <c r="W9" i="3"/>
  <c r="X9" i="3" s="1"/>
  <c r="Y9" i="3"/>
  <c r="Z9" i="3" s="1"/>
  <c r="T372" i="3"/>
  <c r="U372" i="3"/>
  <c r="W372" i="3"/>
  <c r="X372" i="3" s="1"/>
  <c r="Y372" i="3"/>
  <c r="Z372" i="3" s="1"/>
  <c r="T11" i="3"/>
  <c r="U11" i="3"/>
  <c r="W11" i="3"/>
  <c r="X11" i="3" s="1"/>
  <c r="Y11" i="3"/>
  <c r="Z11" i="3" s="1"/>
  <c r="T266" i="3"/>
  <c r="U266" i="3"/>
  <c r="W266" i="3"/>
  <c r="X266" i="3" s="1"/>
  <c r="Y266" i="3"/>
  <c r="Z266" i="3" s="1"/>
  <c r="T13" i="3"/>
  <c r="U13" i="3"/>
  <c r="W13" i="3"/>
  <c r="X13" i="3" s="1"/>
  <c r="Y13" i="3"/>
  <c r="Z13" i="3" s="1"/>
  <c r="T158" i="3"/>
  <c r="U158" i="3"/>
  <c r="W158" i="3"/>
  <c r="X158" i="3" s="1"/>
  <c r="Y158" i="3"/>
  <c r="Z158" i="3" s="1"/>
  <c r="T15" i="3"/>
  <c r="U15" i="3"/>
  <c r="W15" i="3"/>
  <c r="X15" i="3" s="1"/>
  <c r="Y15" i="3"/>
  <c r="Z15" i="3" s="1"/>
  <c r="T65" i="3"/>
  <c r="U65" i="3"/>
  <c r="W65" i="3"/>
  <c r="X65" i="3" s="1"/>
  <c r="Y65" i="3"/>
  <c r="Z65" i="3" s="1"/>
  <c r="T17" i="3"/>
  <c r="U17" i="3"/>
  <c r="W17" i="3"/>
  <c r="X17" i="3" s="1"/>
  <c r="Y17" i="3"/>
  <c r="Z17" i="3" s="1"/>
  <c r="T138" i="3"/>
  <c r="U138" i="3"/>
  <c r="W138" i="3"/>
  <c r="X138" i="3" s="1"/>
  <c r="Y138" i="3"/>
  <c r="Z138" i="3" s="1"/>
  <c r="T277" i="3"/>
  <c r="U277" i="3"/>
  <c r="W277" i="3"/>
  <c r="X277" i="3" s="1"/>
  <c r="Y277" i="3"/>
  <c r="Z277" i="3" s="1"/>
  <c r="T38" i="3"/>
  <c r="U38" i="3"/>
  <c r="W38" i="3"/>
  <c r="X38" i="3" s="1"/>
  <c r="Y38" i="3"/>
  <c r="Z38" i="3" s="1"/>
  <c r="T22" i="3"/>
  <c r="U22" i="3"/>
  <c r="W22" i="3"/>
  <c r="X22" i="3" s="1"/>
  <c r="Y22" i="3"/>
  <c r="Z22" i="3" s="1"/>
  <c r="T323" i="3"/>
  <c r="U323" i="3"/>
  <c r="W323" i="3"/>
  <c r="X323" i="3" s="1"/>
  <c r="Y323" i="3"/>
  <c r="Z323" i="3" s="1"/>
  <c r="T231" i="3"/>
  <c r="U231" i="3"/>
  <c r="W231" i="3"/>
  <c r="X231" i="3" s="1"/>
  <c r="Y231" i="3"/>
  <c r="Z231" i="3" s="1"/>
  <c r="T287" i="3"/>
  <c r="U287" i="3"/>
  <c r="W287" i="3"/>
  <c r="X287" i="3" s="1"/>
  <c r="Y287" i="3"/>
  <c r="Z287" i="3" s="1"/>
  <c r="T26" i="3"/>
  <c r="U26" i="3"/>
  <c r="W26" i="3"/>
  <c r="X26" i="3" s="1"/>
  <c r="Y26" i="3"/>
  <c r="Z26" i="3" s="1"/>
  <c r="T27" i="3"/>
  <c r="U27" i="3"/>
  <c r="W27" i="3"/>
  <c r="X27" i="3" s="1"/>
  <c r="Y27" i="3"/>
  <c r="Z27" i="3" s="1"/>
  <c r="T28" i="3"/>
  <c r="U28" i="3"/>
  <c r="W28" i="3"/>
  <c r="X28" i="3" s="1"/>
  <c r="Y28" i="3"/>
  <c r="Z28" i="3" s="1"/>
  <c r="T40" i="3"/>
  <c r="U40" i="3"/>
  <c r="W40" i="3"/>
  <c r="X40" i="3" s="1"/>
  <c r="Y40" i="3"/>
  <c r="Z40" i="3" s="1"/>
  <c r="T30" i="3"/>
  <c r="U30" i="3"/>
  <c r="W30" i="3"/>
  <c r="X30" i="3" s="1"/>
  <c r="Y30" i="3"/>
  <c r="Z30" i="3" s="1"/>
  <c r="T32" i="3"/>
  <c r="U32" i="3"/>
  <c r="W32" i="3"/>
  <c r="X32" i="3" s="1"/>
  <c r="Y32" i="3"/>
  <c r="Z32" i="3" s="1"/>
  <c r="T374" i="3"/>
  <c r="U374" i="3"/>
  <c r="W374" i="3"/>
  <c r="X374" i="3" s="1"/>
  <c r="Y374" i="3"/>
  <c r="Z374" i="3" s="1"/>
  <c r="T34" i="3"/>
  <c r="U34" i="3"/>
  <c r="W34" i="3"/>
  <c r="X34" i="3" s="1"/>
  <c r="Y34" i="3"/>
  <c r="Z34" i="3" s="1"/>
  <c r="T108" i="3"/>
  <c r="U108" i="3"/>
  <c r="W108" i="3"/>
  <c r="X108" i="3" s="1"/>
  <c r="Y108" i="3"/>
  <c r="Z108" i="3" s="1"/>
  <c r="T308" i="3"/>
  <c r="U308" i="3"/>
  <c r="W308" i="3"/>
  <c r="X308" i="3" s="1"/>
  <c r="Y308" i="3"/>
  <c r="Z308" i="3" s="1"/>
  <c r="T37" i="3"/>
  <c r="U37" i="3"/>
  <c r="W37" i="3"/>
  <c r="X37" i="3" s="1"/>
  <c r="Y37" i="3"/>
  <c r="Z37" i="3" s="1"/>
  <c r="T243" i="3"/>
  <c r="U243" i="3"/>
  <c r="W243" i="3"/>
  <c r="X243" i="3" s="1"/>
  <c r="Y243" i="3"/>
  <c r="Z243" i="3" s="1"/>
  <c r="T39" i="3"/>
  <c r="U39" i="3"/>
  <c r="W39" i="3"/>
  <c r="X39" i="3" s="1"/>
  <c r="Y39" i="3"/>
  <c r="Z39" i="3" s="1"/>
  <c r="T77" i="3"/>
  <c r="U77" i="3"/>
  <c r="W77" i="3"/>
  <c r="X77" i="3" s="1"/>
  <c r="Y77" i="3"/>
  <c r="Z77" i="3" s="1"/>
  <c r="T41" i="3"/>
  <c r="U41" i="3"/>
  <c r="W41" i="3"/>
  <c r="X41" i="3" s="1"/>
  <c r="Y41" i="3"/>
  <c r="Z41" i="3" s="1"/>
  <c r="T69" i="3"/>
  <c r="U69" i="3"/>
  <c r="W69" i="3"/>
  <c r="X69" i="3" s="1"/>
  <c r="Y69" i="3"/>
  <c r="Z69" i="3" s="1"/>
  <c r="T29" i="3"/>
  <c r="U29" i="3"/>
  <c r="W29" i="3"/>
  <c r="X29" i="3" s="1"/>
  <c r="Y29" i="3"/>
  <c r="Z29" i="3" s="1"/>
  <c r="T44" i="3"/>
  <c r="U44" i="3"/>
  <c r="W44" i="3"/>
  <c r="X44" i="3" s="1"/>
  <c r="Y44" i="3"/>
  <c r="Z44" i="3" s="1"/>
  <c r="T289" i="3"/>
  <c r="U289" i="3"/>
  <c r="W289" i="3"/>
  <c r="X289" i="3" s="1"/>
  <c r="Y289" i="3"/>
  <c r="Z289" i="3" s="1"/>
  <c r="T46" i="3"/>
  <c r="U46" i="3"/>
  <c r="W46" i="3"/>
  <c r="X46" i="3" s="1"/>
  <c r="Y46" i="3"/>
  <c r="Z46" i="3" s="1"/>
  <c r="T340" i="3"/>
  <c r="U340" i="3"/>
  <c r="W340" i="3"/>
  <c r="X340" i="3" s="1"/>
  <c r="Y340" i="3"/>
  <c r="Z340" i="3" s="1"/>
  <c r="T48" i="3"/>
  <c r="U48" i="3"/>
  <c r="W48" i="3"/>
  <c r="X48" i="3" s="1"/>
  <c r="Y48" i="3"/>
  <c r="Z48" i="3" s="1"/>
  <c r="T49" i="3"/>
  <c r="U49" i="3"/>
  <c r="W49" i="3"/>
  <c r="X49" i="3" s="1"/>
  <c r="Y49" i="3"/>
  <c r="Z49" i="3" s="1"/>
  <c r="T68" i="3"/>
  <c r="U68" i="3"/>
  <c r="W68" i="3"/>
  <c r="X68" i="3" s="1"/>
  <c r="Y68" i="3"/>
  <c r="Z68" i="3" s="1"/>
  <c r="T51" i="3"/>
  <c r="U51" i="3"/>
  <c r="W51" i="3"/>
  <c r="X51" i="3" s="1"/>
  <c r="Y51" i="3"/>
  <c r="Z51" i="3" s="1"/>
  <c r="T52" i="3"/>
  <c r="U52" i="3"/>
  <c r="W52" i="3"/>
  <c r="X52" i="3" s="1"/>
  <c r="Y52" i="3"/>
  <c r="Z52" i="3" s="1"/>
  <c r="T54" i="3"/>
  <c r="U54" i="3"/>
  <c r="W54" i="3"/>
  <c r="X54" i="3" s="1"/>
  <c r="Y54" i="3"/>
  <c r="Z54" i="3" s="1"/>
  <c r="T55" i="3"/>
  <c r="U55" i="3"/>
  <c r="W55" i="3"/>
  <c r="X55" i="3" s="1"/>
  <c r="Y55" i="3"/>
  <c r="Z55" i="3" s="1"/>
  <c r="T56" i="3"/>
  <c r="U56" i="3"/>
  <c r="W56" i="3"/>
  <c r="X56" i="3" s="1"/>
  <c r="Y56" i="3"/>
  <c r="Z56" i="3" s="1"/>
  <c r="T341" i="3"/>
  <c r="U341" i="3"/>
  <c r="W341" i="3"/>
  <c r="X341" i="3" s="1"/>
  <c r="Y341" i="3"/>
  <c r="Z341" i="3" s="1"/>
  <c r="T58" i="3"/>
  <c r="U58" i="3"/>
  <c r="W58" i="3"/>
  <c r="X58" i="3" s="1"/>
  <c r="Y58" i="3"/>
  <c r="Z58" i="3" s="1"/>
  <c r="T59" i="3"/>
  <c r="U59" i="3"/>
  <c r="W59" i="3"/>
  <c r="X59" i="3" s="1"/>
  <c r="Y59" i="3"/>
  <c r="Z59" i="3" s="1"/>
  <c r="T60" i="3"/>
  <c r="U60" i="3"/>
  <c r="W60" i="3"/>
  <c r="X60" i="3" s="1"/>
  <c r="Y60" i="3"/>
  <c r="Z60" i="3" s="1"/>
  <c r="T61" i="3"/>
  <c r="U61" i="3"/>
  <c r="W61" i="3"/>
  <c r="X61" i="3" s="1"/>
  <c r="Y61" i="3"/>
  <c r="Z61" i="3" s="1"/>
  <c r="T62" i="3"/>
  <c r="U62" i="3"/>
  <c r="W62" i="3"/>
  <c r="X62" i="3" s="1"/>
  <c r="Y62" i="3"/>
  <c r="Z62" i="3" s="1"/>
  <c r="T63" i="3"/>
  <c r="U63" i="3"/>
  <c r="W63" i="3"/>
  <c r="X63" i="3" s="1"/>
  <c r="Y63" i="3"/>
  <c r="Z63" i="3" s="1"/>
  <c r="T64" i="3"/>
  <c r="U64" i="3"/>
  <c r="W64" i="3"/>
  <c r="X64" i="3" s="1"/>
  <c r="Y64" i="3"/>
  <c r="Z64" i="3" s="1"/>
  <c r="T322" i="3"/>
  <c r="U322" i="3"/>
  <c r="W322" i="3"/>
  <c r="X322" i="3" s="1"/>
  <c r="Y322" i="3"/>
  <c r="Z322" i="3" s="1"/>
  <c r="T343" i="3"/>
  <c r="U343" i="3"/>
  <c r="W343" i="3"/>
  <c r="X343" i="3" s="1"/>
  <c r="Y343" i="3"/>
  <c r="Z343" i="3" s="1"/>
  <c r="T330" i="3"/>
  <c r="U330" i="3"/>
  <c r="W330" i="3"/>
  <c r="X330" i="3" s="1"/>
  <c r="Y330" i="3"/>
  <c r="Z330" i="3" s="1"/>
  <c r="T356" i="3"/>
  <c r="U356" i="3"/>
  <c r="W356" i="3"/>
  <c r="X356" i="3" s="1"/>
  <c r="Y356" i="3"/>
  <c r="Z356" i="3" s="1"/>
  <c r="T321" i="3"/>
  <c r="U321" i="3"/>
  <c r="W321" i="3"/>
  <c r="X321" i="3" s="1"/>
  <c r="Y321" i="3"/>
  <c r="Z321" i="3" s="1"/>
  <c r="T70" i="3"/>
  <c r="U70" i="3"/>
  <c r="W70" i="3"/>
  <c r="X70" i="3" s="1"/>
  <c r="Y70" i="3"/>
  <c r="Z70" i="3" s="1"/>
  <c r="T125" i="3"/>
  <c r="U125" i="3"/>
  <c r="W125" i="3"/>
  <c r="X125" i="3" s="1"/>
  <c r="Y125" i="3"/>
  <c r="Z125" i="3" s="1"/>
  <c r="T279" i="3"/>
  <c r="U279" i="3"/>
  <c r="W279" i="3"/>
  <c r="X279" i="3" s="1"/>
  <c r="Y279" i="3"/>
  <c r="Z279" i="3" s="1"/>
  <c r="T73" i="3"/>
  <c r="U73" i="3"/>
  <c r="W73" i="3"/>
  <c r="X73" i="3" s="1"/>
  <c r="Y73" i="3"/>
  <c r="Z73" i="3" s="1"/>
  <c r="T74" i="3"/>
  <c r="U74" i="3"/>
  <c r="W74" i="3"/>
  <c r="X74" i="3" s="1"/>
  <c r="Y74" i="3"/>
  <c r="Z74" i="3" s="1"/>
  <c r="T270" i="3"/>
  <c r="U270" i="3"/>
  <c r="W270" i="3"/>
  <c r="X270" i="3" s="1"/>
  <c r="Y270" i="3"/>
  <c r="Z270" i="3" s="1"/>
  <c r="T176" i="3"/>
  <c r="U176" i="3"/>
  <c r="W176" i="3"/>
  <c r="X176" i="3" s="1"/>
  <c r="Y176" i="3"/>
  <c r="Z176" i="3" s="1"/>
  <c r="T181" i="3"/>
  <c r="U181" i="3"/>
  <c r="W181" i="3"/>
  <c r="X181" i="3" s="1"/>
  <c r="Y181" i="3"/>
  <c r="Z181" i="3" s="1"/>
  <c r="T79" i="3"/>
  <c r="U79" i="3"/>
  <c r="W79" i="3"/>
  <c r="X79" i="3" s="1"/>
  <c r="Y79" i="3"/>
  <c r="Z79" i="3" s="1"/>
  <c r="T80" i="3"/>
  <c r="U80" i="3"/>
  <c r="W80" i="3"/>
  <c r="X80" i="3" s="1"/>
  <c r="Y80" i="3"/>
  <c r="Z80" i="3" s="1"/>
  <c r="T232" i="3"/>
  <c r="U232" i="3"/>
  <c r="W232" i="3"/>
  <c r="X232" i="3" s="1"/>
  <c r="Y232" i="3"/>
  <c r="Z232" i="3" s="1"/>
  <c r="T364" i="3"/>
  <c r="U364" i="3"/>
  <c r="W364" i="3"/>
  <c r="X364" i="3" s="1"/>
  <c r="Y364" i="3"/>
  <c r="Z364" i="3" s="1"/>
  <c r="T83" i="3"/>
  <c r="U83" i="3"/>
  <c r="W83" i="3"/>
  <c r="X83" i="3" s="1"/>
  <c r="Y83" i="3"/>
  <c r="Z83" i="3" s="1"/>
  <c r="T84" i="3"/>
  <c r="U84" i="3"/>
  <c r="W84" i="3"/>
  <c r="X84" i="3" s="1"/>
  <c r="Y84" i="3"/>
  <c r="Z84" i="3" s="1"/>
  <c r="T85" i="3"/>
  <c r="U85" i="3"/>
  <c r="W85" i="3"/>
  <c r="X85" i="3" s="1"/>
  <c r="Y85" i="3"/>
  <c r="Z85" i="3" s="1"/>
  <c r="T86" i="3"/>
  <c r="U86" i="3"/>
  <c r="W86" i="3"/>
  <c r="X86" i="3" s="1"/>
  <c r="Y86" i="3"/>
  <c r="Z86" i="3" s="1"/>
  <c r="T87" i="3"/>
  <c r="U87" i="3"/>
  <c r="W87" i="3"/>
  <c r="X87" i="3" s="1"/>
  <c r="Y87" i="3"/>
  <c r="Z87" i="3" s="1"/>
  <c r="T281" i="3"/>
  <c r="U281" i="3"/>
  <c r="W281" i="3"/>
  <c r="X281" i="3" s="1"/>
  <c r="Y281" i="3"/>
  <c r="Z281" i="3" s="1"/>
  <c r="T89" i="3"/>
  <c r="U89" i="3"/>
  <c r="W89" i="3"/>
  <c r="X89" i="3" s="1"/>
  <c r="Y89" i="3"/>
  <c r="Z89" i="3" s="1"/>
  <c r="T283" i="3"/>
  <c r="U283" i="3"/>
  <c r="W283" i="3"/>
  <c r="X283" i="3" s="1"/>
  <c r="Y283" i="3"/>
  <c r="Z283" i="3" s="1"/>
  <c r="T91" i="3"/>
  <c r="U91" i="3"/>
  <c r="W91" i="3"/>
  <c r="X91" i="3" s="1"/>
  <c r="Y91" i="3"/>
  <c r="Z91" i="3" s="1"/>
  <c r="T285" i="3"/>
  <c r="U285" i="3"/>
  <c r="W285" i="3"/>
  <c r="X285" i="3" s="1"/>
  <c r="Y285" i="3"/>
  <c r="Z285" i="3" s="1"/>
  <c r="T286" i="3"/>
  <c r="U286" i="3"/>
  <c r="W286" i="3"/>
  <c r="X286" i="3" s="1"/>
  <c r="Y286" i="3"/>
  <c r="Z286" i="3" s="1"/>
  <c r="T95" i="3"/>
  <c r="U95" i="3"/>
  <c r="W95" i="3"/>
  <c r="X95" i="3" s="1"/>
  <c r="Y95" i="3"/>
  <c r="Z95" i="3" s="1"/>
  <c r="T312" i="3"/>
  <c r="U312" i="3"/>
  <c r="W312" i="3"/>
  <c r="X312" i="3" s="1"/>
  <c r="Y312" i="3"/>
  <c r="Z312" i="3" s="1"/>
  <c r="T97" i="3"/>
  <c r="U97" i="3"/>
  <c r="W97" i="3"/>
  <c r="X97" i="3" s="1"/>
  <c r="Y97" i="3"/>
  <c r="Z97" i="3" s="1"/>
  <c r="T311" i="3"/>
  <c r="U311" i="3"/>
  <c r="W311" i="3"/>
  <c r="X311" i="3" s="1"/>
  <c r="Y311" i="3"/>
  <c r="Z311" i="3" s="1"/>
  <c r="T309" i="3"/>
  <c r="U309" i="3"/>
  <c r="W309" i="3"/>
  <c r="X309" i="3" s="1"/>
  <c r="Y309" i="3"/>
  <c r="Z309" i="3" s="1"/>
  <c r="T271" i="3"/>
  <c r="U271" i="3"/>
  <c r="W271" i="3"/>
  <c r="X271" i="3" s="1"/>
  <c r="Y271" i="3"/>
  <c r="Z271" i="3" s="1"/>
  <c r="T101" i="3"/>
  <c r="U101" i="3"/>
  <c r="W101" i="3"/>
  <c r="X101" i="3" s="1"/>
  <c r="Y101" i="3"/>
  <c r="Z101" i="3" s="1"/>
  <c r="T197" i="3"/>
  <c r="U197" i="3"/>
  <c r="W197" i="3"/>
  <c r="X197" i="3" s="1"/>
  <c r="Y197" i="3"/>
  <c r="Z197" i="3" s="1"/>
  <c r="T189" i="3"/>
  <c r="U189" i="3"/>
  <c r="W189" i="3"/>
  <c r="X189" i="3" s="1"/>
  <c r="Y189" i="3"/>
  <c r="Z189" i="3" s="1"/>
  <c r="T92" i="3"/>
  <c r="U92" i="3"/>
  <c r="W92" i="3"/>
  <c r="X92" i="3" s="1"/>
  <c r="Y92" i="3"/>
  <c r="Z92" i="3" s="1"/>
  <c r="T18" i="3"/>
  <c r="U18" i="3"/>
  <c r="W18" i="3"/>
  <c r="X18" i="3" s="1"/>
  <c r="Y18" i="3"/>
  <c r="Z18" i="3" s="1"/>
  <c r="T354" i="3"/>
  <c r="U354" i="3"/>
  <c r="W354" i="3"/>
  <c r="X354" i="3" s="1"/>
  <c r="Y354" i="3"/>
  <c r="Z354" i="3" s="1"/>
  <c r="T10" i="3"/>
  <c r="U10" i="3"/>
  <c r="W10" i="3"/>
  <c r="X10" i="3" s="1"/>
  <c r="Y10" i="3"/>
  <c r="Z10" i="3" s="1"/>
  <c r="T142" i="3"/>
  <c r="U142" i="3"/>
  <c r="W142" i="3"/>
  <c r="X142" i="3" s="1"/>
  <c r="Y142" i="3"/>
  <c r="Z142" i="3" s="1"/>
  <c r="T109" i="3"/>
  <c r="U109" i="3"/>
  <c r="W109" i="3"/>
  <c r="X109" i="3" s="1"/>
  <c r="Y109" i="3"/>
  <c r="Z109" i="3" s="1"/>
  <c r="T141" i="3"/>
  <c r="U141" i="3"/>
  <c r="W141" i="3"/>
  <c r="X141" i="3" s="1"/>
  <c r="Y141" i="3"/>
  <c r="Z141" i="3" s="1"/>
  <c r="T111" i="3"/>
  <c r="U111" i="3"/>
  <c r="W111" i="3"/>
  <c r="X111" i="3" s="1"/>
  <c r="Y111" i="3"/>
  <c r="Z111" i="3" s="1"/>
  <c r="T112" i="3"/>
  <c r="U112" i="3"/>
  <c r="W112" i="3"/>
  <c r="X112" i="3" s="1"/>
  <c r="Y112" i="3"/>
  <c r="Z112" i="3" s="1"/>
  <c r="T129" i="3"/>
  <c r="U129" i="3"/>
  <c r="W129" i="3"/>
  <c r="X129" i="3" s="1"/>
  <c r="Y129" i="3"/>
  <c r="Z129" i="3" s="1"/>
  <c r="T200" i="3"/>
  <c r="U200" i="3"/>
  <c r="W200" i="3"/>
  <c r="X200" i="3" s="1"/>
  <c r="Y200" i="3"/>
  <c r="Z200" i="3" s="1"/>
  <c r="T159" i="3"/>
  <c r="U159" i="3"/>
  <c r="W159" i="3"/>
  <c r="X159" i="3" s="1"/>
  <c r="Y159" i="3"/>
  <c r="Z159" i="3" s="1"/>
  <c r="T45" i="3"/>
  <c r="U45" i="3"/>
  <c r="W45" i="3"/>
  <c r="X45" i="3" s="1"/>
  <c r="Y45" i="3"/>
  <c r="Z45" i="3" s="1"/>
  <c r="T336" i="3"/>
  <c r="U336" i="3"/>
  <c r="W336" i="3"/>
  <c r="X336" i="3" s="1"/>
  <c r="Y336" i="3"/>
  <c r="Z336" i="3" s="1"/>
  <c r="T115" i="3"/>
  <c r="U115" i="3"/>
  <c r="W115" i="3"/>
  <c r="X115" i="3" s="1"/>
  <c r="Y115" i="3"/>
  <c r="Z115" i="3" s="1"/>
  <c r="T119" i="3"/>
  <c r="U119" i="3"/>
  <c r="W119" i="3"/>
  <c r="X119" i="3" s="1"/>
  <c r="Y119" i="3"/>
  <c r="Z119" i="3" s="1"/>
  <c r="T120" i="3"/>
  <c r="U120" i="3"/>
  <c r="W120" i="3"/>
  <c r="X120" i="3" s="1"/>
  <c r="Y120" i="3"/>
  <c r="Z120" i="3" s="1"/>
  <c r="T121" i="3"/>
  <c r="U121" i="3"/>
  <c r="W121" i="3"/>
  <c r="X121" i="3" s="1"/>
  <c r="Y121" i="3"/>
  <c r="Z121" i="3" s="1"/>
  <c r="T122" i="3"/>
  <c r="U122" i="3"/>
  <c r="W122" i="3"/>
  <c r="X122" i="3" s="1"/>
  <c r="Y122" i="3"/>
  <c r="Z122" i="3" s="1"/>
  <c r="T117" i="3"/>
  <c r="U117" i="3"/>
  <c r="W117" i="3"/>
  <c r="X117" i="3" s="1"/>
  <c r="Y117" i="3"/>
  <c r="Z117" i="3" s="1"/>
  <c r="T124" i="3"/>
  <c r="U124" i="3"/>
  <c r="W124" i="3"/>
  <c r="X124" i="3" s="1"/>
  <c r="Y124" i="3"/>
  <c r="Z124" i="3" s="1"/>
  <c r="T140" i="3"/>
  <c r="U140" i="3"/>
  <c r="W140" i="3"/>
  <c r="X140" i="3" s="1"/>
  <c r="Y140" i="3"/>
  <c r="Z140" i="3" s="1"/>
  <c r="T126" i="3"/>
  <c r="U126" i="3"/>
  <c r="W126" i="3"/>
  <c r="X126" i="3" s="1"/>
  <c r="Y126" i="3"/>
  <c r="Z126" i="3" s="1"/>
  <c r="T128" i="3"/>
  <c r="U128" i="3"/>
  <c r="W128" i="3"/>
  <c r="X128" i="3" s="1"/>
  <c r="Y128" i="3"/>
  <c r="Z128" i="3" s="1"/>
  <c r="T78" i="3"/>
  <c r="U78" i="3"/>
  <c r="W78" i="3"/>
  <c r="X78" i="3" s="1"/>
  <c r="Y78" i="3"/>
  <c r="Z78" i="3" s="1"/>
  <c r="T160" i="3"/>
  <c r="U160" i="3"/>
  <c r="W160" i="3"/>
  <c r="X160" i="3" s="1"/>
  <c r="Y160" i="3"/>
  <c r="Z160" i="3" s="1"/>
  <c r="T230" i="3"/>
  <c r="U230" i="3"/>
  <c r="W230" i="3"/>
  <c r="X230" i="3" s="1"/>
  <c r="Y230" i="3"/>
  <c r="Z230" i="3" s="1"/>
  <c r="T132" i="3"/>
  <c r="U132" i="3"/>
  <c r="W132" i="3"/>
  <c r="X132" i="3" s="1"/>
  <c r="Y132" i="3"/>
  <c r="Z132" i="3" s="1"/>
  <c r="T133" i="3"/>
  <c r="U133" i="3"/>
  <c r="W133" i="3"/>
  <c r="X133" i="3" s="1"/>
  <c r="Y133" i="3"/>
  <c r="Z133" i="3" s="1"/>
  <c r="T134" i="3"/>
  <c r="U134" i="3"/>
  <c r="W134" i="3"/>
  <c r="X134" i="3" s="1"/>
  <c r="Y134" i="3"/>
  <c r="Z134" i="3" s="1"/>
  <c r="T135" i="3"/>
  <c r="U135" i="3"/>
  <c r="W135" i="3"/>
  <c r="X135" i="3" s="1"/>
  <c r="Y135" i="3"/>
  <c r="Z135" i="3" s="1"/>
  <c r="T313" i="3"/>
  <c r="U313" i="3"/>
  <c r="W313" i="3"/>
  <c r="X313" i="3" s="1"/>
  <c r="Y313" i="3"/>
  <c r="Z313" i="3" s="1"/>
  <c r="T137" i="3"/>
  <c r="U137" i="3"/>
  <c r="W137" i="3"/>
  <c r="X137" i="3" s="1"/>
  <c r="Y137" i="3"/>
  <c r="Z137" i="3" s="1"/>
  <c r="T50" i="3"/>
  <c r="U50" i="3"/>
  <c r="W50" i="3"/>
  <c r="X50" i="3" s="1"/>
  <c r="Y50" i="3"/>
  <c r="Z50" i="3" s="1"/>
  <c r="T131" i="3"/>
  <c r="U131" i="3"/>
  <c r="W131" i="3"/>
  <c r="X131" i="3" s="1"/>
  <c r="Y131" i="3"/>
  <c r="Z131" i="3" s="1"/>
  <c r="T205" i="3"/>
  <c r="U205" i="3"/>
  <c r="W205" i="3"/>
  <c r="X205" i="3" s="1"/>
  <c r="Y205" i="3"/>
  <c r="Z205" i="3" s="1"/>
  <c r="T47" i="3"/>
  <c r="U47" i="3"/>
  <c r="W47" i="3"/>
  <c r="X47" i="3" s="1"/>
  <c r="Y47" i="3"/>
  <c r="Z47" i="3" s="1"/>
  <c r="T110" i="3"/>
  <c r="U110" i="3"/>
  <c r="W110" i="3"/>
  <c r="X110" i="3" s="1"/>
  <c r="Y110" i="3"/>
  <c r="Z110" i="3" s="1"/>
  <c r="T143" i="3"/>
  <c r="U143" i="3"/>
  <c r="W143" i="3"/>
  <c r="X143" i="3" s="1"/>
  <c r="Y143" i="3"/>
  <c r="Z143" i="3" s="1"/>
  <c r="T42" i="3"/>
  <c r="U42" i="3"/>
  <c r="W42" i="3"/>
  <c r="X42" i="3" s="1"/>
  <c r="Y42" i="3"/>
  <c r="Z42" i="3" s="1"/>
  <c r="T35" i="3"/>
  <c r="U35" i="3"/>
  <c r="W35" i="3"/>
  <c r="X35" i="3" s="1"/>
  <c r="Y35" i="3"/>
  <c r="Z35" i="3" s="1"/>
  <c r="T57" i="3"/>
  <c r="U57" i="3"/>
  <c r="W57" i="3"/>
  <c r="X57" i="3" s="1"/>
  <c r="Y57" i="3"/>
  <c r="Z57" i="3" s="1"/>
  <c r="T147" i="3"/>
  <c r="U147" i="3"/>
  <c r="W147" i="3"/>
  <c r="X147" i="3" s="1"/>
  <c r="Y147" i="3"/>
  <c r="Z147" i="3" s="1"/>
  <c r="T238" i="3"/>
  <c r="U238" i="3"/>
  <c r="W238" i="3"/>
  <c r="X238" i="3" s="1"/>
  <c r="Y238" i="3"/>
  <c r="Z238" i="3" s="1"/>
  <c r="T149" i="3"/>
  <c r="U149" i="3"/>
  <c r="W149" i="3"/>
  <c r="X149" i="3" s="1"/>
  <c r="Y149" i="3"/>
  <c r="Z149" i="3" s="1"/>
  <c r="T314" i="3"/>
  <c r="U314" i="3"/>
  <c r="W314" i="3"/>
  <c r="X314" i="3" s="1"/>
  <c r="Y314" i="3"/>
  <c r="Z314" i="3" s="1"/>
  <c r="T151" i="3"/>
  <c r="U151" i="3"/>
  <c r="W151" i="3"/>
  <c r="X151" i="3" s="1"/>
  <c r="Y151" i="3"/>
  <c r="Z151" i="3" s="1"/>
  <c r="T152" i="3"/>
  <c r="U152" i="3"/>
  <c r="W152" i="3"/>
  <c r="X152" i="3" s="1"/>
  <c r="Y152" i="3"/>
  <c r="Z152" i="3" s="1"/>
  <c r="T351" i="3"/>
  <c r="U351" i="3"/>
  <c r="W351" i="3"/>
  <c r="X351" i="3" s="1"/>
  <c r="Y351" i="3"/>
  <c r="Z351" i="3" s="1"/>
  <c r="T154" i="3"/>
  <c r="U154" i="3"/>
  <c r="W154" i="3"/>
  <c r="X154" i="3" s="1"/>
  <c r="Y154" i="3"/>
  <c r="Z154" i="3" s="1"/>
  <c r="T155" i="3"/>
  <c r="U155" i="3"/>
  <c r="W155" i="3"/>
  <c r="X155" i="3" s="1"/>
  <c r="Y155" i="3"/>
  <c r="Z155" i="3" s="1"/>
  <c r="T187" i="3"/>
  <c r="U187" i="3"/>
  <c r="W187" i="3"/>
  <c r="X187" i="3" s="1"/>
  <c r="Y187" i="3"/>
  <c r="Z187" i="3" s="1"/>
  <c r="T98" i="3"/>
  <c r="U98" i="3"/>
  <c r="W98" i="3"/>
  <c r="X98" i="3" s="1"/>
  <c r="Y98" i="3"/>
  <c r="Z98" i="3" s="1"/>
  <c r="T186" i="3"/>
  <c r="U186" i="3"/>
  <c r="W186" i="3"/>
  <c r="X186" i="3" s="1"/>
  <c r="Y186" i="3"/>
  <c r="Z186" i="3" s="1"/>
  <c r="T130" i="3"/>
  <c r="U130" i="3"/>
  <c r="W130" i="3"/>
  <c r="X130" i="3" s="1"/>
  <c r="Y130" i="3"/>
  <c r="Z130" i="3" s="1"/>
  <c r="T24" i="3"/>
  <c r="U24" i="3"/>
  <c r="W24" i="3"/>
  <c r="X24" i="3" s="1"/>
  <c r="Y24" i="3"/>
  <c r="Z24" i="3" s="1"/>
  <c r="T161" i="3"/>
  <c r="U161" i="3"/>
  <c r="W161" i="3"/>
  <c r="X161" i="3" s="1"/>
  <c r="Y161" i="3"/>
  <c r="Z161" i="3" s="1"/>
  <c r="T100" i="3"/>
  <c r="U100" i="3"/>
  <c r="W100" i="3"/>
  <c r="X100" i="3" s="1"/>
  <c r="Y100" i="3"/>
  <c r="Z100" i="3" s="1"/>
  <c r="T103" i="3"/>
  <c r="U103" i="3"/>
  <c r="W103" i="3"/>
  <c r="X103" i="3" s="1"/>
  <c r="Y103" i="3"/>
  <c r="Z103" i="3" s="1"/>
  <c r="T136" i="3"/>
  <c r="U136" i="3"/>
  <c r="W136" i="3"/>
  <c r="X136" i="3" s="1"/>
  <c r="Y136" i="3"/>
  <c r="Z136" i="3" s="1"/>
  <c r="T165" i="3"/>
  <c r="U165" i="3"/>
  <c r="W165" i="3"/>
  <c r="X165" i="3" s="1"/>
  <c r="Y165" i="3"/>
  <c r="Z165" i="3" s="1"/>
  <c r="T166" i="3"/>
  <c r="U166" i="3"/>
  <c r="W166" i="3"/>
  <c r="X166" i="3" s="1"/>
  <c r="Y166" i="3"/>
  <c r="Z166" i="3" s="1"/>
  <c r="T210" i="3"/>
  <c r="U210" i="3"/>
  <c r="W210" i="3"/>
  <c r="X210" i="3" s="1"/>
  <c r="Y210" i="3"/>
  <c r="Z210" i="3" s="1"/>
  <c r="T168" i="3"/>
  <c r="U168" i="3"/>
  <c r="W168" i="3"/>
  <c r="X168" i="3" s="1"/>
  <c r="Y168" i="3"/>
  <c r="Z168" i="3" s="1"/>
  <c r="T217" i="3"/>
  <c r="U217" i="3"/>
  <c r="W217" i="3"/>
  <c r="X217" i="3" s="1"/>
  <c r="Y217" i="3"/>
  <c r="Z217" i="3" s="1"/>
  <c r="T139" i="3"/>
  <c r="U139" i="3"/>
  <c r="W139" i="3"/>
  <c r="X139" i="3" s="1"/>
  <c r="Y139" i="3"/>
  <c r="Z139" i="3" s="1"/>
  <c r="T209" i="3"/>
  <c r="U209" i="3"/>
  <c r="W209" i="3"/>
  <c r="X209" i="3" s="1"/>
  <c r="Y209" i="3"/>
  <c r="Z209" i="3" s="1"/>
  <c r="T106" i="3"/>
  <c r="U106" i="3"/>
  <c r="W106" i="3"/>
  <c r="X106" i="3" s="1"/>
  <c r="Y106" i="3"/>
  <c r="Z106" i="3" s="1"/>
  <c r="T105" i="3"/>
  <c r="U105" i="3"/>
  <c r="W105" i="3"/>
  <c r="X105" i="3" s="1"/>
  <c r="Y105" i="3"/>
  <c r="Z105" i="3" s="1"/>
  <c r="T174" i="3"/>
  <c r="U174" i="3"/>
  <c r="W174" i="3"/>
  <c r="X174" i="3" s="1"/>
  <c r="Y174" i="3"/>
  <c r="Z174" i="3" s="1"/>
  <c r="T265" i="3"/>
  <c r="U265" i="3"/>
  <c r="W265" i="3"/>
  <c r="X265" i="3" s="1"/>
  <c r="Y265" i="3"/>
  <c r="Z265" i="3" s="1"/>
  <c r="T99" i="3"/>
  <c r="U99" i="3"/>
  <c r="W99" i="3"/>
  <c r="X99" i="3" s="1"/>
  <c r="Y99" i="3"/>
  <c r="Z99" i="3" s="1"/>
  <c r="T177" i="3"/>
  <c r="U177" i="3"/>
  <c r="W177" i="3"/>
  <c r="X177" i="3" s="1"/>
  <c r="Y177" i="3"/>
  <c r="Z177" i="3" s="1"/>
  <c r="T178" i="3"/>
  <c r="U178" i="3"/>
  <c r="W178" i="3"/>
  <c r="X178" i="3" s="1"/>
  <c r="Y178" i="3"/>
  <c r="Z178" i="3" s="1"/>
  <c r="T179" i="3"/>
  <c r="U179" i="3"/>
  <c r="W179" i="3"/>
  <c r="X179" i="3" s="1"/>
  <c r="Y179" i="3"/>
  <c r="Z179" i="3" s="1"/>
  <c r="T180" i="3"/>
  <c r="U180" i="3"/>
  <c r="W180" i="3"/>
  <c r="X180" i="3" s="1"/>
  <c r="Y180" i="3"/>
  <c r="Z180" i="3" s="1"/>
  <c r="T184" i="3"/>
  <c r="U184" i="3"/>
  <c r="W184" i="3"/>
  <c r="X184" i="3" s="1"/>
  <c r="Y184" i="3"/>
  <c r="Z184" i="3" s="1"/>
  <c r="T182" i="3"/>
  <c r="U182" i="3"/>
  <c r="W182" i="3"/>
  <c r="X182" i="3" s="1"/>
  <c r="Y182" i="3"/>
  <c r="Z182" i="3" s="1"/>
  <c r="T183" i="3"/>
  <c r="U183" i="3"/>
  <c r="W183" i="3"/>
  <c r="X183" i="3" s="1"/>
  <c r="Y183" i="3"/>
  <c r="Z183" i="3" s="1"/>
  <c r="T33" i="3"/>
  <c r="U33" i="3"/>
  <c r="W33" i="3"/>
  <c r="X33" i="3" s="1"/>
  <c r="Y33" i="3"/>
  <c r="Z33" i="3" s="1"/>
  <c r="T345" i="3"/>
  <c r="U345" i="3"/>
  <c r="W345" i="3"/>
  <c r="X345" i="3" s="1"/>
  <c r="Y345" i="3"/>
  <c r="Z345" i="3" s="1"/>
  <c r="T171" i="3"/>
  <c r="U171" i="3"/>
  <c r="W171" i="3"/>
  <c r="X171" i="3" s="1"/>
  <c r="Y171" i="3"/>
  <c r="Z171" i="3" s="1"/>
  <c r="T328" i="3"/>
  <c r="U328" i="3"/>
  <c r="W328" i="3"/>
  <c r="X328" i="3" s="1"/>
  <c r="Y328" i="3"/>
  <c r="Z328" i="3" s="1"/>
  <c r="T188" i="3"/>
  <c r="U188" i="3"/>
  <c r="W188" i="3"/>
  <c r="X188" i="3" s="1"/>
  <c r="Y188" i="3"/>
  <c r="Z188" i="3" s="1"/>
  <c r="T268" i="3"/>
  <c r="U268" i="3"/>
  <c r="W268" i="3"/>
  <c r="X268" i="3" s="1"/>
  <c r="Y268" i="3"/>
  <c r="Z268" i="3" s="1"/>
  <c r="T190" i="3"/>
  <c r="U190" i="3"/>
  <c r="W190" i="3"/>
  <c r="X190" i="3" s="1"/>
  <c r="Y190" i="3"/>
  <c r="Z190" i="3" s="1"/>
  <c r="T191" i="3"/>
  <c r="U191" i="3"/>
  <c r="W191" i="3"/>
  <c r="X191" i="3" s="1"/>
  <c r="Y191" i="3"/>
  <c r="Z191" i="3" s="1"/>
  <c r="T192" i="3"/>
  <c r="U192" i="3"/>
  <c r="W192" i="3"/>
  <c r="X192" i="3" s="1"/>
  <c r="Y192" i="3"/>
  <c r="Z192" i="3" s="1"/>
  <c r="T193" i="3"/>
  <c r="U193" i="3"/>
  <c r="W193" i="3"/>
  <c r="X193" i="3" s="1"/>
  <c r="Y193" i="3"/>
  <c r="Z193" i="3" s="1"/>
  <c r="T194" i="3"/>
  <c r="U194" i="3"/>
  <c r="W194" i="3"/>
  <c r="X194" i="3" s="1"/>
  <c r="Y194" i="3"/>
  <c r="Z194" i="3" s="1"/>
  <c r="T195" i="3"/>
  <c r="U195" i="3"/>
  <c r="W195" i="3"/>
  <c r="X195" i="3" s="1"/>
  <c r="Y195" i="3"/>
  <c r="Z195" i="3" s="1"/>
  <c r="T196" i="3"/>
  <c r="U196" i="3"/>
  <c r="W196" i="3"/>
  <c r="X196" i="3" s="1"/>
  <c r="Y196" i="3"/>
  <c r="Z196" i="3" s="1"/>
  <c r="T227" i="3"/>
  <c r="U227" i="3"/>
  <c r="W227" i="3"/>
  <c r="X227" i="3" s="1"/>
  <c r="Y227" i="3"/>
  <c r="Z227" i="3" s="1"/>
  <c r="T198" i="3"/>
  <c r="U198" i="3"/>
  <c r="W198" i="3"/>
  <c r="X198" i="3" s="1"/>
  <c r="Y198" i="3"/>
  <c r="Z198" i="3" s="1"/>
  <c r="T199" i="3"/>
  <c r="U199" i="3"/>
  <c r="W199" i="3"/>
  <c r="X199" i="3" s="1"/>
  <c r="Y199" i="3"/>
  <c r="Z199" i="3" s="1"/>
  <c r="T185" i="3"/>
  <c r="U185" i="3"/>
  <c r="W185" i="3"/>
  <c r="X185" i="3" s="1"/>
  <c r="Y185" i="3"/>
  <c r="Z185" i="3" s="1"/>
  <c r="T259" i="3"/>
  <c r="U259" i="3"/>
  <c r="W259" i="3"/>
  <c r="X259" i="3" s="1"/>
  <c r="Y259" i="3"/>
  <c r="Z259" i="3" s="1"/>
  <c r="T202" i="3"/>
  <c r="U202" i="3"/>
  <c r="W202" i="3"/>
  <c r="X202" i="3" s="1"/>
  <c r="Y202" i="3"/>
  <c r="Z202" i="3" s="1"/>
  <c r="T203" i="3"/>
  <c r="U203" i="3"/>
  <c r="W203" i="3"/>
  <c r="X203" i="3" s="1"/>
  <c r="Y203" i="3"/>
  <c r="Z203" i="3" s="1"/>
  <c r="T204" i="3"/>
  <c r="U204" i="3"/>
  <c r="W204" i="3"/>
  <c r="X204" i="3" s="1"/>
  <c r="Y204" i="3"/>
  <c r="Z204" i="3" s="1"/>
  <c r="T229" i="3"/>
  <c r="U229" i="3"/>
  <c r="W229" i="3"/>
  <c r="X229" i="3" s="1"/>
  <c r="Y229" i="3"/>
  <c r="Z229" i="3" s="1"/>
  <c r="T206" i="3"/>
  <c r="U206" i="3"/>
  <c r="W206" i="3"/>
  <c r="X206" i="3" s="1"/>
  <c r="Y206" i="3"/>
  <c r="Z206" i="3" s="1"/>
  <c r="T207" i="3"/>
  <c r="U207" i="3"/>
  <c r="W207" i="3"/>
  <c r="X207" i="3" s="1"/>
  <c r="Y207" i="3"/>
  <c r="Z207" i="3" s="1"/>
  <c r="T208" i="3"/>
  <c r="U208" i="3"/>
  <c r="W208" i="3"/>
  <c r="X208" i="3" s="1"/>
  <c r="Y208" i="3"/>
  <c r="Z208" i="3" s="1"/>
  <c r="T156" i="3"/>
  <c r="U156" i="3"/>
  <c r="W156" i="3"/>
  <c r="X156" i="3" s="1"/>
  <c r="Y156" i="3"/>
  <c r="Z156" i="3" s="1"/>
  <c r="T146" i="3"/>
  <c r="U146" i="3"/>
  <c r="W146" i="3"/>
  <c r="X146" i="3" s="1"/>
  <c r="Y146" i="3"/>
  <c r="Z146" i="3" s="1"/>
  <c r="T211" i="3"/>
  <c r="U211" i="3"/>
  <c r="W211" i="3"/>
  <c r="X211" i="3" s="1"/>
  <c r="Y211" i="3"/>
  <c r="Z211" i="3" s="1"/>
  <c r="T212" i="3"/>
  <c r="U212" i="3"/>
  <c r="W212" i="3"/>
  <c r="X212" i="3" s="1"/>
  <c r="Y212" i="3"/>
  <c r="Z212" i="3" s="1"/>
  <c r="T213" i="3"/>
  <c r="U213" i="3"/>
  <c r="W213" i="3"/>
  <c r="X213" i="3" s="1"/>
  <c r="Y213" i="3"/>
  <c r="Z213" i="3" s="1"/>
  <c r="T214" i="3"/>
  <c r="U214" i="3"/>
  <c r="W214" i="3"/>
  <c r="X214" i="3" s="1"/>
  <c r="Y214" i="3"/>
  <c r="Z214" i="3" s="1"/>
  <c r="T215" i="3"/>
  <c r="U215" i="3"/>
  <c r="W215" i="3"/>
  <c r="X215" i="3" s="1"/>
  <c r="Y215" i="3"/>
  <c r="Z215" i="3" s="1"/>
  <c r="T102" i="3"/>
  <c r="U102" i="3"/>
  <c r="W102" i="3"/>
  <c r="X102" i="3" s="1"/>
  <c r="Y102" i="3"/>
  <c r="Z102" i="3" s="1"/>
  <c r="T218" i="3"/>
  <c r="U218" i="3"/>
  <c r="W218" i="3"/>
  <c r="X218" i="3" s="1"/>
  <c r="Y218" i="3"/>
  <c r="Z218" i="3" s="1"/>
  <c r="T264" i="3"/>
  <c r="U264" i="3"/>
  <c r="W264" i="3"/>
  <c r="X264" i="3" s="1"/>
  <c r="Y264" i="3"/>
  <c r="Z264" i="3" s="1"/>
  <c r="T169" i="3"/>
  <c r="U169" i="3"/>
  <c r="W169" i="3"/>
  <c r="X169" i="3" s="1"/>
  <c r="Y169" i="3"/>
  <c r="Z169" i="3" s="1"/>
  <c r="T23" i="3"/>
  <c r="U23" i="3"/>
  <c r="W23" i="3"/>
  <c r="X23" i="3" s="1"/>
  <c r="Y23" i="3"/>
  <c r="Z23" i="3" s="1"/>
  <c r="T221" i="3"/>
  <c r="U221" i="3"/>
  <c r="W221" i="3"/>
  <c r="X221" i="3" s="1"/>
  <c r="Y221" i="3"/>
  <c r="Z221" i="3" s="1"/>
  <c r="T88" i="3"/>
  <c r="U88" i="3"/>
  <c r="W88" i="3"/>
  <c r="X88" i="3" s="1"/>
  <c r="Y88" i="3"/>
  <c r="Z88" i="3" s="1"/>
  <c r="T223" i="3"/>
  <c r="U223" i="3"/>
  <c r="W223" i="3"/>
  <c r="X223" i="3" s="1"/>
  <c r="Y223" i="3"/>
  <c r="Z223" i="3" s="1"/>
  <c r="T326" i="3"/>
  <c r="U326" i="3"/>
  <c r="W326" i="3"/>
  <c r="X326" i="3" s="1"/>
  <c r="Y326" i="3"/>
  <c r="Z326" i="3" s="1"/>
  <c r="T324" i="3"/>
  <c r="U324" i="3"/>
  <c r="W324" i="3"/>
  <c r="X324" i="3" s="1"/>
  <c r="Y324" i="3"/>
  <c r="Z324" i="3" s="1"/>
  <c r="T226" i="3"/>
  <c r="U226" i="3"/>
  <c r="W226" i="3"/>
  <c r="X226" i="3" s="1"/>
  <c r="Y226" i="3"/>
  <c r="Z226" i="3" s="1"/>
  <c r="T107" i="3"/>
  <c r="U107" i="3"/>
  <c r="W107" i="3"/>
  <c r="X107" i="3" s="1"/>
  <c r="Y107" i="3"/>
  <c r="Z107" i="3" s="1"/>
  <c r="T228" i="3"/>
  <c r="U228" i="3"/>
  <c r="W228" i="3"/>
  <c r="X228" i="3" s="1"/>
  <c r="Y228" i="3"/>
  <c r="Z228" i="3" s="1"/>
  <c r="T167" i="3"/>
  <c r="U167" i="3"/>
  <c r="W167" i="3"/>
  <c r="X167" i="3" s="1"/>
  <c r="Y167" i="3"/>
  <c r="Z167" i="3" s="1"/>
  <c r="T368" i="3"/>
  <c r="U368" i="3"/>
  <c r="W368" i="3"/>
  <c r="X368" i="3" s="1"/>
  <c r="Y368" i="3"/>
  <c r="Z368" i="3" s="1"/>
  <c r="T113" i="3"/>
  <c r="U113" i="3"/>
  <c r="W113" i="3"/>
  <c r="X113" i="3" s="1"/>
  <c r="Y113" i="3"/>
  <c r="Z113" i="3" s="1"/>
  <c r="T319" i="3"/>
  <c r="U319" i="3"/>
  <c r="W319" i="3"/>
  <c r="X319" i="3" s="1"/>
  <c r="Y319" i="3"/>
  <c r="Z319" i="3" s="1"/>
  <c r="T233" i="3"/>
  <c r="U233" i="3"/>
  <c r="W233" i="3"/>
  <c r="X233" i="3" s="1"/>
  <c r="Y233" i="3"/>
  <c r="Z233" i="3" s="1"/>
  <c r="T234" i="3"/>
  <c r="U234" i="3"/>
  <c r="W234" i="3"/>
  <c r="X234" i="3" s="1"/>
  <c r="Y234" i="3"/>
  <c r="Z234" i="3" s="1"/>
  <c r="T96" i="3"/>
  <c r="U96" i="3"/>
  <c r="W96" i="3"/>
  <c r="X96" i="3" s="1"/>
  <c r="Y96" i="3"/>
  <c r="Z96" i="3" s="1"/>
  <c r="T236" i="3"/>
  <c r="U236" i="3"/>
  <c r="W236" i="3"/>
  <c r="X236" i="3" s="1"/>
  <c r="Y236" i="3"/>
  <c r="Z236" i="3" s="1"/>
  <c r="T237" i="3"/>
  <c r="U237" i="3"/>
  <c r="W237" i="3"/>
  <c r="X237" i="3" s="1"/>
  <c r="Y237" i="3"/>
  <c r="Z237" i="3" s="1"/>
  <c r="T164" i="3"/>
  <c r="U164" i="3"/>
  <c r="W164" i="3"/>
  <c r="X164" i="3" s="1"/>
  <c r="Y164" i="3"/>
  <c r="Z164" i="3" s="1"/>
  <c r="T239" i="3"/>
  <c r="U239" i="3"/>
  <c r="W239" i="3"/>
  <c r="X239" i="3" s="1"/>
  <c r="Y239" i="3"/>
  <c r="Z239" i="3" s="1"/>
  <c r="T240" i="3"/>
  <c r="U240" i="3"/>
  <c r="W240" i="3"/>
  <c r="X240" i="3" s="1"/>
  <c r="Y240" i="3"/>
  <c r="Z240" i="3" s="1"/>
  <c r="T241" i="3"/>
  <c r="U241" i="3"/>
  <c r="W241" i="3"/>
  <c r="X241" i="3" s="1"/>
  <c r="Y241" i="3"/>
  <c r="Z241" i="3" s="1"/>
  <c r="T242" i="3"/>
  <c r="U242" i="3"/>
  <c r="W242" i="3"/>
  <c r="X242" i="3" s="1"/>
  <c r="Y242" i="3"/>
  <c r="Z242" i="3" s="1"/>
  <c r="T163" i="3"/>
  <c r="U163" i="3"/>
  <c r="W163" i="3"/>
  <c r="X163" i="3" s="1"/>
  <c r="Y163" i="3"/>
  <c r="Z163" i="3" s="1"/>
  <c r="T162" i="3"/>
  <c r="U162" i="3"/>
  <c r="W162" i="3"/>
  <c r="X162" i="3" s="1"/>
  <c r="Y162" i="3"/>
  <c r="Z162" i="3" s="1"/>
  <c r="T245" i="3"/>
  <c r="U245" i="3"/>
  <c r="W245" i="3"/>
  <c r="X245" i="3" s="1"/>
  <c r="Y245" i="3"/>
  <c r="Z245" i="3" s="1"/>
  <c r="T246" i="3"/>
  <c r="U246" i="3"/>
  <c r="W246" i="3"/>
  <c r="X246" i="3" s="1"/>
  <c r="Y246" i="3"/>
  <c r="Z246" i="3" s="1"/>
  <c r="T247" i="3"/>
  <c r="U247" i="3"/>
  <c r="W247" i="3"/>
  <c r="X247" i="3" s="1"/>
  <c r="Y247" i="3"/>
  <c r="Z247" i="3" s="1"/>
  <c r="T248" i="3"/>
  <c r="U248" i="3"/>
  <c r="W248" i="3"/>
  <c r="X248" i="3" s="1"/>
  <c r="Y248" i="3"/>
  <c r="Z248" i="3" s="1"/>
  <c r="T249" i="3"/>
  <c r="U249" i="3"/>
  <c r="W249" i="3"/>
  <c r="X249" i="3" s="1"/>
  <c r="Y249" i="3"/>
  <c r="Z249" i="3" s="1"/>
  <c r="T250" i="3"/>
  <c r="U250" i="3"/>
  <c r="W250" i="3"/>
  <c r="X250" i="3" s="1"/>
  <c r="Y250" i="3"/>
  <c r="Z250" i="3" s="1"/>
  <c r="T352" i="3"/>
  <c r="U352" i="3"/>
  <c r="W352" i="3"/>
  <c r="X352" i="3" s="1"/>
  <c r="Y352" i="3"/>
  <c r="Z352" i="3" s="1"/>
  <c r="T67" i="3"/>
  <c r="U67" i="3"/>
  <c r="W67" i="3"/>
  <c r="X67" i="3" s="1"/>
  <c r="Y67" i="3"/>
  <c r="Z67" i="3" s="1"/>
  <c r="T253" i="3"/>
  <c r="U253" i="3"/>
  <c r="W253" i="3"/>
  <c r="X253" i="3" s="1"/>
  <c r="Y253" i="3"/>
  <c r="Z253" i="3" s="1"/>
  <c r="T254" i="3"/>
  <c r="U254" i="3"/>
  <c r="W254" i="3"/>
  <c r="X254" i="3" s="1"/>
  <c r="Y254" i="3"/>
  <c r="Z254" i="3" s="1"/>
  <c r="T255" i="3"/>
  <c r="U255" i="3"/>
  <c r="W255" i="3"/>
  <c r="X255" i="3" s="1"/>
  <c r="Y255" i="3"/>
  <c r="Z255" i="3" s="1"/>
  <c r="T256" i="3"/>
  <c r="U256" i="3"/>
  <c r="W256" i="3"/>
  <c r="X256" i="3" s="1"/>
  <c r="Y256" i="3"/>
  <c r="Z256" i="3" s="1"/>
  <c r="T257" i="3"/>
  <c r="U257" i="3"/>
  <c r="W257" i="3"/>
  <c r="X257" i="3" s="1"/>
  <c r="Y257" i="3"/>
  <c r="Z257" i="3" s="1"/>
  <c r="T258" i="3"/>
  <c r="U258" i="3"/>
  <c r="W258" i="3"/>
  <c r="X258" i="3" s="1"/>
  <c r="Y258" i="3"/>
  <c r="Z258" i="3" s="1"/>
  <c r="T329" i="3"/>
  <c r="U329" i="3"/>
  <c r="W329" i="3"/>
  <c r="X329" i="3" s="1"/>
  <c r="Y329" i="3"/>
  <c r="Z329" i="3" s="1"/>
  <c r="T260" i="3"/>
  <c r="U260" i="3"/>
  <c r="W260" i="3"/>
  <c r="X260" i="3" s="1"/>
  <c r="Y260" i="3"/>
  <c r="Z260" i="3" s="1"/>
  <c r="T261" i="3"/>
  <c r="U261" i="3"/>
  <c r="W261" i="3"/>
  <c r="X261" i="3" s="1"/>
  <c r="Y261" i="3"/>
  <c r="Z261" i="3" s="1"/>
  <c r="T262" i="3"/>
  <c r="U262" i="3"/>
  <c r="W262" i="3"/>
  <c r="X262" i="3" s="1"/>
  <c r="Y262" i="3"/>
  <c r="Z262" i="3" s="1"/>
  <c r="T173" i="3"/>
  <c r="U173" i="3"/>
  <c r="W173" i="3"/>
  <c r="X173" i="3" s="1"/>
  <c r="Y173" i="3"/>
  <c r="Z173" i="3" s="1"/>
  <c r="T358" i="3"/>
  <c r="U358" i="3"/>
  <c r="W358" i="3"/>
  <c r="X358" i="3" s="1"/>
  <c r="Y358" i="3"/>
  <c r="Z358" i="3" s="1"/>
  <c r="T224" i="3"/>
  <c r="U224" i="3"/>
  <c r="W224" i="3"/>
  <c r="X224" i="3" s="1"/>
  <c r="Y224" i="3"/>
  <c r="Z224" i="3" s="1"/>
  <c r="T222" i="3"/>
  <c r="U222" i="3"/>
  <c r="W222" i="3"/>
  <c r="X222" i="3" s="1"/>
  <c r="Y222" i="3"/>
  <c r="Z222" i="3" s="1"/>
  <c r="T43" i="3"/>
  <c r="U43" i="3"/>
  <c r="W43" i="3"/>
  <c r="X43" i="3" s="1"/>
  <c r="Y43" i="3"/>
  <c r="Z43" i="3" s="1"/>
  <c r="T220" i="3"/>
  <c r="U220" i="3"/>
  <c r="W220" i="3"/>
  <c r="X220" i="3" s="1"/>
  <c r="Y220" i="3"/>
  <c r="Z220" i="3" s="1"/>
  <c r="T269" i="3"/>
  <c r="U269" i="3"/>
  <c r="W269" i="3"/>
  <c r="X269" i="3" s="1"/>
  <c r="Y269" i="3"/>
  <c r="Z269" i="3" s="1"/>
  <c r="T66" i="3"/>
  <c r="U66" i="3"/>
  <c r="W66" i="3"/>
  <c r="X66" i="3" s="1"/>
  <c r="Y66" i="3"/>
  <c r="Z66" i="3" s="1"/>
  <c r="T72" i="3"/>
  <c r="U72" i="3"/>
  <c r="W72" i="3"/>
  <c r="X72" i="3" s="1"/>
  <c r="Y72" i="3"/>
  <c r="Z72" i="3" s="1"/>
  <c r="T315" i="3"/>
  <c r="U315" i="3"/>
  <c r="W315" i="3"/>
  <c r="X315" i="3" s="1"/>
  <c r="Y315" i="3"/>
  <c r="Z315" i="3" s="1"/>
  <c r="T273" i="3"/>
  <c r="U273" i="3"/>
  <c r="W273" i="3"/>
  <c r="X273" i="3" s="1"/>
  <c r="Y273" i="3"/>
  <c r="Z273" i="3" s="1"/>
  <c r="T274" i="3"/>
  <c r="U274" i="3"/>
  <c r="W274" i="3"/>
  <c r="X274" i="3" s="1"/>
  <c r="Y274" i="3"/>
  <c r="Z274" i="3" s="1"/>
  <c r="T275" i="3"/>
  <c r="U275" i="3"/>
  <c r="W275" i="3"/>
  <c r="X275" i="3" s="1"/>
  <c r="Y275" i="3"/>
  <c r="Z275" i="3" s="1"/>
  <c r="T276" i="3"/>
  <c r="U276" i="3"/>
  <c r="W276" i="3"/>
  <c r="X276" i="3" s="1"/>
  <c r="Y276" i="3"/>
  <c r="Z276" i="3" s="1"/>
  <c r="T118" i="3"/>
  <c r="U118" i="3"/>
  <c r="W118" i="3"/>
  <c r="X118" i="3" s="1"/>
  <c r="Y118" i="3"/>
  <c r="Z118" i="3" s="1"/>
  <c r="T216" i="3"/>
  <c r="U216" i="3"/>
  <c r="W216" i="3"/>
  <c r="X216" i="3" s="1"/>
  <c r="Y216" i="3"/>
  <c r="Z216" i="3" s="1"/>
  <c r="T82" i="3"/>
  <c r="U82" i="3"/>
  <c r="W82" i="3"/>
  <c r="X82" i="3" s="1"/>
  <c r="Y82" i="3"/>
  <c r="Z82" i="3" s="1"/>
  <c r="T296" i="3"/>
  <c r="U296" i="3"/>
  <c r="W296" i="3"/>
  <c r="X296" i="3" s="1"/>
  <c r="Y296" i="3"/>
  <c r="Z296" i="3" s="1"/>
  <c r="T305" i="3"/>
  <c r="U305" i="3"/>
  <c r="W305" i="3"/>
  <c r="X305" i="3" s="1"/>
  <c r="Y305" i="3"/>
  <c r="Z305" i="3" s="1"/>
  <c r="T282" i="3"/>
  <c r="U282" i="3"/>
  <c r="W282" i="3"/>
  <c r="X282" i="3" s="1"/>
  <c r="Y282" i="3"/>
  <c r="Z282" i="3" s="1"/>
  <c r="T347" i="3"/>
  <c r="U347" i="3"/>
  <c r="W347" i="3"/>
  <c r="X347" i="3" s="1"/>
  <c r="Y347" i="3"/>
  <c r="Z347" i="3" s="1"/>
  <c r="T284" i="3"/>
  <c r="U284" i="3"/>
  <c r="W284" i="3"/>
  <c r="X284" i="3" s="1"/>
  <c r="Y284" i="3"/>
  <c r="Z284" i="3" s="1"/>
  <c r="T144" i="3"/>
  <c r="U144" i="3"/>
  <c r="W144" i="3"/>
  <c r="X144" i="3" s="1"/>
  <c r="Y144" i="3"/>
  <c r="Z144" i="3" s="1"/>
  <c r="T123" i="3"/>
  <c r="U123" i="3"/>
  <c r="W123" i="3"/>
  <c r="X123" i="3" s="1"/>
  <c r="Y123" i="3"/>
  <c r="Z123" i="3" s="1"/>
  <c r="T94" i="3"/>
  <c r="U94" i="3"/>
  <c r="W94" i="3"/>
  <c r="X94" i="3" s="1"/>
  <c r="Y94" i="3"/>
  <c r="Z94" i="3" s="1"/>
  <c r="T288" i="3"/>
  <c r="U288" i="3"/>
  <c r="W288" i="3"/>
  <c r="X288" i="3" s="1"/>
  <c r="Y288" i="3"/>
  <c r="Z288" i="3" s="1"/>
  <c r="T362" i="3"/>
  <c r="U362" i="3"/>
  <c r="W362" i="3"/>
  <c r="X362" i="3" s="1"/>
  <c r="Y362" i="3"/>
  <c r="Z362" i="3" s="1"/>
  <c r="T290" i="3"/>
  <c r="U290" i="3"/>
  <c r="W290" i="3"/>
  <c r="X290" i="3" s="1"/>
  <c r="Y290" i="3"/>
  <c r="Z290" i="3" s="1"/>
  <c r="T291" i="3"/>
  <c r="U291" i="3"/>
  <c r="W291" i="3"/>
  <c r="X291" i="3" s="1"/>
  <c r="Y291" i="3"/>
  <c r="Z291" i="3" s="1"/>
  <c r="T219" i="3"/>
  <c r="U219" i="3"/>
  <c r="W219" i="3"/>
  <c r="X219" i="3" s="1"/>
  <c r="Y219" i="3"/>
  <c r="Z219" i="3" s="1"/>
  <c r="T293" i="3"/>
  <c r="U293" i="3"/>
  <c r="W293" i="3"/>
  <c r="X293" i="3" s="1"/>
  <c r="Y293" i="3"/>
  <c r="Z293" i="3" s="1"/>
  <c r="T294" i="3"/>
  <c r="U294" i="3"/>
  <c r="W294" i="3"/>
  <c r="X294" i="3" s="1"/>
  <c r="Y294" i="3"/>
  <c r="Z294" i="3" s="1"/>
  <c r="T295" i="3"/>
  <c r="U295" i="3"/>
  <c r="W295" i="3"/>
  <c r="X295" i="3" s="1"/>
  <c r="Y295" i="3"/>
  <c r="Z295" i="3" s="1"/>
  <c r="T81" i="3"/>
  <c r="U81" i="3"/>
  <c r="W81" i="3"/>
  <c r="X81" i="3" s="1"/>
  <c r="Y81" i="3"/>
  <c r="Z81" i="3" s="1"/>
  <c r="T297" i="3"/>
  <c r="U297" i="3"/>
  <c r="W297" i="3"/>
  <c r="X297" i="3" s="1"/>
  <c r="Y297" i="3"/>
  <c r="Z297" i="3" s="1"/>
  <c r="T298" i="3"/>
  <c r="U298" i="3"/>
  <c r="W298" i="3"/>
  <c r="X298" i="3" s="1"/>
  <c r="Y298" i="3"/>
  <c r="Z298" i="3" s="1"/>
  <c r="T299" i="3"/>
  <c r="U299" i="3"/>
  <c r="W299" i="3"/>
  <c r="X299" i="3" s="1"/>
  <c r="Y299" i="3"/>
  <c r="Z299" i="3" s="1"/>
  <c r="T301" i="3"/>
  <c r="U301" i="3"/>
  <c r="W301" i="3"/>
  <c r="X301" i="3" s="1"/>
  <c r="Y301" i="3"/>
  <c r="Z301" i="3" s="1"/>
  <c r="T302" i="3"/>
  <c r="U302" i="3"/>
  <c r="W302" i="3"/>
  <c r="X302" i="3" s="1"/>
  <c r="Y302" i="3"/>
  <c r="Z302" i="3" s="1"/>
  <c r="T303" i="3"/>
  <c r="U303" i="3"/>
  <c r="W303" i="3"/>
  <c r="X303" i="3" s="1"/>
  <c r="Y303" i="3"/>
  <c r="Z303" i="3" s="1"/>
  <c r="T304" i="3"/>
  <c r="U304" i="3"/>
  <c r="W304" i="3"/>
  <c r="X304" i="3" s="1"/>
  <c r="Y304" i="3"/>
  <c r="Z304" i="3" s="1"/>
  <c r="T90" i="3"/>
  <c r="U90" i="3"/>
  <c r="W90" i="3"/>
  <c r="X90" i="3" s="1"/>
  <c r="Y90" i="3"/>
  <c r="Z90" i="3" s="1"/>
  <c r="T306" i="3"/>
  <c r="U306" i="3"/>
  <c r="W306" i="3"/>
  <c r="X306" i="3" s="1"/>
  <c r="Y306" i="3"/>
  <c r="Z306" i="3" s="1"/>
  <c r="T307" i="3"/>
  <c r="U307" i="3"/>
  <c r="W307" i="3"/>
  <c r="X307" i="3" s="1"/>
  <c r="Y307" i="3"/>
  <c r="Z307" i="3" s="1"/>
  <c r="T148" i="3"/>
  <c r="U148" i="3"/>
  <c r="W148" i="3"/>
  <c r="X148" i="3" s="1"/>
  <c r="Y148" i="3"/>
  <c r="Z148" i="3" s="1"/>
  <c r="T252" i="3"/>
  <c r="U252" i="3"/>
  <c r="W252" i="3"/>
  <c r="X252" i="3" s="1"/>
  <c r="Y252" i="3"/>
  <c r="Z252" i="3" s="1"/>
  <c r="T310" i="3"/>
  <c r="U310" i="3"/>
  <c r="W310" i="3"/>
  <c r="X310" i="3" s="1"/>
  <c r="Y310" i="3"/>
  <c r="Z310" i="3" s="1"/>
  <c r="T19" i="3"/>
  <c r="U19" i="3"/>
  <c r="W19" i="3"/>
  <c r="X19" i="3" s="1"/>
  <c r="Y19" i="3"/>
  <c r="Z19" i="3" s="1"/>
  <c r="T272" i="3"/>
  <c r="U272" i="3"/>
  <c r="W272" i="3"/>
  <c r="X272" i="3" s="1"/>
  <c r="Y272" i="3"/>
  <c r="Z272" i="3" s="1"/>
  <c r="T104" i="3"/>
  <c r="U104" i="3"/>
  <c r="W104" i="3"/>
  <c r="X104" i="3" s="1"/>
  <c r="Y104" i="3"/>
  <c r="Z104" i="3" s="1"/>
  <c r="T14" i="3"/>
  <c r="U14" i="3"/>
  <c r="W14" i="3"/>
  <c r="X14" i="3" s="1"/>
  <c r="Y14" i="3"/>
  <c r="Z14" i="3" s="1"/>
  <c r="T251" i="3"/>
  <c r="U251" i="3"/>
  <c r="W251" i="3"/>
  <c r="X251" i="3" s="1"/>
  <c r="Y251" i="3"/>
  <c r="Z251" i="3" s="1"/>
  <c r="T175" i="3"/>
  <c r="U175" i="3"/>
  <c r="W175" i="3"/>
  <c r="X175" i="3" s="1"/>
  <c r="Y175" i="3"/>
  <c r="Z175" i="3" s="1"/>
  <c r="T317" i="3"/>
  <c r="U317" i="3"/>
  <c r="W317" i="3"/>
  <c r="X317" i="3" s="1"/>
  <c r="Y317" i="3"/>
  <c r="Z317" i="3" s="1"/>
  <c r="T318" i="3"/>
  <c r="U318" i="3"/>
  <c r="W318" i="3"/>
  <c r="X318" i="3" s="1"/>
  <c r="Y318" i="3"/>
  <c r="Z318" i="3" s="1"/>
  <c r="T36" i="3"/>
  <c r="U36" i="3"/>
  <c r="W36" i="3"/>
  <c r="X36" i="3" s="1"/>
  <c r="Y36" i="3"/>
  <c r="Z36" i="3" s="1"/>
  <c r="T320" i="3"/>
  <c r="U320" i="3"/>
  <c r="W320" i="3"/>
  <c r="X320" i="3" s="1"/>
  <c r="Y320" i="3"/>
  <c r="Z320" i="3" s="1"/>
  <c r="T332" i="3"/>
  <c r="U332" i="3"/>
  <c r="W332" i="3"/>
  <c r="X332" i="3" s="1"/>
  <c r="Y332" i="3"/>
  <c r="Z332" i="3" s="1"/>
  <c r="T114" i="3"/>
  <c r="U114" i="3"/>
  <c r="W114" i="3"/>
  <c r="X114" i="3" s="1"/>
  <c r="Y114" i="3"/>
  <c r="Z114" i="3" s="1"/>
  <c r="T278" i="3"/>
  <c r="U278" i="3"/>
  <c r="W278" i="3"/>
  <c r="X278" i="3" s="1"/>
  <c r="Y278" i="3"/>
  <c r="Z278" i="3" s="1"/>
  <c r="T235" i="3"/>
  <c r="U235" i="3"/>
  <c r="W235" i="3"/>
  <c r="X235" i="3" s="1"/>
  <c r="Y235" i="3"/>
  <c r="Z235" i="3" s="1"/>
  <c r="T325" i="3"/>
  <c r="U325" i="3"/>
  <c r="W325" i="3"/>
  <c r="X325" i="3" s="1"/>
  <c r="Y325" i="3"/>
  <c r="Z325" i="3" s="1"/>
  <c r="T335" i="3"/>
  <c r="U335" i="3"/>
  <c r="W335" i="3"/>
  <c r="X335" i="3" s="1"/>
  <c r="Y335" i="3"/>
  <c r="Z335" i="3" s="1"/>
  <c r="T327" i="3"/>
  <c r="U327" i="3"/>
  <c r="W327" i="3"/>
  <c r="X327" i="3" s="1"/>
  <c r="Y327" i="3"/>
  <c r="Z327" i="3" s="1"/>
  <c r="T267" i="3"/>
  <c r="U267" i="3"/>
  <c r="W267" i="3"/>
  <c r="X267" i="3" s="1"/>
  <c r="Y267" i="3"/>
  <c r="Z267" i="3" s="1"/>
  <c r="T8" i="3"/>
  <c r="U8" i="3"/>
  <c r="W8" i="3"/>
  <c r="X8" i="3" s="1"/>
  <c r="Y8" i="3"/>
  <c r="Z8" i="3" s="1"/>
  <c r="T16" i="3"/>
  <c r="U16" i="3"/>
  <c r="W16" i="3"/>
  <c r="X16" i="3" s="1"/>
  <c r="Y16" i="3"/>
  <c r="Z16" i="3" s="1"/>
  <c r="T331" i="3"/>
  <c r="U331" i="3"/>
  <c r="W331" i="3"/>
  <c r="X331" i="3" s="1"/>
  <c r="Y331" i="3"/>
  <c r="Z331" i="3" s="1"/>
  <c r="T12" i="3"/>
  <c r="U12" i="3"/>
  <c r="W12" i="3"/>
  <c r="X12" i="3" s="1"/>
  <c r="Y12" i="3"/>
  <c r="Z12" i="3" s="1"/>
  <c r="T333" i="3"/>
  <c r="U333" i="3"/>
  <c r="W333" i="3"/>
  <c r="X333" i="3" s="1"/>
  <c r="Y333" i="3"/>
  <c r="Z333" i="3" s="1"/>
  <c r="T334" i="3"/>
  <c r="U334" i="3"/>
  <c r="W334" i="3"/>
  <c r="X334" i="3" s="1"/>
  <c r="Y334" i="3"/>
  <c r="Z334" i="3" s="1"/>
  <c r="T244" i="3"/>
  <c r="U244" i="3"/>
  <c r="W244" i="3"/>
  <c r="X244" i="3" s="1"/>
  <c r="Y244" i="3"/>
  <c r="Z244" i="3" s="1"/>
  <c r="T201" i="3"/>
  <c r="U201" i="3"/>
  <c r="W201" i="3"/>
  <c r="X201" i="3" s="1"/>
  <c r="Y201" i="3"/>
  <c r="Z201" i="3" s="1"/>
  <c r="T337" i="3"/>
  <c r="U337" i="3"/>
  <c r="W337" i="3"/>
  <c r="X337" i="3" s="1"/>
  <c r="Y337" i="3"/>
  <c r="Z337" i="3" s="1"/>
  <c r="T338" i="3"/>
  <c r="U338" i="3"/>
  <c r="W338" i="3"/>
  <c r="X338" i="3" s="1"/>
  <c r="Y338" i="3"/>
  <c r="Z338" i="3" s="1"/>
  <c r="T339" i="3"/>
  <c r="U339" i="3"/>
  <c r="W339" i="3"/>
  <c r="X339" i="3" s="1"/>
  <c r="Y339" i="3"/>
  <c r="Z339" i="3" s="1"/>
  <c r="T150" i="3"/>
  <c r="U150" i="3"/>
  <c r="W150" i="3"/>
  <c r="X150" i="3" s="1"/>
  <c r="Y150" i="3"/>
  <c r="Z150" i="3" s="1"/>
  <c r="T145" i="3"/>
  <c r="U145" i="3"/>
  <c r="W145" i="3"/>
  <c r="X145" i="3" s="1"/>
  <c r="Y145" i="3"/>
  <c r="Z145" i="3" s="1"/>
  <c r="T342" i="3"/>
  <c r="U342" i="3"/>
  <c r="W342" i="3"/>
  <c r="X342" i="3" s="1"/>
  <c r="Y342" i="3"/>
  <c r="Z342" i="3" s="1"/>
  <c r="T21" i="3"/>
  <c r="U21" i="3"/>
  <c r="W21" i="3"/>
  <c r="X21" i="3" s="1"/>
  <c r="Y21" i="3"/>
  <c r="Z21" i="3" s="1"/>
  <c r="T344" i="3"/>
  <c r="U344" i="3"/>
  <c r="W344" i="3"/>
  <c r="X344" i="3" s="1"/>
  <c r="Y344" i="3"/>
  <c r="Z344" i="3" s="1"/>
  <c r="T75" i="3"/>
  <c r="U75" i="3"/>
  <c r="W75" i="3"/>
  <c r="X75" i="3" s="1"/>
  <c r="Y75" i="3"/>
  <c r="Z75" i="3" s="1"/>
  <c r="T346" i="3"/>
  <c r="U346" i="3"/>
  <c r="W346" i="3"/>
  <c r="X346" i="3" s="1"/>
  <c r="Y346" i="3"/>
  <c r="Z346" i="3" s="1"/>
  <c r="T153" i="3"/>
  <c r="U153" i="3"/>
  <c r="W153" i="3"/>
  <c r="X153" i="3" s="1"/>
  <c r="Y153" i="3"/>
  <c r="Z153" i="3" s="1"/>
  <c r="T348" i="3"/>
  <c r="U348" i="3"/>
  <c r="W348" i="3"/>
  <c r="X348" i="3" s="1"/>
  <c r="Y348" i="3"/>
  <c r="Z348" i="3" s="1"/>
  <c r="T349" i="3"/>
  <c r="U349" i="3"/>
  <c r="W349" i="3"/>
  <c r="X349" i="3" s="1"/>
  <c r="Y349" i="3"/>
  <c r="Z349" i="3" s="1"/>
  <c r="T350" i="3"/>
  <c r="U350" i="3"/>
  <c r="W350" i="3"/>
  <c r="X350" i="3" s="1"/>
  <c r="Y350" i="3"/>
  <c r="Z350" i="3" s="1"/>
  <c r="T170" i="3"/>
  <c r="U170" i="3"/>
  <c r="W170" i="3"/>
  <c r="X170" i="3" s="1"/>
  <c r="Y170" i="3"/>
  <c r="Z170" i="3" s="1"/>
  <c r="T25" i="3"/>
  <c r="U25" i="3"/>
  <c r="W25" i="3"/>
  <c r="X25" i="3" s="1"/>
  <c r="Y25" i="3"/>
  <c r="Z25" i="3" s="1"/>
  <c r="T353" i="3"/>
  <c r="U353" i="3"/>
  <c r="W353" i="3"/>
  <c r="X353" i="3" s="1"/>
  <c r="Y353" i="3"/>
  <c r="Z353" i="3" s="1"/>
  <c r="T172" i="3"/>
  <c r="U172" i="3"/>
  <c r="W172" i="3"/>
  <c r="X172" i="3" s="1"/>
  <c r="Y172" i="3"/>
  <c r="Z172" i="3" s="1"/>
  <c r="T355" i="3"/>
  <c r="U355" i="3"/>
  <c r="W355" i="3"/>
  <c r="X355" i="3" s="1"/>
  <c r="Y355" i="3"/>
  <c r="Z355" i="3" s="1"/>
  <c r="T263" i="3"/>
  <c r="U263" i="3"/>
  <c r="W263" i="3"/>
  <c r="X263" i="3" s="1"/>
  <c r="Y263" i="3"/>
  <c r="Z263" i="3" s="1"/>
  <c r="T357" i="3"/>
  <c r="U357" i="3"/>
  <c r="W357" i="3"/>
  <c r="X357" i="3" s="1"/>
  <c r="Y357" i="3"/>
  <c r="Z357" i="3" s="1"/>
  <c r="T116" i="3"/>
  <c r="U116" i="3"/>
  <c r="W116" i="3"/>
  <c r="X116" i="3" s="1"/>
  <c r="Y116" i="3"/>
  <c r="Z116" i="3" s="1"/>
  <c r="T359" i="3"/>
  <c r="U359" i="3"/>
  <c r="W359" i="3"/>
  <c r="X359" i="3" s="1"/>
  <c r="Y359" i="3"/>
  <c r="Z359" i="3" s="1"/>
  <c r="T360" i="3"/>
  <c r="U360" i="3"/>
  <c r="W360" i="3"/>
  <c r="X360" i="3" s="1"/>
  <c r="Y360" i="3"/>
  <c r="Z360" i="3" s="1"/>
  <c r="T361" i="3"/>
  <c r="U361" i="3"/>
  <c r="W361" i="3"/>
  <c r="X361" i="3" s="1"/>
  <c r="Y361" i="3"/>
  <c r="Z361" i="3" s="1"/>
  <c r="T157" i="3"/>
  <c r="U157" i="3"/>
  <c r="W157" i="3"/>
  <c r="X157" i="3" s="1"/>
  <c r="Y157" i="3"/>
  <c r="Z157" i="3" s="1"/>
  <c r="T363" i="3"/>
  <c r="U363" i="3"/>
  <c r="W363" i="3"/>
  <c r="X363" i="3" s="1"/>
  <c r="Y363" i="3"/>
  <c r="Z363" i="3" s="1"/>
  <c r="T71" i="3"/>
  <c r="U71" i="3"/>
  <c r="W71" i="3"/>
  <c r="X71" i="3" s="1"/>
  <c r="Y71" i="3"/>
  <c r="Z71" i="3" s="1"/>
  <c r="T365" i="3"/>
  <c r="U365" i="3"/>
  <c r="W365" i="3"/>
  <c r="X365" i="3" s="1"/>
  <c r="Y365" i="3"/>
  <c r="Z365" i="3" s="1"/>
  <c r="T366" i="3"/>
  <c r="U366" i="3"/>
  <c r="W366" i="3"/>
  <c r="X366" i="3" s="1"/>
  <c r="Y366" i="3"/>
  <c r="Z366" i="3" s="1"/>
  <c r="T367" i="3"/>
  <c r="U367" i="3"/>
  <c r="W367" i="3"/>
  <c r="X367" i="3" s="1"/>
  <c r="Y367" i="3"/>
  <c r="Z367" i="3" s="1"/>
  <c r="T316" i="3"/>
  <c r="U316" i="3"/>
  <c r="W316" i="3"/>
  <c r="X316" i="3" s="1"/>
  <c r="Y316" i="3"/>
  <c r="Z316" i="3" s="1"/>
  <c r="T369" i="3"/>
  <c r="U369" i="3"/>
  <c r="W369" i="3"/>
  <c r="X369" i="3" s="1"/>
  <c r="Y369" i="3"/>
  <c r="Z369" i="3" s="1"/>
  <c r="T370" i="3"/>
  <c r="U370" i="3"/>
  <c r="W370" i="3"/>
  <c r="X370" i="3" s="1"/>
  <c r="Y370" i="3"/>
  <c r="Z370" i="3" s="1"/>
  <c r="T371" i="3"/>
  <c r="U371" i="3"/>
  <c r="W371" i="3"/>
  <c r="X371" i="3" s="1"/>
  <c r="Y371" i="3"/>
  <c r="Z371" i="3" s="1"/>
  <c r="T292" i="3"/>
  <c r="U292" i="3"/>
  <c r="W292" i="3"/>
  <c r="X292" i="3" s="1"/>
  <c r="Y292" i="3"/>
  <c r="Z292" i="3" s="1"/>
  <c r="T373" i="3"/>
  <c r="U373" i="3"/>
  <c r="W373" i="3"/>
  <c r="X373" i="3" s="1"/>
  <c r="Y373" i="3"/>
  <c r="Z373" i="3" s="1"/>
  <c r="T225" i="3"/>
  <c r="U225" i="3"/>
  <c r="W225" i="3"/>
  <c r="X225" i="3" s="1"/>
  <c r="Y225" i="3"/>
  <c r="Z225" i="3" s="1"/>
  <c r="T375" i="3"/>
  <c r="U375" i="3"/>
  <c r="W375" i="3"/>
  <c r="X375" i="3" s="1"/>
  <c r="Y375" i="3"/>
  <c r="Z375" i="3" s="1"/>
  <c r="F3" i="3" l="1"/>
  <c r="J19" i="9"/>
  <c r="G2" i="3" l="1"/>
  <c r="C2" i="3" l="1"/>
  <c r="C1" i="3"/>
  <c r="O1" i="10" l="1"/>
  <c r="L6" i="10" l="1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O7" i="10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P7" i="10"/>
  <c r="P8" i="10" l="1"/>
  <c r="P9" i="10" s="1"/>
  <c r="P10" i="10" s="1"/>
  <c r="P11" i="10" l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M6" i="10"/>
  <c r="K6" i="10"/>
  <c r="C1" i="10"/>
  <c r="E1" i="10" s="1"/>
  <c r="A23" i="10" l="1"/>
  <c r="C22" i="10"/>
  <c r="B22" i="10"/>
  <c r="Q6" i="10"/>
  <c r="K8" i="10"/>
  <c r="M7" i="10"/>
  <c r="K7" i="10"/>
  <c r="K9" i="10"/>
  <c r="M8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A4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5" i="11"/>
  <c r="B5" i="11"/>
  <c r="C4" i="11"/>
  <c r="B4" i="11"/>
  <c r="C3" i="11"/>
  <c r="B3" i="11"/>
  <c r="C2" i="11"/>
  <c r="B2" i="11"/>
  <c r="A3" i="10"/>
  <c r="I16" i="10"/>
  <c r="I12" i="10"/>
  <c r="I9" i="10"/>
  <c r="I15" i="10"/>
  <c r="I14" i="10"/>
  <c r="I13" i="10"/>
  <c r="I11" i="10"/>
  <c r="I10" i="10"/>
  <c r="I8" i="10"/>
  <c r="I7" i="10"/>
  <c r="D22" i="10" l="1"/>
  <c r="E22" i="10" s="1"/>
  <c r="B23" i="10"/>
  <c r="C23" i="10"/>
  <c r="Q9" i="10"/>
  <c r="Q7" i="10"/>
  <c r="Q8" i="10"/>
  <c r="M9" i="10"/>
  <c r="M10" i="10"/>
  <c r="K10" i="10"/>
  <c r="D21" i="10"/>
  <c r="E21" i="10" s="1"/>
  <c r="D19" i="10"/>
  <c r="E19" i="10" s="1"/>
  <c r="D17" i="10"/>
  <c r="E17" i="10" s="1"/>
  <c r="D15" i="10"/>
  <c r="E15" i="10" s="1"/>
  <c r="D13" i="10"/>
  <c r="E13" i="10" s="1"/>
  <c r="D11" i="10"/>
  <c r="E11" i="10" s="1"/>
  <c r="D9" i="10"/>
  <c r="D7" i="10"/>
  <c r="E7" i="10" s="1"/>
  <c r="D20" i="10"/>
  <c r="E20" i="10" s="1"/>
  <c r="D18" i="10"/>
  <c r="E18" i="10" s="1"/>
  <c r="D16" i="10"/>
  <c r="E16" i="10" s="1"/>
  <c r="D14" i="10"/>
  <c r="E14" i="10" s="1"/>
  <c r="D12" i="10"/>
  <c r="E12" i="10" s="1"/>
  <c r="D10" i="10"/>
  <c r="D8" i="10"/>
  <c r="E2" i="10"/>
  <c r="H2" i="10" s="1"/>
  <c r="D6" i="10"/>
  <c r="E6" i="10" s="1"/>
  <c r="F6" i="10" s="1"/>
  <c r="D23" i="10" l="1"/>
  <c r="E23" i="10" s="1"/>
  <c r="E10" i="10"/>
  <c r="F10" i="10" s="1"/>
  <c r="F7" i="10"/>
  <c r="E8" i="10"/>
  <c r="F8" i="10" s="1"/>
  <c r="E9" i="10"/>
  <c r="F9" i="10" s="1"/>
  <c r="Q10" i="10"/>
  <c r="K11" i="10"/>
  <c r="F11" i="10" s="1"/>
  <c r="M11" i="10"/>
  <c r="E14" i="9"/>
  <c r="F14" i="9" s="1"/>
  <c r="E7" i="9"/>
  <c r="F7" i="9" s="1"/>
  <c r="I7" i="9" s="1"/>
  <c r="C15" i="9"/>
  <c r="E15" i="9" s="1"/>
  <c r="F15" i="9" s="1"/>
  <c r="C8" i="9"/>
  <c r="E8" i="9" s="1"/>
  <c r="F8" i="9" s="1"/>
  <c r="Q11" i="10" l="1"/>
  <c r="M12" i="10"/>
  <c r="K12" i="10"/>
  <c r="C9" i="9"/>
  <c r="C16" i="9"/>
  <c r="F12" i="10" l="1"/>
  <c r="Q12" i="10"/>
  <c r="K13" i="10"/>
  <c r="M13" i="10"/>
  <c r="E16" i="9"/>
  <c r="F16" i="9" s="1"/>
  <c r="C17" i="9"/>
  <c r="C10" i="9"/>
  <c r="E9" i="9"/>
  <c r="F9" i="9" s="1"/>
  <c r="F13" i="10" l="1"/>
  <c r="Q13" i="10"/>
  <c r="M14" i="10"/>
  <c r="K14" i="10"/>
  <c r="E17" i="9"/>
  <c r="F17" i="9" s="1"/>
  <c r="C18" i="9"/>
  <c r="E18" i="9" s="1"/>
  <c r="F18" i="9" s="1"/>
  <c r="C11" i="9"/>
  <c r="E10" i="9"/>
  <c r="F10" i="9" s="1"/>
  <c r="F14" i="10" l="1"/>
  <c r="Q14" i="10"/>
  <c r="K15" i="10"/>
  <c r="M15" i="10"/>
  <c r="C12" i="9"/>
  <c r="E12" i="9" s="1"/>
  <c r="F12" i="9" s="1"/>
  <c r="E11" i="9"/>
  <c r="F11" i="9" s="1"/>
  <c r="F15" i="10" l="1"/>
  <c r="Q15" i="10"/>
  <c r="M16" i="10"/>
  <c r="K16" i="10"/>
  <c r="F16" i="10" l="1"/>
  <c r="Q16" i="10"/>
  <c r="K17" i="10"/>
  <c r="M17" i="10"/>
  <c r="C3" i="3"/>
  <c r="F1" i="6"/>
  <c r="F17" i="10" l="1"/>
  <c r="Q17" i="10"/>
  <c r="M18" i="10"/>
  <c r="K18" i="10"/>
  <c r="F18" i="10" l="1"/>
  <c r="Q18" i="10"/>
  <c r="K19" i="10"/>
  <c r="F19" i="10" s="1"/>
  <c r="M19" i="10"/>
  <c r="Q19" i="10" l="1"/>
  <c r="M20" i="10"/>
  <c r="K20" i="10"/>
  <c r="F20" i="10" s="1"/>
  <c r="Q20" i="10" l="1"/>
  <c r="K22" i="10"/>
  <c r="F22" i="10" s="1"/>
  <c r="M22" i="10"/>
  <c r="K21" i="10"/>
  <c r="F21" i="10" s="1"/>
  <c r="M21" i="10"/>
  <c r="Q22" i="10" l="1"/>
  <c r="Q21" i="10"/>
  <c r="M23" i="10"/>
  <c r="K23" i="10"/>
  <c r="Q23" i="10" l="1"/>
  <c r="F23" i="10"/>
</calcChain>
</file>

<file path=xl/sharedStrings.xml><?xml version="1.0" encoding="utf-8"?>
<sst xmlns="http://schemas.openxmlformats.org/spreadsheetml/2006/main" count="7036" uniqueCount="1402">
  <si>
    <t>Device Name</t>
  </si>
  <si>
    <t>Network Group</t>
  </si>
  <si>
    <t>Card Name</t>
  </si>
  <si>
    <t>Name</t>
  </si>
  <si>
    <t>Primary Network Address</t>
  </si>
  <si>
    <t>Primary Subnet Mask</t>
  </si>
  <si>
    <t>Primary Default Gateway</t>
  </si>
  <si>
    <t>Backup Network Address</t>
  </si>
  <si>
    <t>Backup Subnet Mask</t>
  </si>
  <si>
    <t>Backup Defalt Gateway</t>
  </si>
  <si>
    <t>Redundancy Mode</t>
  </si>
  <si>
    <t>Redundancy</t>
  </si>
  <si>
    <t>Electra 8240-13 AVC HD</t>
  </si>
  <si>
    <t>Electra 8240-01 AVC SD 01-04</t>
  </si>
  <si>
    <t>Electra 8240-02 AVC SD 05-08</t>
  </si>
  <si>
    <t>Electra 8240-03 AVC SD 09-12</t>
  </si>
  <si>
    <t>Electra 8240-04 AVC SD 13-16</t>
  </si>
  <si>
    <t>Electra 8240-05 AVC SD 17-20</t>
  </si>
  <si>
    <t>Electra 8240-06 AVC SD 21-24</t>
  </si>
  <si>
    <t>Electra 8240-07 AVC SD 25-28</t>
  </si>
  <si>
    <t>Electra 8240-08 AVC SD 29-32</t>
  </si>
  <si>
    <t>Electra 8240-09 AVC SD 33-36</t>
  </si>
  <si>
    <t>Electra 8240-10 AVC SD 37-40</t>
  </si>
  <si>
    <t>Electra 8240-11 AVC SD 41-44</t>
  </si>
  <si>
    <t>Electra 8240-12 AVC SD 45-48</t>
  </si>
  <si>
    <t>Electra 8240-BCK AVC HD</t>
  </si>
  <si>
    <t>Electra 8240-BCK AVC SD</t>
  </si>
  <si>
    <t>ION - 1</t>
  </si>
  <si>
    <t>ION - 2</t>
  </si>
  <si>
    <t>ION - 3</t>
  </si>
  <si>
    <t>ION - 4</t>
  </si>
  <si>
    <t>ION - 5</t>
  </si>
  <si>
    <t>ION - 6</t>
  </si>
  <si>
    <t>ION - BCK</t>
  </si>
  <si>
    <t>PROSTREAM - 1</t>
  </si>
  <si>
    <t>PROSTREAM - 2</t>
  </si>
  <si>
    <t>03 - ENCODING-MULTIPLEXING-SCRAMBLING</t>
  </si>
  <si>
    <t>02 - ION SDI to IP</t>
  </si>
  <si>
    <t>GbE Pro Card - 002</t>
  </si>
  <si>
    <t>CPC - 255</t>
  </si>
  <si>
    <t>GbE - 001</t>
  </si>
  <si>
    <t>GbE - 002</t>
  </si>
  <si>
    <t>GbE 1 RX - 001</t>
  </si>
  <si>
    <t>10.04.22.60</t>
  </si>
  <si>
    <t>10.04.22.61</t>
  </si>
  <si>
    <t>10.04.22.62</t>
  </si>
  <si>
    <t>10.04.22.63</t>
  </si>
  <si>
    <t>10.04.22.64</t>
  </si>
  <si>
    <t>10.04.22.65</t>
  </si>
  <si>
    <t>10.04.22.66</t>
  </si>
  <si>
    <t>10.04.22.67</t>
  </si>
  <si>
    <t>10.04.22.68</t>
  </si>
  <si>
    <t>10.04.22.69</t>
  </si>
  <si>
    <t>10.04.22.70</t>
  </si>
  <si>
    <t>10.04.22.71</t>
  </si>
  <si>
    <t>10.04.22.72</t>
  </si>
  <si>
    <t>10.04.22.73</t>
  </si>
  <si>
    <t>10.04.22.74</t>
  </si>
  <si>
    <t>10.04.24.60</t>
  </si>
  <si>
    <t>10.04.24.61</t>
  </si>
  <si>
    <t>10.04.24.62</t>
  </si>
  <si>
    <t>10.04.24.63</t>
  </si>
  <si>
    <t>10.04.24.64</t>
  </si>
  <si>
    <t>10.04.24.65</t>
  </si>
  <si>
    <t>10.04.24.66</t>
  </si>
  <si>
    <t>10.04.24.67</t>
  </si>
  <si>
    <t>10.04.24.68</t>
  </si>
  <si>
    <t>10.04.24.69</t>
  </si>
  <si>
    <t>10.04.24.70</t>
  </si>
  <si>
    <t>10.04.24.71</t>
  </si>
  <si>
    <t>10.04.24.72</t>
  </si>
  <si>
    <t>10.04.24.73</t>
  </si>
  <si>
    <t>10.04.24.74</t>
  </si>
  <si>
    <t>10.04.24.100</t>
  </si>
  <si>
    <t>10.04.24.101</t>
  </si>
  <si>
    <t>10.04.24.102</t>
  </si>
  <si>
    <t>10.04.24.103</t>
  </si>
  <si>
    <t>10.04.24.104</t>
  </si>
  <si>
    <t>10.04.24.105</t>
  </si>
  <si>
    <t>10.04.24.106</t>
  </si>
  <si>
    <t>10.04.24.75</t>
  </si>
  <si>
    <t>10.04.24.76</t>
  </si>
  <si>
    <t>255.255.255.0</t>
  </si>
  <si>
    <t>10.04.22.254</t>
  </si>
  <si>
    <t>10.04.24.254</t>
  </si>
  <si>
    <t>10.04.23.254</t>
  </si>
  <si>
    <t>10.04.25.254</t>
  </si>
  <si>
    <t>10.04.23.60</t>
  </si>
  <si>
    <t>10.04.25.60</t>
  </si>
  <si>
    <t>10.04.23.61</t>
  </si>
  <si>
    <t>10.04.25.61</t>
  </si>
  <si>
    <t>10.04.23.62</t>
  </si>
  <si>
    <t>10.04.25.62</t>
  </si>
  <si>
    <t>10.04.23.63</t>
  </si>
  <si>
    <t>10.04.25.63</t>
  </si>
  <si>
    <t>10.04.23.64</t>
  </si>
  <si>
    <t>10.04.25.64</t>
  </si>
  <si>
    <t>10.04.23.65</t>
  </si>
  <si>
    <t>10.04.25.65</t>
  </si>
  <si>
    <t>10.04.23.66</t>
  </si>
  <si>
    <t>10.04.25.66</t>
  </si>
  <si>
    <t>10.04.23.67</t>
  </si>
  <si>
    <t>10.04.25.67</t>
  </si>
  <si>
    <t>10.04.23.68</t>
  </si>
  <si>
    <t>10.04.25.68</t>
  </si>
  <si>
    <t>10.04.23.69</t>
  </si>
  <si>
    <t>10.04.25.69</t>
  </si>
  <si>
    <t>10.04.23.70</t>
  </si>
  <si>
    <t>10.04.25.70</t>
  </si>
  <si>
    <t>10.04.23.71</t>
  </si>
  <si>
    <t>10.04.25.71</t>
  </si>
  <si>
    <t>10.04.23.73</t>
  </si>
  <si>
    <t>10.04.25.73</t>
  </si>
  <si>
    <t>10.04.23.74</t>
  </si>
  <si>
    <t>10.04.25.74</t>
  </si>
  <si>
    <t>10.04.23.72</t>
  </si>
  <si>
    <t>10.04.25.72</t>
  </si>
  <si>
    <t>10.04.25.100</t>
  </si>
  <si>
    <t>10.04.25.101</t>
  </si>
  <si>
    <t>10.04.25.102</t>
  </si>
  <si>
    <t>10.04.25.103</t>
  </si>
  <si>
    <t>10.04.25.104</t>
  </si>
  <si>
    <t>10.04.25.105</t>
  </si>
  <si>
    <t>10.04.25.106</t>
  </si>
  <si>
    <t>10.04.25.75</t>
  </si>
  <si>
    <t>10.04.25.76</t>
  </si>
  <si>
    <t>Enabled</t>
  </si>
  <si>
    <t>Disabled</t>
  </si>
  <si>
    <t>Automatic</t>
  </si>
  <si>
    <t>Manual</t>
  </si>
  <si>
    <t>Cross Connect</t>
  </si>
  <si>
    <t>Service</t>
  </si>
  <si>
    <t>Upstream Device</t>
  </si>
  <si>
    <t>Multicast IP</t>
  </si>
  <si>
    <t>Multicast Port</t>
  </si>
  <si>
    <t>Cross Connect - 1</t>
  </si>
  <si>
    <t>224.12.1.106</t>
  </si>
  <si>
    <t>224.12.1.107</t>
  </si>
  <si>
    <t>224.12.1.109</t>
  </si>
  <si>
    <t>224.12.1.110</t>
  </si>
  <si>
    <t>224.12.1.112</t>
  </si>
  <si>
    <t>224.12.1.113</t>
  </si>
  <si>
    <t>224.12.1.114</t>
  </si>
  <si>
    <t>224.12.1.115</t>
  </si>
  <si>
    <t>224.12.1.117</t>
  </si>
  <si>
    <t>224.12.1.119</t>
  </si>
  <si>
    <t>224.12.1.121</t>
  </si>
  <si>
    <t>224.12.1.122</t>
  </si>
  <si>
    <t>224.12.1.123</t>
  </si>
  <si>
    <t>224.12.1.124</t>
  </si>
  <si>
    <t>224.12.1.125</t>
  </si>
  <si>
    <t>224.12.1.128</t>
  </si>
  <si>
    <t>224.12.1.130</t>
  </si>
  <si>
    <t>224.12.1.131</t>
  </si>
  <si>
    <t>224.12.1.132</t>
  </si>
  <si>
    <t>224.12.1.134</t>
  </si>
  <si>
    <t>224.12.1.135</t>
  </si>
  <si>
    <t>224.12.1.136</t>
  </si>
  <si>
    <t>224.12.1.137</t>
  </si>
  <si>
    <t>224.12.1.138</t>
  </si>
  <si>
    <t>224.12.1.139</t>
  </si>
  <si>
    <t>224.12.1.140</t>
  </si>
  <si>
    <t>224.12.1.141</t>
  </si>
  <si>
    <t>224.12.1.142</t>
  </si>
  <si>
    <t>224.12.1.143</t>
  </si>
  <si>
    <t>224.12.1.144</t>
  </si>
  <si>
    <t>224.12.1.145</t>
  </si>
  <si>
    <t>224.12.1.148</t>
  </si>
  <si>
    <t>224.12.1.149</t>
  </si>
  <si>
    <t>224.12.1.150</t>
  </si>
  <si>
    <t>224.12.1.151</t>
  </si>
  <si>
    <t>224.12.1.152</t>
  </si>
  <si>
    <t>224.12.1.153</t>
  </si>
  <si>
    <t>224.12.1.154</t>
  </si>
  <si>
    <t>224.12.1.155</t>
  </si>
  <si>
    <t>224.12.1.156</t>
  </si>
  <si>
    <t>224.12.1.158</t>
  </si>
  <si>
    <t>224.12.1.159</t>
  </si>
  <si>
    <t>224.12.1.162</t>
  </si>
  <si>
    <t>224.12.1.163</t>
  </si>
  <si>
    <t>224.12.1.164</t>
  </si>
  <si>
    <t>224.12.1.165</t>
  </si>
  <si>
    <t>224.12.1.166</t>
  </si>
  <si>
    <t>224.12.1.167</t>
  </si>
  <si>
    <t>224.12.1.168</t>
  </si>
  <si>
    <t>224.12.1.170</t>
  </si>
  <si>
    <t>224.12.1.172</t>
  </si>
  <si>
    <t>224.12.1.173</t>
  </si>
  <si>
    <t>224.12.1.174</t>
  </si>
  <si>
    <t>224.12.1.175</t>
  </si>
  <si>
    <t>224.12.1.176</t>
  </si>
  <si>
    <t>224.12.1.177</t>
  </si>
  <si>
    <t>224.12.1.179</t>
  </si>
  <si>
    <t>224.12.1.180</t>
  </si>
  <si>
    <t>224.12.1.182</t>
  </si>
  <si>
    <t>224.12.1.183</t>
  </si>
  <si>
    <t>224.12.1.185</t>
  </si>
  <si>
    <t>224.12.1.186</t>
  </si>
  <si>
    <t>224.12.1.187</t>
  </si>
  <si>
    <t>224.12.1.188</t>
  </si>
  <si>
    <t>224.12.1.189</t>
  </si>
  <si>
    <t>224.12.1.190</t>
  </si>
  <si>
    <t>224.12.1.191</t>
  </si>
  <si>
    <t>224.12.1.192</t>
  </si>
  <si>
    <t>224.12.1.193</t>
  </si>
  <si>
    <t>224.12.1.194</t>
  </si>
  <si>
    <t>224.12.1.195</t>
  </si>
  <si>
    <t>224.12.1.197</t>
  </si>
  <si>
    <t>224.12.1.198</t>
  </si>
  <si>
    <t>224.12.1.199</t>
  </si>
  <si>
    <t>224.12.1.200</t>
  </si>
  <si>
    <t>224.12.1.201</t>
  </si>
  <si>
    <t>224.12.1.202</t>
  </si>
  <si>
    <t>224.12.1.203</t>
  </si>
  <si>
    <t>224.12.1.204</t>
  </si>
  <si>
    <t>224.12.1.205</t>
  </si>
  <si>
    <t>224.12.1.206</t>
  </si>
  <si>
    <t>224.12.1.207</t>
  </si>
  <si>
    <t>224.12.1.208</t>
  </si>
  <si>
    <t>224.12.1.209</t>
  </si>
  <si>
    <t>224.12.1.210</t>
  </si>
  <si>
    <t>224.12.1.211</t>
  </si>
  <si>
    <t>224.12.1.216</t>
  </si>
  <si>
    <t>224.12.1.217</t>
  </si>
  <si>
    <t>224.12.1.220</t>
  </si>
  <si>
    <t>224.12.1.222</t>
  </si>
  <si>
    <t>224.12.1.223</t>
  </si>
  <si>
    <t>224.12.1.236</t>
  </si>
  <si>
    <t>224.12.1.237</t>
  </si>
  <si>
    <t>224.12.1.238</t>
  </si>
  <si>
    <t>224.12.1.240</t>
  </si>
  <si>
    <t>224.12.1.241</t>
  </si>
  <si>
    <t>224.12.1.248</t>
  </si>
  <si>
    <t>224.12.1.249</t>
  </si>
  <si>
    <t>224.12.1.250</t>
  </si>
  <si>
    <t>224.12.1.252</t>
  </si>
  <si>
    <t>239.4.1.1</t>
  </si>
  <si>
    <t>239.4.1.2</t>
  </si>
  <si>
    <t>239.4.1.4</t>
  </si>
  <si>
    <t>239.4.1.5</t>
  </si>
  <si>
    <t>239.4.1.6</t>
  </si>
  <si>
    <t>239.4.1.7</t>
  </si>
  <si>
    <t>239.4.1.8</t>
  </si>
  <si>
    <t>239.4.1.9</t>
  </si>
  <si>
    <t>239.4.1.10</t>
  </si>
  <si>
    <t>239.4.1.11</t>
  </si>
  <si>
    <t>239.4.1.12</t>
  </si>
  <si>
    <t>239.4.1.13</t>
  </si>
  <si>
    <t>239.4.1.15</t>
  </si>
  <si>
    <t>239.4.1.16</t>
  </si>
  <si>
    <t>239.4.1.17</t>
  </si>
  <si>
    <t>239.4.1.18</t>
  </si>
  <si>
    <t>239.4.1.19</t>
  </si>
  <si>
    <t>239.4.1.21</t>
  </si>
  <si>
    <t>239.4.1.22</t>
  </si>
  <si>
    <t>239.4.1.23</t>
  </si>
  <si>
    <t>239.4.1.24</t>
  </si>
  <si>
    <t>239.4.1.25</t>
  </si>
  <si>
    <t>239.4.1.26</t>
  </si>
  <si>
    <t>239.4.1.27</t>
  </si>
  <si>
    <t>239.4.1.28</t>
  </si>
  <si>
    <t>239.4.1.29</t>
  </si>
  <si>
    <t>239.4.1.30</t>
  </si>
  <si>
    <t>239.4.1.32</t>
  </si>
  <si>
    <t>239.4.1.33</t>
  </si>
  <si>
    <t>239.4.1.34</t>
  </si>
  <si>
    <t>239.4.1.35</t>
  </si>
  <si>
    <t>239.4.1.36</t>
  </si>
  <si>
    <t>239.4.1.37</t>
  </si>
  <si>
    <t>239.4.1.38</t>
  </si>
  <si>
    <t>239.4.1.39</t>
  </si>
  <si>
    <t>239.4.1.40</t>
  </si>
  <si>
    <t>239.4.1.45</t>
  </si>
  <si>
    <t>239.4.1.46</t>
  </si>
  <si>
    <t>239.4.1.47</t>
  </si>
  <si>
    <t>239.4.1.48</t>
  </si>
  <si>
    <t>239.4.1.49</t>
  </si>
  <si>
    <t>239.4.1.50</t>
  </si>
  <si>
    <t>239.4.1.150</t>
  </si>
  <si>
    <t>239.4.1.153</t>
  </si>
  <si>
    <t>239.4.1.154</t>
  </si>
  <si>
    <t>239.4.1.156</t>
  </si>
  <si>
    <t>239.4.1.158</t>
  </si>
  <si>
    <t>239.4.1.160</t>
  </si>
  <si>
    <t>239.4.1.161</t>
  </si>
  <si>
    <t>239.4.1.162</t>
  </si>
  <si>
    <t>239.4.1.164</t>
  </si>
  <si>
    <t>239.4.1.165</t>
  </si>
  <si>
    <t>239.4.1.166</t>
  </si>
  <si>
    <t>239.4.1.167</t>
  </si>
  <si>
    <t>239.4.1.168</t>
  </si>
  <si>
    <t>239.4.1.170</t>
  </si>
  <si>
    <t>239.4.1.171</t>
  </si>
  <si>
    <t>239.4.1.172</t>
  </si>
  <si>
    <t>239.4.1.173</t>
  </si>
  <si>
    <t>239.4.1.179</t>
  </si>
  <si>
    <t>239.4.1.181</t>
  </si>
  <si>
    <t>239.4.1.183</t>
  </si>
  <si>
    <t>239.4.1.185</t>
  </si>
  <si>
    <t>239.4.1.194</t>
  </si>
  <si>
    <t>239.4.1.195</t>
  </si>
  <si>
    <t>239.4.1.196</t>
  </si>
  <si>
    <t>239.4.1.197</t>
  </si>
  <si>
    <t>239.4.1.198</t>
  </si>
  <si>
    <t>239.4.1.199</t>
  </si>
  <si>
    <t>239.4.1.202</t>
  </si>
  <si>
    <t>239.4.1.204</t>
  </si>
  <si>
    <t>239.4.1.210</t>
  </si>
  <si>
    <t>239.4.1.211</t>
  </si>
  <si>
    <t>239.4.1.212</t>
  </si>
  <si>
    <t>239.4.1.213</t>
  </si>
  <si>
    <t>239.4.1.214</t>
  </si>
  <si>
    <t>239.4.1.215</t>
  </si>
  <si>
    <t>239.4.1.216</t>
  </si>
  <si>
    <t>239.4.1.217</t>
  </si>
  <si>
    <t>239.4.1.218</t>
  </si>
  <si>
    <t>239.4.1.219</t>
  </si>
  <si>
    <t>239.4.1.220</t>
  </si>
  <si>
    <t>239.4.1.221</t>
  </si>
  <si>
    <t>239.4.1.222</t>
  </si>
  <si>
    <t>239.4.1.223</t>
  </si>
  <si>
    <t>239.4.1.224</t>
  </si>
  <si>
    <t>239.4.1.225</t>
  </si>
  <si>
    <t>239.4.1.226</t>
  </si>
  <si>
    <t>239.4.1.227</t>
  </si>
  <si>
    <t>239.4.1.228</t>
  </si>
  <si>
    <t>239.4.1.229</t>
  </si>
  <si>
    <t>239.4.1.230</t>
  </si>
  <si>
    <t>239.4.1.231</t>
  </si>
  <si>
    <t>239.4.1.232</t>
  </si>
  <si>
    <t>239.4.1.233</t>
  </si>
  <si>
    <t>239.4.4.175</t>
  </si>
  <si>
    <t>Total Records</t>
  </si>
  <si>
    <t>Not Available</t>
  </si>
  <si>
    <t>Sno.</t>
  </si>
  <si>
    <t>Channel Name</t>
  </si>
  <si>
    <t>LCN ID</t>
  </si>
  <si>
    <t>DR TS</t>
  </si>
  <si>
    <t>TS Manesar</t>
  </si>
  <si>
    <t>Provider</t>
  </si>
  <si>
    <t>Category</t>
  </si>
  <si>
    <t>Language</t>
  </si>
  <si>
    <t>Service ID</t>
  </si>
  <si>
    <t>Source</t>
  </si>
  <si>
    <t>Path</t>
  </si>
  <si>
    <t>HOME CHANNEL</t>
  </si>
  <si>
    <t>NA</t>
  </si>
  <si>
    <t>AIRTEL HOME</t>
  </si>
  <si>
    <t>STAR PLUS</t>
  </si>
  <si>
    <t>Entertainment</t>
  </si>
  <si>
    <t>STAR PLUS HD</t>
  </si>
  <si>
    <t>ZEE TV</t>
  </si>
  <si>
    <t>ZEE TV HD</t>
  </si>
  <si>
    <t>SONY</t>
  </si>
  <si>
    <t>SONY HD</t>
  </si>
  <si>
    <t>LIFE OK</t>
  </si>
  <si>
    <t>COLORS</t>
  </si>
  <si>
    <t>COLORS HD</t>
  </si>
  <si>
    <t>STAR CJ ALIVE</t>
  </si>
  <si>
    <t>BIG MAGIC</t>
  </si>
  <si>
    <t>V</t>
  </si>
  <si>
    <t>Music</t>
  </si>
  <si>
    <t>RISHTEY</t>
  </si>
  <si>
    <t>STAR UTSAV</t>
  </si>
  <si>
    <t>Zee Anmol</t>
  </si>
  <si>
    <t>BINDASS</t>
  </si>
  <si>
    <t>ZOOM TV</t>
  </si>
  <si>
    <t>TELEBRANDS</t>
  </si>
  <si>
    <t>SAHARA ONE</t>
  </si>
  <si>
    <t>DD NATIONAL</t>
  </si>
  <si>
    <t>DD INDIA</t>
  </si>
  <si>
    <t>DD BHARTI</t>
  </si>
  <si>
    <t>AXN</t>
  </si>
  <si>
    <t>Star World Premiere HD</t>
  </si>
  <si>
    <t>STAR WORLD</t>
  </si>
  <si>
    <t>STAR WORLD HD</t>
  </si>
  <si>
    <t>ZEE CAFÉ</t>
  </si>
  <si>
    <t>FOX CRIME</t>
  </si>
  <si>
    <t>FX</t>
  </si>
  <si>
    <t>COMEDY CENTRAL</t>
  </si>
  <si>
    <t>AIRTEL MOVIES 1</t>
  </si>
  <si>
    <t>STAR GOLD HITZ</t>
  </si>
  <si>
    <t>SONY MAX SUPERHITZ</t>
  </si>
  <si>
    <t>MAX</t>
  </si>
  <si>
    <t>ZEE CINEMA</t>
  </si>
  <si>
    <t>ZEE CINEMA HD</t>
  </si>
  <si>
    <t>STAR GOLD</t>
  </si>
  <si>
    <t>STAR GOLD HD</t>
  </si>
  <si>
    <t>MOVIES OK</t>
  </si>
  <si>
    <t>SONY MAX 2</t>
  </si>
  <si>
    <t>&amp;Pictures</t>
  </si>
  <si>
    <t>UTV MOVIES</t>
  </si>
  <si>
    <t>ZEE CLASSIC</t>
  </si>
  <si>
    <t>ZEE ACTION</t>
  </si>
  <si>
    <t>ZEE PREMIERE</t>
  </si>
  <si>
    <t>FILMY</t>
  </si>
  <si>
    <t>CINEMA TV</t>
  </si>
  <si>
    <t>UTV ACTION</t>
  </si>
  <si>
    <t>STAR MOVIES</t>
  </si>
  <si>
    <t>STAR MOVIES HD</t>
  </si>
  <si>
    <t>HBO</t>
  </si>
  <si>
    <t>MOVIES NOW</t>
  </si>
  <si>
    <t>MOVIES NOW HD</t>
  </si>
  <si>
    <t>STAR MOVIES ACTION</t>
  </si>
  <si>
    <t>DISNEY FAMILY MOVIES</t>
  </si>
  <si>
    <t>ROMEDY NOW</t>
  </si>
  <si>
    <t>ZEE STUDIO</t>
  </si>
  <si>
    <t>ZEE STUDIO HD</t>
  </si>
  <si>
    <t>WB</t>
  </si>
  <si>
    <t>MGM</t>
  </si>
  <si>
    <t>HBO DEFINED</t>
  </si>
  <si>
    <t>HBO HITS</t>
  </si>
  <si>
    <t>STAR SPORTS 1</t>
  </si>
  <si>
    <t>STAR SPORTS 2</t>
  </si>
  <si>
    <t>STAR SPORTS 3</t>
  </si>
  <si>
    <t>STAR SPORTS HD 1</t>
  </si>
  <si>
    <t>STAR SPORTS 4</t>
  </si>
  <si>
    <t>STAR SPORTS HD 2</t>
  </si>
  <si>
    <t>TEN SPORTS</t>
  </si>
  <si>
    <t>TEN HD</t>
  </si>
  <si>
    <t>TEN CRICKET</t>
  </si>
  <si>
    <t>TEN ACTION</t>
  </si>
  <si>
    <t>SONY SIX</t>
  </si>
  <si>
    <t>SONY SIX HD</t>
  </si>
  <si>
    <t>NEO SPORTS</t>
  </si>
  <si>
    <t>NEO PRIME</t>
  </si>
  <si>
    <t>DD SPORTS</t>
  </si>
  <si>
    <t>ABP NEWS</t>
  </si>
  <si>
    <t>ZEE NEWS</t>
  </si>
  <si>
    <t>AAJ TAK</t>
  </si>
  <si>
    <t>INDIA TV</t>
  </si>
  <si>
    <t>NDTV INDIA</t>
  </si>
  <si>
    <t>DD NEWS</t>
  </si>
  <si>
    <t>IBN 7</t>
  </si>
  <si>
    <t>NEWS 24</t>
  </si>
  <si>
    <t>LOKSABHA Television</t>
  </si>
  <si>
    <t>CNBC AWAAZ</t>
  </si>
  <si>
    <t>ZEE BUSINESS</t>
  </si>
  <si>
    <t>ETV BIHAR/Jharkhand</t>
  </si>
  <si>
    <t>ETV RAJASTHAN</t>
  </si>
  <si>
    <t>ETV UP/Uttarakhand</t>
  </si>
  <si>
    <t>ZEE SANGAM</t>
  </si>
  <si>
    <t>ZEE MARUDHARA</t>
  </si>
  <si>
    <t>Hindi</t>
  </si>
  <si>
    <t>ETV MP/Chattisgarh</t>
  </si>
  <si>
    <t>IBC 24</t>
  </si>
  <si>
    <t>NEWS NATION</t>
  </si>
  <si>
    <t>DD Madhya Pradesh</t>
  </si>
  <si>
    <t>DD RAJASTHAN</t>
  </si>
  <si>
    <t>FOCUS NEWS</t>
  </si>
  <si>
    <t>ETV NEWS HARYANA</t>
  </si>
  <si>
    <t>TIMES NOW</t>
  </si>
  <si>
    <t>NDTV 24X7</t>
  </si>
  <si>
    <t>CNN IBN</t>
  </si>
  <si>
    <t>HEADLINES TODAY</t>
  </si>
  <si>
    <t>CNBC TV18</t>
  </si>
  <si>
    <t>ET NOW</t>
  </si>
  <si>
    <t>NDTV Profit/Prime</t>
  </si>
  <si>
    <t>BBC WORLD NEWS</t>
  </si>
  <si>
    <t>BLOOMBERG TV</t>
  </si>
  <si>
    <t>RUSSIA TODAY</t>
  </si>
  <si>
    <t>TLC</t>
  </si>
  <si>
    <t>NDTV GOOD TIMES</t>
  </si>
  <si>
    <t>ZEE KHANA KHAZANA</t>
  </si>
  <si>
    <t>HISTORY TV18 HD</t>
  </si>
  <si>
    <t>DISCOVERY HD World</t>
  </si>
  <si>
    <t>National Geograhic HD</t>
  </si>
  <si>
    <t>DISCOVERY</t>
  </si>
  <si>
    <t>National Geograhic</t>
  </si>
  <si>
    <t>FOX LIFE</t>
  </si>
  <si>
    <t>ANIMAL PLANET</t>
  </si>
  <si>
    <t>TOPPER</t>
  </si>
  <si>
    <t>DISCOVERY SCIENCE</t>
  </si>
  <si>
    <t>DISCOVERY TURBO</t>
  </si>
  <si>
    <t>HISTORY TV18</t>
  </si>
  <si>
    <t>Nat Geo Wild</t>
  </si>
  <si>
    <t>NAT GEO People</t>
  </si>
  <si>
    <t>NICK Jr./Teen Nick</t>
  </si>
  <si>
    <t>CARTOON NETWORK</t>
  </si>
  <si>
    <t>POGO</t>
  </si>
  <si>
    <t>HUNGAMA TV</t>
  </si>
  <si>
    <t>NICK</t>
  </si>
  <si>
    <t>DISNEY XD</t>
  </si>
  <si>
    <t>DISNEY CHANNEL</t>
  </si>
  <si>
    <t>iKidsworld</t>
  </si>
  <si>
    <t>SONIC</t>
  </si>
  <si>
    <t>DISCOVERY KIDS</t>
  </si>
  <si>
    <t>Disney Junior</t>
  </si>
  <si>
    <t>Baby TV</t>
  </si>
  <si>
    <t>ZEE Q</t>
  </si>
  <si>
    <t>MTV</t>
  </si>
  <si>
    <t>MTV Indies</t>
  </si>
  <si>
    <t>9X M</t>
  </si>
  <si>
    <t>B4U MUSIC</t>
  </si>
  <si>
    <t>ZEE ETC BOLLYWOOD</t>
  </si>
  <si>
    <t>MASTiii</t>
  </si>
  <si>
    <t>VH1</t>
  </si>
  <si>
    <t>SONY MIX</t>
  </si>
  <si>
    <t>9X JALWA</t>
  </si>
  <si>
    <t>M TUNES HD</t>
  </si>
  <si>
    <t>Mega TV</t>
  </si>
  <si>
    <t>STAR VIJAY HITZ</t>
  </si>
  <si>
    <t>Thanthi TV</t>
  </si>
  <si>
    <t>ZEE TAMIZH</t>
  </si>
  <si>
    <t>PUTHIYA THALAIMURAI</t>
  </si>
  <si>
    <t>SUN TV</t>
  </si>
  <si>
    <t>KTV</t>
  </si>
  <si>
    <t>STAR VIJAY</t>
  </si>
  <si>
    <t>JAYA TV</t>
  </si>
  <si>
    <t>SUN MUSIC</t>
  </si>
  <si>
    <t>CHUTTI TV</t>
  </si>
  <si>
    <t>RAJ TV</t>
  </si>
  <si>
    <t>SUN NEWS</t>
  </si>
  <si>
    <t>JAYA PLUS</t>
  </si>
  <si>
    <t>DISCOVERY TAMIL</t>
  </si>
  <si>
    <t>POLIMER</t>
  </si>
  <si>
    <t>MAKKAL TV</t>
  </si>
  <si>
    <t>ANGEL TV</t>
  </si>
  <si>
    <t>JAYA MAX</t>
  </si>
  <si>
    <t>DD PODHIGAI</t>
  </si>
  <si>
    <t>Vendhar TV</t>
  </si>
  <si>
    <t>VASANTH</t>
  </si>
  <si>
    <t>EENADU TV</t>
  </si>
  <si>
    <t>Telugu</t>
  </si>
  <si>
    <t>GEMINI MOVIES</t>
  </si>
  <si>
    <t>MAA TV</t>
  </si>
  <si>
    <t>ZEE TELUGU</t>
  </si>
  <si>
    <t>ETV Andhra Pradesh</t>
  </si>
  <si>
    <t>TV9 TELUGU</t>
  </si>
  <si>
    <t>GEMINI MUSIC</t>
  </si>
  <si>
    <t>NTV</t>
  </si>
  <si>
    <t>SVBC</t>
  </si>
  <si>
    <t>SUBHAVAARTHA</t>
  </si>
  <si>
    <t>MAA MUSIC</t>
  </si>
  <si>
    <t>GEMINI  COMEDY</t>
  </si>
  <si>
    <t>SAKSHI TV</t>
  </si>
  <si>
    <t>ABN ANDHRA JYOTHI</t>
  </si>
  <si>
    <t>TV5</t>
  </si>
  <si>
    <t>MAA MOVIES</t>
  </si>
  <si>
    <t>MAA GOLD</t>
  </si>
  <si>
    <t>V6 News</t>
  </si>
  <si>
    <t>9X JHAKAAS</t>
  </si>
  <si>
    <t>ZEE MARATHI</t>
  </si>
  <si>
    <t>ABP MAJHA</t>
  </si>
  <si>
    <t>ZEE TALKIES</t>
  </si>
  <si>
    <t>SAAM TV</t>
  </si>
  <si>
    <t>STAR PRAVAH</t>
  </si>
  <si>
    <t>MI MARATHI</t>
  </si>
  <si>
    <t>IBN LOKMAT</t>
  </si>
  <si>
    <t>ZEE 24 TAAS</t>
  </si>
  <si>
    <t>DD SAHYADRI</t>
  </si>
  <si>
    <t>Maiboli</t>
  </si>
  <si>
    <t>MH ONE</t>
  </si>
  <si>
    <t>ZEE PUNJAB HARYANA HIMACHAL</t>
  </si>
  <si>
    <t>PTC PUNJABI</t>
  </si>
  <si>
    <t>PTC NEWS</t>
  </si>
  <si>
    <t>CHARDIKLA TIME TV</t>
  </si>
  <si>
    <t>PTC CHAKDE</t>
  </si>
  <si>
    <t>DD Girnar</t>
  </si>
  <si>
    <t>Gujarati</t>
  </si>
  <si>
    <t>NAXATRA NEWS</t>
  </si>
  <si>
    <t>MBC TV</t>
  </si>
  <si>
    <t>ETV ORIYA</t>
  </si>
  <si>
    <t>OTV</t>
  </si>
  <si>
    <t>DD Odia</t>
  </si>
  <si>
    <t>TARANG</t>
  </si>
  <si>
    <t>TARANG MUSIC</t>
  </si>
  <si>
    <t>PRARTHANA TV</t>
  </si>
  <si>
    <t>Zee Kalinga</t>
  </si>
  <si>
    <t>SARTHAK TV</t>
  </si>
  <si>
    <t>ETV URDU</t>
  </si>
  <si>
    <t>DD URDU</t>
  </si>
  <si>
    <t>DD KASHIR</t>
  </si>
  <si>
    <t>ZEE SALAAM</t>
  </si>
  <si>
    <t>Focus NE TV</t>
  </si>
  <si>
    <t>NEWS LIVE</t>
  </si>
  <si>
    <t>NEPAL 1</t>
  </si>
  <si>
    <t>DD NORTH EAST</t>
  </si>
  <si>
    <t>DY 365</t>
  </si>
  <si>
    <t>RANG</t>
  </si>
  <si>
    <t>Focus Hi FI</t>
  </si>
  <si>
    <t>DD Uttar Pradesh</t>
  </si>
  <si>
    <t>MAHUAA TV</t>
  </si>
  <si>
    <t>DD BIHAR</t>
  </si>
  <si>
    <t>Dabangg</t>
  </si>
  <si>
    <t>DD PUNJABI</t>
  </si>
  <si>
    <t>9X TASHAN</t>
  </si>
  <si>
    <t>JINVANI</t>
  </si>
  <si>
    <t>ADHYATM</t>
  </si>
  <si>
    <t>SRI SANKARA</t>
  </si>
  <si>
    <t>DISHA TV</t>
  </si>
  <si>
    <t>AASTHA</t>
  </si>
  <si>
    <t>SANSKAR</t>
  </si>
  <si>
    <t>MH One SHRADDHA</t>
  </si>
  <si>
    <t>GOD TV</t>
  </si>
  <si>
    <t>PARAS</t>
  </si>
  <si>
    <t>BHAKTI TV</t>
  </si>
  <si>
    <t>ZEE BANGLA</t>
  </si>
  <si>
    <t>ETV BANGLA</t>
  </si>
  <si>
    <t>STAR JALSHA</t>
  </si>
  <si>
    <t>RUPASI BANGLA</t>
  </si>
  <si>
    <t>DD BANGLA</t>
  </si>
  <si>
    <t>ZEE BANGLA CINEMA</t>
  </si>
  <si>
    <t>JALSHA MOVIES</t>
  </si>
  <si>
    <t>24 GHANTA</t>
  </si>
  <si>
    <t>ABP ANANDA</t>
  </si>
  <si>
    <t>ETV NEWS BANGLA</t>
  </si>
  <si>
    <t>AAKASH Aath</t>
  </si>
  <si>
    <t>Bangla</t>
  </si>
  <si>
    <t>SANGEET BANGLA</t>
  </si>
  <si>
    <t>NEWS TIME BANGLA</t>
  </si>
  <si>
    <t>ASIANET</t>
  </si>
  <si>
    <t>SURYA TV</t>
  </si>
  <si>
    <t>KAIRALI TV</t>
  </si>
  <si>
    <t>JAIHIND</t>
  </si>
  <si>
    <t>ASIANET PLUS</t>
  </si>
  <si>
    <t>AMRITA TV</t>
  </si>
  <si>
    <t>KIRAN TV</t>
  </si>
  <si>
    <t>DD Malyalam</t>
  </si>
  <si>
    <t>KAIRALI WE</t>
  </si>
  <si>
    <t>KOCHU TV</t>
  </si>
  <si>
    <t>ASIANET MOVIES</t>
  </si>
  <si>
    <t>MEDIA ONE</t>
  </si>
  <si>
    <t>ASIANET NEWS</t>
  </si>
  <si>
    <t>MATHRUBHUMI NEWS</t>
  </si>
  <si>
    <t>SHALOM</t>
  </si>
  <si>
    <t>ETV KANNADA</t>
  </si>
  <si>
    <t>UDAYA MOVIES</t>
  </si>
  <si>
    <t>ZEE KANNADA</t>
  </si>
  <si>
    <t>SUVARNA</t>
  </si>
  <si>
    <t>KASTURI</t>
  </si>
  <si>
    <t>DD CHANDANA</t>
  </si>
  <si>
    <t>UDAYA COMEDY</t>
  </si>
  <si>
    <t>UDAYA MUSIC</t>
  </si>
  <si>
    <t>TV9 KANNADA</t>
  </si>
  <si>
    <t>SAMAYA News</t>
  </si>
  <si>
    <t>UDAYA NEWS</t>
  </si>
  <si>
    <t>ETV News Kannada</t>
  </si>
  <si>
    <t>SUVARNA NEWS</t>
  </si>
  <si>
    <t>Public TV</t>
  </si>
  <si>
    <t>Multicast</t>
  </si>
  <si>
    <t>239.5.1.2</t>
  </si>
  <si>
    <t>239.5.1.5</t>
  </si>
  <si>
    <t>239.5.1.1</t>
  </si>
  <si>
    <t>239.5.1.22</t>
  </si>
  <si>
    <t>239.5.1.3</t>
  </si>
  <si>
    <t>239.5.1.24</t>
  </si>
  <si>
    <t>239.5.1.4</t>
  </si>
  <si>
    <t>239.5.1.21</t>
  </si>
  <si>
    <t>239.5.1.11</t>
  </si>
  <si>
    <t>239.5.1.23</t>
  </si>
  <si>
    <t>239.5.1.9</t>
  </si>
  <si>
    <t>239.5.1.8</t>
  </si>
  <si>
    <t>239.5.1.12</t>
  </si>
  <si>
    <t>10.4.21.40</t>
  </si>
  <si>
    <t>10.4.21.41</t>
  </si>
  <si>
    <t>10.4.21.42</t>
  </si>
  <si>
    <t>10.4.21.43</t>
  </si>
  <si>
    <t>10.4.21.47</t>
  </si>
  <si>
    <t>10.4.21.46</t>
  </si>
  <si>
    <t>10.4.21.44</t>
  </si>
  <si>
    <t>10.4.21.45</t>
  </si>
  <si>
    <t>ENTERR10</t>
  </si>
  <si>
    <t>DD ODIA</t>
  </si>
  <si>
    <t>Encoding Output</t>
  </si>
  <si>
    <t>Online</t>
  </si>
  <si>
    <t>Port Direction</t>
  </si>
  <si>
    <t>ProStream - 1</t>
  </si>
  <si>
    <t>ProStream - 2</t>
  </si>
  <si>
    <t>ASI-SCR - 05</t>
  </si>
  <si>
    <t>ASI-SCR - 04</t>
  </si>
  <si>
    <t>ASI - 001</t>
  </si>
  <si>
    <t>ASI - 002</t>
  </si>
  <si>
    <t>ASI - 003</t>
  </si>
  <si>
    <t>ASI - 004</t>
  </si>
  <si>
    <t>Yes</t>
  </si>
  <si>
    <t>Output</t>
  </si>
  <si>
    <t>Input</t>
  </si>
  <si>
    <t>Maintenance Mode</t>
  </si>
  <si>
    <t>Desired Software Version</t>
  </si>
  <si>
    <t>Software Version on Device</t>
  </si>
  <si>
    <t>Network Address</t>
  </si>
  <si>
    <t>Physical Address</t>
  </si>
  <si>
    <t>Subnet Mask</t>
  </si>
  <si>
    <t>Default Gateway</t>
  </si>
  <si>
    <t>HHP Multicast IP Address</t>
  </si>
  <si>
    <t>HHP Packet TTL</t>
  </si>
  <si>
    <t>TFTP Server</t>
  </si>
  <si>
    <t>IGMP Version</t>
  </si>
  <si>
    <t>ASI OUT - PS1K -1</t>
  </si>
  <si>
    <t>ASI OUT - PS1K -2</t>
  </si>
  <si>
    <t>Data Switch - Electra Provision</t>
  </si>
  <si>
    <t>Data Switch - ION_PVR</t>
  </si>
  <si>
    <t>ECM Source - 1</t>
  </si>
  <si>
    <t>Electra 8240 - 01 AVC SD 01-04</t>
  </si>
  <si>
    <t>Electra 8240 - 02 AVC SD 05-08</t>
  </si>
  <si>
    <t>Electra 8240 - 03 AVC SD 09-12</t>
  </si>
  <si>
    <t>Electra 8240 - 04 AVC SD 13-16</t>
  </si>
  <si>
    <t>Electra 8240 - 05 AVC SD 17-20</t>
  </si>
  <si>
    <t>Electra 8240 - 06 AVC SD 21-24</t>
  </si>
  <si>
    <t>Electra 8240 - 07 AVC SD 25-28</t>
  </si>
  <si>
    <t>Electra 8240 - 08 AVC SD 29-32</t>
  </si>
  <si>
    <t>Electra 8240 - 09 AVC SD 33-36</t>
  </si>
  <si>
    <t>Electra 8240 - 10 AVC SD 37-40</t>
  </si>
  <si>
    <t>Electra 8240 - 11 AVC SD 41-44</t>
  </si>
  <si>
    <t>Electra 8240 - 12 AVC SD 45-48</t>
  </si>
  <si>
    <t>Electra 8240 - 13 AVC HD</t>
  </si>
  <si>
    <t>Electra 8240 - BCK AVC HD</t>
  </si>
  <si>
    <t>Electra 8240 - BCK AVC SD</t>
  </si>
  <si>
    <t>EMM Source - 1</t>
  </si>
  <si>
    <t>IN E8K- 01 AVC SD 01-04</t>
  </si>
  <si>
    <t>IN E8K- 02 AVC SD 05-08</t>
  </si>
  <si>
    <t>IN E8K- 03 AVC SD 09-12</t>
  </si>
  <si>
    <t>IN E8K- 04 AVC SD 13-16</t>
  </si>
  <si>
    <t>IN E8K- 05 AVC SD 17-20</t>
  </si>
  <si>
    <t>IN E8K- 06 AVC SD 21-24</t>
  </si>
  <si>
    <t>IN E8K- 07 AVC SD 25-28</t>
  </si>
  <si>
    <t>IN E8K- 08 AVC SD 29-32</t>
  </si>
  <si>
    <t>IN E8K- 09 AVC SD 33-36</t>
  </si>
  <si>
    <t>IN E8K- 10 AVC SD 37-40</t>
  </si>
  <si>
    <t>IN E8K- 11 AVC SD 41-44</t>
  </si>
  <si>
    <t>IN E8K- 12 AVC SD 45-48</t>
  </si>
  <si>
    <t>IN E8K- 13 AVC HD 01-04</t>
  </si>
  <si>
    <t>IN ION-01</t>
  </si>
  <si>
    <t>IN ION-02</t>
  </si>
  <si>
    <t>IN ION-03</t>
  </si>
  <si>
    <t>IN ION-04</t>
  </si>
  <si>
    <t>IN ION-05</t>
  </si>
  <si>
    <t>IN ION-06</t>
  </si>
  <si>
    <t>Input - 23</t>
  </si>
  <si>
    <t>Input - PSI/SI External</t>
  </si>
  <si>
    <t>ION -1</t>
  </si>
  <si>
    <t>ION -2</t>
  </si>
  <si>
    <t>ION -3</t>
  </si>
  <si>
    <t>ION -4</t>
  </si>
  <si>
    <t>ION -5</t>
  </si>
  <si>
    <t>ION -6</t>
  </si>
  <si>
    <t>ION -BCK</t>
  </si>
  <si>
    <t>ION IP SWITCH</t>
  </si>
  <si>
    <t>IPTV-OUT-PS1K 01</t>
  </si>
  <si>
    <t>IPTV-OUT-PS1K 02</t>
  </si>
  <si>
    <t>Multicastip1</t>
  </si>
  <si>
    <t>MUX1_Monitor Port</t>
  </si>
  <si>
    <t>MUX2_Monitor Port</t>
  </si>
  <si>
    <t>OUT - 01</t>
  </si>
  <si>
    <t>OUT - 02</t>
  </si>
  <si>
    <t>OUT - 03</t>
  </si>
  <si>
    <t>OUT - 04</t>
  </si>
  <si>
    <t>OUT - 05</t>
  </si>
  <si>
    <t>OUT - 06</t>
  </si>
  <si>
    <t>Proview - 7100 - 1</t>
  </si>
  <si>
    <t>Proview - 7100 - 2</t>
  </si>
  <si>
    <t>Proview - 7100 - 3</t>
  </si>
  <si>
    <t>Proview - 7100 - 4</t>
  </si>
  <si>
    <t>Proview - 7100 - 5</t>
  </si>
  <si>
    <t>Proview - 7100 - 6</t>
  </si>
  <si>
    <t>Proview - 7100 - R1</t>
  </si>
  <si>
    <t>Proview - 7100 - R2</t>
  </si>
  <si>
    <t>Proview - 7100 - R3</t>
  </si>
  <si>
    <t>Proview - 7100 - R4</t>
  </si>
  <si>
    <t>Proview - 7100 - R5</t>
  </si>
  <si>
    <t>Proview - 7100 - R6</t>
  </si>
  <si>
    <t>PSI - SI</t>
  </si>
  <si>
    <t>PSI - SI TABLES</t>
  </si>
  <si>
    <t>SDI Router</t>
  </si>
  <si>
    <t>Switch - 5</t>
  </si>
  <si>
    <t>Switch - 6</t>
  </si>
  <si>
    <t>Switch - IN E8K</t>
  </si>
  <si>
    <t>Switch - IN E8K AVC HD</t>
  </si>
  <si>
    <t>01 - Proview - 7100 - 1</t>
  </si>
  <si>
    <t xml:space="preserve"> </t>
  </si>
  <si>
    <t>electra8000/d_10.10.00.038</t>
  </si>
  <si>
    <t>10.4.21.90</t>
  </si>
  <si>
    <t>10.4.21.91</t>
  </si>
  <si>
    <t>10.4.21.48</t>
  </si>
  <si>
    <t>10.4.21.49</t>
  </si>
  <si>
    <t>10.4.21.50</t>
  </si>
  <si>
    <t>10.4.21.51</t>
  </si>
  <si>
    <t>10.4.21.52</t>
  </si>
  <si>
    <t>10.4.21.53</t>
  </si>
  <si>
    <t>10.4.21.54</t>
  </si>
  <si>
    <t>00:20:A3:03:29:31</t>
  </si>
  <si>
    <t>00:20:A3:03:29:70</t>
  </si>
  <si>
    <t>00:20:A3:03:02:A9</t>
  </si>
  <si>
    <t>00:20:A3:03:29:CD</t>
  </si>
  <si>
    <t>00:20:A3:03:29:58</t>
  </si>
  <si>
    <t>00:20:A3:03:1F:89</t>
  </si>
  <si>
    <t>00:20:A3:03:02:2b</t>
  </si>
  <si>
    <t>00:20:A3:03:02:a1</t>
  </si>
  <si>
    <t>00:20:A3:03:1F:41</t>
  </si>
  <si>
    <t>00:20:A3:03:29:c1</t>
  </si>
  <si>
    <t>00:20:A3:03:28:fe</t>
  </si>
  <si>
    <t>00:20:A3:03:06:b1</t>
  </si>
  <si>
    <t>00:20:A3:03:01:EC</t>
  </si>
  <si>
    <t>00:20:A3:03:11:ca</t>
  </si>
  <si>
    <t>00:20:A3:03:25:3e</t>
  </si>
  <si>
    <t>10.4.21.254</t>
  </si>
  <si>
    <t>225.10.2.1</t>
  </si>
  <si>
    <t>225.10.2.2</t>
  </si>
  <si>
    <t>225.10.2.3</t>
  </si>
  <si>
    <t>225.10.2.4</t>
  </si>
  <si>
    <t>225.10.2.5</t>
  </si>
  <si>
    <t>225.10.2.6</t>
  </si>
  <si>
    <t>225.10.2.7</t>
  </si>
  <si>
    <t>225.10.2.8</t>
  </si>
  <si>
    <t>225.10.2.9</t>
  </si>
  <si>
    <t>225.10.2.10</t>
  </si>
  <si>
    <t>225.10.2.11</t>
  </si>
  <si>
    <t>225.10.2.12</t>
  </si>
  <si>
    <t>225.10.2.13</t>
  </si>
  <si>
    <t>225.10.2.14</t>
  </si>
  <si>
    <t>225.10.2.15</t>
  </si>
  <si>
    <t>10.4.21.1</t>
  </si>
  <si>
    <t>10.4.21.10</t>
  </si>
  <si>
    <t>10.4.21.11</t>
  </si>
  <si>
    <t>10.4.21.12</t>
  </si>
  <si>
    <t>10.4.21.13</t>
  </si>
  <si>
    <t>10.4.21.14</t>
  </si>
  <si>
    <t>10.4.21.15</t>
  </si>
  <si>
    <t>Version 2 Only</t>
  </si>
  <si>
    <t>europa/e_10.06.00.099</t>
  </si>
  <si>
    <t>10.04.21.30</t>
  </si>
  <si>
    <t>10.04.21.31</t>
  </si>
  <si>
    <t>10.04.21.32</t>
  </si>
  <si>
    <t>10.04.21.33</t>
  </si>
  <si>
    <t>10.04.21.34</t>
  </si>
  <si>
    <t>10.04.21.35</t>
  </si>
  <si>
    <t>10.04.21.36</t>
  </si>
  <si>
    <t>00:20:A3:03:0f:ab</t>
  </si>
  <si>
    <t>00:20:A3:03:08:dc</t>
  </si>
  <si>
    <t>00:20:A3:03:16:ef</t>
  </si>
  <si>
    <t>00:20:A3:03:37:ec</t>
  </si>
  <si>
    <t>00:20:A3:03:04:17</t>
  </si>
  <si>
    <t>00:20:A3:03:16:bf</t>
  </si>
  <si>
    <t>225.10.1.1</t>
  </si>
  <si>
    <t>225.10.1.2</t>
  </si>
  <si>
    <t>225.10.1.3</t>
  </si>
  <si>
    <t>225.10.1.4</t>
  </si>
  <si>
    <t>225.10.1.5</t>
  </si>
  <si>
    <t>225.10.1.6</t>
  </si>
  <si>
    <t>225.10.1.7</t>
  </si>
  <si>
    <t>Version 3 Only</t>
  </si>
  <si>
    <t>No</t>
  </si>
  <si>
    <t>06.05.03.003</t>
  </si>
  <si>
    <t>2.6.3.061</t>
  </si>
  <si>
    <t>10.4.21.55</t>
  </si>
  <si>
    <t>10.4.21.56</t>
  </si>
  <si>
    <t>10.4.21.16</t>
  </si>
  <si>
    <t>10.4.21.17</t>
  </si>
  <si>
    <t>10.4.21.18</t>
  </si>
  <si>
    <t>10.4.21.19</t>
  </si>
  <si>
    <t>10.4.21.20</t>
  </si>
  <si>
    <t>10.4.21.21</t>
  </si>
  <si>
    <t>00:20:A3:03:43:19</t>
  </si>
  <si>
    <t>00:20:A3:03:3a:c7</t>
  </si>
  <si>
    <t>00:0C:A2:00:00:00</t>
  </si>
  <si>
    <t>225.10.3.2</t>
  </si>
  <si>
    <t>225.10.3.3</t>
  </si>
  <si>
    <t>Version 2</t>
  </si>
  <si>
    <t>ABBR</t>
  </si>
  <si>
    <t>Meaning</t>
  </si>
  <si>
    <t>A/V</t>
  </si>
  <si>
    <t>Audio Video</t>
  </si>
  <si>
    <t>ACU</t>
  </si>
  <si>
    <t>Antenna Control Unit</t>
  </si>
  <si>
    <t>AGC</t>
  </si>
  <si>
    <t>Automatic Gain Controller</t>
  </si>
  <si>
    <t>ASI</t>
  </si>
  <si>
    <t>Asynchronous Serial Interface</t>
  </si>
  <si>
    <t>ASM</t>
  </si>
  <si>
    <t>Area Service Manager</t>
  </si>
  <si>
    <t>Az</t>
  </si>
  <si>
    <t>Azimuth</t>
  </si>
  <si>
    <t>ALC</t>
  </si>
  <si>
    <t>Automatic Level Controller</t>
  </si>
  <si>
    <t>BCMS</t>
  </si>
  <si>
    <t>Business Continuty Management System</t>
  </si>
  <si>
    <t>BDC</t>
  </si>
  <si>
    <t>Block Down Converter</t>
  </si>
  <si>
    <t>BER</t>
  </si>
  <si>
    <t>Bit error Rate</t>
  </si>
  <si>
    <t>BISP</t>
  </si>
  <si>
    <t>Bharti Airtel Information Security Policy</t>
  </si>
  <si>
    <t>BTR</t>
  </si>
  <si>
    <t>Beacon Tracking Receiver</t>
  </si>
  <si>
    <t>C/N</t>
  </si>
  <si>
    <t>Carrier / Noise</t>
  </si>
  <si>
    <t>CA</t>
  </si>
  <si>
    <t>Corrective Action</t>
  </si>
  <si>
    <t>CAB</t>
  </si>
  <si>
    <t>Change Authority Board</t>
  </si>
  <si>
    <t>CAS</t>
  </si>
  <si>
    <t>Conditional Access System</t>
  </si>
  <si>
    <t>CIG</t>
  </si>
  <si>
    <t>Customer Interface Group</t>
  </si>
  <si>
    <t>CMT</t>
  </si>
  <si>
    <t>Crisis Management Team</t>
  </si>
  <si>
    <t>CPE</t>
  </si>
  <si>
    <t>Customer Premise Equipment (STB)</t>
  </si>
  <si>
    <t>CR</t>
  </si>
  <si>
    <t>Change Request</t>
  </si>
  <si>
    <t>CSD</t>
  </si>
  <si>
    <t>Customer Service Delivery</t>
  </si>
  <si>
    <t>CSG</t>
  </si>
  <si>
    <t>Customer Support Group</t>
  </si>
  <si>
    <t>DAT</t>
  </si>
  <si>
    <t>Damage Assessment Team</t>
  </si>
  <si>
    <t>DML</t>
  </si>
  <si>
    <t>Definitive Media Library</t>
  </si>
  <si>
    <t>DOA</t>
  </si>
  <si>
    <t>Delegation of Authority</t>
  </si>
  <si>
    <t>DR</t>
  </si>
  <si>
    <t>Disaster Recovery</t>
  </si>
  <si>
    <t>DR site</t>
  </si>
  <si>
    <t>Disaster Recovery Site</t>
  </si>
  <si>
    <t>DTH</t>
  </si>
  <si>
    <t>Direct to Home Service</t>
  </si>
  <si>
    <t>Eb/ No</t>
  </si>
  <si>
    <t>energy Per Bit</t>
  </si>
  <si>
    <t>ECM / ECMG</t>
  </si>
  <si>
    <t>Entitlement Control Message / Generator</t>
  </si>
  <si>
    <t>El</t>
  </si>
  <si>
    <t>Elevation</t>
  </si>
  <si>
    <t>EMM / EMMG</t>
  </si>
  <si>
    <t>Entitlement Management Message / Generator</t>
  </si>
  <si>
    <t>FEC</t>
  </si>
  <si>
    <t>Forward Error Correction</t>
  </si>
  <si>
    <t>IE</t>
  </si>
  <si>
    <t>Installation Engineer</t>
  </si>
  <si>
    <t>IF</t>
  </si>
  <si>
    <t>Intermediate Frequency</t>
  </si>
  <si>
    <t>IRD</t>
  </si>
  <si>
    <t>Integrated Digital Receiver</t>
  </si>
  <si>
    <t>ISRO</t>
  </si>
  <si>
    <t>Indian Space Research Organization</t>
  </si>
  <si>
    <t>iTV</t>
  </si>
  <si>
    <t>Interactive Television</t>
  </si>
  <si>
    <t>KHPA</t>
  </si>
  <si>
    <t>Kalistron high power amplifier</t>
  </si>
  <si>
    <t>LNA</t>
  </si>
  <si>
    <t>Low Noise Amplifier</t>
  </si>
  <si>
    <t>LNB</t>
  </si>
  <si>
    <t>low noise block converter</t>
  </si>
  <si>
    <t>LOS</t>
  </si>
  <si>
    <t>Line Of Site</t>
  </si>
  <si>
    <t>MCPC</t>
  </si>
  <si>
    <t>Multi Channels Per Carrier</t>
  </si>
  <si>
    <t>MER</t>
  </si>
  <si>
    <t>Modulation Error Rate</t>
  </si>
  <si>
    <t>Msg</t>
  </si>
  <si>
    <t>Short Messaging System (SMS) Message</t>
  </si>
  <si>
    <t>MTR</t>
  </si>
  <si>
    <t>Maximum Time to Resume</t>
  </si>
  <si>
    <t>MUX</t>
  </si>
  <si>
    <t>Multiplexer</t>
  </si>
  <si>
    <t>N/W</t>
  </si>
  <si>
    <t>Network</t>
  </si>
  <si>
    <t>NMS</t>
  </si>
  <si>
    <t>Network Management System</t>
  </si>
  <si>
    <t>NOC</t>
  </si>
  <si>
    <t>Network Operations Center</t>
  </si>
  <si>
    <t>NOCC</t>
  </si>
  <si>
    <t>Network Operations Control Center (GOI)</t>
  </si>
  <si>
    <t>NW</t>
  </si>
  <si>
    <t>OE</t>
  </si>
  <si>
    <t>Operational Excellance Team</t>
  </si>
  <si>
    <t>ORT</t>
  </si>
  <si>
    <t>Operations Recovery Team</t>
  </si>
  <si>
    <t>PAS</t>
  </si>
  <si>
    <t>Programme Acquition System</t>
  </si>
  <si>
    <t>PDL</t>
  </si>
  <si>
    <t>Progressive Download</t>
  </si>
  <si>
    <t>PID</t>
  </si>
  <si>
    <t>Programme ID</t>
  </si>
  <si>
    <t>PPV</t>
  </si>
  <si>
    <t>Pay Per View</t>
  </si>
  <si>
    <t>PSI / SI</t>
  </si>
  <si>
    <t>Programme Service Information / Service Information</t>
  </si>
  <si>
    <t>RCA</t>
  </si>
  <si>
    <t>Route Cause Analysis</t>
  </si>
  <si>
    <t>RF</t>
  </si>
  <si>
    <t>Radio Frequency</t>
  </si>
  <si>
    <t>RFI</t>
  </si>
  <si>
    <t>Radio frequency Interference</t>
  </si>
  <si>
    <t>RO</t>
  </si>
  <si>
    <t>Receive Only</t>
  </si>
  <si>
    <t>RPS</t>
  </si>
  <si>
    <t>Redundant Power Supply</t>
  </si>
  <si>
    <t>RTO</t>
  </si>
  <si>
    <t>Recovery Time Objective</t>
  </si>
  <si>
    <t>SC</t>
  </si>
  <si>
    <t>Smart Card</t>
  </si>
  <si>
    <t>SCG</t>
  </si>
  <si>
    <t>Security Continuty Group</t>
  </si>
  <si>
    <t>SCPC</t>
  </si>
  <si>
    <t>Single Channels Per Carrier</t>
  </si>
  <si>
    <t>SDI</t>
  </si>
  <si>
    <t>Serial Digital Interface</t>
  </si>
  <si>
    <t>SMS</t>
  </si>
  <si>
    <t>Subscriber Management System</t>
  </si>
  <si>
    <t>SR</t>
  </si>
  <si>
    <t>Service Request</t>
  </si>
  <si>
    <t>STB</t>
  </si>
  <si>
    <t>Set Top Box</t>
  </si>
  <si>
    <t>TI</t>
  </si>
  <si>
    <t>Terrestrial Interference</t>
  </si>
  <si>
    <t>TM-IS</t>
  </si>
  <si>
    <t>Territory Manager - Installation &amp; Service</t>
  </si>
  <si>
    <t>TP</t>
  </si>
  <si>
    <t>Transponder</t>
  </si>
  <si>
    <t>TS</t>
  </si>
  <si>
    <t>Transport Stream</t>
  </si>
  <si>
    <t>UC</t>
  </si>
  <si>
    <t>Up Converter</t>
  </si>
  <si>
    <t>UPC</t>
  </si>
  <si>
    <t>Up link power controller</t>
  </si>
  <si>
    <t>WOI</t>
  </si>
  <si>
    <t>Whats On India</t>
  </si>
  <si>
    <t>PAT</t>
  </si>
  <si>
    <t>Program Association Table</t>
  </si>
  <si>
    <t>CAT</t>
  </si>
  <si>
    <t>PMT</t>
  </si>
  <si>
    <t>NIT</t>
  </si>
  <si>
    <t>Conditional Access Table</t>
  </si>
  <si>
    <t>Program Map Table</t>
  </si>
  <si>
    <t>Network Information Table</t>
  </si>
  <si>
    <t>Harmonics</t>
  </si>
  <si>
    <t>Vendor</t>
  </si>
  <si>
    <t>Product</t>
  </si>
  <si>
    <t xml:space="preserve">ProStream 1000 </t>
  </si>
  <si>
    <t>Stream Processing Platform for Multiplexing and Scrambling</t>
  </si>
  <si>
    <t>Description</t>
  </si>
  <si>
    <t>Card Slots</t>
  </si>
  <si>
    <t>Port</t>
  </si>
  <si>
    <t>Video PID</t>
  </si>
  <si>
    <t>Audio PID</t>
  </si>
  <si>
    <t>ECM P1</t>
  </si>
  <si>
    <t>ECM P2</t>
  </si>
  <si>
    <t>Manesar</t>
  </si>
  <si>
    <t>MA5400</t>
  </si>
  <si>
    <t>IPTV</t>
  </si>
  <si>
    <t>DR HE</t>
  </si>
  <si>
    <t>ELECTRA-MUX</t>
  </si>
  <si>
    <t>Star India Pvt Ltd.</t>
  </si>
  <si>
    <t>ZEE Entertainment Enterprise Ltd.</t>
  </si>
  <si>
    <t>Sony Entertainment Ltd.</t>
  </si>
  <si>
    <t>Viacom 18</t>
  </si>
  <si>
    <t>Network 18</t>
  </si>
  <si>
    <t>Reliance Entertainment Ltd.</t>
  </si>
  <si>
    <t>Abbr</t>
  </si>
  <si>
    <t>SONY SAB</t>
  </si>
  <si>
    <t>Kalaignar</t>
  </si>
  <si>
    <t>MAZHAVIL MANORAMA</t>
  </si>
  <si>
    <t>Movies</t>
  </si>
  <si>
    <t>SONY MAX</t>
  </si>
  <si>
    <t>SONY PIX</t>
  </si>
  <si>
    <t>J Movie</t>
  </si>
  <si>
    <t>News</t>
  </si>
  <si>
    <t>Sports</t>
  </si>
  <si>
    <t>RAJYA SABHA TV</t>
  </si>
  <si>
    <t>Seithigal</t>
  </si>
  <si>
    <t>Kids</t>
  </si>
  <si>
    <t>Murasu</t>
  </si>
  <si>
    <t>Infotainment</t>
  </si>
  <si>
    <t>Available at DR</t>
  </si>
  <si>
    <t>From IPTV</t>
  </si>
  <si>
    <t>From DR HE</t>
  </si>
  <si>
    <t>239.5.1.6</t>
  </si>
  <si>
    <t>Lifestyle</t>
  </si>
  <si>
    <t>Ant/Pol</t>
  </si>
  <si>
    <t>Frequency</t>
  </si>
  <si>
    <t>Management</t>
  </si>
  <si>
    <t>Access Criteria2</t>
  </si>
  <si>
    <t>Access Criteria1</t>
  </si>
  <si>
    <t>10.4.21.30</t>
  </si>
  <si>
    <t>10.4.21.34</t>
  </si>
  <si>
    <t>Intelsat 20</t>
  </si>
  <si>
    <t>10.4.21.35</t>
  </si>
  <si>
    <t>10.4.21.31</t>
  </si>
  <si>
    <t>10.4.21.32</t>
  </si>
  <si>
    <t>Intelsat 17</t>
  </si>
  <si>
    <t>10.4.21.33</t>
  </si>
  <si>
    <t>Insat 2E/4A</t>
  </si>
  <si>
    <t>4/Hor</t>
  </si>
  <si>
    <t>English</t>
  </si>
  <si>
    <t>SES 7</t>
  </si>
  <si>
    <t>Asiasat 7</t>
  </si>
  <si>
    <t>3/VER</t>
  </si>
  <si>
    <t>2/VER</t>
  </si>
  <si>
    <t>6/VER</t>
  </si>
  <si>
    <t>7/VER</t>
  </si>
  <si>
    <t>8/VER</t>
  </si>
  <si>
    <t>9/VER</t>
  </si>
  <si>
    <t>11/VER</t>
  </si>
  <si>
    <t>5/VER</t>
  </si>
  <si>
    <t>13/VER</t>
  </si>
  <si>
    <t>IntelSat 20</t>
  </si>
  <si>
    <t>VER</t>
  </si>
  <si>
    <t>TV9 GUJARATI</t>
  </si>
  <si>
    <t>3/HOR</t>
  </si>
  <si>
    <t>2/HOR</t>
  </si>
  <si>
    <t xml:space="preserve"> 1/HOR</t>
  </si>
  <si>
    <t>ok</t>
  </si>
  <si>
    <t>hang</t>
  </si>
  <si>
    <t>Suvarna Plus</t>
  </si>
  <si>
    <t>Rengoni</t>
  </si>
  <si>
    <t>ETV News Gujarati</t>
  </si>
  <si>
    <t>CNBC Bazaar</t>
  </si>
  <si>
    <t>Live India</t>
  </si>
  <si>
    <t>Copy of MUX2_Monitor Port</t>
  </si>
  <si>
    <t>00:20:A3:03:04:AA</t>
  </si>
  <si>
    <t>ProStream-BKP</t>
  </si>
  <si>
    <t>10.4.21.57</t>
  </si>
  <si>
    <t>00:20:A3:03:16:52</t>
  </si>
  <si>
    <t>PROSTREAM-BKP</t>
  </si>
  <si>
    <t>GbE 1G Card - 002</t>
  </si>
  <si>
    <t>10.04.24.77</t>
  </si>
  <si>
    <t>CNN int</t>
  </si>
  <si>
    <t>239.4.1.14</t>
  </si>
  <si>
    <t>FTA_IRD5_Slot_01_CBR</t>
  </si>
  <si>
    <t>FTA_IRD5_Slot_03_CBR</t>
  </si>
  <si>
    <t>ION1_1-MUX1</t>
  </si>
  <si>
    <t>239.4.1.189</t>
  </si>
  <si>
    <t>239.4.1.187</t>
  </si>
  <si>
    <t>239.4.1.188</t>
  </si>
  <si>
    <t>239.4.1.191</t>
  </si>
  <si>
    <t>239.4.1.41</t>
  </si>
  <si>
    <t>239.4.1.42</t>
  </si>
  <si>
    <t>239.4.1.44</t>
  </si>
  <si>
    <t>239.4.1.43</t>
  </si>
  <si>
    <t>Uplink Frequency</t>
  </si>
  <si>
    <t>MHZ</t>
  </si>
  <si>
    <t>POL TX</t>
  </si>
  <si>
    <t>H TP-11</t>
  </si>
  <si>
    <t>H TP-12</t>
  </si>
  <si>
    <t>H TP-13</t>
  </si>
  <si>
    <t>H TP-14</t>
  </si>
  <si>
    <t>H TP-15</t>
  </si>
  <si>
    <t>H TP-16</t>
  </si>
  <si>
    <t>V TP-21</t>
  </si>
  <si>
    <t>V TP-24</t>
  </si>
  <si>
    <t>V TP-22</t>
  </si>
  <si>
    <t>V TP-25</t>
  </si>
  <si>
    <t>V TP-23</t>
  </si>
  <si>
    <t>Downlink Frequency</t>
  </si>
  <si>
    <t>Satellite LO</t>
  </si>
  <si>
    <t>L Band Signal</t>
  </si>
  <si>
    <t>LO</t>
  </si>
  <si>
    <t>TS 1</t>
  </si>
  <si>
    <t>TS 2</t>
  </si>
  <si>
    <t>TS 3</t>
  </si>
  <si>
    <t>TS 5</t>
  </si>
  <si>
    <t>TS 10</t>
  </si>
  <si>
    <t>TS 6</t>
  </si>
  <si>
    <t>TS 9</t>
  </si>
  <si>
    <t>TS 7</t>
  </si>
  <si>
    <t>TS 8</t>
  </si>
  <si>
    <t>TS 4</t>
  </si>
  <si>
    <t>TS 11</t>
  </si>
  <si>
    <t>8-PSK 3/4</t>
  </si>
  <si>
    <t>MOD /FEC</t>
  </si>
  <si>
    <t>Roll OF Factor</t>
  </si>
  <si>
    <t>msps</t>
  </si>
  <si>
    <t>ZEE BUSINESS IPTVFEED</t>
  </si>
  <si>
    <t>ZEE STUDIO IPTV FEED</t>
  </si>
  <si>
    <t>ZEE PREMIER</t>
  </si>
  <si>
    <t>INDIA TV (3547) IPTV FEED</t>
  </si>
  <si>
    <t>PIX ION-MUX</t>
  </si>
  <si>
    <t>ETV GUJRATHI</t>
  </si>
  <si>
    <t>ION 2-S2-BIG MAGIC</t>
  </si>
  <si>
    <t>DD CHANDANA IPTVFEED</t>
  </si>
  <si>
    <t>STAR SPORTS 1(2226)</t>
  </si>
  <si>
    <t>Channel V</t>
  </si>
  <si>
    <t>ION 3-S4-HISTORY TV 18</t>
  </si>
  <si>
    <t>CNN INT</t>
  </si>
  <si>
    <t>BBC WORLD NEWS IPTV FEED</t>
  </si>
  <si>
    <t>ZEE CINEMA IPTV FEED</t>
  </si>
  <si>
    <t>DD NATIONAL IPTV FEED</t>
  </si>
  <si>
    <t>DISCOVERY CHANNEL</t>
  </si>
  <si>
    <t>ION 4-S1-NICK JUNIOR</t>
  </si>
  <si>
    <t>STAR MOVIES IPTV FEED</t>
  </si>
  <si>
    <t>DD PODHIGAL</t>
  </si>
  <si>
    <t>ION 2-S3-COMEDY CENTRAL</t>
  </si>
  <si>
    <t>OTV IPTVFEED</t>
  </si>
  <si>
    <t>SAB TV IPTV FEED</t>
  </si>
  <si>
    <t>MASTII IPTV FEED</t>
  </si>
  <si>
    <t>ION 01 MOVIESNOW SD</t>
  </si>
  <si>
    <t>CNBC TV 18 IPTVFEED</t>
  </si>
  <si>
    <t>HEADLINES TODAY IPTVFEED</t>
  </si>
  <si>
    <t>DD PUNJABI IPTV FEED</t>
  </si>
  <si>
    <t>ZEE BANGLA ION_1_S4-MUX2</t>
  </si>
  <si>
    <t>ION 5-S4-ZEE TELUGU</t>
  </si>
  <si>
    <t>LIFE OK IPTV FEED</t>
  </si>
  <si>
    <t>DD BHARTI IPTV FEED</t>
  </si>
  <si>
    <t>UTV BINDASS IPTV FEED</t>
  </si>
  <si>
    <t>TIME TV IPTV FEED</t>
  </si>
  <si>
    <t>NGC IPTV FEED</t>
  </si>
  <si>
    <t>CINEMA TV IPTV FEED 1</t>
  </si>
  <si>
    <t>NDTV PROFIT/PRIME IPTV FEED</t>
  </si>
  <si>
    <t>ION 2-S1-SONY SIX</t>
  </si>
  <si>
    <t>DISNEY</t>
  </si>
  <si>
    <t>ION 3-S2-ZEE BANGLA CINEMA</t>
  </si>
  <si>
    <t>ET NOW IPTV FEED</t>
  </si>
  <si>
    <t>COLORS IPTV FEED</t>
  </si>
  <si>
    <t>ION 4-S4-SONY 8</t>
  </si>
  <si>
    <t>DD NEWS IPTV FEED</t>
  </si>
  <si>
    <t>BHAKTI</t>
  </si>
  <si>
    <t>JAYA TV IPTV FEED</t>
  </si>
  <si>
    <t>NEO SPORTS IPTV FEED</t>
  </si>
  <si>
    <t>ZEE PUNJAB HARYANA HIMACHAL IPTV FEED</t>
  </si>
  <si>
    <t>ION 5-S3-ZEE KHANA KAZANA</t>
  </si>
  <si>
    <t>Aaj Tak</t>
  </si>
  <si>
    <t>HBO IPTVFEED</t>
  </si>
  <si>
    <t>DD GUJRATI</t>
  </si>
  <si>
    <t>ZEE CLASSIC IPTV FEED</t>
  </si>
  <si>
    <t>ETV RAJSTHAN IPTV FEED</t>
  </si>
  <si>
    <t>ION 6-S3-ROMEDY NOW</t>
  </si>
  <si>
    <t>KALIGNAR IPTV FEED</t>
  </si>
  <si>
    <t>STAR SPORTS 4 IPTV FEED</t>
  </si>
  <si>
    <t>NEO PRIME IPTV FEED</t>
  </si>
  <si>
    <t>DD LOKSABHA</t>
  </si>
  <si>
    <t>DD MALYALAM</t>
  </si>
  <si>
    <t>ION 6-S2-ZOOM TV</t>
  </si>
  <si>
    <t>FOX TRAVELLER IPTV FEED</t>
  </si>
  <si>
    <t>ION 4-S2-DISCOVERY KIDS</t>
  </si>
  <si>
    <t>TEN SPORTS IPTV FEED</t>
  </si>
  <si>
    <t>SETHIGAL IPTV FEED</t>
  </si>
  <si>
    <t>ZEE CAFE</t>
  </si>
  <si>
    <t>ISAI ARUVI IPTV FEED</t>
  </si>
  <si>
    <t>DD NORTHEAST</t>
  </si>
  <si>
    <t>MANORAMA NEWS IPTV FEED</t>
  </si>
  <si>
    <t>IBN 7 IPTV FEED</t>
  </si>
  <si>
    <t>ION 4-S3-ZEE MARATHI</t>
  </si>
  <si>
    <t>ION 5-S2-ZEE KALINGA</t>
  </si>
  <si>
    <t>ION 6-S4-24 GHANTA</t>
  </si>
  <si>
    <t>ION 2-S4-24 TASS</t>
  </si>
  <si>
    <t>STAR GOLD IPTV FEED</t>
  </si>
  <si>
    <t>ION 6-S1-RISHTEY</t>
  </si>
  <si>
    <t>ION 3-S1-ZEE NEWS</t>
  </si>
  <si>
    <t>ION 5-S1-DISCOVERY TAMIL</t>
  </si>
  <si>
    <t>DISCOVERY SCIENCE (4346) IPTV FEED</t>
  </si>
  <si>
    <t>VH-1</t>
  </si>
  <si>
    <t>TEN CRICKET IPTV FEED</t>
  </si>
  <si>
    <t>DISNEY XD IPTV FEED</t>
  </si>
  <si>
    <t>ETV TELUGU IPTV FEED</t>
  </si>
  <si>
    <t>DD RAJYASABHA</t>
  </si>
  <si>
    <t>SAHARA ONE IPTV FEED</t>
  </si>
  <si>
    <t>RUSSIA TODAY IPTV FEED(7311)</t>
  </si>
  <si>
    <t>ION 3-S3-SONIC</t>
  </si>
  <si>
    <t>TEN ACTION IPTV FEED</t>
  </si>
  <si>
    <t>UTV ACTTION IPTVFEED</t>
  </si>
  <si>
    <t>Electra 8240-01 AVC SD 01-04 ( 10.4.21.40 )</t>
  </si>
  <si>
    <t>Electra 8240-02 AVC SD 05-08 ( 10.4.21.41 )</t>
  </si>
  <si>
    <t>Electra 8240-03 AVC SD 09-12 ( 10.4.21.42 )</t>
  </si>
  <si>
    <t>Electra 8240-04 AVC SD 13-16 ( 10.4.21.43 )</t>
  </si>
  <si>
    <t>Electra 8240-05 AVC SD 17-20 ( 10.4.21.44 )</t>
  </si>
  <si>
    <t>Electra 8240-06 AVC SD 21-24 ( 10.4.21.45 )</t>
  </si>
  <si>
    <t>Electra 8240-07 AVC SD 25-28 ( 10.4.21.46 )</t>
  </si>
  <si>
    <t>Electra 8240-08 AVC SD 29-32 ( 10.4.21.47 )</t>
  </si>
  <si>
    <t>Electra 8240-09 AVC SD 33-36 ( 10.4.21.48 )</t>
  </si>
  <si>
    <t>Electra 8240-10 AVC SD 37-40 ( 10.4.21.49 )</t>
  </si>
  <si>
    <t>Electra 8240-11 AVC SD 41-44 ( 10.4.21.50 )</t>
  </si>
  <si>
    <t>Electra 8240-12 AVC SD 45-48 ( 10.4.21.51 )</t>
  </si>
  <si>
    <t>Electra 8240-13 AVC HD ( 10.4.21.53 )</t>
  </si>
  <si>
    <t>multicastip1 (  )</t>
  </si>
  <si>
    <t>239.4.1.180</t>
  </si>
  <si>
    <t>239.4.1.31</t>
  </si>
  <si>
    <t>LIFE OK HD</t>
  </si>
  <si>
    <t>SONY PAL</t>
  </si>
  <si>
    <t>TP BW</t>
  </si>
  <si>
    <t>E24</t>
  </si>
  <si>
    <t>iMusicSpace Radio Service</t>
  </si>
  <si>
    <t>SUN TV HD</t>
  </si>
  <si>
    <t>PUTHU YUGAM</t>
  </si>
  <si>
    <t>ADITIYA</t>
  </si>
  <si>
    <t>GEMINI TV HD</t>
  </si>
  <si>
    <t>KHUSHI TV</t>
  </si>
  <si>
    <t>GEMINI LIFE</t>
  </si>
  <si>
    <t>Isaiaruvi</t>
  </si>
  <si>
    <t>SIRIPPOLI</t>
  </si>
  <si>
    <t>Big Magic Ganga</t>
  </si>
  <si>
    <t>Anjan Tv</t>
  </si>
  <si>
    <t>Surya Music</t>
  </si>
  <si>
    <t>Manorama News</t>
  </si>
  <si>
    <t>Chintu TV</t>
  </si>
  <si>
    <t>BTV News 24x7</t>
  </si>
  <si>
    <t>Value</t>
  </si>
  <si>
    <t>Log10</t>
  </si>
  <si>
    <t>LOG100</t>
  </si>
  <si>
    <t>Power in mW</t>
  </si>
  <si>
    <t>Gain in db</t>
  </si>
  <si>
    <t>Expression</t>
  </si>
  <si>
    <t>W</t>
  </si>
  <si>
    <t>mW</t>
  </si>
  <si>
    <t>a</t>
  </si>
  <si>
    <t>b</t>
  </si>
  <si>
    <t>Mecca Madina 24x7</t>
  </si>
  <si>
    <t>SONY aath</t>
  </si>
  <si>
    <t>Services</t>
  </si>
  <si>
    <t>dbw</t>
  </si>
  <si>
    <t>Power in dbw</t>
  </si>
  <si>
    <t>dBm</t>
  </si>
  <si>
    <t>dBw</t>
  </si>
  <si>
    <t>diff</t>
  </si>
  <si>
    <t>Actual</t>
  </si>
  <si>
    <t>Formula</t>
  </si>
  <si>
    <t>Evaluated</t>
  </si>
  <si>
    <t>Error</t>
  </si>
  <si>
    <t>Antena Gain</t>
  </si>
  <si>
    <t>64 dbi</t>
  </si>
  <si>
    <t xml:space="preserve">can be directly added to feed in dbw less 6 dbw waveguide loss </t>
  </si>
  <si>
    <t>transmit from antenna</t>
  </si>
  <si>
    <t>EIRP</t>
  </si>
  <si>
    <t>Path Loss</t>
  </si>
  <si>
    <t>Reporter TV</t>
  </si>
  <si>
    <t>Peace Of Mind</t>
  </si>
  <si>
    <t>Const</t>
  </si>
  <si>
    <t>Ref</t>
  </si>
  <si>
    <t>VAL</t>
  </si>
  <si>
    <t>&amp; TV</t>
  </si>
  <si>
    <t>Zindagi</t>
  </si>
  <si>
    <t>BINDASS Play</t>
  </si>
  <si>
    <t>Epic</t>
  </si>
  <si>
    <t>ID</t>
  </si>
  <si>
    <t>Dangal</t>
  </si>
  <si>
    <t>Sports Home</t>
  </si>
  <si>
    <t>kids</t>
  </si>
  <si>
    <t>NAAPTOL (Blue)</t>
  </si>
  <si>
    <t>TV5 Monde</t>
  </si>
  <si>
    <t>&amp;Pictures HD</t>
  </si>
  <si>
    <t>SONY PIX HD</t>
  </si>
  <si>
    <t>STAR SPORTS HD 3</t>
  </si>
  <si>
    <t>INDIA News</t>
  </si>
  <si>
    <t>SMBC Insight</t>
  </si>
  <si>
    <t>Zee MPCG</t>
  </si>
  <si>
    <t>Total TV</t>
  </si>
  <si>
    <t>News X</t>
  </si>
  <si>
    <t>DW TV</t>
  </si>
  <si>
    <t>9XO</t>
  </si>
  <si>
    <t>Tamil Home Channel</t>
  </si>
  <si>
    <t>Sun Life</t>
  </si>
  <si>
    <t>News 7 Tamil</t>
  </si>
  <si>
    <t>T News</t>
  </si>
  <si>
    <t>TV9 Maharashtra</t>
  </si>
  <si>
    <t>Focus Odisha</t>
  </si>
  <si>
    <t>Prarthna Bhawna</t>
  </si>
  <si>
    <t>Channel Win</t>
  </si>
  <si>
    <t>Music FataFati</t>
  </si>
  <si>
    <t>Genre</t>
  </si>
  <si>
    <t>Language2</t>
  </si>
  <si>
    <t>Tamil</t>
  </si>
  <si>
    <t>Urdu</t>
  </si>
  <si>
    <t>Devotional</t>
  </si>
  <si>
    <t>Punjabi</t>
  </si>
  <si>
    <t>Oriya</t>
  </si>
  <si>
    <t>Bengali</t>
  </si>
  <si>
    <t>Malayalam</t>
  </si>
  <si>
    <t>Kannada</t>
  </si>
  <si>
    <t>239.4.1.207</t>
  </si>
  <si>
    <t>224.12.1.213</t>
  </si>
  <si>
    <t>Assamese</t>
  </si>
  <si>
    <t>224.12.1.146</t>
  </si>
  <si>
    <t>Bhojpuri</t>
  </si>
  <si>
    <t>Life style</t>
  </si>
  <si>
    <t>224.12.1.171</t>
  </si>
  <si>
    <t>239.4.1224</t>
  </si>
  <si>
    <t>224.12.1.196</t>
  </si>
  <si>
    <t>224.12.1.118</t>
  </si>
  <si>
    <t>Marathi</t>
  </si>
  <si>
    <t>PRAG News</t>
  </si>
  <si>
    <t>FOOD FOOD</t>
  </si>
  <si>
    <t>HOMESHOP 18</t>
  </si>
  <si>
    <t>INDIA VISION</t>
  </si>
  <si>
    <t>MSR SRC</t>
  </si>
  <si>
    <t>FTA/Encrypted</t>
  </si>
  <si>
    <t>BC</t>
  </si>
  <si>
    <t xml:space="preserve">FTA </t>
  </si>
  <si>
    <t>ENCRYPTED</t>
  </si>
  <si>
    <t>AL Jazeera</t>
  </si>
  <si>
    <t>bharti airtel ltd</t>
  </si>
  <si>
    <t>10/HOR</t>
  </si>
  <si>
    <t>Asiasat 4</t>
  </si>
  <si>
    <t>Tata Communications</t>
  </si>
  <si>
    <t>1/HOR</t>
  </si>
  <si>
    <t>1/VER</t>
  </si>
  <si>
    <t>Sun Tv Network</t>
  </si>
  <si>
    <t>Essel Shyam</t>
  </si>
  <si>
    <t>TV Today Network</t>
  </si>
  <si>
    <t>STAR SPORTS HD 4</t>
  </si>
  <si>
    <t>Colors MARATHI</t>
  </si>
  <si>
    <t>Pratidin Time</t>
  </si>
  <si>
    <t>IntelSat 7/10</t>
  </si>
  <si>
    <t>OFFER 4U</t>
  </si>
  <si>
    <t>Customer care</t>
  </si>
  <si>
    <t>AIRTEL MOVIES 2</t>
  </si>
  <si>
    <t>GEMINI  TV</t>
  </si>
  <si>
    <t>DD YADAGIRI</t>
  </si>
  <si>
    <t>Sashna TV</t>
  </si>
  <si>
    <t xml:space="preserve">UDAYA TV </t>
  </si>
  <si>
    <t>Satellite</t>
  </si>
  <si>
    <t>RamDhenu</t>
  </si>
  <si>
    <t>Colors GUJARATI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</si>
</sst>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Border="1"/>
    <xf numFmtId="49" fontId="0" fillId="0" borderId="0" xfId="0" applyNumberFormat="1" applyFont="1" applyBorder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1" xfId="0" applyFont="1" applyFill="1" applyBorder="1"/>
    <xf numFmtId="49" fontId="0" fillId="0" borderId="0" xfId="0" applyNumberFormat="1"/>
    <xf numFmtId="0" fontId="1" fillId="0" borderId="0" xfId="0" applyFont="1"/>
    <xf numFmtId="0" fontId="3" fillId="0" borderId="0" xfId="0" applyFont="1" applyBorder="1" applyAlignment="1">
      <alignment vertical="center"/>
    </xf>
    <xf numFmtId="0" fontId="2" fillId="2" borderId="0" xfId="0" applyFont="1" applyFill="1"/>
    <xf numFmtId="0" fontId="0" fillId="0" borderId="0" xfId="0" applyNumberFormat="1" applyAlignment="1">
      <alignment horizontal="center" vertical="center"/>
    </xf>
    <xf numFmtId="0" fontId="4" fillId="0" borderId="0" xfId="0" applyFont="1" applyBorder="1"/>
    <xf numFmtId="49" fontId="4" fillId="0" borderId="0" xfId="0" applyNumberFormat="1" applyFont="1" applyBorder="1"/>
    <xf numFmtId="16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2" fontId="5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left" vertical="center"/>
    </xf>
  </cellXfs>
  <cellStyles count="1">
    <cellStyle name="Normal" xfId="0" builtinId="0"/>
  </cellStyles>
  <dxfs count="90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1" formatCode="d\-mmm"/>
      <alignment horizontal="center" vertical="center" textRotation="0" wrapText="0" indent="0" justifyLastLine="0" shrinkToFit="0" readingOrder="0"/>
    </dxf>
    <dxf>
      <numFmt numFmtId="21" formatCode="d\-m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6" name="Table6" displayName="Table6" ref="A1:B84" totalsRowShown="0" headerRowDxfId="89">
  <autoFilter ref="A1:B84"/>
  <tableColumns count="2">
    <tableColumn id="1" name="ABBR"/>
    <tableColumn id="2" name="Meaning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8" name="Table8" displayName="Table8" ref="H5:I16" totalsRowShown="0">
  <autoFilter ref="H5:I16"/>
  <tableColumns count="2">
    <tableColumn id="1" name="Gain in db" dataDxfId="88"/>
    <tableColumn id="2" name="Expression" dataDxfId="8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9" name="Table9" displayName="Table9" ref="A5:E23" totalsRowShown="0">
  <autoFilter ref="A5:E23"/>
  <tableColumns count="5">
    <tableColumn id="1" name="dbw" dataDxfId="86"/>
    <tableColumn id="5" name="a" dataDxfId="85">
      <calculatedColumnFormula>ROUNDDOWN(Table9[dbw]/10,0)</calculatedColumnFormula>
    </tableColumn>
    <tableColumn id="4" name="b" dataDxfId="84">
      <calculatedColumnFormula>MOD(Table9[dbw],10)</calculatedColumnFormula>
    </tableColumn>
    <tableColumn id="2" name="mW" dataDxfId="83">
      <calculatedColumnFormula>POWER(10,Table9[[#This Row],[a]])*VLOOKUP(Table9[[#This Row],[b]],$H$5:$I$16,2,0)</calculatedColumnFormula>
    </tableColumn>
    <tableColumn id="3" name="W" dataDxfId="82">
      <calculatedColumnFormula>Table9[[#This Row],[mW]]/1000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10" name="Table10" displayName="Table10" ref="K5:M23" totalsRowShown="0" headerRowDxfId="81" dataDxfId="80">
  <autoFilter ref="K5:M23"/>
  <tableColumns count="3">
    <tableColumn id="1" name="W" dataDxfId="79">
      <calculatedColumnFormula>POWER(10,(L6/10)-3)</calculatedColumnFormula>
    </tableColumn>
    <tableColumn id="2" name="dBm" dataDxfId="78">
      <calculatedColumnFormula>L5+1</calculatedColumnFormula>
    </tableColumn>
    <tableColumn id="3" name="dBw" dataDxfId="77">
      <calculatedColumnFormula>L6-30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12" name="Table12" displayName="Table12" ref="O5:Q23" totalsRowShown="0" headerRowDxfId="76" dataDxfId="75">
  <autoFilter ref="O5:Q23"/>
  <tableColumns count="3">
    <tableColumn id="1" name="dBm" dataDxfId="74">
      <calculatedColumnFormula>O5+1</calculatedColumnFormula>
    </tableColumn>
    <tableColumn id="2" name="W" dataDxfId="73">
      <calculatedColumnFormula>P5*125%</calculatedColumnFormula>
    </tableColumn>
    <tableColumn id="3" name="diff" dataDxfId="72">
      <calculatedColumnFormula>K6-P6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5:J19" totalsRowShown="0" headerRowDxfId="71" dataDxfId="70">
  <autoFilter ref="A5:J19"/>
  <tableColumns count="10">
    <tableColumn id="1" name="KHPA" dataDxfId="69"/>
    <tableColumn id="2" name="TS" dataDxfId="68"/>
    <tableColumn id="3" name="Uplink Frequency" dataDxfId="67"/>
    <tableColumn id="4" name="POL TX" dataDxfId="66"/>
    <tableColumn id="5" name="Downlink Frequency" dataDxfId="65"/>
    <tableColumn id="6" name="L Band Signal" dataDxfId="64"/>
    <tableColumn id="7" name="MOD /FEC" dataDxfId="63"/>
    <tableColumn id="9" name="Roll OF Factor" dataDxfId="62"/>
    <tableColumn id="8" name="SR" dataDxfId="61"/>
    <tableColumn id="10" name="Services" dataDxfId="60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id="5" name="Table5" displayName="Table5" ref="A1:O86" totalsRowShown="0">
  <autoFilter ref="A1:O86"/>
  <tableColumns count="15">
    <tableColumn id="1" name="Sno." dataDxfId="59"/>
    <tableColumn id="2" name="Name"/>
    <tableColumn id="3" name="Network Group"/>
    <tableColumn id="4" name="Online"/>
    <tableColumn id="5" name="Maintenance Mode"/>
    <tableColumn id="6" name="Desired Software Version"/>
    <tableColumn id="7" name="Software Version on Device"/>
    <tableColumn id="8" name="Network Address"/>
    <tableColumn id="9" name="Physical Address"/>
    <tableColumn id="10" name="Subnet Mask"/>
    <tableColumn id="11" name="Default Gateway"/>
    <tableColumn id="12" name="HHP Multicast IP Address"/>
    <tableColumn id="13" name="HHP Packet TTL"/>
    <tableColumn id="14" name="TFTP Server"/>
    <tableColumn id="15" name="IGMP Version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id="1" name="Table1" displayName="Table1" ref="A1:L41" totalsRowShown="0" headerRowDxfId="58" dataDxfId="57">
  <autoFilter ref="A1:L41"/>
  <tableColumns count="12">
    <tableColumn id="1" name="Device Name" dataDxfId="56"/>
    <tableColumn id="2" name="Network Group" dataDxfId="55"/>
    <tableColumn id="3" name="Card Name" dataDxfId="54"/>
    <tableColumn id="4" name="Name" dataDxfId="53"/>
    <tableColumn id="5" name="Primary Network Address" dataDxfId="52"/>
    <tableColumn id="6" name="Primary Subnet Mask" dataDxfId="51"/>
    <tableColumn id="7" name="Primary Default Gateway" dataDxfId="50"/>
    <tableColumn id="8" name="Backup Network Address" dataDxfId="49"/>
    <tableColumn id="9" name="Backup Subnet Mask" dataDxfId="48"/>
    <tableColumn id="10" name="Backup Defalt Gateway" dataDxfId="47"/>
    <tableColumn id="11" name="Redundancy" dataDxfId="46"/>
    <tableColumn id="12" name="Redundancy Mode" dataDxfId="45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id="4" name="Table4" displayName="Table4" ref="A1:F25" totalsRowShown="0" headerRowDxfId="44" dataDxfId="43">
  <autoFilter ref="A1:F25"/>
  <sortState ref="A2:F17">
    <sortCondition ref="A1:A17"/>
  </sortState>
  <tableColumns count="6">
    <tableColumn id="1" name="Device Name" dataDxfId="42"/>
    <tableColumn id="2" name="Network Group" dataDxfId="41"/>
    <tableColumn id="3" name="Card Name" dataDxfId="40"/>
    <tableColumn id="4" name="Name" dataDxfId="39"/>
    <tableColumn id="5" name="Online" dataDxfId="38"/>
    <tableColumn id="6" name="Port Direction" dataDxfId="37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id="3" name="Table3" displayName="Table3" ref="A1:F205" totalsRowShown="0">
  <autoFilter ref="A1:F205"/>
  <sortState ref="A2:F197">
    <sortCondition ref="D1:D197"/>
  </sortState>
  <tableColumns count="6">
    <tableColumn id="1" name="Cross Connect"/>
    <tableColumn id="2" name="Network Group"/>
    <tableColumn id="3" name="Service"/>
    <tableColumn id="4" name="Upstream Device"/>
    <tableColumn id="6" name="Multicast IP"/>
    <tableColumn id="7" name="Multicast Port" dataDxfId="36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id="2" name="Table2" displayName="Table2" ref="A4:AD375" totalsRowShown="0" headerRowDxfId="35" dataDxfId="34">
  <autoFilter ref="A4:AD375">
    <filterColumn colId="1">
      <filters>
        <filter val="224.12.1.106"/>
        <filter val="224.12.1.107"/>
        <filter val="224.12.1.109"/>
        <filter val="224.12.1.110"/>
        <filter val="224.12.1.112"/>
        <filter val="224.12.1.114"/>
        <filter val="224.12.1.115"/>
        <filter val="224.12.1.117"/>
        <filter val="224.12.1.118"/>
        <filter val="224.12.1.119"/>
        <filter val="224.12.1.121"/>
        <filter val="224.12.1.122"/>
        <filter val="224.12.1.123"/>
        <filter val="224.12.1.124"/>
        <filter val="224.12.1.125"/>
        <filter val="224.12.1.128"/>
        <filter val="224.12.1.131"/>
        <filter val="224.12.1.132"/>
        <filter val="224.12.1.134"/>
        <filter val="224.12.1.135"/>
        <filter val="224.12.1.136"/>
        <filter val="224.12.1.137"/>
        <filter val="224.12.1.138"/>
        <filter val="224.12.1.139"/>
        <filter val="224.12.1.140"/>
        <filter val="224.12.1.141"/>
        <filter val="224.12.1.142"/>
        <filter val="224.12.1.143"/>
        <filter val="224.12.1.144"/>
        <filter val="224.12.1.145"/>
        <filter val="224.12.1.146"/>
        <filter val="224.12.1.148"/>
        <filter val="224.12.1.149"/>
        <filter val="224.12.1.150"/>
        <filter val="224.12.1.151"/>
        <filter val="224.12.1.152"/>
        <filter val="224.12.1.153"/>
        <filter val="224.12.1.154"/>
        <filter val="224.12.1.155"/>
        <filter val="224.12.1.156"/>
        <filter val="224.12.1.158"/>
        <filter val="224.12.1.159"/>
        <filter val="224.12.1.162"/>
        <filter val="224.12.1.163"/>
        <filter val="224.12.1.164"/>
        <filter val="224.12.1.165"/>
        <filter val="224.12.1.167"/>
        <filter val="224.12.1.168"/>
        <filter val="224.12.1.170"/>
        <filter val="224.12.1.171"/>
        <filter val="224.12.1.172"/>
        <filter val="224.12.1.173"/>
        <filter val="224.12.1.174"/>
        <filter val="224.12.1.175"/>
        <filter val="224.12.1.176"/>
        <filter val="224.12.1.177"/>
        <filter val="224.12.1.179"/>
        <filter val="224.12.1.180"/>
        <filter val="224.12.1.182"/>
        <filter val="224.12.1.185"/>
        <filter val="224.12.1.186"/>
        <filter val="224.12.1.187"/>
        <filter val="224.12.1.188"/>
        <filter val="224.12.1.189"/>
        <filter val="224.12.1.191"/>
        <filter val="224.12.1.192"/>
        <filter val="224.12.1.193"/>
        <filter val="224.12.1.194"/>
        <filter val="224.12.1.195"/>
        <filter val="224.12.1.196"/>
        <filter val="224.12.1.197"/>
        <filter val="224.12.1.198"/>
        <filter val="224.12.1.199"/>
        <filter val="224.12.1.200"/>
        <filter val="224.12.1.201"/>
        <filter val="224.12.1.202"/>
        <filter val="224.12.1.203"/>
        <filter val="224.12.1.204"/>
        <filter val="224.12.1.205"/>
        <filter val="224.12.1.206"/>
        <filter val="224.12.1.207"/>
        <filter val="224.12.1.208"/>
        <filter val="224.12.1.209"/>
        <filter val="224.12.1.210"/>
        <filter val="224.12.1.211"/>
        <filter val="224.12.1.213"/>
        <filter val="224.12.1.216"/>
        <filter val="224.12.1.217"/>
        <filter val="224.12.1.220"/>
        <filter val="224.12.1.222"/>
        <filter val="224.12.1.223"/>
        <filter val="224.12.1.236"/>
        <filter val="224.12.1.237"/>
        <filter val="224.12.1.238"/>
        <filter val="224.12.1.240"/>
        <filter val="224.12.1.241"/>
        <filter val="224.12.1.248"/>
        <filter val="224.12.1.249"/>
        <filter val="224.12.1.250"/>
        <filter val="224.12.1.252"/>
        <filter val="239.4.1.14"/>
        <filter val="239.4.1.202"/>
        <filter val="239.4.1.204"/>
        <filter val="239.4.1.207"/>
        <filter val="239.4.1.210"/>
        <filter val="239.4.1.211"/>
        <filter val="239.4.1.212"/>
        <filter val="239.4.1.213"/>
        <filter val="239.4.1.214"/>
        <filter val="239.4.1.215"/>
        <filter val="239.4.1.216"/>
        <filter val="239.4.1.217"/>
        <filter val="239.4.1.218"/>
        <filter val="239.4.1.219"/>
        <filter val="239.4.1.220"/>
        <filter val="239.4.1.221"/>
        <filter val="239.4.1.222"/>
        <filter val="239.4.1.223"/>
        <filter val="239.4.1.225"/>
        <filter val="239.4.1.226"/>
        <filter val="239.4.1.227"/>
        <filter val="239.4.1.228"/>
        <filter val="239.4.1.229"/>
        <filter val="239.4.1.230"/>
        <filter val="239.4.1.231"/>
        <filter val="239.4.1.232"/>
        <filter val="239.4.1.233"/>
        <filter val="239.4.1.33"/>
        <filter val="239.4.1.35"/>
        <filter val="239.4.1.41"/>
        <filter val="239.4.1.43"/>
        <filter val="239.4.1.44"/>
        <filter val="239.4.1224"/>
        <filter val="239.5.1.1"/>
        <filter val="239.5.1.11"/>
        <filter val="239.5.1.12"/>
        <filter val="239.5.1.2"/>
        <filter val="239.5.1.21"/>
        <filter val="239.5.1.22"/>
        <filter val="239.5.1.23"/>
        <filter val="239.5.1.24"/>
        <filter val="239.5.1.3"/>
        <filter val="239.5.1.4"/>
        <filter val="239.5.1.5"/>
        <filter val="239.5.1.6"/>
        <filter val="239.5.1.8"/>
        <filter val="239.5.1.9"/>
      </filters>
    </filterColumn>
  </autoFilter>
  <sortState ref="A8:AD374">
    <sortCondition ref="D8"/>
  </sortState>
  <tableColumns count="30">
    <tableColumn id="1" name="Sno." dataDxfId="33"/>
    <tableColumn id="2" name="Multicast" dataDxfId="32"/>
    <tableColumn id="26" name="Port" dataDxfId="31"/>
    <tableColumn id="3" name="Channel Name" dataDxfId="30"/>
    <tableColumn id="4" name="LCN ID" dataDxfId="29"/>
    <tableColumn id="5" name="DR TS" dataDxfId="28"/>
    <tableColumn id="6" name="TS Manesar" dataDxfId="27"/>
    <tableColumn id="22" name="Genre" dataDxfId="26"/>
    <tableColumn id="21" name="Language" dataDxfId="25"/>
    <tableColumn id="11" name="Source" dataDxfId="24"/>
    <tableColumn id="12" name="Path" dataDxfId="23"/>
    <tableColumn id="23" name="MSR SRC" dataDxfId="22"/>
    <tableColumn id="31" name="FTA/Encrypted" dataDxfId="21"/>
    <tableColumn id="16" name="Satellite" dataDxfId="20"/>
    <tableColumn id="15" name="Ant/Pol" dataDxfId="19"/>
    <tableColumn id="14" name="Frequency" dataDxfId="18"/>
    <tableColumn id="7" name="Provider" dataDxfId="17"/>
    <tableColumn id="10" name="Service ID" dataDxfId="16"/>
    <tableColumn id="30" name="PMT" dataDxfId="15"/>
    <tableColumn id="25" name="Video PID" dataDxfId="14">
      <calculatedColumnFormula>IF(Table2[[#This Row],[PMT]]="NA","NA",Table2[[#This Row],[PMT]]+1)</calculatedColumnFormula>
    </tableColumn>
    <tableColumn id="29" name="Audio PID" dataDxfId="13">
      <calculatedColumnFormula>IF(Table2[[#This Row],[PMT]]="NA","NA",Table2[[#This Row],[PMT]]+2)</calculatedColumnFormula>
    </tableColumn>
    <tableColumn id="20" name="Const" dataDxfId="12"/>
    <tableColumn id="28" name="ECM P1" dataDxfId="11">
      <calculatedColumnFormula>IF(Table2[[#This Row],[PMT]]="NA","NA",Table2[[#This Row],[PMT]]+8)-Table2[[#This Row],[Const]]</calculatedColumnFormula>
    </tableColumn>
    <tableColumn id="18" name="Access Criteria1" dataDxfId="10">
      <calculatedColumnFormula>IF(W5="NA","",CONCATENATE("0B 04 00 ",DEC2HEX($G5,2)," ",LEFT(DEC2HEX(W5,4),2)," ",RIGHT(DEC2HEX(W5,4),2)))</calculatedColumnFormula>
    </tableColumn>
    <tableColumn id="27" name="ECM P2" dataDxfId="9">
      <calculatedColumnFormula>IF(Table2[[#This Row],[PMT]]="NA","NA",Table2[[#This Row],[PMT]]+14)-Table2[[#This Row],[Const]]</calculatedColumnFormula>
    </tableColumn>
    <tableColumn id="19" name="Access Criteria2" dataDxfId="8">
      <calculatedColumnFormula>IF(Y5="NA","",CONCATENATE("0B 04 00 ",DEC2HEX($G5,2)," ",LEFT(DEC2HEX(Y5,4),2)," ",RIGHT(DEC2HEX(Y5,4),2)))</calculatedColumnFormula>
    </tableColumn>
    <tableColumn id="8" name="Category" dataDxfId="7"/>
    <tableColumn id="9" name="Language2" dataDxfId="6"/>
    <tableColumn id="13" name="SR" dataDxfId="5"/>
    <tableColumn id="17" name="Management" dataDxfId="4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id="11" name="Table11" displayName="Table11" ref="AM4:AN11" totalsRowShown="0" headerRowDxfId="3" dataDxfId="2">
  <autoFilter ref="AM4:AN11"/>
  <tableColumns count="2">
    <tableColumn id="1" name="Ref" dataDxfId="1"/>
    <tableColumn id="2" name="V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zoomScale="80" zoomScaleNormal="80"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13.28515625" bestFit="1" customWidth="1"/>
    <col min="2" max="2" width="49.5703125" bestFit="1" customWidth="1"/>
    <col min="6" max="6" width="25.140625" bestFit="1" customWidth="1"/>
  </cols>
  <sheetData>
    <row r="1" spans="1:6" x14ac:dyDescent="0.25">
      <c r="A1" s="9" t="s">
        <v>859</v>
      </c>
      <c r="B1" s="9" t="s">
        <v>860</v>
      </c>
      <c r="C1" s="11" t="s">
        <v>1049</v>
      </c>
      <c r="D1" s="9" t="s">
        <v>1020</v>
      </c>
      <c r="E1" s="11" t="s">
        <v>860</v>
      </c>
      <c r="F1" s="9" t="str">
        <f>IF(D1&lt;&gt;"",VLOOKUP(D1,A:B,2,0),"")</f>
        <v>Conditional Access Table</v>
      </c>
    </row>
    <row r="2" spans="1:6" x14ac:dyDescent="0.25">
      <c r="A2" t="s">
        <v>861</v>
      </c>
      <c r="B2" t="s">
        <v>862</v>
      </c>
    </row>
    <row r="3" spans="1:6" x14ac:dyDescent="0.25">
      <c r="A3" t="s">
        <v>863</v>
      </c>
      <c r="B3" t="s">
        <v>864</v>
      </c>
    </row>
    <row r="4" spans="1:6" x14ac:dyDescent="0.25">
      <c r="A4" t="s">
        <v>865</v>
      </c>
      <c r="B4" t="s">
        <v>866</v>
      </c>
    </row>
    <row r="5" spans="1:6" x14ac:dyDescent="0.25">
      <c r="A5" t="s">
        <v>873</v>
      </c>
      <c r="B5" t="s">
        <v>874</v>
      </c>
    </row>
    <row r="6" spans="1:6" x14ac:dyDescent="0.25">
      <c r="A6" s="10" t="s">
        <v>867</v>
      </c>
      <c r="B6" s="10" t="s">
        <v>868</v>
      </c>
    </row>
    <row r="7" spans="1:6" x14ac:dyDescent="0.25">
      <c r="A7" t="s">
        <v>869</v>
      </c>
      <c r="B7" t="s">
        <v>870</v>
      </c>
    </row>
    <row r="8" spans="1:6" x14ac:dyDescent="0.25">
      <c r="A8" t="s">
        <v>871</v>
      </c>
      <c r="B8" t="s">
        <v>872</v>
      </c>
    </row>
    <row r="9" spans="1:6" x14ac:dyDescent="0.25">
      <c r="A9" s="10" t="s">
        <v>875</v>
      </c>
      <c r="B9" s="10" t="s">
        <v>876</v>
      </c>
    </row>
    <row r="10" spans="1:6" x14ac:dyDescent="0.25">
      <c r="A10" t="s">
        <v>877</v>
      </c>
      <c r="B10" t="s">
        <v>878</v>
      </c>
    </row>
    <row r="11" spans="1:6" x14ac:dyDescent="0.25">
      <c r="A11" t="s">
        <v>879</v>
      </c>
      <c r="B11" t="s">
        <v>880</v>
      </c>
    </row>
    <row r="12" spans="1:6" x14ac:dyDescent="0.25">
      <c r="A12" s="10" t="s">
        <v>881</v>
      </c>
      <c r="B12" s="10" t="s">
        <v>882</v>
      </c>
    </row>
    <row r="13" spans="1:6" x14ac:dyDescent="0.25">
      <c r="A13" t="s">
        <v>883</v>
      </c>
      <c r="B13" t="s">
        <v>884</v>
      </c>
    </row>
    <row r="14" spans="1:6" x14ac:dyDescent="0.25">
      <c r="A14" t="s">
        <v>885</v>
      </c>
      <c r="B14" t="s">
        <v>886</v>
      </c>
    </row>
    <row r="15" spans="1:6" x14ac:dyDescent="0.25">
      <c r="A15" s="10" t="s">
        <v>887</v>
      </c>
      <c r="B15" s="10" t="s">
        <v>888</v>
      </c>
    </row>
    <row r="16" spans="1:6" x14ac:dyDescent="0.25">
      <c r="A16" t="s">
        <v>889</v>
      </c>
      <c r="B16" t="s">
        <v>890</v>
      </c>
    </row>
    <row r="17" spans="1:2" x14ac:dyDescent="0.25">
      <c r="A17" s="10" t="s">
        <v>891</v>
      </c>
      <c r="B17" s="10" t="s">
        <v>892</v>
      </c>
    </row>
    <row r="18" spans="1:2" x14ac:dyDescent="0.25">
      <c r="A18" t="s">
        <v>1020</v>
      </c>
      <c r="B18" t="s">
        <v>1023</v>
      </c>
    </row>
    <row r="19" spans="1:2" x14ac:dyDescent="0.25">
      <c r="A19" t="s">
        <v>893</v>
      </c>
      <c r="B19" t="s">
        <v>894</v>
      </c>
    </row>
    <row r="20" spans="1:2" x14ac:dyDescent="0.25">
      <c r="A20" s="10" t="s">
        <v>895</v>
      </c>
      <c r="B20" s="10" t="s">
        <v>896</v>
      </c>
    </row>
    <row r="21" spans="1:2" x14ac:dyDescent="0.25">
      <c r="A21" s="10" t="s">
        <v>897</v>
      </c>
      <c r="B21" s="10" t="s">
        <v>898</v>
      </c>
    </row>
    <row r="22" spans="1:2" x14ac:dyDescent="0.25">
      <c r="A22" t="s">
        <v>899</v>
      </c>
      <c r="B22" t="s">
        <v>900</v>
      </c>
    </row>
    <row r="23" spans="1:2" x14ac:dyDescent="0.25">
      <c r="A23" s="10" t="s">
        <v>901</v>
      </c>
      <c r="B23" s="10" t="s">
        <v>902</v>
      </c>
    </row>
    <row r="24" spans="1:2" x14ac:dyDescent="0.25">
      <c r="A24" s="10" t="s">
        <v>903</v>
      </c>
      <c r="B24" s="10" t="s">
        <v>904</v>
      </c>
    </row>
    <row r="25" spans="1:2" x14ac:dyDescent="0.25">
      <c r="A25" s="10" t="s">
        <v>905</v>
      </c>
      <c r="B25" s="10" t="s">
        <v>906</v>
      </c>
    </row>
    <row r="26" spans="1:2" x14ac:dyDescent="0.25">
      <c r="A26" t="s">
        <v>907</v>
      </c>
      <c r="B26" t="s">
        <v>908</v>
      </c>
    </row>
    <row r="27" spans="1:2" x14ac:dyDescent="0.25">
      <c r="A27" t="s">
        <v>909</v>
      </c>
      <c r="B27" t="s">
        <v>910</v>
      </c>
    </row>
    <row r="28" spans="1:2" x14ac:dyDescent="0.25">
      <c r="A28" t="s">
        <v>911</v>
      </c>
      <c r="B28" t="s">
        <v>912</v>
      </c>
    </row>
    <row r="29" spans="1:2" x14ac:dyDescent="0.25">
      <c r="A29" s="10" t="s">
        <v>913</v>
      </c>
      <c r="B29" s="10" t="s">
        <v>914</v>
      </c>
    </row>
    <row r="30" spans="1:2" x14ac:dyDescent="0.25">
      <c r="A30" s="10" t="s">
        <v>915</v>
      </c>
      <c r="B30" s="10" t="s">
        <v>916</v>
      </c>
    </row>
    <row r="31" spans="1:2" x14ac:dyDescent="0.25">
      <c r="A31" t="s">
        <v>917</v>
      </c>
      <c r="B31" t="s">
        <v>918</v>
      </c>
    </row>
    <row r="32" spans="1:2" x14ac:dyDescent="0.25">
      <c r="A32" s="10" t="s">
        <v>919</v>
      </c>
      <c r="B32" s="10" t="s">
        <v>920</v>
      </c>
    </row>
    <row r="33" spans="1:2" x14ac:dyDescent="0.25">
      <c r="A33" t="s">
        <v>921</v>
      </c>
      <c r="B33" t="s">
        <v>922</v>
      </c>
    </row>
    <row r="34" spans="1:2" x14ac:dyDescent="0.25">
      <c r="A34" s="10" t="s">
        <v>923</v>
      </c>
      <c r="B34" s="10" t="s">
        <v>924</v>
      </c>
    </row>
    <row r="35" spans="1:2" x14ac:dyDescent="0.25">
      <c r="A35" t="s">
        <v>925</v>
      </c>
      <c r="B35" t="s">
        <v>926</v>
      </c>
    </row>
    <row r="36" spans="1:2" x14ac:dyDescent="0.25">
      <c r="A36" t="s">
        <v>927</v>
      </c>
      <c r="B36" t="s">
        <v>928</v>
      </c>
    </row>
    <row r="37" spans="1:2" x14ac:dyDescent="0.25">
      <c r="A37" t="s">
        <v>929</v>
      </c>
      <c r="B37" t="s">
        <v>930</v>
      </c>
    </row>
    <row r="38" spans="1:2" x14ac:dyDescent="0.25">
      <c r="A38" t="s">
        <v>931</v>
      </c>
      <c r="B38" t="s">
        <v>932</v>
      </c>
    </row>
    <row r="39" spans="1:2" x14ac:dyDescent="0.25">
      <c r="A39" t="s">
        <v>933</v>
      </c>
      <c r="B39" t="s">
        <v>934</v>
      </c>
    </row>
    <row r="40" spans="1:2" x14ac:dyDescent="0.25">
      <c r="A40" t="s">
        <v>935</v>
      </c>
      <c r="B40" t="s">
        <v>936</v>
      </c>
    </row>
    <row r="41" spans="1:2" x14ac:dyDescent="0.25">
      <c r="A41" t="s">
        <v>937</v>
      </c>
      <c r="B41" t="s">
        <v>938</v>
      </c>
    </row>
    <row r="42" spans="1:2" x14ac:dyDescent="0.25">
      <c r="A42" t="s">
        <v>939</v>
      </c>
      <c r="B42" t="s">
        <v>940</v>
      </c>
    </row>
    <row r="43" spans="1:2" x14ac:dyDescent="0.25">
      <c r="A43" t="s">
        <v>941</v>
      </c>
      <c r="B43" t="s">
        <v>942</v>
      </c>
    </row>
    <row r="44" spans="1:2" x14ac:dyDescent="0.25">
      <c r="A44" t="s">
        <v>943</v>
      </c>
      <c r="B44" t="s">
        <v>944</v>
      </c>
    </row>
    <row r="45" spans="1:2" x14ac:dyDescent="0.25">
      <c r="A45" t="s">
        <v>945</v>
      </c>
      <c r="B45" t="s">
        <v>946</v>
      </c>
    </row>
    <row r="46" spans="1:2" x14ac:dyDescent="0.25">
      <c r="A46" t="s">
        <v>947</v>
      </c>
      <c r="B46" t="s">
        <v>948</v>
      </c>
    </row>
    <row r="47" spans="1:2" x14ac:dyDescent="0.25">
      <c r="A47" t="s">
        <v>949</v>
      </c>
      <c r="B47" t="s">
        <v>950</v>
      </c>
    </row>
    <row r="48" spans="1:2" x14ac:dyDescent="0.25">
      <c r="A48" t="s">
        <v>951</v>
      </c>
      <c r="B48" t="s">
        <v>952</v>
      </c>
    </row>
    <row r="49" spans="1:2" x14ac:dyDescent="0.25">
      <c r="A49" t="s">
        <v>953</v>
      </c>
      <c r="B49" t="s">
        <v>954</v>
      </c>
    </row>
    <row r="50" spans="1:2" x14ac:dyDescent="0.25">
      <c r="A50" t="s">
        <v>955</v>
      </c>
      <c r="B50" t="s">
        <v>956</v>
      </c>
    </row>
    <row r="51" spans="1:2" x14ac:dyDescent="0.25">
      <c r="A51" t="s">
        <v>1022</v>
      </c>
      <c r="B51" t="s">
        <v>1025</v>
      </c>
    </row>
    <row r="52" spans="1:2" x14ac:dyDescent="0.25">
      <c r="A52" t="s">
        <v>957</v>
      </c>
      <c r="B52" t="s">
        <v>958</v>
      </c>
    </row>
    <row r="53" spans="1:2" x14ac:dyDescent="0.25">
      <c r="A53" t="s">
        <v>959</v>
      </c>
      <c r="B53" t="s">
        <v>960</v>
      </c>
    </row>
    <row r="54" spans="1:2" x14ac:dyDescent="0.25">
      <c r="A54" t="s">
        <v>961</v>
      </c>
      <c r="B54" t="s">
        <v>962</v>
      </c>
    </row>
    <row r="55" spans="1:2" x14ac:dyDescent="0.25">
      <c r="A55" t="s">
        <v>963</v>
      </c>
      <c r="B55" t="s">
        <v>956</v>
      </c>
    </row>
    <row r="56" spans="1:2" x14ac:dyDescent="0.25">
      <c r="A56" t="s">
        <v>964</v>
      </c>
      <c r="B56" t="s">
        <v>965</v>
      </c>
    </row>
    <row r="57" spans="1:2" x14ac:dyDescent="0.25">
      <c r="A57" t="s">
        <v>966</v>
      </c>
      <c r="B57" t="s">
        <v>967</v>
      </c>
    </row>
    <row r="58" spans="1:2" x14ac:dyDescent="0.25">
      <c r="A58" t="s">
        <v>968</v>
      </c>
      <c r="B58" t="s">
        <v>969</v>
      </c>
    </row>
    <row r="59" spans="1:2" x14ac:dyDescent="0.25">
      <c r="A59" t="s">
        <v>1018</v>
      </c>
      <c r="B59" t="s">
        <v>1019</v>
      </c>
    </row>
    <row r="60" spans="1:2" x14ac:dyDescent="0.25">
      <c r="A60" t="s">
        <v>970</v>
      </c>
      <c r="B60" t="s">
        <v>971</v>
      </c>
    </row>
    <row r="61" spans="1:2" x14ac:dyDescent="0.25">
      <c r="A61" t="s">
        <v>972</v>
      </c>
      <c r="B61" t="s">
        <v>973</v>
      </c>
    </row>
    <row r="62" spans="1:2" x14ac:dyDescent="0.25">
      <c r="A62" t="s">
        <v>1021</v>
      </c>
      <c r="B62" t="s">
        <v>1024</v>
      </c>
    </row>
    <row r="63" spans="1:2" x14ac:dyDescent="0.25">
      <c r="A63" t="s">
        <v>974</v>
      </c>
      <c r="B63" t="s">
        <v>975</v>
      </c>
    </row>
    <row r="64" spans="1:2" x14ac:dyDescent="0.25">
      <c r="A64" t="s">
        <v>976</v>
      </c>
      <c r="B64" t="s">
        <v>977</v>
      </c>
    </row>
    <row r="65" spans="1:2" x14ac:dyDescent="0.25">
      <c r="A65" t="s">
        <v>978</v>
      </c>
      <c r="B65" t="s">
        <v>979</v>
      </c>
    </row>
    <row r="66" spans="1:2" x14ac:dyDescent="0.25">
      <c r="A66" t="s">
        <v>980</v>
      </c>
      <c r="B66" t="s">
        <v>981</v>
      </c>
    </row>
    <row r="67" spans="1:2" x14ac:dyDescent="0.25">
      <c r="A67" t="s">
        <v>982</v>
      </c>
      <c r="B67" t="s">
        <v>983</v>
      </c>
    </row>
    <row r="68" spans="1:2" x14ac:dyDescent="0.25">
      <c r="A68" t="s">
        <v>984</v>
      </c>
      <c r="B68" t="s">
        <v>985</v>
      </c>
    </row>
    <row r="69" spans="1:2" x14ac:dyDescent="0.25">
      <c r="A69" t="s">
        <v>986</v>
      </c>
      <c r="B69" t="s">
        <v>987</v>
      </c>
    </row>
    <row r="70" spans="1:2" x14ac:dyDescent="0.25">
      <c r="A70" t="s">
        <v>988</v>
      </c>
      <c r="B70" t="s">
        <v>989</v>
      </c>
    </row>
    <row r="71" spans="1:2" x14ac:dyDescent="0.25">
      <c r="A71" t="s">
        <v>990</v>
      </c>
      <c r="B71" t="s">
        <v>991</v>
      </c>
    </row>
    <row r="72" spans="1:2" x14ac:dyDescent="0.25">
      <c r="A72" t="s">
        <v>992</v>
      </c>
      <c r="B72" t="s">
        <v>993</v>
      </c>
    </row>
    <row r="73" spans="1:2" x14ac:dyDescent="0.25">
      <c r="A73" t="s">
        <v>994</v>
      </c>
      <c r="B73" t="s">
        <v>995</v>
      </c>
    </row>
    <row r="74" spans="1:2" x14ac:dyDescent="0.25">
      <c r="A74" t="s">
        <v>996</v>
      </c>
      <c r="B74" t="s">
        <v>997</v>
      </c>
    </row>
    <row r="75" spans="1:2" x14ac:dyDescent="0.25">
      <c r="A75" t="s">
        <v>998</v>
      </c>
      <c r="B75" t="s">
        <v>999</v>
      </c>
    </row>
    <row r="76" spans="1:2" x14ac:dyDescent="0.25">
      <c r="A76" t="s">
        <v>1000</v>
      </c>
      <c r="B76" t="s">
        <v>1001</v>
      </c>
    </row>
    <row r="77" spans="1:2" x14ac:dyDescent="0.25">
      <c r="A77" t="s">
        <v>1002</v>
      </c>
      <c r="B77" t="s">
        <v>1003</v>
      </c>
    </row>
    <row r="78" spans="1:2" x14ac:dyDescent="0.25">
      <c r="A78" t="s">
        <v>1004</v>
      </c>
      <c r="B78" t="s">
        <v>1005</v>
      </c>
    </row>
    <row r="79" spans="1:2" x14ac:dyDescent="0.25">
      <c r="A79" t="s">
        <v>1006</v>
      </c>
      <c r="B79" t="s">
        <v>1007</v>
      </c>
    </row>
    <row r="80" spans="1:2" x14ac:dyDescent="0.25">
      <c r="A80" t="s">
        <v>1008</v>
      </c>
      <c r="B80" t="s">
        <v>1009</v>
      </c>
    </row>
    <row r="81" spans="1:2" x14ac:dyDescent="0.25">
      <c r="A81" t="s">
        <v>1010</v>
      </c>
      <c r="B81" t="s">
        <v>1011</v>
      </c>
    </row>
    <row r="82" spans="1:2" x14ac:dyDescent="0.25">
      <c r="A82" t="s">
        <v>1012</v>
      </c>
      <c r="B82" t="s">
        <v>1013</v>
      </c>
    </row>
    <row r="83" spans="1:2" x14ac:dyDescent="0.25">
      <c r="A83" t="s">
        <v>1014</v>
      </c>
      <c r="B83" t="s">
        <v>1015</v>
      </c>
    </row>
    <row r="84" spans="1:2" x14ac:dyDescent="0.25">
      <c r="A84" t="s">
        <v>1016</v>
      </c>
      <c r="B84" t="s">
        <v>1017</v>
      </c>
    </row>
  </sheetData>
  <sortState ref="A2:B84">
    <sortCondition ref="A57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>
      <selection activeCell="K1" sqref="K1"/>
    </sheetView>
  </sheetViews>
  <sheetFormatPr defaultRowHeight="15" x14ac:dyDescent="0.25"/>
  <cols>
    <col min="1" max="1" width="12.85546875" style="1" bestFit="1" customWidth="1"/>
    <col min="2" max="2" width="6.28515625" style="1" bestFit="1" customWidth="1"/>
    <col min="3" max="3" width="6.42578125" style="1" bestFit="1" customWidth="1"/>
    <col min="4" max="4" width="13.42578125" style="17" bestFit="1" customWidth="1"/>
    <col min="5" max="5" width="9.140625" style="17"/>
    <col min="6" max="6" width="13.28515625" style="22" bestFit="1" customWidth="1"/>
    <col min="7" max="7" width="8.85546875" style="22" customWidth="1"/>
    <col min="8" max="8" width="8.7109375" hidden="1" customWidth="1"/>
    <col min="9" max="9" width="9.5703125" hidden="1" customWidth="1"/>
    <col min="11" max="11" width="9.5703125" style="21" bestFit="1" customWidth="1"/>
    <col min="13" max="13" width="6.5703125" customWidth="1"/>
    <col min="14" max="14" width="12.5703125" customWidth="1"/>
    <col min="15" max="15" width="10.85546875" style="2" customWidth="1"/>
    <col min="16" max="16" width="10.85546875" style="22" customWidth="1"/>
    <col min="17" max="17" width="10.85546875" style="2" customWidth="1"/>
  </cols>
  <sheetData>
    <row r="1" spans="1:19" x14ac:dyDescent="0.25">
      <c r="A1" t="s">
        <v>1289</v>
      </c>
      <c r="B1" s="17">
        <v>32</v>
      </c>
      <c r="C1" s="17">
        <f>LOG10(B1)</f>
        <v>1.505149978319906</v>
      </c>
      <c r="D1" t="s">
        <v>1300</v>
      </c>
      <c r="E1" s="17">
        <f>C1*10</f>
        <v>15.051499783199061</v>
      </c>
      <c r="F1" s="22" t="s">
        <v>1300</v>
      </c>
      <c r="J1" s="1">
        <v>50</v>
      </c>
      <c r="K1" t="s">
        <v>1311</v>
      </c>
      <c r="N1" s="25" t="s">
        <v>1312</v>
      </c>
      <c r="O1" s="2">
        <f>64+(50-30)-6</f>
        <v>78</v>
      </c>
    </row>
    <row r="2" spans="1:19" x14ac:dyDescent="0.25">
      <c r="A2" s="1" t="s">
        <v>1300</v>
      </c>
      <c r="B2" s="17">
        <v>1</v>
      </c>
      <c r="C2"/>
      <c r="D2" t="s">
        <v>1289</v>
      </c>
      <c r="E2" s="18">
        <f>POWER(10,A3)*VLOOKUP(A4,H5:I16,2,0)</f>
        <v>1.25</v>
      </c>
      <c r="F2" s="17" t="s">
        <v>1292</v>
      </c>
      <c r="G2" s="17"/>
      <c r="H2" s="17">
        <f>E2/1000</f>
        <v>1.25E-3</v>
      </c>
      <c r="J2" t="s">
        <v>1308</v>
      </c>
      <c r="L2" t="s">
        <v>1309</v>
      </c>
      <c r="M2" t="s">
        <v>1310</v>
      </c>
    </row>
    <row r="3" spans="1:19" x14ac:dyDescent="0.25">
      <c r="A3" s="19">
        <f>ROUNDDOWN(B2/10,0)</f>
        <v>0</v>
      </c>
      <c r="B3" s="19"/>
      <c r="C3" s="19"/>
      <c r="K3" s="23" t="s">
        <v>1305</v>
      </c>
    </row>
    <row r="4" spans="1:19" x14ac:dyDescent="0.25">
      <c r="A4" s="19">
        <f>MOD(B2,10)</f>
        <v>1</v>
      </c>
      <c r="B4" s="20"/>
      <c r="C4" s="20"/>
      <c r="K4" s="23" t="s">
        <v>1306</v>
      </c>
      <c r="Q4" s="2" t="s">
        <v>1304</v>
      </c>
    </row>
    <row r="5" spans="1:19" x14ac:dyDescent="0.25">
      <c r="A5" s="1" t="s">
        <v>1299</v>
      </c>
      <c r="B5" s="1" t="s">
        <v>1294</v>
      </c>
      <c r="C5" s="1" t="s">
        <v>1295</v>
      </c>
      <c r="D5" s="1" t="s">
        <v>1293</v>
      </c>
      <c r="E5" s="2" t="s">
        <v>1292</v>
      </c>
      <c r="F5" s="24" t="s">
        <v>1307</v>
      </c>
      <c r="G5" s="24"/>
      <c r="H5" s="1" t="s">
        <v>1290</v>
      </c>
      <c r="I5" s="17" t="s">
        <v>1291</v>
      </c>
      <c r="K5" s="22" t="s">
        <v>1292</v>
      </c>
      <c r="L5" s="2" t="s">
        <v>1301</v>
      </c>
      <c r="M5" s="2" t="s">
        <v>1302</v>
      </c>
      <c r="O5" s="2" t="s">
        <v>1301</v>
      </c>
      <c r="P5" s="22" t="s">
        <v>1292</v>
      </c>
      <c r="Q5" s="2" t="s">
        <v>1303</v>
      </c>
    </row>
    <row r="6" spans="1:19" x14ac:dyDescent="0.25">
      <c r="A6" s="1">
        <v>50</v>
      </c>
      <c r="B6" s="1">
        <f>ROUNDDOWN(Table9[dbw]/10,0)</f>
        <v>5</v>
      </c>
      <c r="C6" s="1">
        <f>MOD(Table9[dbw],10)</f>
        <v>0</v>
      </c>
      <c r="D6" s="18">
        <f>POWER(10,Table9[[#This Row],[a]])*VLOOKUP(Table9[[#This Row],[b]],$H$5:$I$16,2,0)</f>
        <v>100000</v>
      </c>
      <c r="E6" s="17">
        <f>Table9[[#This Row],[mW]]/1000</f>
        <v>100</v>
      </c>
      <c r="F6" s="22">
        <f>Table10[[#This Row],[W]]-Table9[[#This Row],[W]]</f>
        <v>0</v>
      </c>
      <c r="H6" s="1">
        <v>0</v>
      </c>
      <c r="I6" s="17">
        <v>1</v>
      </c>
      <c r="K6" s="22">
        <f>POWER(10,(L6/10)-3)</f>
        <v>100</v>
      </c>
      <c r="L6" s="2">
        <f>J1</f>
        <v>50</v>
      </c>
      <c r="M6" s="2">
        <f>L6-30</f>
        <v>20</v>
      </c>
      <c r="O6" s="2">
        <v>50</v>
      </c>
      <c r="P6" s="22">
        <v>100</v>
      </c>
      <c r="Q6" s="22">
        <f t="shared" ref="Q6:Q23" si="0">K6-P6</f>
        <v>0</v>
      </c>
    </row>
    <row r="7" spans="1:19" x14ac:dyDescent="0.25">
      <c r="A7" s="1">
        <f>A6+1</f>
        <v>51</v>
      </c>
      <c r="B7" s="1">
        <f>ROUNDDOWN(Table9[dbw]/10,0)</f>
        <v>5</v>
      </c>
      <c r="C7" s="1">
        <f>MOD(Table9[dbw],10)</f>
        <v>1</v>
      </c>
      <c r="D7" s="18">
        <f>POWER(10,Table9[[#This Row],[a]])*VLOOKUP(Table9[[#This Row],[b]],$H$5:$I$16,2,0)</f>
        <v>125000</v>
      </c>
      <c r="E7" s="17">
        <f>Table9[[#This Row],[mW]]/1000</f>
        <v>125</v>
      </c>
      <c r="F7" s="22">
        <f>Table10[[#This Row],[W]]-Table9[[#This Row],[W]]</f>
        <v>0.89254117941665356</v>
      </c>
      <c r="H7" s="1">
        <v>1</v>
      </c>
      <c r="I7" s="17">
        <f>10/8</f>
        <v>1.25</v>
      </c>
      <c r="K7" s="22">
        <f t="shared" ref="K7:K21" si="1">POWER(10,(L7/10)-3)</f>
        <v>125.89254117941665</v>
      </c>
      <c r="L7" s="2">
        <f>L6+1</f>
        <v>51</v>
      </c>
      <c r="M7" s="2">
        <f t="shared" ref="M7:M21" si="2">L7-30</f>
        <v>21</v>
      </c>
      <c r="O7" s="2">
        <f>O6+1</f>
        <v>51</v>
      </c>
      <c r="P7" s="22">
        <f>P6*125%</f>
        <v>125</v>
      </c>
      <c r="Q7" s="22">
        <f t="shared" si="0"/>
        <v>0.89254117941665356</v>
      </c>
    </row>
    <row r="8" spans="1:19" x14ac:dyDescent="0.25">
      <c r="A8" s="1">
        <f t="shared" ref="A8:A21" si="3">A7+1</f>
        <v>52</v>
      </c>
      <c r="B8" s="1">
        <f>ROUNDDOWN(Table9[dbw]/10,0)</f>
        <v>5</v>
      </c>
      <c r="C8" s="1">
        <f>MOD(Table9[dbw],10)</f>
        <v>2</v>
      </c>
      <c r="D8" s="18">
        <f>POWER(10,Table9[[#This Row],[a]])*VLOOKUP(Table9[[#This Row],[b]],$H$5:$I$16,2,0)</f>
        <v>160000</v>
      </c>
      <c r="E8" s="17">
        <f>Table9[[#This Row],[mW]]/1000</f>
        <v>160</v>
      </c>
      <c r="F8" s="22">
        <f>Table10[[#This Row],[W]]-Table9[[#This Row],[W]]</f>
        <v>-1.5106807538884652</v>
      </c>
      <c r="H8" s="1">
        <v>2</v>
      </c>
      <c r="I8" s="17">
        <f>16/10</f>
        <v>1.6</v>
      </c>
      <c r="K8" s="22">
        <f t="shared" si="1"/>
        <v>158.48931924611153</v>
      </c>
      <c r="L8" s="2">
        <f t="shared" ref="L8:L21" si="4">L7+1</f>
        <v>52</v>
      </c>
      <c r="M8" s="2">
        <f t="shared" si="2"/>
        <v>22</v>
      </c>
      <c r="O8" s="2">
        <f t="shared" ref="O8:O23" si="5">O7+1</f>
        <v>52</v>
      </c>
      <c r="P8" s="22">
        <f>P7*125%</f>
        <v>156.25</v>
      </c>
      <c r="Q8" s="22">
        <f t="shared" si="0"/>
        <v>2.2393192461115348</v>
      </c>
    </row>
    <row r="9" spans="1:19" x14ac:dyDescent="0.25">
      <c r="A9" s="1">
        <f t="shared" si="3"/>
        <v>53</v>
      </c>
      <c r="B9" s="1">
        <f>ROUNDDOWN(Table9[dbw]/10,0)</f>
        <v>5</v>
      </c>
      <c r="C9" s="1">
        <f>MOD(Table9[dbw],10)</f>
        <v>3</v>
      </c>
      <c r="D9" s="18">
        <f>POWER(10,Table9[[#This Row],[a]])*VLOOKUP(Table9[[#This Row],[b]],$H$5:$I$16,2,0)</f>
        <v>200000</v>
      </c>
      <c r="E9" s="17">
        <f>Table9[[#This Row],[mW]]/1000</f>
        <v>200</v>
      </c>
      <c r="F9" s="22">
        <f>Table10[[#This Row],[W]]-Table9[[#This Row],[W]]</f>
        <v>-0.47376850311198382</v>
      </c>
      <c r="H9" s="1">
        <v>3</v>
      </c>
      <c r="I9" s="17">
        <f>2</f>
        <v>2</v>
      </c>
      <c r="K9" s="22">
        <f t="shared" si="1"/>
        <v>199.52623149688802</v>
      </c>
      <c r="L9" s="2">
        <f t="shared" si="4"/>
        <v>53</v>
      </c>
      <c r="M9" s="2">
        <f t="shared" si="2"/>
        <v>23</v>
      </c>
      <c r="O9" s="2">
        <f t="shared" si="5"/>
        <v>53</v>
      </c>
      <c r="P9" s="22">
        <f t="shared" ref="P9:P23" si="6">P8*125%</f>
        <v>195.3125</v>
      </c>
      <c r="Q9" s="22">
        <f t="shared" si="0"/>
        <v>4.2137314968880162</v>
      </c>
      <c r="S9" s="21"/>
    </row>
    <row r="10" spans="1:19" x14ac:dyDescent="0.25">
      <c r="A10" s="1">
        <f t="shared" si="3"/>
        <v>54</v>
      </c>
      <c r="B10" s="1">
        <f>ROUNDDOWN(Table9[dbw]/10,0)</f>
        <v>5</v>
      </c>
      <c r="C10" s="1">
        <f>MOD(Table9[dbw],10)</f>
        <v>4</v>
      </c>
      <c r="D10" s="18">
        <f>POWER(10,Table9[[#This Row],[a]])*VLOOKUP(Table9[[#This Row],[b]],$H$5:$I$16,2,0)</f>
        <v>250000</v>
      </c>
      <c r="E10" s="17">
        <f>Table9[[#This Row],[mW]]/1000</f>
        <v>250</v>
      </c>
      <c r="F10" s="22">
        <f>Table10[[#This Row],[W]]-Table9[[#This Row],[W]]</f>
        <v>1.1886431509582849</v>
      </c>
      <c r="H10" s="1">
        <v>4</v>
      </c>
      <c r="I10" s="17">
        <f>10/4</f>
        <v>2.5</v>
      </c>
      <c r="K10" s="22">
        <f t="shared" si="1"/>
        <v>251.18864315095828</v>
      </c>
      <c r="L10" s="2">
        <f t="shared" si="4"/>
        <v>54</v>
      </c>
      <c r="M10" s="2">
        <f t="shared" si="2"/>
        <v>24</v>
      </c>
      <c r="O10" s="2">
        <f t="shared" si="5"/>
        <v>54</v>
      </c>
      <c r="P10" s="22">
        <f t="shared" si="6"/>
        <v>244.140625</v>
      </c>
      <c r="Q10" s="22">
        <f t="shared" si="0"/>
        <v>7.0480181509582849</v>
      </c>
    </row>
    <row r="11" spans="1:19" x14ac:dyDescent="0.25">
      <c r="A11" s="1">
        <f t="shared" si="3"/>
        <v>55</v>
      </c>
      <c r="B11" s="1">
        <f>ROUNDDOWN(Table9[dbw]/10,0)</f>
        <v>5</v>
      </c>
      <c r="C11" s="1">
        <f>MOD(Table9[dbw],10)</f>
        <v>5</v>
      </c>
      <c r="D11" s="18">
        <f>POWER(10,Table9[[#This Row],[a]])*VLOOKUP(Table9[[#This Row],[b]],$H$5:$I$16,2,0)</f>
        <v>320000</v>
      </c>
      <c r="E11" s="17">
        <f>Table9[[#This Row],[mW]]/1000</f>
        <v>320</v>
      </c>
      <c r="F11" s="22">
        <f>Table10[[#This Row],[W]]-Table9[[#This Row],[W]]</f>
        <v>-3.7722339831617546</v>
      </c>
      <c r="H11" s="1">
        <v>5</v>
      </c>
      <c r="I11" s="17">
        <f>32/10</f>
        <v>3.2</v>
      </c>
      <c r="K11" s="22">
        <f t="shared" si="1"/>
        <v>316.22776601683825</v>
      </c>
      <c r="L11" s="2">
        <f t="shared" si="4"/>
        <v>55</v>
      </c>
      <c r="M11" s="2">
        <f t="shared" si="2"/>
        <v>25</v>
      </c>
      <c r="O11" s="2">
        <f t="shared" si="5"/>
        <v>55</v>
      </c>
      <c r="P11" s="22">
        <f t="shared" si="6"/>
        <v>305.17578125</v>
      </c>
      <c r="Q11" s="22">
        <f t="shared" si="0"/>
        <v>11.051984766838245</v>
      </c>
    </row>
    <row r="12" spans="1:19" x14ac:dyDescent="0.25">
      <c r="A12" s="1">
        <f t="shared" si="3"/>
        <v>56</v>
      </c>
      <c r="B12" s="1">
        <f>ROUNDDOWN(Table9[dbw]/10,0)</f>
        <v>5</v>
      </c>
      <c r="C12" s="1">
        <f>MOD(Table9[dbw],10)</f>
        <v>6</v>
      </c>
      <c r="D12" s="18">
        <f>POWER(10,Table9[[#This Row],[a]])*VLOOKUP(Table9[[#This Row],[b]],$H$5:$I$16,2,0)</f>
        <v>400000</v>
      </c>
      <c r="E12" s="17">
        <f>Table9[[#This Row],[mW]]/1000</f>
        <v>400</v>
      </c>
      <c r="F12" s="22">
        <f>Table10[[#This Row],[W]]-Table9[[#This Row],[W]]</f>
        <v>-1.8928294465027307</v>
      </c>
      <c r="H12" s="1">
        <v>6</v>
      </c>
      <c r="I12" s="17">
        <f>2*2</f>
        <v>4</v>
      </c>
      <c r="K12" s="22">
        <f t="shared" si="1"/>
        <v>398.10717055349727</v>
      </c>
      <c r="L12" s="2">
        <f t="shared" si="4"/>
        <v>56</v>
      </c>
      <c r="M12" s="2">
        <f t="shared" si="2"/>
        <v>26</v>
      </c>
      <c r="O12" s="2">
        <f t="shared" si="5"/>
        <v>56</v>
      </c>
      <c r="P12" s="22">
        <f t="shared" si="6"/>
        <v>381.4697265625</v>
      </c>
      <c r="Q12" s="22">
        <f t="shared" si="0"/>
        <v>16.637443990997269</v>
      </c>
    </row>
    <row r="13" spans="1:19" x14ac:dyDescent="0.25">
      <c r="A13" s="1">
        <f t="shared" si="3"/>
        <v>57</v>
      </c>
      <c r="B13" s="1">
        <f>ROUNDDOWN(Table9[dbw]/10,0)</f>
        <v>5</v>
      </c>
      <c r="C13" s="1">
        <f>MOD(Table9[dbw],10)</f>
        <v>7</v>
      </c>
      <c r="D13" s="18">
        <f>POWER(10,Table9[[#This Row],[a]])*VLOOKUP(Table9[[#This Row],[b]],$H$5:$I$16,2,0)</f>
        <v>500000</v>
      </c>
      <c r="E13" s="17">
        <f>Table9[[#This Row],[mW]]/1000</f>
        <v>500</v>
      </c>
      <c r="F13" s="22">
        <f>Table10[[#This Row],[W]]-Table9[[#This Row],[W]]</f>
        <v>1.1872336272726898</v>
      </c>
      <c r="H13" s="1">
        <v>7</v>
      </c>
      <c r="I13" s="17">
        <f>10/2</f>
        <v>5</v>
      </c>
      <c r="K13" s="22">
        <f t="shared" si="1"/>
        <v>501.18723362727269</v>
      </c>
      <c r="L13" s="2">
        <f t="shared" si="4"/>
        <v>57</v>
      </c>
      <c r="M13" s="2">
        <f t="shared" si="2"/>
        <v>27</v>
      </c>
      <c r="O13" s="2">
        <f t="shared" si="5"/>
        <v>57</v>
      </c>
      <c r="P13" s="22">
        <f t="shared" si="6"/>
        <v>476.837158203125</v>
      </c>
      <c r="Q13" s="22">
        <f t="shared" si="0"/>
        <v>24.35007542414769</v>
      </c>
    </row>
    <row r="14" spans="1:19" x14ac:dyDescent="0.25">
      <c r="A14" s="1">
        <f t="shared" si="3"/>
        <v>58</v>
      </c>
      <c r="B14" s="1">
        <f>ROUNDDOWN(Table9[dbw]/10,0)</f>
        <v>5</v>
      </c>
      <c r="C14" s="1">
        <f>MOD(Table9[dbw],10)</f>
        <v>8</v>
      </c>
      <c r="D14" s="18">
        <f>POWER(10,Table9[[#This Row],[a]])*VLOOKUP(Table9[[#This Row],[b]],$H$5:$I$16,2,0)</f>
        <v>625000</v>
      </c>
      <c r="E14" s="17">
        <f>Table9[[#This Row],[mW]]/1000</f>
        <v>625</v>
      </c>
      <c r="F14" s="22">
        <f>Table10[[#This Row],[W]]-Table9[[#This Row],[W]]</f>
        <v>5.9573444801932283</v>
      </c>
      <c r="H14" s="1">
        <v>8</v>
      </c>
      <c r="I14" s="17">
        <f>100/16</f>
        <v>6.25</v>
      </c>
      <c r="K14" s="22">
        <f t="shared" si="1"/>
        <v>630.95734448019323</v>
      </c>
      <c r="L14" s="2">
        <f t="shared" si="4"/>
        <v>58</v>
      </c>
      <c r="M14" s="2">
        <f t="shared" si="2"/>
        <v>28</v>
      </c>
      <c r="O14" s="2">
        <f t="shared" si="5"/>
        <v>58</v>
      </c>
      <c r="P14" s="22">
        <f t="shared" si="6"/>
        <v>596.04644775390625</v>
      </c>
      <c r="Q14" s="22">
        <f t="shared" si="0"/>
        <v>34.910896726286978</v>
      </c>
    </row>
    <row r="15" spans="1:19" x14ac:dyDescent="0.25">
      <c r="A15" s="1">
        <f t="shared" si="3"/>
        <v>59</v>
      </c>
      <c r="B15" s="1">
        <f>ROUNDDOWN(Table9[dbw]/10,0)</f>
        <v>5</v>
      </c>
      <c r="C15" s="1">
        <f>MOD(Table9[dbw],10)</f>
        <v>9</v>
      </c>
      <c r="D15" s="18">
        <f>POWER(10,Table9[[#This Row],[a]])*VLOOKUP(Table9[[#This Row],[b]],$H$5:$I$16,2,0)</f>
        <v>800000</v>
      </c>
      <c r="E15" s="17">
        <f>Table9[[#This Row],[mW]]/1000</f>
        <v>800</v>
      </c>
      <c r="F15" s="22">
        <f>Table10[[#This Row],[W]]-Table9[[#This Row],[W]]</f>
        <v>-5.6717652757172345</v>
      </c>
      <c r="H15" s="1">
        <v>9</v>
      </c>
      <c r="I15" s="17">
        <f>2*2*2</f>
        <v>8</v>
      </c>
      <c r="K15" s="22">
        <f t="shared" si="1"/>
        <v>794.32823472428277</v>
      </c>
      <c r="L15" s="2">
        <f t="shared" si="4"/>
        <v>59</v>
      </c>
      <c r="M15" s="2">
        <f t="shared" si="2"/>
        <v>29</v>
      </c>
      <c r="O15" s="2">
        <f t="shared" si="5"/>
        <v>59</v>
      </c>
      <c r="P15" s="22">
        <f t="shared" si="6"/>
        <v>745.05805969238281</v>
      </c>
      <c r="Q15" s="22">
        <f t="shared" si="0"/>
        <v>49.270175031899953</v>
      </c>
    </row>
    <row r="16" spans="1:19" x14ac:dyDescent="0.25">
      <c r="A16" s="1">
        <f t="shared" si="3"/>
        <v>60</v>
      </c>
      <c r="B16" s="1">
        <f>ROUNDDOWN(Table9[dbw]/10,0)</f>
        <v>6</v>
      </c>
      <c r="C16" s="1">
        <f>MOD(Table9[dbw],10)</f>
        <v>0</v>
      </c>
      <c r="D16" s="18">
        <f>POWER(10,Table9[[#This Row],[a]])*VLOOKUP(Table9[[#This Row],[b]],$H$5:$I$16,2,0)</f>
        <v>1000000</v>
      </c>
      <c r="E16" s="17">
        <f>Table9[[#This Row],[mW]]/1000</f>
        <v>1000</v>
      </c>
      <c r="F16" s="22">
        <f>Table10[[#This Row],[W]]-Table9[[#This Row],[W]]</f>
        <v>0</v>
      </c>
      <c r="H16" s="1">
        <v>10</v>
      </c>
      <c r="I16" s="17">
        <f>10</f>
        <v>10</v>
      </c>
      <c r="K16" s="22">
        <f t="shared" si="1"/>
        <v>1000</v>
      </c>
      <c r="L16" s="2">
        <f t="shared" si="4"/>
        <v>60</v>
      </c>
      <c r="M16" s="2">
        <f t="shared" si="2"/>
        <v>30</v>
      </c>
      <c r="O16" s="2">
        <f t="shared" si="5"/>
        <v>60</v>
      </c>
      <c r="P16" s="22">
        <f t="shared" si="6"/>
        <v>931.32257461547852</v>
      </c>
      <c r="Q16" s="22">
        <f t="shared" si="0"/>
        <v>68.677425384521484</v>
      </c>
    </row>
    <row r="17" spans="1:17" x14ac:dyDescent="0.25">
      <c r="A17" s="1">
        <f t="shared" si="3"/>
        <v>61</v>
      </c>
      <c r="B17" s="1">
        <f>ROUNDDOWN(Table9[dbw]/10,0)</f>
        <v>6</v>
      </c>
      <c r="C17" s="1">
        <f>MOD(Table9[dbw],10)</f>
        <v>1</v>
      </c>
      <c r="D17" s="18">
        <f>POWER(10,Table9[[#This Row],[a]])*VLOOKUP(Table9[[#This Row],[b]],$H$5:$I$16,2,0)</f>
        <v>1250000</v>
      </c>
      <c r="E17" s="17">
        <f>Table9[[#This Row],[mW]]/1000</f>
        <v>1250</v>
      </c>
      <c r="F17" s="22">
        <f>Table10[[#This Row],[W]]-Table9[[#This Row],[W]]</f>
        <v>8.9254117941668483</v>
      </c>
      <c r="K17" s="22">
        <f t="shared" si="1"/>
        <v>1258.9254117941668</v>
      </c>
      <c r="L17" s="2">
        <f t="shared" si="4"/>
        <v>61</v>
      </c>
      <c r="M17" s="2">
        <f t="shared" si="2"/>
        <v>31</v>
      </c>
      <c r="O17" s="2">
        <f t="shared" si="5"/>
        <v>61</v>
      </c>
      <c r="P17" s="22">
        <f t="shared" si="6"/>
        <v>1164.1532182693481</v>
      </c>
      <c r="Q17" s="22">
        <f t="shared" si="0"/>
        <v>94.772193524818704</v>
      </c>
    </row>
    <row r="18" spans="1:17" x14ac:dyDescent="0.25">
      <c r="A18" s="1">
        <f t="shared" si="3"/>
        <v>62</v>
      </c>
      <c r="B18" s="1">
        <f>ROUNDDOWN(Table9[dbw]/10,0)</f>
        <v>6</v>
      </c>
      <c r="C18" s="1">
        <f>MOD(Table9[dbw],10)</f>
        <v>2</v>
      </c>
      <c r="D18" s="18">
        <f>POWER(10,Table9[[#This Row],[a]])*VLOOKUP(Table9[[#This Row],[b]],$H$5:$I$16,2,0)</f>
        <v>1600000</v>
      </c>
      <c r="E18" s="17">
        <f>Table9[[#This Row],[mW]]/1000</f>
        <v>1600</v>
      </c>
      <c r="F18" s="22">
        <f>Table10[[#This Row],[W]]-Table9[[#This Row],[W]]</f>
        <v>-15.106807538884368</v>
      </c>
      <c r="K18" s="22">
        <f t="shared" si="1"/>
        <v>1584.8931924611156</v>
      </c>
      <c r="L18" s="2">
        <f t="shared" si="4"/>
        <v>62</v>
      </c>
      <c r="M18" s="2">
        <f t="shared" si="2"/>
        <v>32</v>
      </c>
      <c r="O18" s="2">
        <f t="shared" si="5"/>
        <v>62</v>
      </c>
      <c r="P18" s="22">
        <f t="shared" si="6"/>
        <v>1455.1915228366852</v>
      </c>
      <c r="Q18" s="22">
        <f t="shared" si="0"/>
        <v>129.70166962443045</v>
      </c>
    </row>
    <row r="19" spans="1:17" x14ac:dyDescent="0.25">
      <c r="A19" s="1">
        <f t="shared" si="3"/>
        <v>63</v>
      </c>
      <c r="B19" s="1">
        <f>ROUNDDOWN(Table9[dbw]/10,0)</f>
        <v>6</v>
      </c>
      <c r="C19" s="1">
        <f>MOD(Table9[dbw],10)</f>
        <v>3</v>
      </c>
      <c r="D19" s="18">
        <f>POWER(10,Table9[[#This Row],[a]])*VLOOKUP(Table9[[#This Row],[b]],$H$5:$I$16,2,0)</f>
        <v>2000000</v>
      </c>
      <c r="E19" s="17">
        <f>Table9[[#This Row],[mW]]/1000</f>
        <v>2000</v>
      </c>
      <c r="F19" s="22">
        <f>Table10[[#This Row],[W]]-Table9[[#This Row],[W]]</f>
        <v>-4.737685031119554</v>
      </c>
      <c r="K19" s="22">
        <f t="shared" si="1"/>
        <v>1995.2623149688804</v>
      </c>
      <c r="L19" s="2">
        <f t="shared" si="4"/>
        <v>63</v>
      </c>
      <c r="M19" s="2">
        <f t="shared" si="2"/>
        <v>33</v>
      </c>
      <c r="O19" s="2">
        <f t="shared" si="5"/>
        <v>63</v>
      </c>
      <c r="P19" s="22">
        <f t="shared" si="6"/>
        <v>1818.9894035458565</v>
      </c>
      <c r="Q19" s="22">
        <f t="shared" si="0"/>
        <v>176.27291142302397</v>
      </c>
    </row>
    <row r="20" spans="1:17" x14ac:dyDescent="0.25">
      <c r="A20" s="1">
        <f t="shared" si="3"/>
        <v>64</v>
      </c>
      <c r="B20" s="1">
        <f>ROUNDDOWN(Table9[dbw]/10,0)</f>
        <v>6</v>
      </c>
      <c r="C20" s="1">
        <f>MOD(Table9[dbw],10)</f>
        <v>4</v>
      </c>
      <c r="D20" s="18">
        <f>POWER(10,Table9[[#This Row],[a]])*VLOOKUP(Table9[[#This Row],[b]],$H$5:$I$16,2,0)</f>
        <v>2500000</v>
      </c>
      <c r="E20" s="17">
        <f>Table9[[#This Row],[mW]]/1000</f>
        <v>2500</v>
      </c>
      <c r="F20" s="22">
        <f>Table10[[#This Row],[W]]-Table9[[#This Row],[W]]</f>
        <v>11.886431509583417</v>
      </c>
      <c r="K20" s="22">
        <f t="shared" si="1"/>
        <v>2511.8864315095834</v>
      </c>
      <c r="L20" s="2">
        <f t="shared" si="4"/>
        <v>64</v>
      </c>
      <c r="M20" s="2">
        <f t="shared" si="2"/>
        <v>34</v>
      </c>
      <c r="O20" s="2">
        <f t="shared" si="5"/>
        <v>64</v>
      </c>
      <c r="P20" s="22">
        <f t="shared" si="6"/>
        <v>2273.7367544323206</v>
      </c>
      <c r="Q20" s="22">
        <f t="shared" si="0"/>
        <v>238.14967707726282</v>
      </c>
    </row>
    <row r="21" spans="1:17" x14ac:dyDescent="0.25">
      <c r="A21" s="1">
        <f t="shared" si="3"/>
        <v>65</v>
      </c>
      <c r="B21" s="1">
        <f>ROUNDDOWN(Table9[dbw]/10,0)</f>
        <v>6</v>
      </c>
      <c r="C21" s="1">
        <f>MOD(Table9[dbw],10)</f>
        <v>5</v>
      </c>
      <c r="D21" s="18">
        <f>POWER(10,Table9[[#This Row],[a]])*VLOOKUP(Table9[[#This Row],[b]],$H$5:$I$16,2,0)</f>
        <v>3200000</v>
      </c>
      <c r="E21" s="17">
        <f>Table9[[#This Row],[mW]]/1000</f>
        <v>3200</v>
      </c>
      <c r="F21" s="22">
        <f>Table10[[#This Row],[W]]-Table9[[#This Row],[W]]</f>
        <v>-37.722339831619593</v>
      </c>
      <c r="K21" s="22">
        <f t="shared" si="1"/>
        <v>3162.2776601683804</v>
      </c>
      <c r="L21" s="2">
        <f t="shared" si="4"/>
        <v>65</v>
      </c>
      <c r="M21" s="2">
        <f t="shared" si="2"/>
        <v>35</v>
      </c>
      <c r="O21" s="2">
        <f t="shared" si="5"/>
        <v>65</v>
      </c>
      <c r="P21" s="22">
        <f t="shared" si="6"/>
        <v>2842.1709430404007</v>
      </c>
      <c r="Q21" s="22">
        <f t="shared" si="0"/>
        <v>320.10671712797966</v>
      </c>
    </row>
    <row r="22" spans="1:17" x14ac:dyDescent="0.25">
      <c r="A22" s="1">
        <f>A21+1</f>
        <v>66</v>
      </c>
      <c r="B22" s="12">
        <f>ROUNDDOWN(Table9[dbw]/10,0)</f>
        <v>6</v>
      </c>
      <c r="C22" s="12">
        <f>MOD(Table9[dbw],10)</f>
        <v>6</v>
      </c>
      <c r="D22" s="18">
        <f>POWER(10,Table9[[#This Row],[a]])*VLOOKUP(Table9[[#This Row],[b]],$H$5:$I$16,2,0)</f>
        <v>4000000</v>
      </c>
      <c r="E22" s="17">
        <f>Table9[[#This Row],[mW]]/1000</f>
        <v>4000</v>
      </c>
      <c r="F22" s="22">
        <f>Table10[[#This Row],[W]]-Table9[[#This Row],[W]]</f>
        <v>-18.928294465029921</v>
      </c>
      <c r="K22" s="22">
        <f>POWER(10,(L22/10)-3)</f>
        <v>3981.0717055349701</v>
      </c>
      <c r="L22" s="2">
        <f>L21+1</f>
        <v>66</v>
      </c>
      <c r="M22" s="2">
        <f>L22-30</f>
        <v>36</v>
      </c>
      <c r="O22" s="2">
        <f t="shared" si="5"/>
        <v>66</v>
      </c>
      <c r="P22" s="22">
        <f t="shared" si="6"/>
        <v>3552.7136788005009</v>
      </c>
      <c r="Q22" s="22">
        <f t="shared" si="0"/>
        <v>428.35802673446915</v>
      </c>
    </row>
    <row r="23" spans="1:17" x14ac:dyDescent="0.25">
      <c r="A23" s="1">
        <f>A22+1</f>
        <v>67</v>
      </c>
      <c r="B23" s="12">
        <f>ROUNDDOWN(Table9[dbw]/10,0)</f>
        <v>6</v>
      </c>
      <c r="C23" s="12">
        <f>MOD(Table9[dbw],10)</f>
        <v>7</v>
      </c>
      <c r="D23" s="18">
        <f>POWER(10,Table9[[#This Row],[a]])*VLOOKUP(Table9[[#This Row],[b]],$H$5:$I$16,2,0)</f>
        <v>5000000</v>
      </c>
      <c r="E23" s="17">
        <f>Table9[[#This Row],[mW]]/1000</f>
        <v>5000</v>
      </c>
      <c r="F23" s="22">
        <f>Table10[[#This Row],[W]]-Table9[[#This Row],[W]]</f>
        <v>11.872336272732355</v>
      </c>
      <c r="K23" s="22">
        <f>POWER(10,(L23/10)-3)</f>
        <v>5011.8723362727324</v>
      </c>
      <c r="L23" s="2">
        <f>L22+1</f>
        <v>67</v>
      </c>
      <c r="M23" s="2">
        <f>L23-30</f>
        <v>37</v>
      </c>
      <c r="O23" s="2">
        <f t="shared" si="5"/>
        <v>67</v>
      </c>
      <c r="P23" s="22">
        <f t="shared" si="6"/>
        <v>4440.8920985006262</v>
      </c>
      <c r="Q23" s="22">
        <f t="shared" si="0"/>
        <v>570.98023777210619</v>
      </c>
    </row>
    <row r="27" spans="1:17" x14ac:dyDescent="0.25">
      <c r="A27" s="1" t="s">
        <v>1313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B2" sqref="B2"/>
    </sheetView>
  </sheetViews>
  <sheetFormatPr defaultRowHeight="15" x14ac:dyDescent="0.25"/>
  <sheetData>
    <row r="1" spans="1:3" x14ac:dyDescent="0.25">
      <c r="A1" s="1" t="s">
        <v>1286</v>
      </c>
      <c r="B1" s="17" t="s">
        <v>1287</v>
      </c>
      <c r="C1" s="17" t="s">
        <v>1288</v>
      </c>
    </row>
    <row r="2" spans="1:3" x14ac:dyDescent="0.25">
      <c r="A2" s="1">
        <v>1</v>
      </c>
      <c r="B2" s="17">
        <f>LOG10(A2)</f>
        <v>0</v>
      </c>
      <c r="C2" s="17">
        <f t="shared" ref="C2:C20" si="0">LOG(A2,100)</f>
        <v>0</v>
      </c>
    </row>
    <row r="3" spans="1:3" x14ac:dyDescent="0.25">
      <c r="A3" s="1">
        <v>2</v>
      </c>
      <c r="B3" s="17">
        <f t="shared" ref="B3:B20" si="1">LOG10(A3)</f>
        <v>0.3010299956639812</v>
      </c>
      <c r="C3" s="17">
        <f t="shared" si="0"/>
        <v>0.15051499783199057</v>
      </c>
    </row>
    <row r="4" spans="1:3" x14ac:dyDescent="0.25">
      <c r="A4" s="1">
        <v>3</v>
      </c>
      <c r="B4" s="17">
        <f t="shared" si="1"/>
        <v>0.47712125471966244</v>
      </c>
      <c r="C4" s="17">
        <f t="shared" si="0"/>
        <v>0.23856062735983122</v>
      </c>
    </row>
    <row r="5" spans="1:3" x14ac:dyDescent="0.25">
      <c r="A5" s="1">
        <v>4</v>
      </c>
      <c r="B5" s="17">
        <f t="shared" si="1"/>
        <v>0.6020599913279624</v>
      </c>
      <c r="C5" s="17">
        <f t="shared" si="0"/>
        <v>0.30102999566398114</v>
      </c>
    </row>
    <row r="6" spans="1:3" x14ac:dyDescent="0.25">
      <c r="A6" s="1">
        <v>5</v>
      </c>
      <c r="B6" s="17">
        <f t="shared" si="1"/>
        <v>0.69897000433601886</v>
      </c>
      <c r="C6" s="17">
        <f t="shared" si="0"/>
        <v>0.34948500216800937</v>
      </c>
    </row>
    <row r="7" spans="1:3" x14ac:dyDescent="0.25">
      <c r="A7" s="1">
        <v>6</v>
      </c>
      <c r="B7" s="17">
        <f t="shared" si="1"/>
        <v>0.77815125038364363</v>
      </c>
      <c r="C7" s="17">
        <f t="shared" si="0"/>
        <v>0.38907562519182176</v>
      </c>
    </row>
    <row r="8" spans="1:3" x14ac:dyDescent="0.25">
      <c r="A8" s="1">
        <v>7</v>
      </c>
      <c r="B8" s="17">
        <f t="shared" si="1"/>
        <v>0.84509804001425681</v>
      </c>
      <c r="C8" s="17">
        <f t="shared" si="0"/>
        <v>0.42254902000712835</v>
      </c>
    </row>
    <row r="9" spans="1:3" x14ac:dyDescent="0.25">
      <c r="A9" s="1">
        <v>8</v>
      </c>
      <c r="B9" s="17">
        <f t="shared" si="1"/>
        <v>0.90308998699194354</v>
      </c>
      <c r="C9" s="17">
        <f t="shared" si="0"/>
        <v>0.45154499349597171</v>
      </c>
    </row>
    <row r="10" spans="1:3" x14ac:dyDescent="0.25">
      <c r="A10" s="1">
        <v>9</v>
      </c>
      <c r="B10" s="17">
        <f t="shared" si="1"/>
        <v>0.95424250943932487</v>
      </c>
      <c r="C10" s="17">
        <f t="shared" si="0"/>
        <v>0.47712125471966244</v>
      </c>
    </row>
    <row r="11" spans="1:3" x14ac:dyDescent="0.25">
      <c r="A11" s="1">
        <v>10</v>
      </c>
      <c r="B11" s="17">
        <f t="shared" si="1"/>
        <v>1</v>
      </c>
      <c r="C11" s="17">
        <f t="shared" si="0"/>
        <v>0.5</v>
      </c>
    </row>
    <row r="12" spans="1:3" x14ac:dyDescent="0.25">
      <c r="A12" s="1">
        <v>20</v>
      </c>
      <c r="B12" s="17">
        <f t="shared" si="1"/>
        <v>1.3010299956639813</v>
      </c>
      <c r="C12" s="17">
        <f t="shared" si="0"/>
        <v>0.65051499783199052</v>
      </c>
    </row>
    <row r="13" spans="1:3" x14ac:dyDescent="0.25">
      <c r="A13" s="1">
        <v>30</v>
      </c>
      <c r="B13" s="17">
        <f t="shared" si="1"/>
        <v>1.4771212547196624</v>
      </c>
      <c r="C13" s="17">
        <f t="shared" si="0"/>
        <v>0.73856062735983119</v>
      </c>
    </row>
    <row r="14" spans="1:3" x14ac:dyDescent="0.25">
      <c r="A14" s="1">
        <v>40</v>
      </c>
      <c r="B14" s="17">
        <f t="shared" si="1"/>
        <v>1.6020599913279623</v>
      </c>
      <c r="C14" s="17">
        <f t="shared" si="0"/>
        <v>0.80102999566398114</v>
      </c>
    </row>
    <row r="15" spans="1:3" x14ac:dyDescent="0.25">
      <c r="A15" s="1">
        <v>50</v>
      </c>
      <c r="B15" s="17">
        <f t="shared" si="1"/>
        <v>1.6989700043360187</v>
      </c>
      <c r="C15" s="17">
        <f t="shared" si="0"/>
        <v>0.84948500216800926</v>
      </c>
    </row>
    <row r="16" spans="1:3" x14ac:dyDescent="0.25">
      <c r="A16" s="1">
        <v>60</v>
      </c>
      <c r="B16" s="17">
        <f t="shared" si="1"/>
        <v>1.7781512503836436</v>
      </c>
      <c r="C16" s="17">
        <f t="shared" si="0"/>
        <v>0.88907562519182171</v>
      </c>
    </row>
    <row r="17" spans="1:3" x14ac:dyDescent="0.25">
      <c r="A17" s="1">
        <v>70</v>
      </c>
      <c r="B17" s="17">
        <f t="shared" si="1"/>
        <v>1.8450980400142569</v>
      </c>
      <c r="C17" s="17">
        <f t="shared" si="0"/>
        <v>0.92254902000712846</v>
      </c>
    </row>
    <row r="18" spans="1:3" x14ac:dyDescent="0.25">
      <c r="A18" s="1">
        <v>80</v>
      </c>
      <c r="B18" s="17">
        <f t="shared" si="1"/>
        <v>1.9030899869919435</v>
      </c>
      <c r="C18" s="17">
        <f t="shared" si="0"/>
        <v>0.95154499349597166</v>
      </c>
    </row>
    <row r="19" spans="1:3" x14ac:dyDescent="0.25">
      <c r="A19" s="1">
        <v>90</v>
      </c>
      <c r="B19" s="17">
        <f t="shared" si="1"/>
        <v>1.954242509439325</v>
      </c>
      <c r="C19" s="17">
        <f t="shared" si="0"/>
        <v>0.97712125471966238</v>
      </c>
    </row>
    <row r="20" spans="1:3" x14ac:dyDescent="0.25">
      <c r="A20" s="1">
        <v>100</v>
      </c>
      <c r="B20" s="17">
        <f t="shared" si="1"/>
        <v>2</v>
      </c>
      <c r="C20" s="17">
        <f t="shared" si="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J20" sqref="J20"/>
    </sheetView>
  </sheetViews>
  <sheetFormatPr defaultRowHeight="15" x14ac:dyDescent="0.25"/>
  <cols>
    <col min="1" max="2" width="9.140625" style="1"/>
    <col min="3" max="3" width="21" style="1" bestFit="1" customWidth="1"/>
    <col min="4" max="4" width="9.140625" style="1"/>
    <col min="5" max="5" width="23.7109375" style="1" bestFit="1" customWidth="1"/>
    <col min="6" max="6" width="16.7109375" style="1" bestFit="1" customWidth="1"/>
    <col min="7" max="7" width="14.28515625" style="1" bestFit="1" customWidth="1"/>
    <col min="8" max="8" width="17.5703125" style="1" bestFit="1" customWidth="1"/>
    <col min="9" max="9" width="7.42578125" style="1" bestFit="1" customWidth="1"/>
    <col min="10" max="16384" width="9.140625" style="1"/>
  </cols>
  <sheetData>
    <row r="1" spans="1:11" x14ac:dyDescent="0.25">
      <c r="C1" s="1" t="s">
        <v>1131</v>
      </c>
    </row>
    <row r="2" spans="1:11" x14ac:dyDescent="0.25">
      <c r="B2" s="1" t="s">
        <v>1269</v>
      </c>
      <c r="C2" s="1">
        <v>36</v>
      </c>
      <c r="E2" s="1" t="s">
        <v>1145</v>
      </c>
      <c r="F2" s="1" t="s">
        <v>1147</v>
      </c>
      <c r="K2" s="1">
        <v>204</v>
      </c>
    </row>
    <row r="3" spans="1:11" x14ac:dyDescent="0.25">
      <c r="E3" s="1">
        <v>2289.5</v>
      </c>
      <c r="F3" s="1">
        <v>9750</v>
      </c>
      <c r="K3" s="1">
        <v>188</v>
      </c>
    </row>
    <row r="4" spans="1:11" x14ac:dyDescent="0.25">
      <c r="C4" s="1" t="s">
        <v>1131</v>
      </c>
      <c r="E4" s="1" t="s">
        <v>1131</v>
      </c>
      <c r="F4" s="1" t="s">
        <v>1131</v>
      </c>
      <c r="I4" s="1" t="s">
        <v>1162</v>
      </c>
    </row>
    <row r="5" spans="1:11" x14ac:dyDescent="0.25">
      <c r="A5" s="1" t="s">
        <v>937</v>
      </c>
      <c r="B5" s="1" t="s">
        <v>1010</v>
      </c>
      <c r="C5" s="1" t="s">
        <v>1130</v>
      </c>
      <c r="D5" s="1" t="s">
        <v>1132</v>
      </c>
      <c r="E5" s="1" t="s">
        <v>1144</v>
      </c>
      <c r="F5" s="1" t="s">
        <v>1146</v>
      </c>
      <c r="G5" s="1" t="s">
        <v>1160</v>
      </c>
      <c r="H5" s="1" t="s">
        <v>1161</v>
      </c>
      <c r="I5" s="1" t="s">
        <v>1000</v>
      </c>
      <c r="J5" s="1" t="s">
        <v>1298</v>
      </c>
    </row>
    <row r="7" spans="1:11" x14ac:dyDescent="0.25">
      <c r="A7" s="1">
        <v>7</v>
      </c>
      <c r="B7" s="1" t="s">
        <v>1148</v>
      </c>
      <c r="C7" s="1">
        <v>13770</v>
      </c>
      <c r="D7" s="1" t="s">
        <v>1133</v>
      </c>
      <c r="E7" s="1">
        <f t="shared" ref="E7:E12" si="0">C7-$E$3</f>
        <v>11480.5</v>
      </c>
      <c r="F7" s="1">
        <f t="shared" ref="F7:F12" si="1">E7-$F$3</f>
        <v>1730.5</v>
      </c>
      <c r="G7" s="15" t="s">
        <v>1159</v>
      </c>
      <c r="H7" s="16">
        <v>0.25</v>
      </c>
      <c r="I7" s="1">
        <f>ROUND(F7/60,1)</f>
        <v>28.8</v>
      </c>
      <c r="J7" s="1">
        <v>40</v>
      </c>
    </row>
    <row r="8" spans="1:11" x14ac:dyDescent="0.25">
      <c r="A8" s="1">
        <v>10</v>
      </c>
      <c r="B8" s="1" t="s">
        <v>1149</v>
      </c>
      <c r="C8" s="1">
        <f>C7+40</f>
        <v>13810</v>
      </c>
      <c r="D8" s="1" t="s">
        <v>1134</v>
      </c>
      <c r="E8" s="1">
        <f t="shared" si="0"/>
        <v>11520.5</v>
      </c>
      <c r="F8" s="1">
        <f t="shared" si="1"/>
        <v>1770.5</v>
      </c>
      <c r="G8" s="15" t="s">
        <v>1159</v>
      </c>
      <c r="H8" s="16">
        <v>0.2</v>
      </c>
      <c r="I8" s="1">
        <v>30</v>
      </c>
      <c r="J8" s="1">
        <v>30</v>
      </c>
    </row>
    <row r="9" spans="1:11" x14ac:dyDescent="0.25">
      <c r="A9" s="1">
        <v>8</v>
      </c>
      <c r="B9" s="1" t="s">
        <v>1150</v>
      </c>
      <c r="C9" s="1">
        <f t="shared" ref="C9:C12" si="2">C8+40</f>
        <v>13850</v>
      </c>
      <c r="D9" s="1" t="s">
        <v>1135</v>
      </c>
      <c r="E9" s="1">
        <f t="shared" si="0"/>
        <v>11560.5</v>
      </c>
      <c r="F9" s="1">
        <f t="shared" si="1"/>
        <v>1810.5</v>
      </c>
      <c r="G9" s="15" t="s">
        <v>1159</v>
      </c>
      <c r="H9" s="16">
        <v>0.2</v>
      </c>
      <c r="I9" s="1">
        <v>30</v>
      </c>
      <c r="J9" s="1">
        <v>44</v>
      </c>
    </row>
    <row r="10" spans="1:11" x14ac:dyDescent="0.25">
      <c r="A10" s="1">
        <v>11</v>
      </c>
      <c r="B10" s="1" t="s">
        <v>1151</v>
      </c>
      <c r="C10" s="1">
        <f t="shared" si="2"/>
        <v>13890</v>
      </c>
      <c r="D10" s="1" t="s">
        <v>1136</v>
      </c>
      <c r="E10" s="1">
        <f t="shared" si="0"/>
        <v>11600.5</v>
      </c>
      <c r="F10" s="1">
        <f t="shared" si="1"/>
        <v>1850.5</v>
      </c>
      <c r="G10" s="15" t="s">
        <v>1159</v>
      </c>
      <c r="H10" s="16">
        <v>0.2</v>
      </c>
      <c r="I10" s="1">
        <v>30</v>
      </c>
      <c r="J10" s="1">
        <v>29</v>
      </c>
    </row>
    <row r="11" spans="1:11" x14ac:dyDescent="0.25">
      <c r="A11" s="1">
        <v>9</v>
      </c>
      <c r="B11" s="1" t="s">
        <v>1152</v>
      </c>
      <c r="C11" s="1">
        <f t="shared" si="2"/>
        <v>13930</v>
      </c>
      <c r="D11" s="1" t="s">
        <v>1137</v>
      </c>
      <c r="E11" s="1">
        <f t="shared" si="0"/>
        <v>11640.5</v>
      </c>
      <c r="F11" s="1">
        <f t="shared" si="1"/>
        <v>1890.5</v>
      </c>
      <c r="G11" s="15" t="s">
        <v>1159</v>
      </c>
      <c r="H11" s="16">
        <v>0.2</v>
      </c>
      <c r="I11" s="1">
        <v>30</v>
      </c>
      <c r="J11" s="1">
        <v>10</v>
      </c>
    </row>
    <row r="12" spans="1:11" x14ac:dyDescent="0.25">
      <c r="A12" s="1">
        <v>12</v>
      </c>
      <c r="B12" s="1" t="s">
        <v>1153</v>
      </c>
      <c r="C12" s="1">
        <f t="shared" si="2"/>
        <v>13970</v>
      </c>
      <c r="D12" s="1" t="s">
        <v>1138</v>
      </c>
      <c r="E12" s="1">
        <f t="shared" si="0"/>
        <v>11680.5</v>
      </c>
      <c r="F12" s="1">
        <f t="shared" si="1"/>
        <v>1930.5</v>
      </c>
      <c r="G12" s="15" t="s">
        <v>1159</v>
      </c>
      <c r="H12" s="16">
        <v>0.2</v>
      </c>
      <c r="I12" s="1">
        <v>30</v>
      </c>
      <c r="J12" s="1">
        <v>42</v>
      </c>
    </row>
    <row r="13" spans="1:11" x14ac:dyDescent="0.25">
      <c r="H13" s="16"/>
    </row>
    <row r="14" spans="1:11" x14ac:dyDescent="0.25">
      <c r="A14" s="1">
        <v>1</v>
      </c>
      <c r="B14" s="1" t="s">
        <v>1154</v>
      </c>
      <c r="C14" s="1">
        <v>13772.75</v>
      </c>
      <c r="D14" s="1" t="s">
        <v>1139</v>
      </c>
      <c r="E14" s="1">
        <f>C14-$E$3</f>
        <v>11483.25</v>
      </c>
      <c r="F14" s="1">
        <f>E14-$F$3</f>
        <v>1733.25</v>
      </c>
      <c r="G14" s="15" t="s">
        <v>1159</v>
      </c>
      <c r="H14" s="16">
        <v>0.2</v>
      </c>
      <c r="I14" s="1">
        <v>26</v>
      </c>
      <c r="J14" s="1">
        <v>23</v>
      </c>
    </row>
    <row r="15" spans="1:11" x14ac:dyDescent="0.25">
      <c r="A15" s="1">
        <v>4</v>
      </c>
      <c r="B15" s="1" t="s">
        <v>1155</v>
      </c>
      <c r="C15" s="1">
        <f>C14+37.25</f>
        <v>13810</v>
      </c>
      <c r="D15" s="1" t="s">
        <v>1141</v>
      </c>
      <c r="E15" s="1">
        <f>C15-$E$3</f>
        <v>11520.5</v>
      </c>
      <c r="F15" s="1">
        <f>E15-$F$3</f>
        <v>1770.5</v>
      </c>
      <c r="G15" s="15" t="s">
        <v>1159</v>
      </c>
      <c r="H15" s="16">
        <v>0.2</v>
      </c>
      <c r="I15" s="1">
        <v>30</v>
      </c>
      <c r="J15" s="1">
        <v>30</v>
      </c>
    </row>
    <row r="16" spans="1:11" x14ac:dyDescent="0.25">
      <c r="A16" s="1">
        <v>2</v>
      </c>
      <c r="B16" s="1" t="s">
        <v>1156</v>
      </c>
      <c r="C16" s="1">
        <f>C15+40</f>
        <v>13850</v>
      </c>
      <c r="D16" s="1" t="s">
        <v>1143</v>
      </c>
      <c r="E16" s="1">
        <f>C16-$E$3</f>
        <v>11560.5</v>
      </c>
      <c r="F16" s="1">
        <f>E16-$F$3</f>
        <v>1810.5</v>
      </c>
      <c r="G16" s="15" t="s">
        <v>1159</v>
      </c>
      <c r="H16" s="16">
        <v>0.2</v>
      </c>
      <c r="I16" s="1">
        <v>30</v>
      </c>
      <c r="J16" s="1">
        <v>37</v>
      </c>
    </row>
    <row r="17" spans="1:10" x14ac:dyDescent="0.25">
      <c r="A17" s="1">
        <v>5</v>
      </c>
      <c r="B17" s="1" t="s">
        <v>1157</v>
      </c>
      <c r="C17" s="1">
        <f t="shared" ref="C17:C18" si="3">C16+40</f>
        <v>13890</v>
      </c>
      <c r="D17" s="1" t="s">
        <v>1140</v>
      </c>
      <c r="E17" s="1">
        <f>C17-$E$3</f>
        <v>11600.5</v>
      </c>
      <c r="F17" s="1">
        <f>E17-$F$3</f>
        <v>1850.5</v>
      </c>
      <c r="G17" s="15" t="s">
        <v>1159</v>
      </c>
      <c r="H17" s="16">
        <v>0.2</v>
      </c>
      <c r="I17" s="1">
        <v>30</v>
      </c>
      <c r="J17" s="1">
        <v>36</v>
      </c>
    </row>
    <row r="18" spans="1:10" x14ac:dyDescent="0.25">
      <c r="A18" s="1">
        <v>3</v>
      </c>
      <c r="B18" s="1" t="s">
        <v>1158</v>
      </c>
      <c r="C18" s="1">
        <f t="shared" si="3"/>
        <v>13930</v>
      </c>
      <c r="D18" s="1" t="s">
        <v>1142</v>
      </c>
      <c r="E18" s="1">
        <f>C18-$E$3</f>
        <v>11640.5</v>
      </c>
      <c r="F18" s="1">
        <f>E18-$F$3</f>
        <v>1890.5</v>
      </c>
      <c r="G18" s="15" t="s">
        <v>1159</v>
      </c>
      <c r="H18" s="16">
        <v>0.2</v>
      </c>
      <c r="I18" s="1">
        <v>30</v>
      </c>
      <c r="J18" s="1">
        <v>36</v>
      </c>
    </row>
    <row r="19" spans="1:10" x14ac:dyDescent="0.25">
      <c r="J19" s="1">
        <f>SUBTOTAL(109,J6:J18)</f>
        <v>357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showGridLines="0" zoomScale="70" zoomScaleNormal="70" workbookViewId="0">
      <pane xSplit="6" ySplit="1" topLeftCell="G43" activePane="bottomRight" state="frozen"/>
      <selection pane="topRight" activeCell="G1" sqref="G1"/>
      <selection pane="bottomLeft" activeCell="A2" sqref="A2"/>
      <selection pane="bottomRight" activeCell="D74" sqref="D74"/>
    </sheetView>
  </sheetViews>
  <sheetFormatPr defaultRowHeight="15" x14ac:dyDescent="0.25"/>
  <cols>
    <col min="1" max="1" width="13.140625" style="1" bestFit="1" customWidth="1"/>
    <col min="2" max="2" width="32.5703125" customWidth="1"/>
    <col min="3" max="3" width="47.85546875" bestFit="1" customWidth="1"/>
    <col min="4" max="4" width="12.140625" bestFit="1" customWidth="1"/>
    <col min="5" max="5" width="26.7109375" bestFit="1" customWidth="1"/>
    <col min="6" max="6" width="33.85546875" bestFit="1" customWidth="1"/>
    <col min="7" max="7" width="36.7109375" bestFit="1" customWidth="1"/>
    <col min="8" max="8" width="23.85546875" bestFit="1" customWidth="1"/>
    <col min="9" max="9" width="24.5703125" bestFit="1" customWidth="1"/>
    <col min="10" max="10" width="19.5703125" bestFit="1" customWidth="1"/>
    <col min="11" max="11" width="23.5703125" bestFit="1" customWidth="1"/>
    <col min="12" max="12" width="33.85546875" bestFit="1" customWidth="1"/>
    <col min="13" max="13" width="23.42578125" bestFit="1" customWidth="1"/>
    <col min="14" max="14" width="18.7109375" bestFit="1" customWidth="1"/>
    <col min="15" max="15" width="20.140625" bestFit="1" customWidth="1"/>
  </cols>
  <sheetData>
    <row r="1" spans="1:15" x14ac:dyDescent="0.25">
      <c r="A1" s="1" t="s">
        <v>334</v>
      </c>
      <c r="B1" t="s">
        <v>3</v>
      </c>
      <c r="C1" t="s">
        <v>1</v>
      </c>
      <c r="D1" t="s">
        <v>665</v>
      </c>
      <c r="E1" t="s">
        <v>678</v>
      </c>
      <c r="F1" t="s">
        <v>679</v>
      </c>
      <c r="G1" t="s">
        <v>680</v>
      </c>
      <c r="H1" t="s">
        <v>681</v>
      </c>
      <c r="I1" t="s">
        <v>682</v>
      </c>
      <c r="J1" t="s">
        <v>683</v>
      </c>
      <c r="K1" t="s">
        <v>684</v>
      </c>
      <c r="L1" t="s">
        <v>685</v>
      </c>
      <c r="M1" t="s">
        <v>686</v>
      </c>
      <c r="N1" t="s">
        <v>687</v>
      </c>
      <c r="O1" t="s">
        <v>688</v>
      </c>
    </row>
    <row r="2" spans="1:15" x14ac:dyDescent="0.25">
      <c r="A2" s="1">
        <v>1</v>
      </c>
      <c r="B2" t="s">
        <v>689</v>
      </c>
      <c r="C2" t="s">
        <v>36</v>
      </c>
      <c r="D2" t="s">
        <v>770</v>
      </c>
    </row>
    <row r="3" spans="1:15" x14ac:dyDescent="0.25">
      <c r="A3" s="1">
        <v>2</v>
      </c>
      <c r="B3" t="s">
        <v>690</v>
      </c>
      <c r="C3" t="s">
        <v>36</v>
      </c>
      <c r="D3" t="s">
        <v>770</v>
      </c>
    </row>
    <row r="4" spans="1:15" x14ac:dyDescent="0.25">
      <c r="A4" s="1">
        <v>3</v>
      </c>
      <c r="B4" t="s">
        <v>1109</v>
      </c>
      <c r="C4" t="s">
        <v>36</v>
      </c>
    </row>
    <row r="5" spans="1:15" x14ac:dyDescent="0.25">
      <c r="A5" s="1">
        <v>4</v>
      </c>
      <c r="B5" t="s">
        <v>135</v>
      </c>
      <c r="C5" t="s">
        <v>36</v>
      </c>
      <c r="D5" t="s">
        <v>770</v>
      </c>
    </row>
    <row r="6" spans="1:15" x14ac:dyDescent="0.25">
      <c r="A6" s="1">
        <v>5</v>
      </c>
      <c r="B6" t="s">
        <v>691</v>
      </c>
      <c r="C6" t="s">
        <v>36</v>
      </c>
      <c r="D6" t="s">
        <v>675</v>
      </c>
      <c r="H6" t="s">
        <v>772</v>
      </c>
    </row>
    <row r="7" spans="1:15" x14ac:dyDescent="0.25">
      <c r="A7" s="1">
        <v>6</v>
      </c>
      <c r="B7" t="s">
        <v>692</v>
      </c>
      <c r="C7" t="s">
        <v>36</v>
      </c>
      <c r="D7" t="s">
        <v>675</v>
      </c>
      <c r="H7" t="s">
        <v>773</v>
      </c>
    </row>
    <row r="8" spans="1:15" x14ac:dyDescent="0.25">
      <c r="A8" s="1">
        <v>7</v>
      </c>
      <c r="B8" t="s">
        <v>693</v>
      </c>
      <c r="C8" t="s">
        <v>36</v>
      </c>
      <c r="D8" t="s">
        <v>770</v>
      </c>
    </row>
    <row r="9" spans="1:15" x14ac:dyDescent="0.25">
      <c r="A9" s="1">
        <v>8</v>
      </c>
      <c r="B9" t="s">
        <v>694</v>
      </c>
      <c r="C9" t="s">
        <v>36</v>
      </c>
      <c r="D9" s="8" t="s">
        <v>675</v>
      </c>
      <c r="E9" s="8" t="s">
        <v>675</v>
      </c>
      <c r="F9" t="s">
        <v>771</v>
      </c>
      <c r="G9" t="s">
        <v>771</v>
      </c>
      <c r="H9" t="s">
        <v>654</v>
      </c>
      <c r="I9" t="s">
        <v>781</v>
      </c>
      <c r="J9" t="s">
        <v>82</v>
      </c>
      <c r="K9" t="s">
        <v>796</v>
      </c>
      <c r="L9" t="s">
        <v>797</v>
      </c>
      <c r="N9" t="s">
        <v>812</v>
      </c>
      <c r="O9" t="s">
        <v>819</v>
      </c>
    </row>
    <row r="10" spans="1:15" x14ac:dyDescent="0.25">
      <c r="A10" s="1">
        <v>9</v>
      </c>
      <c r="B10" t="s">
        <v>695</v>
      </c>
      <c r="C10" t="s">
        <v>36</v>
      </c>
      <c r="D10" s="8" t="s">
        <v>675</v>
      </c>
      <c r="E10" s="8" t="s">
        <v>675</v>
      </c>
      <c r="F10" t="s">
        <v>771</v>
      </c>
      <c r="G10" t="s">
        <v>771</v>
      </c>
      <c r="H10" t="s">
        <v>655</v>
      </c>
      <c r="I10" t="s">
        <v>782</v>
      </c>
      <c r="J10" t="s">
        <v>82</v>
      </c>
      <c r="K10" t="s">
        <v>796</v>
      </c>
      <c r="L10" t="s">
        <v>798</v>
      </c>
      <c r="N10" t="s">
        <v>812</v>
      </c>
      <c r="O10" t="s">
        <v>819</v>
      </c>
    </row>
    <row r="11" spans="1:15" x14ac:dyDescent="0.25">
      <c r="A11" s="1">
        <v>10</v>
      </c>
      <c r="B11" t="s">
        <v>696</v>
      </c>
      <c r="C11" t="s">
        <v>36</v>
      </c>
      <c r="D11" s="8" t="s">
        <v>675</v>
      </c>
      <c r="E11" s="8" t="s">
        <v>675</v>
      </c>
      <c r="F11" t="s">
        <v>771</v>
      </c>
      <c r="G11" t="s">
        <v>771</v>
      </c>
      <c r="H11" t="s">
        <v>656</v>
      </c>
      <c r="I11" t="s">
        <v>783</v>
      </c>
      <c r="J11" t="s">
        <v>82</v>
      </c>
      <c r="K11" t="s">
        <v>796</v>
      </c>
      <c r="L11" t="s">
        <v>799</v>
      </c>
      <c r="N11" t="s">
        <v>812</v>
      </c>
      <c r="O11" t="s">
        <v>819</v>
      </c>
    </row>
    <row r="12" spans="1:15" x14ac:dyDescent="0.25">
      <c r="A12" s="1">
        <v>11</v>
      </c>
      <c r="B12" t="s">
        <v>697</v>
      </c>
      <c r="C12" t="s">
        <v>36</v>
      </c>
      <c r="D12" s="8" t="s">
        <v>675</v>
      </c>
      <c r="E12" s="8" t="s">
        <v>675</v>
      </c>
      <c r="F12" t="s">
        <v>771</v>
      </c>
      <c r="G12" t="s">
        <v>771</v>
      </c>
      <c r="H12" t="s">
        <v>657</v>
      </c>
      <c r="I12" t="s">
        <v>784</v>
      </c>
      <c r="J12" t="s">
        <v>82</v>
      </c>
      <c r="K12" t="s">
        <v>796</v>
      </c>
      <c r="L12" t="s">
        <v>800</v>
      </c>
      <c r="N12" t="s">
        <v>812</v>
      </c>
      <c r="O12" t="s">
        <v>819</v>
      </c>
    </row>
    <row r="13" spans="1:15" x14ac:dyDescent="0.25">
      <c r="A13" s="1">
        <v>12</v>
      </c>
      <c r="B13" t="s">
        <v>698</v>
      </c>
      <c r="C13" t="s">
        <v>36</v>
      </c>
      <c r="D13" s="8" t="s">
        <v>675</v>
      </c>
      <c r="E13" s="8" t="s">
        <v>675</v>
      </c>
      <c r="F13" t="s">
        <v>771</v>
      </c>
      <c r="G13" t="s">
        <v>771</v>
      </c>
      <c r="H13" t="s">
        <v>660</v>
      </c>
      <c r="I13" t="s">
        <v>785</v>
      </c>
      <c r="J13" t="s">
        <v>82</v>
      </c>
      <c r="K13" t="s">
        <v>796</v>
      </c>
      <c r="L13" t="s">
        <v>801</v>
      </c>
      <c r="N13" t="s">
        <v>812</v>
      </c>
      <c r="O13" t="s">
        <v>819</v>
      </c>
    </row>
    <row r="14" spans="1:15" x14ac:dyDescent="0.25">
      <c r="A14" s="1">
        <v>13</v>
      </c>
      <c r="B14" t="s">
        <v>699</v>
      </c>
      <c r="C14" t="s">
        <v>36</v>
      </c>
      <c r="D14" s="8" t="s">
        <v>675</v>
      </c>
      <c r="E14" s="8" t="s">
        <v>675</v>
      </c>
      <c r="F14" t="s">
        <v>771</v>
      </c>
      <c r="G14" t="s">
        <v>771</v>
      </c>
      <c r="H14" t="s">
        <v>661</v>
      </c>
      <c r="I14" t="s">
        <v>786</v>
      </c>
      <c r="J14" t="s">
        <v>82</v>
      </c>
      <c r="K14" t="s">
        <v>796</v>
      </c>
      <c r="L14" t="s">
        <v>802</v>
      </c>
      <c r="N14" t="s">
        <v>812</v>
      </c>
      <c r="O14" t="s">
        <v>819</v>
      </c>
    </row>
    <row r="15" spans="1:15" x14ac:dyDescent="0.25">
      <c r="A15" s="1">
        <v>14</v>
      </c>
      <c r="B15" t="s">
        <v>700</v>
      </c>
      <c r="C15" t="s">
        <v>36</v>
      </c>
      <c r="D15" s="8" t="s">
        <v>675</v>
      </c>
      <c r="E15" s="8" t="s">
        <v>675</v>
      </c>
      <c r="F15" t="s">
        <v>771</v>
      </c>
      <c r="G15" t="s">
        <v>771</v>
      </c>
      <c r="H15" t="s">
        <v>659</v>
      </c>
      <c r="I15" t="s">
        <v>787</v>
      </c>
      <c r="J15" t="s">
        <v>82</v>
      </c>
      <c r="K15" t="s">
        <v>796</v>
      </c>
      <c r="L15" t="s">
        <v>803</v>
      </c>
      <c r="N15" t="s">
        <v>812</v>
      </c>
      <c r="O15" t="s">
        <v>819</v>
      </c>
    </row>
    <row r="16" spans="1:15" x14ac:dyDescent="0.25">
      <c r="A16" s="1">
        <v>15</v>
      </c>
      <c r="B16" t="s">
        <v>701</v>
      </c>
      <c r="C16" t="s">
        <v>36</v>
      </c>
      <c r="D16" s="8" t="s">
        <v>675</v>
      </c>
      <c r="E16" s="8" t="s">
        <v>675</v>
      </c>
      <c r="F16" t="s">
        <v>771</v>
      </c>
      <c r="G16" t="s">
        <v>771</v>
      </c>
      <c r="H16" t="s">
        <v>658</v>
      </c>
      <c r="I16" t="s">
        <v>788</v>
      </c>
      <c r="J16" t="s">
        <v>82</v>
      </c>
      <c r="K16" t="s">
        <v>796</v>
      </c>
      <c r="L16" t="s">
        <v>804</v>
      </c>
      <c r="N16" t="s">
        <v>812</v>
      </c>
      <c r="O16" t="s">
        <v>819</v>
      </c>
    </row>
    <row r="17" spans="1:15" x14ac:dyDescent="0.25">
      <c r="A17" s="1">
        <v>16</v>
      </c>
      <c r="B17" t="s">
        <v>702</v>
      </c>
      <c r="C17" t="s">
        <v>36</v>
      </c>
      <c r="D17" s="8" t="s">
        <v>675</v>
      </c>
      <c r="E17" s="8" t="s">
        <v>675</v>
      </c>
      <c r="F17" t="s">
        <v>771</v>
      </c>
      <c r="G17" t="s">
        <v>771</v>
      </c>
      <c r="H17" t="s">
        <v>774</v>
      </c>
      <c r="I17" t="s">
        <v>789</v>
      </c>
      <c r="J17" t="s">
        <v>82</v>
      </c>
      <c r="K17" t="s">
        <v>796</v>
      </c>
      <c r="L17" t="s">
        <v>805</v>
      </c>
      <c r="N17" t="s">
        <v>812</v>
      </c>
      <c r="O17" t="s">
        <v>819</v>
      </c>
    </row>
    <row r="18" spans="1:15" x14ac:dyDescent="0.25">
      <c r="A18" s="1">
        <v>17</v>
      </c>
      <c r="B18" t="s">
        <v>703</v>
      </c>
      <c r="C18" t="s">
        <v>36</v>
      </c>
      <c r="D18" s="8" t="s">
        <v>675</v>
      </c>
      <c r="E18" s="8" t="s">
        <v>675</v>
      </c>
      <c r="F18" t="s">
        <v>771</v>
      </c>
      <c r="G18" t="s">
        <v>771</v>
      </c>
      <c r="H18" t="s">
        <v>775</v>
      </c>
      <c r="I18" t="s">
        <v>790</v>
      </c>
      <c r="J18" t="s">
        <v>82</v>
      </c>
      <c r="K18" t="s">
        <v>796</v>
      </c>
      <c r="L18" t="s">
        <v>806</v>
      </c>
      <c r="N18" t="s">
        <v>812</v>
      </c>
      <c r="O18" t="s">
        <v>819</v>
      </c>
    </row>
    <row r="19" spans="1:15" x14ac:dyDescent="0.25">
      <c r="A19" s="1">
        <v>18</v>
      </c>
      <c r="B19" t="s">
        <v>704</v>
      </c>
      <c r="C19" t="s">
        <v>36</v>
      </c>
      <c r="D19" s="8" t="s">
        <v>675</v>
      </c>
      <c r="E19" s="8" t="s">
        <v>675</v>
      </c>
      <c r="F19" t="s">
        <v>771</v>
      </c>
      <c r="G19" t="s">
        <v>771</v>
      </c>
      <c r="H19" t="s">
        <v>776</v>
      </c>
      <c r="I19" t="s">
        <v>791</v>
      </c>
      <c r="J19" t="s">
        <v>82</v>
      </c>
      <c r="K19" t="s">
        <v>796</v>
      </c>
      <c r="L19" t="s">
        <v>807</v>
      </c>
      <c r="N19" t="s">
        <v>812</v>
      </c>
      <c r="O19" t="s">
        <v>819</v>
      </c>
    </row>
    <row r="20" spans="1:15" x14ac:dyDescent="0.25">
      <c r="A20" s="1">
        <v>19</v>
      </c>
      <c r="B20" t="s">
        <v>705</v>
      </c>
      <c r="C20" t="s">
        <v>36</v>
      </c>
      <c r="D20" s="8" t="s">
        <v>675</v>
      </c>
      <c r="E20" s="8" t="s">
        <v>675</v>
      </c>
      <c r="F20" t="s">
        <v>771</v>
      </c>
      <c r="G20" t="s">
        <v>771</v>
      </c>
      <c r="H20" t="s">
        <v>777</v>
      </c>
      <c r="I20" t="s">
        <v>792</v>
      </c>
      <c r="J20" t="s">
        <v>82</v>
      </c>
      <c r="K20" t="s">
        <v>796</v>
      </c>
      <c r="L20" t="s">
        <v>808</v>
      </c>
      <c r="N20" t="s">
        <v>812</v>
      </c>
      <c r="O20" t="s">
        <v>819</v>
      </c>
    </row>
    <row r="21" spans="1:15" x14ac:dyDescent="0.25">
      <c r="A21" s="1">
        <v>20</v>
      </c>
      <c r="B21" t="s">
        <v>706</v>
      </c>
      <c r="C21" t="s">
        <v>36</v>
      </c>
      <c r="D21" s="8" t="s">
        <v>675</v>
      </c>
      <c r="E21" s="8" t="s">
        <v>675</v>
      </c>
      <c r="F21" t="s">
        <v>771</v>
      </c>
      <c r="G21" t="s">
        <v>771</v>
      </c>
      <c r="H21" t="s">
        <v>779</v>
      </c>
      <c r="I21" t="s">
        <v>793</v>
      </c>
      <c r="J21" t="s">
        <v>82</v>
      </c>
      <c r="K21" t="s">
        <v>796</v>
      </c>
      <c r="L21" t="s">
        <v>810</v>
      </c>
      <c r="N21" t="s">
        <v>812</v>
      </c>
      <c r="O21" t="s">
        <v>819</v>
      </c>
    </row>
    <row r="22" spans="1:15" x14ac:dyDescent="0.25">
      <c r="A22" s="1">
        <v>21</v>
      </c>
      <c r="B22" t="s">
        <v>707</v>
      </c>
      <c r="C22" t="s">
        <v>36</v>
      </c>
      <c r="D22" s="8" t="s">
        <v>675</v>
      </c>
      <c r="E22" s="8" t="s">
        <v>675</v>
      </c>
      <c r="F22" t="s">
        <v>771</v>
      </c>
      <c r="G22" t="s">
        <v>771</v>
      </c>
      <c r="H22" t="s">
        <v>780</v>
      </c>
      <c r="I22" t="s">
        <v>794</v>
      </c>
      <c r="J22" t="s">
        <v>82</v>
      </c>
      <c r="K22" t="s">
        <v>796</v>
      </c>
      <c r="L22" t="s">
        <v>811</v>
      </c>
      <c r="N22" t="s">
        <v>812</v>
      </c>
      <c r="O22" t="s">
        <v>819</v>
      </c>
    </row>
    <row r="23" spans="1:15" x14ac:dyDescent="0.25">
      <c r="A23" s="1">
        <v>22</v>
      </c>
      <c r="B23" t="s">
        <v>708</v>
      </c>
      <c r="C23" t="s">
        <v>36</v>
      </c>
      <c r="D23" s="8" t="s">
        <v>675</v>
      </c>
      <c r="E23" s="8" t="s">
        <v>675</v>
      </c>
      <c r="F23" t="s">
        <v>771</v>
      </c>
      <c r="G23" t="s">
        <v>771</v>
      </c>
      <c r="H23" t="s">
        <v>778</v>
      </c>
      <c r="I23" t="s">
        <v>795</v>
      </c>
      <c r="J23" t="s">
        <v>82</v>
      </c>
      <c r="K23" t="s">
        <v>796</v>
      </c>
      <c r="L23" t="s">
        <v>809</v>
      </c>
      <c r="N23" t="s">
        <v>812</v>
      </c>
      <c r="O23" t="s">
        <v>819</v>
      </c>
    </row>
    <row r="24" spans="1:15" x14ac:dyDescent="0.25">
      <c r="A24" s="1">
        <v>23</v>
      </c>
      <c r="B24" t="s">
        <v>709</v>
      </c>
      <c r="C24" t="s">
        <v>36</v>
      </c>
      <c r="D24" s="8" t="s">
        <v>770</v>
      </c>
    </row>
    <row r="25" spans="1:15" x14ac:dyDescent="0.25">
      <c r="A25" s="1">
        <v>24</v>
      </c>
      <c r="B25" t="s">
        <v>710</v>
      </c>
      <c r="C25" t="s">
        <v>36</v>
      </c>
      <c r="D25" s="8" t="s">
        <v>770</v>
      </c>
    </row>
    <row r="26" spans="1:15" x14ac:dyDescent="0.25">
      <c r="A26" s="1">
        <v>25</v>
      </c>
      <c r="B26" t="s">
        <v>711</v>
      </c>
      <c r="C26" t="s">
        <v>36</v>
      </c>
      <c r="D26" s="8" t="s">
        <v>770</v>
      </c>
    </row>
    <row r="27" spans="1:15" x14ac:dyDescent="0.25">
      <c r="A27" s="1">
        <v>26</v>
      </c>
      <c r="B27" t="s">
        <v>712</v>
      </c>
      <c r="C27" t="s">
        <v>36</v>
      </c>
      <c r="D27" s="8" t="s">
        <v>770</v>
      </c>
    </row>
    <row r="28" spans="1:15" x14ac:dyDescent="0.25">
      <c r="A28" s="1">
        <v>27</v>
      </c>
      <c r="B28" t="s">
        <v>713</v>
      </c>
      <c r="C28" t="s">
        <v>36</v>
      </c>
      <c r="D28" s="8" t="s">
        <v>770</v>
      </c>
    </row>
    <row r="29" spans="1:15" x14ac:dyDescent="0.25">
      <c r="A29" s="1">
        <v>28</v>
      </c>
      <c r="B29" t="s">
        <v>714</v>
      </c>
      <c r="C29" t="s">
        <v>36</v>
      </c>
      <c r="D29" s="8" t="s">
        <v>770</v>
      </c>
    </row>
    <row r="30" spans="1:15" x14ac:dyDescent="0.25">
      <c r="A30" s="1">
        <v>29</v>
      </c>
      <c r="B30" t="s">
        <v>715</v>
      </c>
      <c r="C30" t="s">
        <v>36</v>
      </c>
      <c r="D30" s="8" t="s">
        <v>770</v>
      </c>
    </row>
    <row r="31" spans="1:15" x14ac:dyDescent="0.25">
      <c r="A31" s="1">
        <v>30</v>
      </c>
      <c r="B31" t="s">
        <v>716</v>
      </c>
      <c r="C31" t="s">
        <v>36</v>
      </c>
      <c r="D31" s="8" t="s">
        <v>770</v>
      </c>
    </row>
    <row r="32" spans="1:15" x14ac:dyDescent="0.25">
      <c r="A32" s="1">
        <v>31</v>
      </c>
      <c r="B32" t="s">
        <v>717</v>
      </c>
      <c r="C32" t="s">
        <v>36</v>
      </c>
      <c r="D32" s="8" t="s">
        <v>770</v>
      </c>
    </row>
    <row r="33" spans="1:15" x14ac:dyDescent="0.25">
      <c r="A33" s="1">
        <v>32</v>
      </c>
      <c r="B33" t="s">
        <v>718</v>
      </c>
      <c r="C33" t="s">
        <v>36</v>
      </c>
      <c r="D33" s="8" t="s">
        <v>770</v>
      </c>
    </row>
    <row r="34" spans="1:15" x14ac:dyDescent="0.25">
      <c r="A34" s="1">
        <v>33</v>
      </c>
      <c r="B34" t="s">
        <v>719</v>
      </c>
      <c r="C34" t="s">
        <v>36</v>
      </c>
      <c r="D34" s="8" t="s">
        <v>770</v>
      </c>
    </row>
    <row r="35" spans="1:15" x14ac:dyDescent="0.25">
      <c r="A35" s="1">
        <v>34</v>
      </c>
      <c r="B35" t="s">
        <v>720</v>
      </c>
      <c r="C35" t="s">
        <v>36</v>
      </c>
      <c r="D35" s="8" t="s">
        <v>770</v>
      </c>
    </row>
    <row r="36" spans="1:15" x14ac:dyDescent="0.25">
      <c r="A36" s="1">
        <v>35</v>
      </c>
      <c r="B36" t="s">
        <v>721</v>
      </c>
      <c r="C36" t="s">
        <v>36</v>
      </c>
      <c r="D36" s="8" t="s">
        <v>770</v>
      </c>
    </row>
    <row r="37" spans="1:15" x14ac:dyDescent="0.25">
      <c r="A37" s="1">
        <v>36</v>
      </c>
      <c r="B37" t="s">
        <v>722</v>
      </c>
      <c r="C37" t="s">
        <v>36</v>
      </c>
      <c r="D37" s="8" t="s">
        <v>770</v>
      </c>
    </row>
    <row r="38" spans="1:15" x14ac:dyDescent="0.25">
      <c r="A38" s="1">
        <v>37</v>
      </c>
      <c r="B38" t="s">
        <v>723</v>
      </c>
      <c r="C38" t="s">
        <v>37</v>
      </c>
      <c r="D38" s="8" t="s">
        <v>770</v>
      </c>
    </row>
    <row r="39" spans="1:15" x14ac:dyDescent="0.25">
      <c r="A39" s="1">
        <v>38</v>
      </c>
      <c r="B39" t="s">
        <v>724</v>
      </c>
      <c r="C39" t="s">
        <v>37</v>
      </c>
      <c r="D39" s="8" t="s">
        <v>770</v>
      </c>
    </row>
    <row r="40" spans="1:15" x14ac:dyDescent="0.25">
      <c r="A40" s="1">
        <v>39</v>
      </c>
      <c r="B40" t="s">
        <v>725</v>
      </c>
      <c r="C40" t="s">
        <v>37</v>
      </c>
      <c r="D40" s="8" t="s">
        <v>770</v>
      </c>
    </row>
    <row r="41" spans="1:15" x14ac:dyDescent="0.25">
      <c r="A41" s="1">
        <v>40</v>
      </c>
      <c r="B41" t="s">
        <v>726</v>
      </c>
      <c r="C41" t="s">
        <v>37</v>
      </c>
      <c r="D41" s="8" t="s">
        <v>770</v>
      </c>
    </row>
    <row r="42" spans="1:15" x14ac:dyDescent="0.25">
      <c r="A42" s="1">
        <v>41</v>
      </c>
      <c r="B42" t="s">
        <v>727</v>
      </c>
      <c r="C42" t="s">
        <v>37</v>
      </c>
      <c r="D42" s="8" t="s">
        <v>770</v>
      </c>
    </row>
    <row r="43" spans="1:15" x14ac:dyDescent="0.25">
      <c r="A43" s="1">
        <v>42</v>
      </c>
      <c r="B43" t="s">
        <v>728</v>
      </c>
      <c r="C43" t="s">
        <v>37</v>
      </c>
      <c r="D43" s="8" t="s">
        <v>770</v>
      </c>
    </row>
    <row r="44" spans="1:15" x14ac:dyDescent="0.25">
      <c r="A44" s="1">
        <v>43</v>
      </c>
      <c r="B44" t="s">
        <v>729</v>
      </c>
      <c r="C44" t="s">
        <v>36</v>
      </c>
      <c r="D44" s="8" t="s">
        <v>770</v>
      </c>
    </row>
    <row r="45" spans="1:15" x14ac:dyDescent="0.25">
      <c r="A45" s="1">
        <v>44</v>
      </c>
      <c r="B45" t="s">
        <v>730</v>
      </c>
      <c r="C45" t="s">
        <v>36</v>
      </c>
      <c r="D45" s="8" t="s">
        <v>770</v>
      </c>
    </row>
    <row r="46" spans="1:15" x14ac:dyDescent="0.25">
      <c r="A46" s="1">
        <v>45</v>
      </c>
      <c r="B46" t="s">
        <v>731</v>
      </c>
      <c r="C46" t="s">
        <v>37</v>
      </c>
      <c r="D46" s="8" t="s">
        <v>675</v>
      </c>
      <c r="E46" t="s">
        <v>675</v>
      </c>
      <c r="F46" t="s">
        <v>820</v>
      </c>
      <c r="G46" t="s">
        <v>820</v>
      </c>
      <c r="H46" t="s">
        <v>821</v>
      </c>
      <c r="I46" t="s">
        <v>828</v>
      </c>
      <c r="J46" t="s">
        <v>82</v>
      </c>
      <c r="K46" t="s">
        <v>796</v>
      </c>
      <c r="L46" t="s">
        <v>834</v>
      </c>
      <c r="N46" t="s">
        <v>812</v>
      </c>
      <c r="O46" t="s">
        <v>819</v>
      </c>
    </row>
    <row r="47" spans="1:15" x14ac:dyDescent="0.25">
      <c r="A47" s="1">
        <v>46</v>
      </c>
      <c r="B47" t="s">
        <v>732</v>
      </c>
      <c r="C47" t="s">
        <v>37</v>
      </c>
      <c r="D47" s="8" t="s">
        <v>675</v>
      </c>
      <c r="E47" t="s">
        <v>675</v>
      </c>
      <c r="F47" t="s">
        <v>820</v>
      </c>
      <c r="G47" t="s">
        <v>820</v>
      </c>
      <c r="H47" t="s">
        <v>822</v>
      </c>
      <c r="I47" t="s">
        <v>829</v>
      </c>
      <c r="J47" t="s">
        <v>82</v>
      </c>
      <c r="K47" t="s">
        <v>796</v>
      </c>
      <c r="L47" t="s">
        <v>835</v>
      </c>
      <c r="N47" t="s">
        <v>812</v>
      </c>
      <c r="O47" t="s">
        <v>819</v>
      </c>
    </row>
    <row r="48" spans="1:15" x14ac:dyDescent="0.25">
      <c r="A48" s="1">
        <v>47</v>
      </c>
      <c r="B48" t="s">
        <v>733</v>
      </c>
      <c r="C48" t="s">
        <v>37</v>
      </c>
      <c r="D48" s="8" t="s">
        <v>675</v>
      </c>
      <c r="E48" t="s">
        <v>675</v>
      </c>
      <c r="F48" t="s">
        <v>820</v>
      </c>
      <c r="G48" t="s">
        <v>820</v>
      </c>
      <c r="H48" t="s">
        <v>823</v>
      </c>
      <c r="I48" t="s">
        <v>830</v>
      </c>
      <c r="J48" t="s">
        <v>82</v>
      </c>
      <c r="K48" t="s">
        <v>796</v>
      </c>
      <c r="L48" t="s">
        <v>836</v>
      </c>
      <c r="N48" t="s">
        <v>812</v>
      </c>
      <c r="O48" t="s">
        <v>819</v>
      </c>
    </row>
    <row r="49" spans="1:15" x14ac:dyDescent="0.25">
      <c r="A49" s="1">
        <v>48</v>
      </c>
      <c r="B49" t="s">
        <v>734</v>
      </c>
      <c r="C49" t="s">
        <v>37</v>
      </c>
      <c r="D49" s="8" t="s">
        <v>675</v>
      </c>
      <c r="E49" t="s">
        <v>675</v>
      </c>
      <c r="F49" t="s">
        <v>820</v>
      </c>
      <c r="G49" t="s">
        <v>820</v>
      </c>
      <c r="H49" t="s">
        <v>824</v>
      </c>
      <c r="I49" t="s">
        <v>831</v>
      </c>
      <c r="J49" t="s">
        <v>82</v>
      </c>
      <c r="K49" t="s">
        <v>796</v>
      </c>
      <c r="L49" t="s">
        <v>837</v>
      </c>
      <c r="N49" t="s">
        <v>812</v>
      </c>
      <c r="O49" t="s">
        <v>819</v>
      </c>
    </row>
    <row r="50" spans="1:15" x14ac:dyDescent="0.25">
      <c r="A50" s="1">
        <v>49</v>
      </c>
      <c r="B50" t="s">
        <v>735</v>
      </c>
      <c r="C50" t="s">
        <v>37</v>
      </c>
      <c r="D50" s="8" t="s">
        <v>675</v>
      </c>
      <c r="E50" t="s">
        <v>675</v>
      </c>
      <c r="F50" t="s">
        <v>820</v>
      </c>
      <c r="G50" t="s">
        <v>820</v>
      </c>
      <c r="H50" t="s">
        <v>825</v>
      </c>
      <c r="I50" t="s">
        <v>832</v>
      </c>
      <c r="J50" t="s">
        <v>82</v>
      </c>
      <c r="K50" t="s">
        <v>796</v>
      </c>
      <c r="L50" t="s">
        <v>838</v>
      </c>
      <c r="N50" t="s">
        <v>812</v>
      </c>
      <c r="O50" t="s">
        <v>819</v>
      </c>
    </row>
    <row r="51" spans="1:15" x14ac:dyDescent="0.25">
      <c r="A51" s="1">
        <v>50</v>
      </c>
      <c r="B51" t="s">
        <v>736</v>
      </c>
      <c r="C51" t="s">
        <v>37</v>
      </c>
      <c r="D51" s="8" t="s">
        <v>675</v>
      </c>
      <c r="E51" t="s">
        <v>675</v>
      </c>
      <c r="F51" t="s">
        <v>820</v>
      </c>
      <c r="G51" t="s">
        <v>820</v>
      </c>
      <c r="H51" t="s">
        <v>826</v>
      </c>
      <c r="I51" t="s">
        <v>833</v>
      </c>
      <c r="J51" t="s">
        <v>82</v>
      </c>
      <c r="K51" t="s">
        <v>796</v>
      </c>
      <c r="L51" t="s">
        <v>839</v>
      </c>
      <c r="N51" t="s">
        <v>812</v>
      </c>
      <c r="O51" t="s">
        <v>841</v>
      </c>
    </row>
    <row r="52" spans="1:15" x14ac:dyDescent="0.25">
      <c r="A52" s="1">
        <v>51</v>
      </c>
      <c r="B52" t="s">
        <v>737</v>
      </c>
      <c r="C52" t="s">
        <v>37</v>
      </c>
      <c r="D52" s="8" t="s">
        <v>675</v>
      </c>
      <c r="E52" t="s">
        <v>675</v>
      </c>
      <c r="F52" t="s">
        <v>820</v>
      </c>
      <c r="G52" t="s">
        <v>820</v>
      </c>
      <c r="H52" t="s">
        <v>827</v>
      </c>
      <c r="I52" t="s">
        <v>1110</v>
      </c>
      <c r="J52" t="s">
        <v>82</v>
      </c>
      <c r="K52" t="s">
        <v>796</v>
      </c>
      <c r="L52" t="s">
        <v>840</v>
      </c>
      <c r="N52" t="s">
        <v>812</v>
      </c>
      <c r="O52" t="s">
        <v>819</v>
      </c>
    </row>
    <row r="53" spans="1:15" x14ac:dyDescent="0.25">
      <c r="A53" s="1">
        <v>52</v>
      </c>
      <c r="B53" t="s">
        <v>738</v>
      </c>
      <c r="C53" t="s">
        <v>37</v>
      </c>
      <c r="D53" s="8" t="s">
        <v>675</v>
      </c>
    </row>
    <row r="54" spans="1:15" x14ac:dyDescent="0.25">
      <c r="A54" s="1">
        <v>53</v>
      </c>
      <c r="B54" t="s">
        <v>739</v>
      </c>
      <c r="C54" t="s">
        <v>36</v>
      </c>
      <c r="D54" s="8" t="s">
        <v>770</v>
      </c>
    </row>
    <row r="55" spans="1:15" x14ac:dyDescent="0.25">
      <c r="A55" s="1">
        <v>54</v>
      </c>
      <c r="B55" t="s">
        <v>740</v>
      </c>
      <c r="C55" t="s">
        <v>36</v>
      </c>
      <c r="D55" s="8" t="s">
        <v>770</v>
      </c>
    </row>
    <row r="56" spans="1:15" x14ac:dyDescent="0.25">
      <c r="A56" s="1">
        <v>55</v>
      </c>
      <c r="B56" t="s">
        <v>741</v>
      </c>
      <c r="C56" t="s">
        <v>36</v>
      </c>
      <c r="D56" s="8" t="s">
        <v>770</v>
      </c>
    </row>
    <row r="57" spans="1:15" x14ac:dyDescent="0.25">
      <c r="A57" s="1">
        <v>56</v>
      </c>
      <c r="B57" t="s">
        <v>742</v>
      </c>
      <c r="C57" t="s">
        <v>36</v>
      </c>
      <c r="D57" s="8" t="s">
        <v>770</v>
      </c>
    </row>
    <row r="58" spans="1:15" x14ac:dyDescent="0.25">
      <c r="A58" s="1">
        <v>57</v>
      </c>
      <c r="B58" t="s">
        <v>743</v>
      </c>
      <c r="C58" t="s">
        <v>36</v>
      </c>
      <c r="D58" s="8" t="s">
        <v>770</v>
      </c>
    </row>
    <row r="59" spans="1:15" x14ac:dyDescent="0.25">
      <c r="A59" s="1">
        <v>58</v>
      </c>
      <c r="B59" t="s">
        <v>744</v>
      </c>
      <c r="C59" t="s">
        <v>37</v>
      </c>
    </row>
    <row r="60" spans="1:15" x14ac:dyDescent="0.25">
      <c r="A60" s="1">
        <v>59</v>
      </c>
      <c r="B60" t="s">
        <v>745</v>
      </c>
      <c r="C60" t="s">
        <v>37</v>
      </c>
    </row>
    <row r="61" spans="1:15" x14ac:dyDescent="0.25">
      <c r="A61" s="1">
        <v>60</v>
      </c>
      <c r="B61" t="s">
        <v>746</v>
      </c>
      <c r="C61" t="s">
        <v>37</v>
      </c>
    </row>
    <row r="62" spans="1:15" x14ac:dyDescent="0.25">
      <c r="A62" s="1">
        <v>61</v>
      </c>
      <c r="B62" t="s">
        <v>747</v>
      </c>
      <c r="C62" t="s">
        <v>37</v>
      </c>
    </row>
    <row r="63" spans="1:15" x14ac:dyDescent="0.25">
      <c r="A63" s="1">
        <v>62</v>
      </c>
      <c r="B63" t="s">
        <v>748</v>
      </c>
      <c r="C63" t="s">
        <v>37</v>
      </c>
    </row>
    <row r="64" spans="1:15" x14ac:dyDescent="0.25">
      <c r="A64" s="1">
        <v>63</v>
      </c>
      <c r="B64" t="s">
        <v>749</v>
      </c>
      <c r="C64" t="s">
        <v>37</v>
      </c>
    </row>
    <row r="65" spans="1:15" x14ac:dyDescent="0.25">
      <c r="A65" s="1">
        <v>64</v>
      </c>
      <c r="B65" t="s">
        <v>667</v>
      </c>
      <c r="C65" t="s">
        <v>36</v>
      </c>
      <c r="D65" t="s">
        <v>675</v>
      </c>
      <c r="E65" t="s">
        <v>675</v>
      </c>
      <c r="F65" t="s">
        <v>843</v>
      </c>
      <c r="G65" t="s">
        <v>843</v>
      </c>
      <c r="H65" t="s">
        <v>845</v>
      </c>
      <c r="I65" t="s">
        <v>853</v>
      </c>
      <c r="J65" t="s">
        <v>82</v>
      </c>
      <c r="K65" t="s">
        <v>796</v>
      </c>
      <c r="L65" t="s">
        <v>856</v>
      </c>
      <c r="N65" t="s">
        <v>812</v>
      </c>
      <c r="O65" t="s">
        <v>858</v>
      </c>
    </row>
    <row r="66" spans="1:15" x14ac:dyDescent="0.25">
      <c r="A66" s="1">
        <v>65</v>
      </c>
      <c r="B66" t="s">
        <v>668</v>
      </c>
      <c r="C66" t="s">
        <v>36</v>
      </c>
      <c r="D66" t="s">
        <v>675</v>
      </c>
      <c r="E66" t="s">
        <v>675</v>
      </c>
      <c r="F66" t="s">
        <v>843</v>
      </c>
      <c r="G66" t="s">
        <v>843</v>
      </c>
      <c r="H66" t="s">
        <v>846</v>
      </c>
      <c r="I66" t="s">
        <v>854</v>
      </c>
      <c r="J66" t="s">
        <v>82</v>
      </c>
      <c r="K66" t="s">
        <v>796</v>
      </c>
      <c r="L66" t="s">
        <v>857</v>
      </c>
      <c r="N66" t="s">
        <v>812</v>
      </c>
      <c r="O66" t="s">
        <v>858</v>
      </c>
    </row>
    <row r="67" spans="1:15" x14ac:dyDescent="0.25">
      <c r="A67" s="1">
        <v>66</v>
      </c>
      <c r="B67" t="s">
        <v>1111</v>
      </c>
      <c r="C67" t="s">
        <v>36</v>
      </c>
      <c r="D67" t="s">
        <v>675</v>
      </c>
      <c r="E67" t="s">
        <v>675</v>
      </c>
      <c r="F67" t="s">
        <v>843</v>
      </c>
      <c r="G67" t="s">
        <v>843</v>
      </c>
      <c r="H67" t="s">
        <v>1112</v>
      </c>
      <c r="I67" t="s">
        <v>1113</v>
      </c>
      <c r="J67" t="s">
        <v>82</v>
      </c>
      <c r="K67" t="s">
        <v>796</v>
      </c>
      <c r="L67" t="s">
        <v>856</v>
      </c>
      <c r="N67" t="s">
        <v>812</v>
      </c>
      <c r="O67" t="s">
        <v>858</v>
      </c>
    </row>
    <row r="68" spans="1:15" x14ac:dyDescent="0.25">
      <c r="A68" s="1">
        <v>67</v>
      </c>
      <c r="B68" t="s">
        <v>750</v>
      </c>
      <c r="C68" t="s">
        <v>769</v>
      </c>
      <c r="D68" t="s">
        <v>842</v>
      </c>
      <c r="E68" t="s">
        <v>675</v>
      </c>
      <c r="G68" t="s">
        <v>844</v>
      </c>
      <c r="H68" t="s">
        <v>813</v>
      </c>
      <c r="I68" t="s">
        <v>855</v>
      </c>
      <c r="J68" t="s">
        <v>82</v>
      </c>
      <c r="K68" t="s">
        <v>796</v>
      </c>
      <c r="N68" t="s">
        <v>812</v>
      </c>
    </row>
    <row r="69" spans="1:15" x14ac:dyDescent="0.25">
      <c r="A69" s="1">
        <v>68</v>
      </c>
      <c r="B69" t="s">
        <v>751</v>
      </c>
      <c r="C69" t="s">
        <v>769</v>
      </c>
      <c r="D69" t="s">
        <v>842</v>
      </c>
      <c r="E69" t="s">
        <v>675</v>
      </c>
      <c r="G69" t="s">
        <v>844</v>
      </c>
      <c r="H69" t="s">
        <v>814</v>
      </c>
      <c r="I69" t="s">
        <v>855</v>
      </c>
      <c r="J69" t="s">
        <v>82</v>
      </c>
      <c r="K69" t="s">
        <v>796</v>
      </c>
      <c r="N69" t="s">
        <v>812</v>
      </c>
    </row>
    <row r="70" spans="1:15" x14ac:dyDescent="0.25">
      <c r="A70" s="1">
        <v>69</v>
      </c>
      <c r="B70" t="s">
        <v>752</v>
      </c>
      <c r="C70" t="s">
        <v>769</v>
      </c>
      <c r="D70" t="s">
        <v>842</v>
      </c>
      <c r="E70" t="s">
        <v>675</v>
      </c>
      <c r="G70" t="s">
        <v>844</v>
      </c>
      <c r="H70" t="s">
        <v>815</v>
      </c>
      <c r="I70" t="s">
        <v>855</v>
      </c>
      <c r="J70" t="s">
        <v>82</v>
      </c>
      <c r="K70" t="s">
        <v>796</v>
      </c>
      <c r="N70" t="s">
        <v>812</v>
      </c>
    </row>
    <row r="71" spans="1:15" x14ac:dyDescent="0.25">
      <c r="A71" s="1">
        <v>70</v>
      </c>
      <c r="B71" t="s">
        <v>753</v>
      </c>
      <c r="C71" t="s">
        <v>769</v>
      </c>
      <c r="D71" t="s">
        <v>842</v>
      </c>
      <c r="E71" t="s">
        <v>675</v>
      </c>
      <c r="G71" t="s">
        <v>844</v>
      </c>
      <c r="H71" t="s">
        <v>816</v>
      </c>
      <c r="I71" t="s">
        <v>855</v>
      </c>
      <c r="J71" t="s">
        <v>82</v>
      </c>
      <c r="K71" t="s">
        <v>796</v>
      </c>
      <c r="N71" t="s">
        <v>812</v>
      </c>
    </row>
    <row r="72" spans="1:15" x14ac:dyDescent="0.25">
      <c r="A72" s="1">
        <v>71</v>
      </c>
      <c r="B72" t="s">
        <v>754</v>
      </c>
      <c r="C72" t="s">
        <v>769</v>
      </c>
      <c r="D72" t="s">
        <v>842</v>
      </c>
      <c r="E72" t="s">
        <v>675</v>
      </c>
      <c r="G72" t="s">
        <v>844</v>
      </c>
      <c r="H72" t="s">
        <v>817</v>
      </c>
      <c r="I72" t="s">
        <v>855</v>
      </c>
      <c r="J72" t="s">
        <v>82</v>
      </c>
      <c r="K72" t="s">
        <v>796</v>
      </c>
      <c r="N72" t="s">
        <v>812</v>
      </c>
    </row>
    <row r="73" spans="1:15" x14ac:dyDescent="0.25">
      <c r="A73" s="1">
        <v>72</v>
      </c>
      <c r="B73" t="s">
        <v>755</v>
      </c>
      <c r="C73" t="s">
        <v>769</v>
      </c>
      <c r="D73" t="s">
        <v>842</v>
      </c>
      <c r="E73" t="s">
        <v>675</v>
      </c>
      <c r="G73" t="s">
        <v>844</v>
      </c>
      <c r="H73" t="s">
        <v>818</v>
      </c>
      <c r="I73" t="s">
        <v>855</v>
      </c>
      <c r="J73" t="s">
        <v>82</v>
      </c>
      <c r="K73" t="s">
        <v>796</v>
      </c>
      <c r="N73" t="s">
        <v>812</v>
      </c>
    </row>
    <row r="74" spans="1:15" x14ac:dyDescent="0.25">
      <c r="A74" s="1">
        <v>73</v>
      </c>
      <c r="B74" t="s">
        <v>756</v>
      </c>
      <c r="C74" t="s">
        <v>769</v>
      </c>
      <c r="D74" t="s">
        <v>842</v>
      </c>
      <c r="E74" t="s">
        <v>675</v>
      </c>
      <c r="G74" t="s">
        <v>844</v>
      </c>
      <c r="H74" t="s">
        <v>847</v>
      </c>
      <c r="I74" t="s">
        <v>855</v>
      </c>
      <c r="J74" t="s">
        <v>82</v>
      </c>
      <c r="K74" t="s">
        <v>796</v>
      </c>
      <c r="N74" t="s">
        <v>812</v>
      </c>
    </row>
    <row r="75" spans="1:15" x14ac:dyDescent="0.25">
      <c r="A75" s="1">
        <v>74</v>
      </c>
      <c r="B75" t="s">
        <v>757</v>
      </c>
      <c r="C75" t="s">
        <v>769</v>
      </c>
      <c r="D75" t="s">
        <v>842</v>
      </c>
      <c r="E75" t="s">
        <v>675</v>
      </c>
      <c r="G75" t="s">
        <v>844</v>
      </c>
      <c r="H75" t="s">
        <v>848</v>
      </c>
      <c r="I75" t="s">
        <v>855</v>
      </c>
      <c r="J75" t="s">
        <v>82</v>
      </c>
      <c r="K75" t="s">
        <v>796</v>
      </c>
      <c r="N75" t="s">
        <v>812</v>
      </c>
    </row>
    <row r="76" spans="1:15" x14ac:dyDescent="0.25">
      <c r="A76" s="1">
        <v>75</v>
      </c>
      <c r="B76" t="s">
        <v>758</v>
      </c>
      <c r="C76" t="s">
        <v>769</v>
      </c>
      <c r="D76" t="s">
        <v>842</v>
      </c>
      <c r="E76" t="s">
        <v>675</v>
      </c>
      <c r="G76" t="s">
        <v>844</v>
      </c>
      <c r="H76" t="s">
        <v>849</v>
      </c>
      <c r="I76" t="s">
        <v>855</v>
      </c>
      <c r="J76" t="s">
        <v>82</v>
      </c>
      <c r="K76" t="s">
        <v>796</v>
      </c>
      <c r="N76" t="s">
        <v>812</v>
      </c>
    </row>
    <row r="77" spans="1:15" x14ac:dyDescent="0.25">
      <c r="A77" s="1">
        <v>76</v>
      </c>
      <c r="B77" t="s">
        <v>759</v>
      </c>
      <c r="C77" t="s">
        <v>769</v>
      </c>
      <c r="D77" t="s">
        <v>842</v>
      </c>
      <c r="E77" t="s">
        <v>675</v>
      </c>
      <c r="G77" t="s">
        <v>844</v>
      </c>
      <c r="H77" t="s">
        <v>850</v>
      </c>
      <c r="I77" t="s">
        <v>855</v>
      </c>
      <c r="J77" t="s">
        <v>82</v>
      </c>
      <c r="K77" t="s">
        <v>796</v>
      </c>
      <c r="N77" t="s">
        <v>812</v>
      </c>
    </row>
    <row r="78" spans="1:15" x14ac:dyDescent="0.25">
      <c r="A78" s="1">
        <v>77</v>
      </c>
      <c r="B78" t="s">
        <v>760</v>
      </c>
      <c r="C78" t="s">
        <v>769</v>
      </c>
      <c r="D78" t="s">
        <v>842</v>
      </c>
      <c r="E78" t="s">
        <v>675</v>
      </c>
      <c r="G78" t="s">
        <v>844</v>
      </c>
      <c r="H78" t="s">
        <v>851</v>
      </c>
      <c r="I78" t="s">
        <v>855</v>
      </c>
      <c r="J78" t="s">
        <v>82</v>
      </c>
      <c r="K78" t="s">
        <v>796</v>
      </c>
      <c r="N78" t="s">
        <v>812</v>
      </c>
    </row>
    <row r="79" spans="1:15" x14ac:dyDescent="0.25">
      <c r="A79" s="1">
        <v>78</v>
      </c>
      <c r="B79" t="s">
        <v>761</v>
      </c>
      <c r="C79" t="s">
        <v>769</v>
      </c>
      <c r="D79" t="s">
        <v>842</v>
      </c>
      <c r="E79" t="s">
        <v>675</v>
      </c>
      <c r="G79" t="s">
        <v>844</v>
      </c>
      <c r="H79" t="s">
        <v>852</v>
      </c>
      <c r="I79" t="s">
        <v>855</v>
      </c>
      <c r="J79" t="s">
        <v>82</v>
      </c>
      <c r="K79" t="s">
        <v>796</v>
      </c>
      <c r="N79" t="s">
        <v>812</v>
      </c>
    </row>
    <row r="80" spans="1:15" x14ac:dyDescent="0.25">
      <c r="A80" s="1">
        <v>79</v>
      </c>
      <c r="B80" t="s">
        <v>762</v>
      </c>
      <c r="C80" t="s">
        <v>37</v>
      </c>
    </row>
    <row r="81" spans="1:5" x14ac:dyDescent="0.25">
      <c r="A81" s="1">
        <v>80</v>
      </c>
      <c r="B81" t="s">
        <v>763</v>
      </c>
      <c r="C81" t="s">
        <v>36</v>
      </c>
    </row>
    <row r="82" spans="1:5" x14ac:dyDescent="0.25">
      <c r="A82" s="1">
        <v>81</v>
      </c>
      <c r="B82" t="s">
        <v>764</v>
      </c>
      <c r="C82" t="s">
        <v>37</v>
      </c>
      <c r="E82" t="s">
        <v>675</v>
      </c>
    </row>
    <row r="83" spans="1:5" x14ac:dyDescent="0.25">
      <c r="A83" s="1">
        <v>82</v>
      </c>
      <c r="B83" t="s">
        <v>765</v>
      </c>
      <c r="C83" t="s">
        <v>36</v>
      </c>
      <c r="E83" t="s">
        <v>675</v>
      </c>
    </row>
    <row r="84" spans="1:5" x14ac:dyDescent="0.25">
      <c r="A84" s="1">
        <v>83</v>
      </c>
      <c r="B84" t="s">
        <v>766</v>
      </c>
      <c r="C84" t="s">
        <v>36</v>
      </c>
      <c r="E84" t="s">
        <v>675</v>
      </c>
    </row>
    <row r="85" spans="1:5" x14ac:dyDescent="0.25">
      <c r="A85" s="1">
        <v>84</v>
      </c>
      <c r="B85" t="s">
        <v>767</v>
      </c>
      <c r="C85" t="s">
        <v>36</v>
      </c>
      <c r="E85" t="s">
        <v>675</v>
      </c>
    </row>
    <row r="86" spans="1:5" x14ac:dyDescent="0.25">
      <c r="A86" s="1">
        <v>85</v>
      </c>
      <c r="B86" t="s">
        <v>768</v>
      </c>
      <c r="C86" t="s">
        <v>36</v>
      </c>
      <c r="E86" t="s">
        <v>675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showGridLines="0"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1" sqref="B1"/>
    </sheetView>
  </sheetViews>
  <sheetFormatPr defaultRowHeight="15" x14ac:dyDescent="0.25"/>
  <cols>
    <col min="1" max="1" width="28.85546875" bestFit="1" customWidth="1"/>
    <col min="2" max="2" width="43.5703125" bestFit="1" customWidth="1"/>
    <col min="3" max="3" width="18.7109375" bestFit="1" customWidth="1"/>
    <col min="4" max="4" width="14.5703125" bestFit="1" customWidth="1"/>
    <col min="5" max="5" width="27.140625" customWidth="1"/>
    <col min="6" max="6" width="23.28515625" customWidth="1"/>
    <col min="7" max="8" width="27" customWidth="1"/>
    <col min="9" max="9" width="23" customWidth="1"/>
    <col min="10" max="10" width="25.5703125" customWidth="1"/>
    <col min="11" max="11" width="14.85546875" customWidth="1"/>
    <col min="12" max="12" width="20.8554687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10</v>
      </c>
    </row>
    <row r="2" spans="1:12" x14ac:dyDescent="0.25">
      <c r="A2" s="3" t="s">
        <v>13</v>
      </c>
      <c r="B2" s="4" t="s">
        <v>36</v>
      </c>
      <c r="C2" s="3" t="s">
        <v>38</v>
      </c>
      <c r="D2" s="3" t="s">
        <v>40</v>
      </c>
      <c r="E2" s="3" t="s">
        <v>43</v>
      </c>
      <c r="F2" s="3" t="s">
        <v>82</v>
      </c>
      <c r="G2" s="3" t="s">
        <v>83</v>
      </c>
      <c r="H2" s="3" t="s">
        <v>87</v>
      </c>
      <c r="I2" s="3" t="s">
        <v>82</v>
      </c>
      <c r="J2" s="3" t="s">
        <v>85</v>
      </c>
      <c r="K2" s="3" t="s">
        <v>126</v>
      </c>
      <c r="L2" s="3" t="s">
        <v>128</v>
      </c>
    </row>
    <row r="3" spans="1:12" x14ac:dyDescent="0.25">
      <c r="A3" s="3" t="s">
        <v>13</v>
      </c>
      <c r="B3" s="4" t="s">
        <v>36</v>
      </c>
      <c r="C3" s="3" t="s">
        <v>39</v>
      </c>
      <c r="D3" s="3" t="s">
        <v>41</v>
      </c>
      <c r="E3" s="3" t="s">
        <v>58</v>
      </c>
      <c r="F3" s="3" t="s">
        <v>82</v>
      </c>
      <c r="G3" s="3" t="s">
        <v>84</v>
      </c>
      <c r="H3" s="3" t="s">
        <v>88</v>
      </c>
      <c r="I3" s="3" t="s">
        <v>82</v>
      </c>
      <c r="J3" s="3" t="s">
        <v>86</v>
      </c>
      <c r="K3" s="3" t="s">
        <v>126</v>
      </c>
      <c r="L3" s="3" t="s">
        <v>128</v>
      </c>
    </row>
    <row r="4" spans="1:12" x14ac:dyDescent="0.25">
      <c r="A4" s="3" t="s">
        <v>14</v>
      </c>
      <c r="B4" s="4" t="s">
        <v>36</v>
      </c>
      <c r="C4" s="3" t="s">
        <v>38</v>
      </c>
      <c r="D4" s="3" t="s">
        <v>40</v>
      </c>
      <c r="E4" s="3" t="s">
        <v>44</v>
      </c>
      <c r="F4" s="3" t="s">
        <v>82</v>
      </c>
      <c r="G4" s="3" t="s">
        <v>83</v>
      </c>
      <c r="H4" s="3" t="s">
        <v>89</v>
      </c>
      <c r="I4" s="3" t="s">
        <v>82</v>
      </c>
      <c r="J4" s="3" t="s">
        <v>85</v>
      </c>
      <c r="K4" s="3" t="s">
        <v>126</v>
      </c>
      <c r="L4" s="3" t="s">
        <v>128</v>
      </c>
    </row>
    <row r="5" spans="1:12" x14ac:dyDescent="0.25">
      <c r="A5" s="3" t="s">
        <v>14</v>
      </c>
      <c r="B5" s="4" t="s">
        <v>36</v>
      </c>
      <c r="C5" s="3" t="s">
        <v>39</v>
      </c>
      <c r="D5" s="3" t="s">
        <v>41</v>
      </c>
      <c r="E5" s="3" t="s">
        <v>59</v>
      </c>
      <c r="F5" s="3" t="s">
        <v>82</v>
      </c>
      <c r="G5" s="3" t="s">
        <v>84</v>
      </c>
      <c r="H5" s="3" t="s">
        <v>90</v>
      </c>
      <c r="I5" s="3" t="s">
        <v>82</v>
      </c>
      <c r="J5" s="3" t="s">
        <v>86</v>
      </c>
      <c r="K5" s="3" t="s">
        <v>126</v>
      </c>
      <c r="L5" s="3" t="s">
        <v>128</v>
      </c>
    </row>
    <row r="6" spans="1:12" x14ac:dyDescent="0.25">
      <c r="A6" s="3" t="s">
        <v>15</v>
      </c>
      <c r="B6" s="4" t="s">
        <v>36</v>
      </c>
      <c r="C6" s="3" t="s">
        <v>38</v>
      </c>
      <c r="D6" s="3" t="s">
        <v>40</v>
      </c>
      <c r="E6" s="3" t="s">
        <v>45</v>
      </c>
      <c r="F6" s="3" t="s">
        <v>82</v>
      </c>
      <c r="G6" s="3" t="s">
        <v>83</v>
      </c>
      <c r="H6" s="3" t="s">
        <v>91</v>
      </c>
      <c r="I6" s="3" t="s">
        <v>82</v>
      </c>
      <c r="J6" s="3" t="s">
        <v>85</v>
      </c>
      <c r="K6" s="3" t="s">
        <v>126</v>
      </c>
      <c r="L6" s="3" t="s">
        <v>128</v>
      </c>
    </row>
    <row r="7" spans="1:12" x14ac:dyDescent="0.25">
      <c r="A7" s="3" t="s">
        <v>15</v>
      </c>
      <c r="B7" s="4" t="s">
        <v>36</v>
      </c>
      <c r="C7" s="3" t="s">
        <v>39</v>
      </c>
      <c r="D7" s="3" t="s">
        <v>41</v>
      </c>
      <c r="E7" s="3" t="s">
        <v>60</v>
      </c>
      <c r="F7" s="3" t="s">
        <v>82</v>
      </c>
      <c r="G7" s="3" t="s">
        <v>84</v>
      </c>
      <c r="H7" s="3" t="s">
        <v>92</v>
      </c>
      <c r="I7" s="3" t="s">
        <v>82</v>
      </c>
      <c r="J7" s="3" t="s">
        <v>86</v>
      </c>
      <c r="K7" s="3" t="s">
        <v>126</v>
      </c>
      <c r="L7" s="3" t="s">
        <v>129</v>
      </c>
    </row>
    <row r="8" spans="1:12" x14ac:dyDescent="0.25">
      <c r="A8" s="3" t="s">
        <v>16</v>
      </c>
      <c r="B8" s="4" t="s">
        <v>36</v>
      </c>
      <c r="C8" s="3" t="s">
        <v>38</v>
      </c>
      <c r="D8" s="3" t="s">
        <v>40</v>
      </c>
      <c r="E8" s="3" t="s">
        <v>46</v>
      </c>
      <c r="F8" s="3" t="s">
        <v>82</v>
      </c>
      <c r="G8" s="3" t="s">
        <v>83</v>
      </c>
      <c r="H8" s="3" t="s">
        <v>93</v>
      </c>
      <c r="I8" s="3" t="s">
        <v>82</v>
      </c>
      <c r="J8" s="3" t="s">
        <v>85</v>
      </c>
      <c r="K8" s="3" t="s">
        <v>126</v>
      </c>
      <c r="L8" s="3" t="s">
        <v>129</v>
      </c>
    </row>
    <row r="9" spans="1:12" x14ac:dyDescent="0.25">
      <c r="A9" s="3" t="s">
        <v>16</v>
      </c>
      <c r="B9" s="4" t="s">
        <v>36</v>
      </c>
      <c r="C9" s="3" t="s">
        <v>39</v>
      </c>
      <c r="D9" s="3" t="s">
        <v>41</v>
      </c>
      <c r="E9" s="3" t="s">
        <v>61</v>
      </c>
      <c r="F9" s="3" t="s">
        <v>82</v>
      </c>
      <c r="G9" s="3" t="s">
        <v>84</v>
      </c>
      <c r="H9" s="3" t="s">
        <v>94</v>
      </c>
      <c r="I9" s="3" t="s">
        <v>82</v>
      </c>
      <c r="J9" s="3" t="s">
        <v>86</v>
      </c>
      <c r="K9" s="3" t="s">
        <v>126</v>
      </c>
      <c r="L9" s="3" t="s">
        <v>128</v>
      </c>
    </row>
    <row r="10" spans="1:12" x14ac:dyDescent="0.25">
      <c r="A10" s="3" t="s">
        <v>17</v>
      </c>
      <c r="B10" s="4" t="s">
        <v>36</v>
      </c>
      <c r="C10" s="3" t="s">
        <v>38</v>
      </c>
      <c r="D10" s="3" t="s">
        <v>40</v>
      </c>
      <c r="E10" s="3" t="s">
        <v>47</v>
      </c>
      <c r="F10" s="3" t="s">
        <v>82</v>
      </c>
      <c r="G10" s="3" t="s">
        <v>83</v>
      </c>
      <c r="H10" s="3" t="s">
        <v>95</v>
      </c>
      <c r="I10" s="3" t="s">
        <v>82</v>
      </c>
      <c r="J10" s="3" t="s">
        <v>85</v>
      </c>
      <c r="K10" s="3" t="s">
        <v>126</v>
      </c>
      <c r="L10" s="3" t="s">
        <v>128</v>
      </c>
    </row>
    <row r="11" spans="1:12" x14ac:dyDescent="0.25">
      <c r="A11" s="3" t="s">
        <v>17</v>
      </c>
      <c r="B11" s="4" t="s">
        <v>36</v>
      </c>
      <c r="C11" s="3" t="s">
        <v>39</v>
      </c>
      <c r="D11" s="3" t="s">
        <v>41</v>
      </c>
      <c r="E11" s="3" t="s">
        <v>62</v>
      </c>
      <c r="F11" s="3" t="s">
        <v>82</v>
      </c>
      <c r="G11" s="3" t="s">
        <v>84</v>
      </c>
      <c r="H11" s="3" t="s">
        <v>96</v>
      </c>
      <c r="I11" s="3" t="s">
        <v>82</v>
      </c>
      <c r="J11" s="3" t="s">
        <v>86</v>
      </c>
      <c r="K11" s="3" t="s">
        <v>126</v>
      </c>
      <c r="L11" s="3" t="s">
        <v>128</v>
      </c>
    </row>
    <row r="12" spans="1:12" x14ac:dyDescent="0.25">
      <c r="A12" s="3" t="s">
        <v>18</v>
      </c>
      <c r="B12" s="4" t="s">
        <v>36</v>
      </c>
      <c r="C12" s="3" t="s">
        <v>38</v>
      </c>
      <c r="D12" s="3" t="s">
        <v>40</v>
      </c>
      <c r="E12" s="3" t="s">
        <v>48</v>
      </c>
      <c r="F12" s="3" t="s">
        <v>82</v>
      </c>
      <c r="G12" s="3" t="s">
        <v>83</v>
      </c>
      <c r="H12" s="3" t="s">
        <v>97</v>
      </c>
      <c r="I12" s="3" t="s">
        <v>82</v>
      </c>
      <c r="J12" s="3" t="s">
        <v>85</v>
      </c>
      <c r="K12" s="3" t="s">
        <v>126</v>
      </c>
      <c r="L12" s="3" t="s">
        <v>129</v>
      </c>
    </row>
    <row r="13" spans="1:12" x14ac:dyDescent="0.25">
      <c r="A13" s="3" t="s">
        <v>18</v>
      </c>
      <c r="B13" s="4" t="s">
        <v>36</v>
      </c>
      <c r="C13" s="3" t="s">
        <v>39</v>
      </c>
      <c r="D13" s="3" t="s">
        <v>41</v>
      </c>
      <c r="E13" s="3" t="s">
        <v>63</v>
      </c>
      <c r="F13" s="3" t="s">
        <v>82</v>
      </c>
      <c r="G13" s="3" t="s">
        <v>84</v>
      </c>
      <c r="H13" s="3" t="s">
        <v>98</v>
      </c>
      <c r="I13" s="3" t="s">
        <v>82</v>
      </c>
      <c r="J13" s="3" t="s">
        <v>86</v>
      </c>
      <c r="K13" s="3" t="s">
        <v>126</v>
      </c>
      <c r="L13" s="3" t="s">
        <v>128</v>
      </c>
    </row>
    <row r="14" spans="1:12" x14ac:dyDescent="0.25">
      <c r="A14" s="3" t="s">
        <v>19</v>
      </c>
      <c r="B14" s="4" t="s">
        <v>36</v>
      </c>
      <c r="C14" s="3" t="s">
        <v>38</v>
      </c>
      <c r="D14" s="3" t="s">
        <v>40</v>
      </c>
      <c r="E14" s="3" t="s">
        <v>49</v>
      </c>
      <c r="F14" s="3" t="s">
        <v>82</v>
      </c>
      <c r="G14" s="3" t="s">
        <v>83</v>
      </c>
      <c r="H14" s="3" t="s">
        <v>99</v>
      </c>
      <c r="I14" s="3" t="s">
        <v>82</v>
      </c>
      <c r="J14" s="3" t="s">
        <v>85</v>
      </c>
      <c r="K14" s="3" t="s">
        <v>126</v>
      </c>
      <c r="L14" s="3" t="s">
        <v>129</v>
      </c>
    </row>
    <row r="15" spans="1:12" x14ac:dyDescent="0.25">
      <c r="A15" s="3" t="s">
        <v>19</v>
      </c>
      <c r="B15" s="4" t="s">
        <v>36</v>
      </c>
      <c r="C15" s="3" t="s">
        <v>39</v>
      </c>
      <c r="D15" s="3" t="s">
        <v>41</v>
      </c>
      <c r="E15" s="3" t="s">
        <v>64</v>
      </c>
      <c r="F15" s="3" t="s">
        <v>82</v>
      </c>
      <c r="G15" s="3" t="s">
        <v>84</v>
      </c>
      <c r="H15" s="3" t="s">
        <v>100</v>
      </c>
      <c r="I15" s="3" t="s">
        <v>82</v>
      </c>
      <c r="J15" s="3" t="s">
        <v>86</v>
      </c>
      <c r="K15" s="3" t="s">
        <v>126</v>
      </c>
      <c r="L15" s="3" t="s">
        <v>128</v>
      </c>
    </row>
    <row r="16" spans="1:12" x14ac:dyDescent="0.25">
      <c r="A16" s="3" t="s">
        <v>20</v>
      </c>
      <c r="B16" s="4" t="s">
        <v>36</v>
      </c>
      <c r="C16" s="3" t="s">
        <v>38</v>
      </c>
      <c r="D16" s="3" t="s">
        <v>40</v>
      </c>
      <c r="E16" s="3" t="s">
        <v>50</v>
      </c>
      <c r="F16" s="3" t="s">
        <v>82</v>
      </c>
      <c r="G16" s="3" t="s">
        <v>83</v>
      </c>
      <c r="H16" s="3" t="s">
        <v>101</v>
      </c>
      <c r="I16" s="3" t="s">
        <v>82</v>
      </c>
      <c r="J16" s="3" t="s">
        <v>85</v>
      </c>
      <c r="K16" s="3" t="s">
        <v>126</v>
      </c>
      <c r="L16" s="3" t="s">
        <v>128</v>
      </c>
    </row>
    <row r="17" spans="1:12" x14ac:dyDescent="0.25">
      <c r="A17" s="3" t="s">
        <v>20</v>
      </c>
      <c r="B17" s="4" t="s">
        <v>36</v>
      </c>
      <c r="C17" s="3" t="s">
        <v>39</v>
      </c>
      <c r="D17" s="3" t="s">
        <v>41</v>
      </c>
      <c r="E17" s="3" t="s">
        <v>65</v>
      </c>
      <c r="F17" s="3" t="s">
        <v>82</v>
      </c>
      <c r="G17" s="3" t="s">
        <v>84</v>
      </c>
      <c r="H17" s="3" t="s">
        <v>102</v>
      </c>
      <c r="I17" s="3" t="s">
        <v>82</v>
      </c>
      <c r="J17" s="3" t="s">
        <v>86</v>
      </c>
      <c r="K17" s="3" t="s">
        <v>126</v>
      </c>
      <c r="L17" s="3" t="s">
        <v>128</v>
      </c>
    </row>
    <row r="18" spans="1:12" x14ac:dyDescent="0.25">
      <c r="A18" s="3" t="s">
        <v>21</v>
      </c>
      <c r="B18" s="4" t="s">
        <v>36</v>
      </c>
      <c r="C18" s="3" t="s">
        <v>38</v>
      </c>
      <c r="D18" s="3" t="s">
        <v>40</v>
      </c>
      <c r="E18" s="3" t="s">
        <v>51</v>
      </c>
      <c r="F18" s="3" t="s">
        <v>82</v>
      </c>
      <c r="G18" s="3" t="s">
        <v>83</v>
      </c>
      <c r="H18" s="3" t="s">
        <v>103</v>
      </c>
      <c r="I18" s="3" t="s">
        <v>82</v>
      </c>
      <c r="J18" s="3" t="s">
        <v>85</v>
      </c>
      <c r="K18" s="3" t="s">
        <v>126</v>
      </c>
      <c r="L18" s="3" t="s">
        <v>128</v>
      </c>
    </row>
    <row r="19" spans="1:12" x14ac:dyDescent="0.25">
      <c r="A19" s="3" t="s">
        <v>21</v>
      </c>
      <c r="B19" s="4" t="s">
        <v>36</v>
      </c>
      <c r="C19" s="3" t="s">
        <v>39</v>
      </c>
      <c r="D19" s="3" t="s">
        <v>41</v>
      </c>
      <c r="E19" s="3" t="s">
        <v>66</v>
      </c>
      <c r="F19" s="3" t="s">
        <v>82</v>
      </c>
      <c r="G19" s="3" t="s">
        <v>84</v>
      </c>
      <c r="H19" s="3" t="s">
        <v>104</v>
      </c>
      <c r="I19" s="3" t="s">
        <v>82</v>
      </c>
      <c r="J19" s="3" t="s">
        <v>86</v>
      </c>
      <c r="K19" s="3" t="s">
        <v>126</v>
      </c>
      <c r="L19" s="3" t="s">
        <v>128</v>
      </c>
    </row>
    <row r="20" spans="1:12" x14ac:dyDescent="0.25">
      <c r="A20" s="3" t="s">
        <v>22</v>
      </c>
      <c r="B20" s="4" t="s">
        <v>36</v>
      </c>
      <c r="C20" s="3" t="s">
        <v>38</v>
      </c>
      <c r="D20" s="3" t="s">
        <v>40</v>
      </c>
      <c r="E20" s="3" t="s">
        <v>52</v>
      </c>
      <c r="F20" s="3" t="s">
        <v>82</v>
      </c>
      <c r="G20" s="3" t="s">
        <v>83</v>
      </c>
      <c r="H20" s="3" t="s">
        <v>105</v>
      </c>
      <c r="I20" s="3" t="s">
        <v>82</v>
      </c>
      <c r="J20" s="3" t="s">
        <v>85</v>
      </c>
      <c r="K20" s="3" t="s">
        <v>126</v>
      </c>
      <c r="L20" s="3" t="s">
        <v>128</v>
      </c>
    </row>
    <row r="21" spans="1:12" x14ac:dyDescent="0.25">
      <c r="A21" s="3" t="s">
        <v>22</v>
      </c>
      <c r="B21" s="4" t="s">
        <v>36</v>
      </c>
      <c r="C21" s="3" t="s">
        <v>39</v>
      </c>
      <c r="D21" s="3" t="s">
        <v>41</v>
      </c>
      <c r="E21" s="3" t="s">
        <v>67</v>
      </c>
      <c r="F21" s="3" t="s">
        <v>82</v>
      </c>
      <c r="G21" s="3" t="s">
        <v>84</v>
      </c>
      <c r="H21" s="3" t="s">
        <v>106</v>
      </c>
      <c r="I21" s="3" t="s">
        <v>82</v>
      </c>
      <c r="J21" s="3" t="s">
        <v>86</v>
      </c>
      <c r="K21" s="3" t="s">
        <v>126</v>
      </c>
      <c r="L21" s="3" t="s">
        <v>128</v>
      </c>
    </row>
    <row r="22" spans="1:12" x14ac:dyDescent="0.25">
      <c r="A22" s="3" t="s">
        <v>23</v>
      </c>
      <c r="B22" s="4" t="s">
        <v>36</v>
      </c>
      <c r="C22" s="3" t="s">
        <v>38</v>
      </c>
      <c r="D22" s="3" t="s">
        <v>40</v>
      </c>
      <c r="E22" s="3" t="s">
        <v>53</v>
      </c>
      <c r="F22" s="3" t="s">
        <v>82</v>
      </c>
      <c r="G22" s="3" t="s">
        <v>83</v>
      </c>
      <c r="H22" s="3" t="s">
        <v>107</v>
      </c>
      <c r="I22" s="3" t="s">
        <v>82</v>
      </c>
      <c r="J22" s="3" t="s">
        <v>85</v>
      </c>
      <c r="K22" s="3" t="s">
        <v>126</v>
      </c>
      <c r="L22" s="3" t="s">
        <v>128</v>
      </c>
    </row>
    <row r="23" spans="1:12" x14ac:dyDescent="0.25">
      <c r="A23" s="3" t="s">
        <v>23</v>
      </c>
      <c r="B23" s="4" t="s">
        <v>36</v>
      </c>
      <c r="C23" s="3" t="s">
        <v>39</v>
      </c>
      <c r="D23" s="3" t="s">
        <v>41</v>
      </c>
      <c r="E23" s="3" t="s">
        <v>68</v>
      </c>
      <c r="F23" s="3" t="s">
        <v>82</v>
      </c>
      <c r="G23" s="3" t="s">
        <v>84</v>
      </c>
      <c r="H23" s="3" t="s">
        <v>108</v>
      </c>
      <c r="I23" s="3" t="s">
        <v>82</v>
      </c>
      <c r="J23" s="3" t="s">
        <v>86</v>
      </c>
      <c r="K23" s="3" t="s">
        <v>126</v>
      </c>
      <c r="L23" s="3" t="s">
        <v>128</v>
      </c>
    </row>
    <row r="24" spans="1:12" x14ac:dyDescent="0.25">
      <c r="A24" s="3" t="s">
        <v>24</v>
      </c>
      <c r="B24" s="4" t="s">
        <v>36</v>
      </c>
      <c r="C24" s="3" t="s">
        <v>38</v>
      </c>
      <c r="D24" s="3" t="s">
        <v>40</v>
      </c>
      <c r="E24" s="3" t="s">
        <v>54</v>
      </c>
      <c r="F24" s="3" t="s">
        <v>82</v>
      </c>
      <c r="G24" s="3" t="s">
        <v>83</v>
      </c>
      <c r="H24" s="3" t="s">
        <v>109</v>
      </c>
      <c r="I24" s="3" t="s">
        <v>82</v>
      </c>
      <c r="J24" s="3" t="s">
        <v>85</v>
      </c>
      <c r="K24" s="3" t="s">
        <v>126</v>
      </c>
      <c r="L24" s="3" t="s">
        <v>128</v>
      </c>
    </row>
    <row r="25" spans="1:12" x14ac:dyDescent="0.25">
      <c r="A25" s="3" t="s">
        <v>24</v>
      </c>
      <c r="B25" s="4" t="s">
        <v>36</v>
      </c>
      <c r="C25" s="3" t="s">
        <v>39</v>
      </c>
      <c r="D25" s="3" t="s">
        <v>41</v>
      </c>
      <c r="E25" s="3" t="s">
        <v>69</v>
      </c>
      <c r="F25" s="3" t="s">
        <v>82</v>
      </c>
      <c r="G25" s="3" t="s">
        <v>84</v>
      </c>
      <c r="H25" s="3" t="s">
        <v>110</v>
      </c>
      <c r="I25" s="3" t="s">
        <v>82</v>
      </c>
      <c r="J25" s="3" t="s">
        <v>86</v>
      </c>
      <c r="K25" s="3" t="s">
        <v>126</v>
      </c>
      <c r="L25" s="3" t="s">
        <v>128</v>
      </c>
    </row>
    <row r="26" spans="1:12" x14ac:dyDescent="0.25">
      <c r="A26" s="3" t="s">
        <v>12</v>
      </c>
      <c r="B26" s="4" t="s">
        <v>36</v>
      </c>
      <c r="C26" s="3" t="s">
        <v>38</v>
      </c>
      <c r="D26" s="3" t="s">
        <v>40</v>
      </c>
      <c r="E26" s="3" t="s">
        <v>56</v>
      </c>
      <c r="F26" s="3" t="s">
        <v>82</v>
      </c>
      <c r="G26" s="3" t="s">
        <v>83</v>
      </c>
      <c r="H26" s="3" t="s">
        <v>111</v>
      </c>
      <c r="I26" s="3" t="s">
        <v>82</v>
      </c>
      <c r="J26" s="3" t="s">
        <v>85</v>
      </c>
      <c r="K26" s="3" t="s">
        <v>126</v>
      </c>
      <c r="L26" s="3" t="s">
        <v>128</v>
      </c>
    </row>
    <row r="27" spans="1:12" x14ac:dyDescent="0.25">
      <c r="A27" s="3" t="s">
        <v>12</v>
      </c>
      <c r="B27" s="4" t="s">
        <v>36</v>
      </c>
      <c r="C27" s="3" t="s">
        <v>39</v>
      </c>
      <c r="D27" s="3" t="s">
        <v>41</v>
      </c>
      <c r="E27" s="3" t="s">
        <v>71</v>
      </c>
      <c r="F27" s="3" t="s">
        <v>82</v>
      </c>
      <c r="G27" s="3" t="s">
        <v>84</v>
      </c>
      <c r="H27" s="3" t="s">
        <v>112</v>
      </c>
      <c r="I27" s="3" t="s">
        <v>82</v>
      </c>
      <c r="J27" s="3" t="s">
        <v>86</v>
      </c>
      <c r="K27" s="3" t="s">
        <v>126</v>
      </c>
      <c r="L27" s="3" t="s">
        <v>128</v>
      </c>
    </row>
    <row r="28" spans="1:12" x14ac:dyDescent="0.25">
      <c r="A28" s="3" t="s">
        <v>25</v>
      </c>
      <c r="B28" s="4" t="s">
        <v>36</v>
      </c>
      <c r="C28" s="3" t="s">
        <v>38</v>
      </c>
      <c r="D28" s="3" t="s">
        <v>40</v>
      </c>
      <c r="E28" s="3" t="s">
        <v>57</v>
      </c>
      <c r="F28" s="3" t="s">
        <v>82</v>
      </c>
      <c r="G28" s="3" t="s">
        <v>83</v>
      </c>
      <c r="H28" s="3" t="s">
        <v>113</v>
      </c>
      <c r="I28" s="3" t="s">
        <v>82</v>
      </c>
      <c r="J28" s="3" t="s">
        <v>85</v>
      </c>
      <c r="K28" s="3" t="s">
        <v>126</v>
      </c>
      <c r="L28" s="3" t="s">
        <v>128</v>
      </c>
    </row>
    <row r="29" spans="1:12" x14ac:dyDescent="0.25">
      <c r="A29" s="3" t="s">
        <v>25</v>
      </c>
      <c r="B29" s="4" t="s">
        <v>36</v>
      </c>
      <c r="C29" s="3" t="s">
        <v>39</v>
      </c>
      <c r="D29" s="3" t="s">
        <v>41</v>
      </c>
      <c r="E29" s="3" t="s">
        <v>72</v>
      </c>
      <c r="F29" s="3" t="s">
        <v>82</v>
      </c>
      <c r="G29" s="3" t="s">
        <v>84</v>
      </c>
      <c r="H29" s="3" t="s">
        <v>114</v>
      </c>
      <c r="I29" s="3" t="s">
        <v>82</v>
      </c>
      <c r="J29" s="3" t="s">
        <v>86</v>
      </c>
      <c r="K29" s="3" t="s">
        <v>126</v>
      </c>
      <c r="L29" s="3" t="s">
        <v>128</v>
      </c>
    </row>
    <row r="30" spans="1:12" x14ac:dyDescent="0.25">
      <c r="A30" s="3" t="s">
        <v>26</v>
      </c>
      <c r="B30" s="4" t="s">
        <v>36</v>
      </c>
      <c r="C30" s="3" t="s">
        <v>38</v>
      </c>
      <c r="D30" s="3" t="s">
        <v>40</v>
      </c>
      <c r="E30" s="3" t="s">
        <v>55</v>
      </c>
      <c r="F30" s="3" t="s">
        <v>82</v>
      </c>
      <c r="G30" s="3" t="s">
        <v>83</v>
      </c>
      <c r="H30" s="3" t="s">
        <v>115</v>
      </c>
      <c r="I30" s="3" t="s">
        <v>82</v>
      </c>
      <c r="J30" s="3" t="s">
        <v>85</v>
      </c>
      <c r="K30" s="3" t="s">
        <v>126</v>
      </c>
      <c r="L30" s="3" t="s">
        <v>129</v>
      </c>
    </row>
    <row r="31" spans="1:12" x14ac:dyDescent="0.25">
      <c r="A31" s="3" t="s">
        <v>26</v>
      </c>
      <c r="B31" s="4" t="s">
        <v>36</v>
      </c>
      <c r="C31" s="3" t="s">
        <v>39</v>
      </c>
      <c r="D31" s="3" t="s">
        <v>41</v>
      </c>
      <c r="E31" s="3" t="s">
        <v>70</v>
      </c>
      <c r="F31" s="3" t="s">
        <v>82</v>
      </c>
      <c r="G31" s="3" t="s">
        <v>84</v>
      </c>
      <c r="H31" s="3" t="s">
        <v>116</v>
      </c>
      <c r="I31" s="3" t="s">
        <v>82</v>
      </c>
      <c r="J31" s="3" t="s">
        <v>86</v>
      </c>
      <c r="K31" s="3" t="s">
        <v>126</v>
      </c>
      <c r="L31" s="3" t="s">
        <v>128</v>
      </c>
    </row>
    <row r="32" spans="1:12" x14ac:dyDescent="0.25">
      <c r="A32" s="3" t="s">
        <v>27</v>
      </c>
      <c r="B32" s="4" t="s">
        <v>37</v>
      </c>
      <c r="C32" s="3" t="s">
        <v>39</v>
      </c>
      <c r="D32" s="3" t="s">
        <v>41</v>
      </c>
      <c r="E32" s="3" t="s">
        <v>73</v>
      </c>
      <c r="F32" s="3" t="s">
        <v>82</v>
      </c>
      <c r="G32" s="3" t="s">
        <v>84</v>
      </c>
      <c r="H32" s="3" t="s">
        <v>117</v>
      </c>
      <c r="I32" s="3" t="s">
        <v>82</v>
      </c>
      <c r="J32" s="3" t="s">
        <v>86</v>
      </c>
      <c r="K32" s="3" t="s">
        <v>126</v>
      </c>
      <c r="L32" s="3" t="s">
        <v>129</v>
      </c>
    </row>
    <row r="33" spans="1:12" x14ac:dyDescent="0.25">
      <c r="A33" s="3" t="s">
        <v>28</v>
      </c>
      <c r="B33" s="4" t="s">
        <v>37</v>
      </c>
      <c r="C33" s="3" t="s">
        <v>39</v>
      </c>
      <c r="D33" s="3" t="s">
        <v>41</v>
      </c>
      <c r="E33" s="3" t="s">
        <v>74</v>
      </c>
      <c r="F33" s="3" t="s">
        <v>82</v>
      </c>
      <c r="G33" s="3" t="s">
        <v>84</v>
      </c>
      <c r="H33" s="3" t="s">
        <v>118</v>
      </c>
      <c r="I33" s="3" t="s">
        <v>82</v>
      </c>
      <c r="J33" s="3" t="s">
        <v>86</v>
      </c>
      <c r="K33" s="3" t="s">
        <v>126</v>
      </c>
      <c r="L33" s="3" t="s">
        <v>128</v>
      </c>
    </row>
    <row r="34" spans="1:12" x14ac:dyDescent="0.25">
      <c r="A34" s="3" t="s">
        <v>29</v>
      </c>
      <c r="B34" s="4" t="s">
        <v>37</v>
      </c>
      <c r="C34" s="3" t="s">
        <v>39</v>
      </c>
      <c r="D34" s="3" t="s">
        <v>41</v>
      </c>
      <c r="E34" s="3" t="s">
        <v>75</v>
      </c>
      <c r="F34" s="3" t="s">
        <v>82</v>
      </c>
      <c r="G34" s="3" t="s">
        <v>84</v>
      </c>
      <c r="H34" s="3" t="s">
        <v>119</v>
      </c>
      <c r="I34" s="3" t="s">
        <v>82</v>
      </c>
      <c r="J34" s="3" t="s">
        <v>86</v>
      </c>
      <c r="K34" s="3" t="s">
        <v>126</v>
      </c>
      <c r="L34" s="3" t="s">
        <v>128</v>
      </c>
    </row>
    <row r="35" spans="1:12" x14ac:dyDescent="0.25">
      <c r="A35" s="3" t="s">
        <v>30</v>
      </c>
      <c r="B35" s="4" t="s">
        <v>37</v>
      </c>
      <c r="C35" s="3" t="s">
        <v>39</v>
      </c>
      <c r="D35" s="3" t="s">
        <v>41</v>
      </c>
      <c r="E35" s="3" t="s">
        <v>76</v>
      </c>
      <c r="F35" s="3" t="s">
        <v>82</v>
      </c>
      <c r="G35" s="3" t="s">
        <v>84</v>
      </c>
      <c r="H35" s="3" t="s">
        <v>120</v>
      </c>
      <c r="I35" s="3" t="s">
        <v>82</v>
      </c>
      <c r="J35" s="3" t="s">
        <v>86</v>
      </c>
      <c r="K35" s="3" t="s">
        <v>126</v>
      </c>
      <c r="L35" s="3" t="s">
        <v>128</v>
      </c>
    </row>
    <row r="36" spans="1:12" x14ac:dyDescent="0.25">
      <c r="A36" s="3" t="s">
        <v>31</v>
      </c>
      <c r="B36" s="4" t="s">
        <v>37</v>
      </c>
      <c r="C36" s="3" t="s">
        <v>39</v>
      </c>
      <c r="D36" s="3" t="s">
        <v>41</v>
      </c>
      <c r="E36" s="3" t="s">
        <v>77</v>
      </c>
      <c r="F36" s="3" t="s">
        <v>82</v>
      </c>
      <c r="G36" s="3" t="s">
        <v>84</v>
      </c>
      <c r="H36" s="3" t="s">
        <v>121</v>
      </c>
      <c r="I36" s="3" t="s">
        <v>82</v>
      </c>
      <c r="J36" s="3" t="s">
        <v>86</v>
      </c>
      <c r="K36" s="3" t="s">
        <v>126</v>
      </c>
      <c r="L36" s="3" t="s">
        <v>128</v>
      </c>
    </row>
    <row r="37" spans="1:12" x14ac:dyDescent="0.25">
      <c r="A37" s="3" t="s">
        <v>32</v>
      </c>
      <c r="B37" s="4" t="s">
        <v>37</v>
      </c>
      <c r="C37" s="3" t="s">
        <v>39</v>
      </c>
      <c r="D37" s="3" t="s">
        <v>41</v>
      </c>
      <c r="E37" s="3" t="s">
        <v>78</v>
      </c>
      <c r="F37" s="3" t="s">
        <v>82</v>
      </c>
      <c r="G37" s="3" t="s">
        <v>84</v>
      </c>
      <c r="H37" s="3" t="s">
        <v>122</v>
      </c>
      <c r="I37" s="3" t="s">
        <v>82</v>
      </c>
      <c r="J37" s="3" t="s">
        <v>86</v>
      </c>
      <c r="K37" s="3" t="s">
        <v>126</v>
      </c>
      <c r="L37" s="3" t="s">
        <v>129</v>
      </c>
    </row>
    <row r="38" spans="1:12" x14ac:dyDescent="0.25">
      <c r="A38" s="3" t="s">
        <v>33</v>
      </c>
      <c r="B38" s="4" t="s">
        <v>37</v>
      </c>
      <c r="C38" s="3" t="s">
        <v>39</v>
      </c>
      <c r="D38" s="3" t="s">
        <v>41</v>
      </c>
      <c r="E38" s="3" t="s">
        <v>79</v>
      </c>
      <c r="F38" s="3" t="s">
        <v>82</v>
      </c>
      <c r="G38" s="3" t="s">
        <v>84</v>
      </c>
      <c r="H38" s="3" t="s">
        <v>123</v>
      </c>
      <c r="I38" s="3" t="s">
        <v>82</v>
      </c>
      <c r="J38" s="3" t="s">
        <v>86</v>
      </c>
      <c r="K38" s="3" t="s">
        <v>126</v>
      </c>
      <c r="L38" s="3" t="s">
        <v>128</v>
      </c>
    </row>
    <row r="39" spans="1:12" x14ac:dyDescent="0.25">
      <c r="A39" s="3" t="s">
        <v>34</v>
      </c>
      <c r="B39" s="4" t="s">
        <v>36</v>
      </c>
      <c r="C39" s="3" t="s">
        <v>38</v>
      </c>
      <c r="D39" s="3" t="s">
        <v>42</v>
      </c>
      <c r="E39" s="3" t="s">
        <v>80</v>
      </c>
      <c r="F39" s="3" t="s">
        <v>82</v>
      </c>
      <c r="G39" s="3" t="s">
        <v>84</v>
      </c>
      <c r="H39" s="3" t="s">
        <v>124</v>
      </c>
      <c r="I39" s="3" t="s">
        <v>82</v>
      </c>
      <c r="J39" s="3" t="s">
        <v>86</v>
      </c>
      <c r="K39" s="3" t="s">
        <v>127</v>
      </c>
      <c r="L39" s="3"/>
    </row>
    <row r="40" spans="1:12" x14ac:dyDescent="0.25">
      <c r="A40" s="3" t="s">
        <v>35</v>
      </c>
      <c r="B40" s="4" t="s">
        <v>36</v>
      </c>
      <c r="C40" s="3" t="s">
        <v>38</v>
      </c>
      <c r="D40" s="3" t="s">
        <v>42</v>
      </c>
      <c r="E40" s="3" t="s">
        <v>81</v>
      </c>
      <c r="F40" s="3" t="s">
        <v>82</v>
      </c>
      <c r="G40" s="3" t="s">
        <v>84</v>
      </c>
      <c r="H40" s="3" t="s">
        <v>125</v>
      </c>
      <c r="I40" s="3" t="s">
        <v>82</v>
      </c>
      <c r="J40" s="3" t="s">
        <v>86</v>
      </c>
      <c r="K40" s="3" t="s">
        <v>127</v>
      </c>
      <c r="L40" s="3"/>
    </row>
    <row r="41" spans="1:12" x14ac:dyDescent="0.25">
      <c r="A41" s="13" t="s">
        <v>1114</v>
      </c>
      <c r="B41" s="14" t="s">
        <v>36</v>
      </c>
      <c r="C41" s="13" t="s">
        <v>1115</v>
      </c>
      <c r="D41" s="3" t="s">
        <v>42</v>
      </c>
      <c r="E41" s="3" t="s">
        <v>1116</v>
      </c>
      <c r="F41" s="3" t="s">
        <v>82</v>
      </c>
      <c r="G41" s="3" t="s">
        <v>84</v>
      </c>
      <c r="H41" s="3" t="s">
        <v>125</v>
      </c>
      <c r="I41" s="3" t="s">
        <v>82</v>
      </c>
      <c r="J41" s="3" t="s">
        <v>86</v>
      </c>
      <c r="K41" s="3" t="s">
        <v>127</v>
      </c>
      <c r="L41" s="1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="80" zoomScaleNormal="80" workbookViewId="0">
      <selection activeCell="D5" sqref="D5"/>
    </sheetView>
  </sheetViews>
  <sheetFormatPr defaultRowHeight="15" x14ac:dyDescent="0.25"/>
  <cols>
    <col min="1" max="1" width="15.7109375" customWidth="1"/>
    <col min="2" max="2" width="43.5703125" bestFit="1" customWidth="1"/>
    <col min="3" max="3" width="13.5703125" customWidth="1"/>
    <col min="5" max="5" width="9.7109375" style="1" customWidth="1"/>
    <col min="6" max="6" width="16.2851562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665</v>
      </c>
      <c r="F1" s="5" t="s">
        <v>666</v>
      </c>
    </row>
    <row r="2" spans="1:6" x14ac:dyDescent="0.25">
      <c r="A2" s="5" t="s">
        <v>667</v>
      </c>
      <c r="B2" s="7" t="s">
        <v>36</v>
      </c>
      <c r="C2" s="5" t="s">
        <v>669</v>
      </c>
      <c r="D2" s="5" t="s">
        <v>671</v>
      </c>
      <c r="E2" s="6" t="s">
        <v>675</v>
      </c>
      <c r="F2" s="5" t="s">
        <v>676</v>
      </c>
    </row>
    <row r="3" spans="1:6" x14ac:dyDescent="0.25">
      <c r="A3" s="5" t="s">
        <v>667</v>
      </c>
      <c r="B3" s="7" t="s">
        <v>36</v>
      </c>
      <c r="C3" s="5" t="s">
        <v>670</v>
      </c>
      <c r="D3" s="5" t="s">
        <v>671</v>
      </c>
      <c r="E3" s="6" t="s">
        <v>675</v>
      </c>
      <c r="F3" s="5" t="s">
        <v>676</v>
      </c>
    </row>
    <row r="4" spans="1:6" x14ac:dyDescent="0.25">
      <c r="A4" s="5" t="s">
        <v>667</v>
      </c>
      <c r="B4" s="7" t="s">
        <v>36</v>
      </c>
      <c r="C4" s="5" t="s">
        <v>669</v>
      </c>
      <c r="D4" s="5" t="s">
        <v>672</v>
      </c>
      <c r="E4" s="6" t="s">
        <v>675</v>
      </c>
      <c r="F4" s="5" t="s">
        <v>676</v>
      </c>
    </row>
    <row r="5" spans="1:6" x14ac:dyDescent="0.25">
      <c r="A5" s="5" t="s">
        <v>667</v>
      </c>
      <c r="B5" s="7" t="s">
        <v>36</v>
      </c>
      <c r="C5" s="5" t="s">
        <v>670</v>
      </c>
      <c r="D5" s="5" t="s">
        <v>672</v>
      </c>
      <c r="E5" s="6" t="s">
        <v>675</v>
      </c>
      <c r="F5" s="5" t="s">
        <v>676</v>
      </c>
    </row>
    <row r="6" spans="1:6" x14ac:dyDescent="0.25">
      <c r="A6" s="5" t="s">
        <v>667</v>
      </c>
      <c r="B6" s="7" t="s">
        <v>36</v>
      </c>
      <c r="C6" s="5" t="s">
        <v>669</v>
      </c>
      <c r="D6" s="5" t="s">
        <v>673</v>
      </c>
      <c r="E6" s="6" t="s">
        <v>675</v>
      </c>
      <c r="F6" s="5" t="s">
        <v>677</v>
      </c>
    </row>
    <row r="7" spans="1:6" x14ac:dyDescent="0.25">
      <c r="A7" s="5" t="s">
        <v>667</v>
      </c>
      <c r="B7" s="7" t="s">
        <v>36</v>
      </c>
      <c r="C7" s="5" t="s">
        <v>670</v>
      </c>
      <c r="D7" s="5" t="s">
        <v>673</v>
      </c>
      <c r="E7" s="6" t="s">
        <v>675</v>
      </c>
      <c r="F7" s="5" t="s">
        <v>676</v>
      </c>
    </row>
    <row r="8" spans="1:6" x14ac:dyDescent="0.25">
      <c r="A8" s="5" t="s">
        <v>667</v>
      </c>
      <c r="B8" s="7" t="s">
        <v>36</v>
      </c>
      <c r="C8" s="5" t="s">
        <v>669</v>
      </c>
      <c r="D8" s="5" t="s">
        <v>674</v>
      </c>
      <c r="E8" s="6" t="s">
        <v>675</v>
      </c>
      <c r="F8" s="5" t="s">
        <v>676</v>
      </c>
    </row>
    <row r="9" spans="1:6" x14ac:dyDescent="0.25">
      <c r="A9" s="5" t="s">
        <v>667</v>
      </c>
      <c r="B9" s="7" t="s">
        <v>36</v>
      </c>
      <c r="C9" s="5" t="s">
        <v>670</v>
      </c>
      <c r="D9" s="5" t="s">
        <v>674</v>
      </c>
      <c r="E9" s="6" t="s">
        <v>675</v>
      </c>
      <c r="F9" s="5" t="s">
        <v>676</v>
      </c>
    </row>
    <row r="10" spans="1:6" x14ac:dyDescent="0.25">
      <c r="A10" s="5" t="s">
        <v>668</v>
      </c>
      <c r="B10" s="7" t="s">
        <v>36</v>
      </c>
      <c r="C10" s="5" t="s">
        <v>669</v>
      </c>
      <c r="D10" s="5" t="s">
        <v>671</v>
      </c>
      <c r="E10" s="6" t="s">
        <v>675</v>
      </c>
      <c r="F10" s="5" t="s">
        <v>676</v>
      </c>
    </row>
    <row r="11" spans="1:6" x14ac:dyDescent="0.25">
      <c r="A11" s="5" t="s">
        <v>668</v>
      </c>
      <c r="B11" s="7" t="s">
        <v>36</v>
      </c>
      <c r="C11" s="5" t="s">
        <v>670</v>
      </c>
      <c r="D11" s="5" t="s">
        <v>671</v>
      </c>
      <c r="E11" s="6" t="s">
        <v>675</v>
      </c>
      <c r="F11" s="5" t="s">
        <v>676</v>
      </c>
    </row>
    <row r="12" spans="1:6" x14ac:dyDescent="0.25">
      <c r="A12" s="5" t="s">
        <v>668</v>
      </c>
      <c r="B12" s="7" t="s">
        <v>36</v>
      </c>
      <c r="C12" s="5" t="s">
        <v>669</v>
      </c>
      <c r="D12" s="5" t="s">
        <v>672</v>
      </c>
      <c r="E12" s="6" t="s">
        <v>675</v>
      </c>
      <c r="F12" s="5" t="s">
        <v>676</v>
      </c>
    </row>
    <row r="13" spans="1:6" x14ac:dyDescent="0.25">
      <c r="A13" s="5" t="s">
        <v>668</v>
      </c>
      <c r="B13" s="7" t="s">
        <v>36</v>
      </c>
      <c r="C13" s="5" t="s">
        <v>670</v>
      </c>
      <c r="D13" s="5" t="s">
        <v>672</v>
      </c>
      <c r="E13" s="6" t="s">
        <v>675</v>
      </c>
      <c r="F13" s="5" t="s">
        <v>676</v>
      </c>
    </row>
    <row r="14" spans="1:6" x14ac:dyDescent="0.25">
      <c r="A14" s="5" t="s">
        <v>668</v>
      </c>
      <c r="B14" s="7" t="s">
        <v>36</v>
      </c>
      <c r="C14" s="5" t="s">
        <v>669</v>
      </c>
      <c r="D14" s="5" t="s">
        <v>673</v>
      </c>
      <c r="E14" s="6" t="s">
        <v>675</v>
      </c>
      <c r="F14" s="5" t="s">
        <v>677</v>
      </c>
    </row>
    <row r="15" spans="1:6" x14ac:dyDescent="0.25">
      <c r="A15" s="5" t="s">
        <v>668</v>
      </c>
      <c r="B15" s="7" t="s">
        <v>36</v>
      </c>
      <c r="C15" s="5" t="s">
        <v>670</v>
      </c>
      <c r="D15" s="5" t="s">
        <v>673</v>
      </c>
      <c r="E15" s="6" t="s">
        <v>675</v>
      </c>
      <c r="F15" s="5" t="s">
        <v>676</v>
      </c>
    </row>
    <row r="16" spans="1:6" x14ac:dyDescent="0.25">
      <c r="A16" s="5" t="s">
        <v>668</v>
      </c>
      <c r="B16" s="7" t="s">
        <v>36</v>
      </c>
      <c r="C16" s="5" t="s">
        <v>669</v>
      </c>
      <c r="D16" s="5" t="s">
        <v>674</v>
      </c>
      <c r="E16" s="6" t="s">
        <v>675</v>
      </c>
      <c r="F16" s="5" t="s">
        <v>676</v>
      </c>
    </row>
    <row r="17" spans="1:6" x14ac:dyDescent="0.25">
      <c r="A17" s="5" t="s">
        <v>668</v>
      </c>
      <c r="B17" s="7" t="s">
        <v>36</v>
      </c>
      <c r="C17" s="5" t="s">
        <v>670</v>
      </c>
      <c r="D17" s="5" t="s">
        <v>674</v>
      </c>
      <c r="E17" s="6" t="s">
        <v>675</v>
      </c>
      <c r="F17" s="5" t="s">
        <v>676</v>
      </c>
    </row>
    <row r="18" spans="1:6" x14ac:dyDescent="0.25">
      <c r="A18" s="5" t="s">
        <v>1111</v>
      </c>
      <c r="B18" s="7" t="s">
        <v>36</v>
      </c>
      <c r="C18" s="5" t="s">
        <v>669</v>
      </c>
      <c r="D18" s="5" t="s">
        <v>671</v>
      </c>
      <c r="E18" s="6" t="s">
        <v>675</v>
      </c>
      <c r="F18" s="5" t="s">
        <v>676</v>
      </c>
    </row>
    <row r="19" spans="1:6" x14ac:dyDescent="0.25">
      <c r="A19" s="5" t="s">
        <v>1111</v>
      </c>
      <c r="B19" s="7" t="s">
        <v>36</v>
      </c>
      <c r="C19" s="5" t="s">
        <v>670</v>
      </c>
      <c r="D19" s="5" t="s">
        <v>671</v>
      </c>
      <c r="E19" s="6" t="s">
        <v>675</v>
      </c>
      <c r="F19" s="5" t="s">
        <v>676</v>
      </c>
    </row>
    <row r="20" spans="1:6" x14ac:dyDescent="0.25">
      <c r="A20" s="5" t="s">
        <v>1111</v>
      </c>
      <c r="B20" s="7" t="s">
        <v>36</v>
      </c>
      <c r="C20" s="5" t="s">
        <v>669</v>
      </c>
      <c r="D20" s="5" t="s">
        <v>672</v>
      </c>
      <c r="E20" s="6" t="s">
        <v>675</v>
      </c>
      <c r="F20" s="5" t="s">
        <v>676</v>
      </c>
    </row>
    <row r="21" spans="1:6" x14ac:dyDescent="0.25">
      <c r="A21" s="5" t="s">
        <v>1111</v>
      </c>
      <c r="B21" s="7" t="s">
        <v>36</v>
      </c>
      <c r="C21" s="5" t="s">
        <v>670</v>
      </c>
      <c r="D21" s="5" t="s">
        <v>672</v>
      </c>
      <c r="E21" s="6" t="s">
        <v>675</v>
      </c>
      <c r="F21" s="5" t="s">
        <v>676</v>
      </c>
    </row>
    <row r="22" spans="1:6" x14ac:dyDescent="0.25">
      <c r="A22" s="5" t="s">
        <v>1111</v>
      </c>
      <c r="B22" s="7" t="s">
        <v>36</v>
      </c>
      <c r="C22" s="5" t="s">
        <v>669</v>
      </c>
      <c r="D22" s="5" t="s">
        <v>673</v>
      </c>
      <c r="E22" s="6" t="s">
        <v>675</v>
      </c>
      <c r="F22" s="5" t="s">
        <v>677</v>
      </c>
    </row>
    <row r="23" spans="1:6" x14ac:dyDescent="0.25">
      <c r="A23" s="5" t="s">
        <v>1111</v>
      </c>
      <c r="B23" s="7" t="s">
        <v>36</v>
      </c>
      <c r="C23" s="5" t="s">
        <v>670</v>
      </c>
      <c r="D23" s="5" t="s">
        <v>673</v>
      </c>
      <c r="E23" s="6" t="s">
        <v>675</v>
      </c>
      <c r="F23" s="5" t="s">
        <v>676</v>
      </c>
    </row>
    <row r="24" spans="1:6" x14ac:dyDescent="0.25">
      <c r="A24" s="5" t="s">
        <v>1111</v>
      </c>
      <c r="B24" s="7" t="s">
        <v>36</v>
      </c>
      <c r="C24" s="5" t="s">
        <v>669</v>
      </c>
      <c r="D24" s="5" t="s">
        <v>674</v>
      </c>
      <c r="E24" s="6" t="s">
        <v>675</v>
      </c>
      <c r="F24" s="5" t="s">
        <v>676</v>
      </c>
    </row>
    <row r="25" spans="1:6" x14ac:dyDescent="0.25">
      <c r="A25" s="5" t="s">
        <v>1111</v>
      </c>
      <c r="B25" s="7" t="s">
        <v>36</v>
      </c>
      <c r="C25" s="5" t="s">
        <v>670</v>
      </c>
      <c r="D25" s="5" t="s">
        <v>674</v>
      </c>
      <c r="E25" s="6" t="s">
        <v>675</v>
      </c>
      <c r="F25" s="5" t="s">
        <v>676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5"/>
  <sheetViews>
    <sheetView showGridLines="0" zoomScale="80" zoomScaleNormal="80" workbookViewId="0">
      <pane ySplit="1" topLeftCell="A2" activePane="bottomLeft" state="frozen"/>
      <selection activeCell="I196" sqref="I196"/>
      <selection pane="bottomLeft" activeCell="I196" sqref="I196"/>
    </sheetView>
  </sheetViews>
  <sheetFormatPr defaultRowHeight="15" x14ac:dyDescent="0.25"/>
  <cols>
    <col min="1" max="1" width="17.7109375" bestFit="1" customWidth="1"/>
    <col min="2" max="2" width="43.5703125" bestFit="1" customWidth="1"/>
    <col min="3" max="3" width="32.85546875" bestFit="1" customWidth="1"/>
    <col min="4" max="4" width="50.7109375" customWidth="1"/>
    <col min="5" max="5" width="14.42578125" customWidth="1"/>
    <col min="6" max="6" width="16.42578125" style="2" customWidth="1"/>
  </cols>
  <sheetData>
    <row r="1" spans="1:6" x14ac:dyDescent="0.25">
      <c r="A1" t="s">
        <v>130</v>
      </c>
      <c r="B1" t="s">
        <v>1</v>
      </c>
      <c r="C1" t="s">
        <v>131</v>
      </c>
      <c r="D1" t="s">
        <v>132</v>
      </c>
      <c r="E1" t="s">
        <v>133</v>
      </c>
      <c r="F1" s="2" t="s">
        <v>134</v>
      </c>
    </row>
    <row r="2" spans="1:6" x14ac:dyDescent="0.25">
      <c r="A2" t="s">
        <v>135</v>
      </c>
      <c r="B2" t="s">
        <v>36</v>
      </c>
      <c r="C2" t="s">
        <v>664</v>
      </c>
      <c r="D2" t="s">
        <v>1251</v>
      </c>
      <c r="E2" t="s">
        <v>264</v>
      </c>
      <c r="F2" s="2">
        <v>2000</v>
      </c>
    </row>
    <row r="3" spans="1:6" x14ac:dyDescent="0.25">
      <c r="A3" t="s">
        <v>135</v>
      </c>
      <c r="B3" t="s">
        <v>36</v>
      </c>
      <c r="C3" t="s">
        <v>664</v>
      </c>
      <c r="D3" t="s">
        <v>1251</v>
      </c>
      <c r="E3" t="s">
        <v>1265</v>
      </c>
      <c r="F3" s="2">
        <v>2000</v>
      </c>
    </row>
    <row r="4" spans="1:6" x14ac:dyDescent="0.25">
      <c r="A4" t="s">
        <v>135</v>
      </c>
      <c r="B4" t="s">
        <v>36</v>
      </c>
      <c r="C4" t="s">
        <v>664</v>
      </c>
      <c r="D4" t="s">
        <v>1251</v>
      </c>
      <c r="E4" t="s">
        <v>1266</v>
      </c>
      <c r="F4" s="2">
        <v>2000</v>
      </c>
    </row>
    <row r="5" spans="1:6" x14ac:dyDescent="0.25">
      <c r="A5" t="s">
        <v>135</v>
      </c>
      <c r="B5" t="s">
        <v>36</v>
      </c>
      <c r="C5" t="s">
        <v>664</v>
      </c>
      <c r="D5" t="s">
        <v>1251</v>
      </c>
      <c r="E5" t="s">
        <v>266</v>
      </c>
      <c r="F5" s="2">
        <v>2000</v>
      </c>
    </row>
    <row r="6" spans="1:6" x14ac:dyDescent="0.25">
      <c r="A6" t="s">
        <v>135</v>
      </c>
      <c r="B6" t="s">
        <v>36</v>
      </c>
      <c r="C6" t="s">
        <v>664</v>
      </c>
      <c r="D6" t="s">
        <v>1251</v>
      </c>
      <c r="E6" t="s">
        <v>1118</v>
      </c>
      <c r="F6" s="2">
        <v>2000</v>
      </c>
    </row>
    <row r="7" spans="1:6" x14ac:dyDescent="0.25">
      <c r="A7" t="s">
        <v>135</v>
      </c>
      <c r="B7" t="s">
        <v>36</v>
      </c>
      <c r="C7" t="s">
        <v>664</v>
      </c>
      <c r="D7" t="s">
        <v>1252</v>
      </c>
      <c r="E7" t="s">
        <v>281</v>
      </c>
      <c r="F7" s="2">
        <v>2000</v>
      </c>
    </row>
    <row r="8" spans="1:6" x14ac:dyDescent="0.25">
      <c r="A8" t="s">
        <v>135</v>
      </c>
      <c r="B8" t="s">
        <v>36</v>
      </c>
      <c r="C8" t="s">
        <v>664</v>
      </c>
      <c r="D8" t="s">
        <v>1252</v>
      </c>
      <c r="E8" t="s">
        <v>240</v>
      </c>
      <c r="F8" s="2">
        <v>2000</v>
      </c>
    </row>
    <row r="9" spans="1:6" x14ac:dyDescent="0.25">
      <c r="A9" t="s">
        <v>135</v>
      </c>
      <c r="B9" t="s">
        <v>36</v>
      </c>
      <c r="C9" t="s">
        <v>664</v>
      </c>
      <c r="D9" t="s">
        <v>1252</v>
      </c>
      <c r="E9" t="s">
        <v>280</v>
      </c>
      <c r="F9" s="2">
        <v>2000</v>
      </c>
    </row>
    <row r="10" spans="1:6" x14ac:dyDescent="0.25">
      <c r="A10" t="s">
        <v>135</v>
      </c>
      <c r="B10" t="s">
        <v>36</v>
      </c>
      <c r="C10" t="s">
        <v>664</v>
      </c>
      <c r="D10" t="s">
        <v>1252</v>
      </c>
      <c r="E10" t="s">
        <v>242</v>
      </c>
      <c r="F10" s="2">
        <v>2000</v>
      </c>
    </row>
    <row r="11" spans="1:6" x14ac:dyDescent="0.25">
      <c r="A11" t="s">
        <v>135</v>
      </c>
      <c r="B11" t="s">
        <v>36</v>
      </c>
      <c r="C11" t="s">
        <v>664</v>
      </c>
      <c r="D11" t="s">
        <v>1252</v>
      </c>
      <c r="E11" t="s">
        <v>239</v>
      </c>
      <c r="F11" s="2">
        <v>2000</v>
      </c>
    </row>
    <row r="12" spans="1:6" x14ac:dyDescent="0.25">
      <c r="A12" t="s">
        <v>135</v>
      </c>
      <c r="B12" t="s">
        <v>36</v>
      </c>
      <c r="C12" t="s">
        <v>664</v>
      </c>
      <c r="D12" t="s">
        <v>1252</v>
      </c>
      <c r="E12" t="s">
        <v>241</v>
      </c>
      <c r="F12" s="2">
        <v>2000</v>
      </c>
    </row>
    <row r="13" spans="1:6" x14ac:dyDescent="0.25">
      <c r="A13" t="s">
        <v>135</v>
      </c>
      <c r="B13" t="s">
        <v>36</v>
      </c>
      <c r="C13" t="s">
        <v>664</v>
      </c>
      <c r="D13" t="s">
        <v>1253</v>
      </c>
      <c r="E13" t="s">
        <v>282</v>
      </c>
      <c r="F13" s="2">
        <v>2000</v>
      </c>
    </row>
    <row r="14" spans="1:6" x14ac:dyDescent="0.25">
      <c r="A14" t="s">
        <v>135</v>
      </c>
      <c r="B14" t="s">
        <v>36</v>
      </c>
      <c r="C14" t="s">
        <v>664</v>
      </c>
      <c r="D14" t="s">
        <v>1253</v>
      </c>
      <c r="E14" t="s">
        <v>246</v>
      </c>
      <c r="F14" s="2">
        <v>2000</v>
      </c>
    </row>
    <row r="15" spans="1:6" x14ac:dyDescent="0.25">
      <c r="A15" t="s">
        <v>135</v>
      </c>
      <c r="B15" t="s">
        <v>36</v>
      </c>
      <c r="C15" t="s">
        <v>664</v>
      </c>
      <c r="D15" t="s">
        <v>1253</v>
      </c>
      <c r="E15" t="s">
        <v>284</v>
      </c>
      <c r="F15" s="2">
        <v>2000</v>
      </c>
    </row>
    <row r="16" spans="1:6" x14ac:dyDescent="0.25">
      <c r="A16" t="s">
        <v>135</v>
      </c>
      <c r="B16" t="s">
        <v>36</v>
      </c>
      <c r="C16" t="s">
        <v>664</v>
      </c>
      <c r="D16" t="s">
        <v>1253</v>
      </c>
      <c r="E16" t="s">
        <v>243</v>
      </c>
      <c r="F16" s="2">
        <v>2000</v>
      </c>
    </row>
    <row r="17" spans="1:6" x14ac:dyDescent="0.25">
      <c r="A17" t="s">
        <v>135</v>
      </c>
      <c r="B17" t="s">
        <v>36</v>
      </c>
      <c r="C17" t="s">
        <v>664</v>
      </c>
      <c r="D17" t="s">
        <v>1253</v>
      </c>
      <c r="E17" t="s">
        <v>261</v>
      </c>
      <c r="F17" s="2">
        <v>2000</v>
      </c>
    </row>
    <row r="18" spans="1:6" x14ac:dyDescent="0.25">
      <c r="A18" t="s">
        <v>135</v>
      </c>
      <c r="B18" t="s">
        <v>36</v>
      </c>
      <c r="C18" t="s">
        <v>664</v>
      </c>
      <c r="D18" t="s">
        <v>1254</v>
      </c>
      <c r="E18" t="s">
        <v>285</v>
      </c>
      <c r="F18" s="2">
        <v>2000</v>
      </c>
    </row>
    <row r="19" spans="1:6" x14ac:dyDescent="0.25">
      <c r="A19" t="s">
        <v>135</v>
      </c>
      <c r="B19" t="s">
        <v>36</v>
      </c>
      <c r="C19" t="s">
        <v>664</v>
      </c>
      <c r="D19" t="s">
        <v>1254</v>
      </c>
      <c r="E19" t="s">
        <v>287</v>
      </c>
      <c r="F19" s="2">
        <v>2000</v>
      </c>
    </row>
    <row r="20" spans="1:6" x14ac:dyDescent="0.25">
      <c r="A20" t="s">
        <v>135</v>
      </c>
      <c r="B20" t="s">
        <v>36</v>
      </c>
      <c r="C20" t="s">
        <v>664</v>
      </c>
      <c r="D20" t="s">
        <v>1254</v>
      </c>
      <c r="E20" t="s">
        <v>247</v>
      </c>
      <c r="F20" s="2">
        <v>2000</v>
      </c>
    </row>
    <row r="21" spans="1:6" x14ac:dyDescent="0.25">
      <c r="A21" t="s">
        <v>135</v>
      </c>
      <c r="B21" t="s">
        <v>36</v>
      </c>
      <c r="C21" t="s">
        <v>664</v>
      </c>
      <c r="D21" t="s">
        <v>1254</v>
      </c>
      <c r="E21" t="s">
        <v>249</v>
      </c>
      <c r="F21" s="2">
        <v>2000</v>
      </c>
    </row>
    <row r="22" spans="1:6" x14ac:dyDescent="0.25">
      <c r="A22" t="s">
        <v>135</v>
      </c>
      <c r="B22" t="s">
        <v>36</v>
      </c>
      <c r="C22" t="s">
        <v>664</v>
      </c>
      <c r="D22" t="s">
        <v>1254</v>
      </c>
      <c r="E22" t="s">
        <v>257</v>
      </c>
      <c r="F22" s="2">
        <v>2000</v>
      </c>
    </row>
    <row r="23" spans="1:6" x14ac:dyDescent="0.25">
      <c r="A23" t="s">
        <v>135</v>
      </c>
      <c r="B23" t="s">
        <v>36</v>
      </c>
      <c r="C23" t="s">
        <v>664</v>
      </c>
      <c r="D23" t="s">
        <v>1254</v>
      </c>
      <c r="E23" t="s">
        <v>244</v>
      </c>
      <c r="F23" s="2">
        <v>2000</v>
      </c>
    </row>
    <row r="24" spans="1:6" x14ac:dyDescent="0.25">
      <c r="A24" t="s">
        <v>135</v>
      </c>
      <c r="B24" t="s">
        <v>36</v>
      </c>
      <c r="C24" t="s">
        <v>664</v>
      </c>
      <c r="D24" t="s">
        <v>1255</v>
      </c>
      <c r="E24" t="s">
        <v>251</v>
      </c>
      <c r="F24" s="2">
        <v>2000</v>
      </c>
    </row>
    <row r="25" spans="1:6" x14ac:dyDescent="0.25">
      <c r="A25" t="s">
        <v>135</v>
      </c>
      <c r="B25" t="s">
        <v>36</v>
      </c>
      <c r="C25" t="s">
        <v>664</v>
      </c>
      <c r="D25" t="s">
        <v>1255</v>
      </c>
      <c r="E25" t="s">
        <v>250</v>
      </c>
      <c r="F25" s="2">
        <v>2000</v>
      </c>
    </row>
    <row r="26" spans="1:6" x14ac:dyDescent="0.25">
      <c r="A26" t="s">
        <v>135</v>
      </c>
      <c r="B26" t="s">
        <v>36</v>
      </c>
      <c r="C26" t="s">
        <v>664</v>
      </c>
      <c r="D26" t="s">
        <v>1255</v>
      </c>
      <c r="E26" t="s">
        <v>288</v>
      </c>
      <c r="F26" s="2">
        <v>2000</v>
      </c>
    </row>
    <row r="27" spans="1:6" x14ac:dyDescent="0.25">
      <c r="A27" t="s">
        <v>135</v>
      </c>
      <c r="B27" t="s">
        <v>36</v>
      </c>
      <c r="C27" t="s">
        <v>664</v>
      </c>
      <c r="D27" t="s">
        <v>1255</v>
      </c>
      <c r="E27" t="s">
        <v>289</v>
      </c>
      <c r="F27" s="2">
        <v>2000</v>
      </c>
    </row>
    <row r="28" spans="1:6" x14ac:dyDescent="0.25">
      <c r="A28" t="s">
        <v>135</v>
      </c>
      <c r="B28" t="s">
        <v>36</v>
      </c>
      <c r="C28" t="s">
        <v>664</v>
      </c>
      <c r="D28" t="s">
        <v>1256</v>
      </c>
      <c r="E28" t="s">
        <v>292</v>
      </c>
      <c r="F28" s="2">
        <v>2000</v>
      </c>
    </row>
    <row r="29" spans="1:6" x14ac:dyDescent="0.25">
      <c r="A29" t="s">
        <v>135</v>
      </c>
      <c r="B29" t="s">
        <v>36</v>
      </c>
      <c r="C29" t="s">
        <v>664</v>
      </c>
      <c r="D29" t="s">
        <v>1256</v>
      </c>
      <c r="E29" t="s">
        <v>255</v>
      </c>
      <c r="F29" s="2">
        <v>2000</v>
      </c>
    </row>
    <row r="30" spans="1:6" x14ac:dyDescent="0.25">
      <c r="A30" t="s">
        <v>135</v>
      </c>
      <c r="B30" t="s">
        <v>36</v>
      </c>
      <c r="C30" t="s">
        <v>664</v>
      </c>
      <c r="D30" t="s">
        <v>1256</v>
      </c>
      <c r="E30" t="s">
        <v>254</v>
      </c>
      <c r="F30" s="2">
        <v>2000</v>
      </c>
    </row>
    <row r="31" spans="1:6" x14ac:dyDescent="0.25">
      <c r="A31" t="s">
        <v>135</v>
      </c>
      <c r="B31" t="s">
        <v>36</v>
      </c>
      <c r="C31" t="s">
        <v>664</v>
      </c>
      <c r="D31" t="s">
        <v>1256</v>
      </c>
      <c r="E31" t="s">
        <v>294</v>
      </c>
      <c r="F31" s="2">
        <v>2000</v>
      </c>
    </row>
    <row r="32" spans="1:6" x14ac:dyDescent="0.25">
      <c r="A32" t="s">
        <v>135</v>
      </c>
      <c r="B32" t="s">
        <v>36</v>
      </c>
      <c r="C32" t="s">
        <v>664</v>
      </c>
      <c r="D32" t="s">
        <v>1256</v>
      </c>
      <c r="E32" t="s">
        <v>256</v>
      </c>
      <c r="F32" s="2">
        <v>2000</v>
      </c>
    </row>
    <row r="33" spans="1:6" x14ac:dyDescent="0.25">
      <c r="A33" t="s">
        <v>135</v>
      </c>
      <c r="B33" t="s">
        <v>36</v>
      </c>
      <c r="C33" t="s">
        <v>664</v>
      </c>
      <c r="D33" t="s">
        <v>1256</v>
      </c>
      <c r="E33" t="s">
        <v>291</v>
      </c>
      <c r="F33" s="2">
        <v>2000</v>
      </c>
    </row>
    <row r="34" spans="1:6" x14ac:dyDescent="0.25">
      <c r="A34" t="s">
        <v>135</v>
      </c>
      <c r="B34" t="s">
        <v>36</v>
      </c>
      <c r="C34" t="s">
        <v>664</v>
      </c>
      <c r="D34" t="s">
        <v>1256</v>
      </c>
      <c r="E34" t="s">
        <v>293</v>
      </c>
      <c r="F34" s="2">
        <v>2000</v>
      </c>
    </row>
    <row r="35" spans="1:6" x14ac:dyDescent="0.25">
      <c r="A35" t="s">
        <v>135</v>
      </c>
      <c r="B35" t="s">
        <v>36</v>
      </c>
      <c r="C35" t="s">
        <v>664</v>
      </c>
      <c r="D35" t="s">
        <v>1256</v>
      </c>
      <c r="E35" t="s">
        <v>253</v>
      </c>
      <c r="F35" s="2">
        <v>2000</v>
      </c>
    </row>
    <row r="36" spans="1:6" x14ac:dyDescent="0.25">
      <c r="A36" t="s">
        <v>135</v>
      </c>
      <c r="B36" t="s">
        <v>36</v>
      </c>
      <c r="C36" t="s">
        <v>664</v>
      </c>
      <c r="D36" t="s">
        <v>1257</v>
      </c>
      <c r="E36" t="s">
        <v>301</v>
      </c>
      <c r="F36" s="2">
        <v>2000</v>
      </c>
    </row>
    <row r="37" spans="1:6" x14ac:dyDescent="0.25">
      <c r="A37" t="s">
        <v>135</v>
      </c>
      <c r="B37" t="s">
        <v>36</v>
      </c>
      <c r="C37" t="s">
        <v>664</v>
      </c>
      <c r="D37" t="s">
        <v>1257</v>
      </c>
      <c r="E37" t="s">
        <v>286</v>
      </c>
      <c r="F37" s="2">
        <v>2000</v>
      </c>
    </row>
    <row r="38" spans="1:6" x14ac:dyDescent="0.25">
      <c r="A38" t="s">
        <v>135</v>
      </c>
      <c r="B38" t="s">
        <v>36</v>
      </c>
      <c r="C38" t="s">
        <v>664</v>
      </c>
      <c r="D38" t="s">
        <v>1257</v>
      </c>
      <c r="E38" t="s">
        <v>258</v>
      </c>
      <c r="F38" s="2">
        <v>2000</v>
      </c>
    </row>
    <row r="39" spans="1:6" x14ac:dyDescent="0.25">
      <c r="A39" t="s">
        <v>135</v>
      </c>
      <c r="B39" t="s">
        <v>36</v>
      </c>
      <c r="C39" t="s">
        <v>664</v>
      </c>
      <c r="D39" t="s">
        <v>1257</v>
      </c>
      <c r="E39" t="s">
        <v>290</v>
      </c>
      <c r="F39" s="2">
        <v>2000</v>
      </c>
    </row>
    <row r="40" spans="1:6" x14ac:dyDescent="0.25">
      <c r="A40" t="s">
        <v>135</v>
      </c>
      <c r="B40" t="s">
        <v>36</v>
      </c>
      <c r="C40" t="s">
        <v>664</v>
      </c>
      <c r="D40" t="s">
        <v>1257</v>
      </c>
      <c r="E40" t="s">
        <v>252</v>
      </c>
      <c r="F40" s="2">
        <v>2000</v>
      </c>
    </row>
    <row r="41" spans="1:6" x14ac:dyDescent="0.25">
      <c r="A41" t="s">
        <v>135</v>
      </c>
      <c r="B41" t="s">
        <v>36</v>
      </c>
      <c r="C41" t="s">
        <v>664</v>
      </c>
      <c r="D41" t="s">
        <v>1257</v>
      </c>
      <c r="E41" t="s">
        <v>274</v>
      </c>
      <c r="F41" s="2">
        <v>2000</v>
      </c>
    </row>
    <row r="42" spans="1:6" x14ac:dyDescent="0.25">
      <c r="A42" t="s">
        <v>135</v>
      </c>
      <c r="B42" t="s">
        <v>36</v>
      </c>
      <c r="C42" t="s">
        <v>664</v>
      </c>
      <c r="D42" t="s">
        <v>1257</v>
      </c>
      <c r="E42" t="s">
        <v>331</v>
      </c>
      <c r="F42" s="2">
        <v>2000</v>
      </c>
    </row>
    <row r="43" spans="1:6" x14ac:dyDescent="0.25">
      <c r="A43" t="s">
        <v>135</v>
      </c>
      <c r="B43" t="s">
        <v>36</v>
      </c>
      <c r="C43" t="s">
        <v>664</v>
      </c>
      <c r="D43" t="s">
        <v>1257</v>
      </c>
      <c r="E43" t="s">
        <v>248</v>
      </c>
      <c r="F43" s="2">
        <v>2000</v>
      </c>
    </row>
    <row r="44" spans="1:6" x14ac:dyDescent="0.25">
      <c r="A44" t="s">
        <v>135</v>
      </c>
      <c r="B44" t="s">
        <v>36</v>
      </c>
      <c r="C44" t="s">
        <v>664</v>
      </c>
      <c r="D44" t="s">
        <v>1258</v>
      </c>
      <c r="E44" t="s">
        <v>296</v>
      </c>
      <c r="F44" s="2">
        <v>2000</v>
      </c>
    </row>
    <row r="45" spans="1:6" x14ac:dyDescent="0.25">
      <c r="A45" t="s">
        <v>135</v>
      </c>
      <c r="B45" t="s">
        <v>36</v>
      </c>
      <c r="C45" t="s">
        <v>664</v>
      </c>
      <c r="D45" t="s">
        <v>1258</v>
      </c>
      <c r="E45" t="s">
        <v>283</v>
      </c>
      <c r="F45" s="2">
        <v>2000</v>
      </c>
    </row>
    <row r="46" spans="1:6" x14ac:dyDescent="0.25">
      <c r="A46" t="s">
        <v>135</v>
      </c>
      <c r="B46" t="s">
        <v>36</v>
      </c>
      <c r="C46" t="s">
        <v>664</v>
      </c>
      <c r="D46" t="s">
        <v>1258</v>
      </c>
      <c r="E46" t="s">
        <v>263</v>
      </c>
      <c r="F46" s="2">
        <v>2000</v>
      </c>
    </row>
    <row r="47" spans="1:6" x14ac:dyDescent="0.25">
      <c r="A47" t="s">
        <v>135</v>
      </c>
      <c r="B47" t="s">
        <v>36</v>
      </c>
      <c r="C47" t="s">
        <v>664</v>
      </c>
      <c r="D47" t="s">
        <v>1258</v>
      </c>
      <c r="E47" t="s">
        <v>262</v>
      </c>
      <c r="F47" s="2">
        <v>2000</v>
      </c>
    </row>
    <row r="48" spans="1:6" x14ac:dyDescent="0.25">
      <c r="A48" t="s">
        <v>135</v>
      </c>
      <c r="B48" t="s">
        <v>36</v>
      </c>
      <c r="C48" t="s">
        <v>664</v>
      </c>
      <c r="D48" t="s">
        <v>1258</v>
      </c>
      <c r="E48" t="s">
        <v>245</v>
      </c>
      <c r="F48" s="2">
        <v>2000</v>
      </c>
    </row>
    <row r="49" spans="1:6" x14ac:dyDescent="0.25">
      <c r="A49" t="s">
        <v>135</v>
      </c>
      <c r="B49" t="s">
        <v>36</v>
      </c>
      <c r="C49" t="s">
        <v>664</v>
      </c>
      <c r="D49" t="s">
        <v>1258</v>
      </c>
      <c r="E49" t="s">
        <v>295</v>
      </c>
      <c r="F49" s="2">
        <v>2000</v>
      </c>
    </row>
    <row r="50" spans="1:6" x14ac:dyDescent="0.25">
      <c r="A50" t="s">
        <v>135</v>
      </c>
      <c r="B50" t="s">
        <v>36</v>
      </c>
      <c r="C50" t="s">
        <v>664</v>
      </c>
      <c r="D50" t="s">
        <v>1258</v>
      </c>
      <c r="E50" t="s">
        <v>237</v>
      </c>
      <c r="F50" s="2">
        <v>2000</v>
      </c>
    </row>
    <row r="51" spans="1:6" x14ac:dyDescent="0.25">
      <c r="A51" t="s">
        <v>135</v>
      </c>
      <c r="B51" t="s">
        <v>36</v>
      </c>
      <c r="C51" t="s">
        <v>664</v>
      </c>
      <c r="D51" t="s">
        <v>1259</v>
      </c>
      <c r="E51" t="s">
        <v>297</v>
      </c>
      <c r="F51" s="2">
        <v>2000</v>
      </c>
    </row>
    <row r="52" spans="1:6" x14ac:dyDescent="0.25">
      <c r="A52" t="s">
        <v>135</v>
      </c>
      <c r="B52" t="s">
        <v>36</v>
      </c>
      <c r="C52" t="s">
        <v>664</v>
      </c>
      <c r="D52" t="s">
        <v>1259</v>
      </c>
      <c r="E52" t="s">
        <v>238</v>
      </c>
      <c r="F52" s="2">
        <v>2000</v>
      </c>
    </row>
    <row r="53" spans="1:6" x14ac:dyDescent="0.25">
      <c r="A53" t="s">
        <v>135</v>
      </c>
      <c r="B53" t="s">
        <v>36</v>
      </c>
      <c r="C53" t="s">
        <v>664</v>
      </c>
      <c r="D53" t="s">
        <v>1259</v>
      </c>
      <c r="E53" t="s">
        <v>298</v>
      </c>
      <c r="F53" s="2">
        <v>2000</v>
      </c>
    </row>
    <row r="54" spans="1:6" x14ac:dyDescent="0.25">
      <c r="A54" t="s">
        <v>135</v>
      </c>
      <c r="B54" t="s">
        <v>36</v>
      </c>
      <c r="C54" t="s">
        <v>664</v>
      </c>
      <c r="D54" t="s">
        <v>1259</v>
      </c>
      <c r="E54" t="s">
        <v>265</v>
      </c>
      <c r="F54" s="2">
        <v>2000</v>
      </c>
    </row>
    <row r="55" spans="1:6" x14ac:dyDescent="0.25">
      <c r="A55" t="s">
        <v>135</v>
      </c>
      <c r="B55" t="s">
        <v>36</v>
      </c>
      <c r="C55" t="s">
        <v>664</v>
      </c>
      <c r="D55" t="s">
        <v>1259</v>
      </c>
      <c r="E55" t="s">
        <v>279</v>
      </c>
      <c r="F55" s="2">
        <v>2000</v>
      </c>
    </row>
    <row r="56" spans="1:6" x14ac:dyDescent="0.25">
      <c r="A56" t="s">
        <v>135</v>
      </c>
      <c r="B56" t="s">
        <v>36</v>
      </c>
      <c r="C56" t="s">
        <v>664</v>
      </c>
      <c r="D56" t="s">
        <v>1259</v>
      </c>
      <c r="E56" t="s">
        <v>267</v>
      </c>
      <c r="F56" s="2">
        <v>2000</v>
      </c>
    </row>
    <row r="57" spans="1:6" x14ac:dyDescent="0.25">
      <c r="A57" t="s">
        <v>135</v>
      </c>
      <c r="B57" t="s">
        <v>36</v>
      </c>
      <c r="C57" t="s">
        <v>664</v>
      </c>
      <c r="D57" t="s">
        <v>1259</v>
      </c>
      <c r="E57" t="s">
        <v>236</v>
      </c>
      <c r="F57" s="2">
        <v>2000</v>
      </c>
    </row>
    <row r="58" spans="1:6" x14ac:dyDescent="0.25">
      <c r="A58" t="s">
        <v>135</v>
      </c>
      <c r="B58" t="s">
        <v>36</v>
      </c>
      <c r="C58" t="s">
        <v>664</v>
      </c>
      <c r="D58" t="s">
        <v>1259</v>
      </c>
      <c r="E58" t="s">
        <v>278</v>
      </c>
      <c r="F58" s="2">
        <v>2000</v>
      </c>
    </row>
    <row r="59" spans="1:6" x14ac:dyDescent="0.25">
      <c r="A59" t="s">
        <v>135</v>
      </c>
      <c r="B59" t="s">
        <v>36</v>
      </c>
      <c r="C59" t="s">
        <v>664</v>
      </c>
      <c r="D59" t="s">
        <v>1260</v>
      </c>
      <c r="E59" t="s">
        <v>270</v>
      </c>
      <c r="F59" s="2">
        <v>2000</v>
      </c>
    </row>
    <row r="60" spans="1:6" x14ac:dyDescent="0.25">
      <c r="A60" t="s">
        <v>135</v>
      </c>
      <c r="B60" t="s">
        <v>36</v>
      </c>
      <c r="C60" t="s">
        <v>664</v>
      </c>
      <c r="D60" t="s">
        <v>1260</v>
      </c>
      <c r="E60" t="s">
        <v>1122</v>
      </c>
      <c r="F60" s="2">
        <v>2000</v>
      </c>
    </row>
    <row r="61" spans="1:6" x14ac:dyDescent="0.25">
      <c r="A61" t="s">
        <v>135</v>
      </c>
      <c r="B61" t="s">
        <v>36</v>
      </c>
      <c r="C61" t="s">
        <v>664</v>
      </c>
      <c r="D61" t="s">
        <v>1260</v>
      </c>
      <c r="E61" t="s">
        <v>1123</v>
      </c>
      <c r="F61" s="2">
        <v>2000</v>
      </c>
    </row>
    <row r="62" spans="1:6" x14ac:dyDescent="0.25">
      <c r="A62" t="s">
        <v>135</v>
      </c>
      <c r="B62" t="s">
        <v>36</v>
      </c>
      <c r="C62" t="s">
        <v>664</v>
      </c>
      <c r="D62" t="s">
        <v>1260</v>
      </c>
      <c r="E62" t="s">
        <v>269</v>
      </c>
      <c r="F62" s="2">
        <v>2000</v>
      </c>
    </row>
    <row r="63" spans="1:6" x14ac:dyDescent="0.25">
      <c r="A63" t="s">
        <v>135</v>
      </c>
      <c r="B63" t="s">
        <v>36</v>
      </c>
      <c r="C63" t="s">
        <v>664</v>
      </c>
      <c r="D63" t="s">
        <v>1260</v>
      </c>
      <c r="E63" t="s">
        <v>1124</v>
      </c>
      <c r="F63" s="2">
        <v>2000</v>
      </c>
    </row>
    <row r="64" spans="1:6" x14ac:dyDescent="0.25">
      <c r="A64" t="s">
        <v>135</v>
      </c>
      <c r="B64" t="s">
        <v>36</v>
      </c>
      <c r="C64" t="s">
        <v>664</v>
      </c>
      <c r="D64" t="s">
        <v>1260</v>
      </c>
      <c r="E64" t="s">
        <v>271</v>
      </c>
      <c r="F64" s="2">
        <v>2000</v>
      </c>
    </row>
    <row r="65" spans="1:6" x14ac:dyDescent="0.25">
      <c r="A65" t="s">
        <v>135</v>
      </c>
      <c r="B65" t="s">
        <v>36</v>
      </c>
      <c r="C65" t="s">
        <v>664</v>
      </c>
      <c r="D65" t="s">
        <v>1260</v>
      </c>
      <c r="E65" t="s">
        <v>268</v>
      </c>
      <c r="F65" s="2">
        <v>2000</v>
      </c>
    </row>
    <row r="66" spans="1:6" x14ac:dyDescent="0.25">
      <c r="A66" t="s">
        <v>135</v>
      </c>
      <c r="B66" t="s">
        <v>36</v>
      </c>
      <c r="C66" t="s">
        <v>664</v>
      </c>
      <c r="D66" t="s">
        <v>1261</v>
      </c>
      <c r="E66" t="s">
        <v>1125</v>
      </c>
      <c r="F66" s="2">
        <v>2000</v>
      </c>
    </row>
    <row r="67" spans="1:6" x14ac:dyDescent="0.25">
      <c r="A67" t="s">
        <v>135</v>
      </c>
      <c r="B67" t="s">
        <v>36</v>
      </c>
      <c r="C67" t="s">
        <v>664</v>
      </c>
      <c r="D67" t="s">
        <v>1261</v>
      </c>
      <c r="E67" t="s">
        <v>1126</v>
      </c>
      <c r="F67" s="2">
        <v>2000</v>
      </c>
    </row>
    <row r="68" spans="1:6" x14ac:dyDescent="0.25">
      <c r="A68" t="s">
        <v>135</v>
      </c>
      <c r="B68" t="s">
        <v>36</v>
      </c>
      <c r="C68" t="s">
        <v>664</v>
      </c>
      <c r="D68" t="s">
        <v>1261</v>
      </c>
      <c r="E68" t="s">
        <v>1127</v>
      </c>
      <c r="F68" s="2">
        <v>2000</v>
      </c>
    </row>
    <row r="69" spans="1:6" x14ac:dyDescent="0.25">
      <c r="A69" t="s">
        <v>135</v>
      </c>
      <c r="B69" t="s">
        <v>36</v>
      </c>
      <c r="C69" t="s">
        <v>664</v>
      </c>
      <c r="D69" t="s">
        <v>1261</v>
      </c>
      <c r="E69" t="s">
        <v>1128</v>
      </c>
      <c r="F69" s="2">
        <v>2000</v>
      </c>
    </row>
    <row r="70" spans="1:6" x14ac:dyDescent="0.25">
      <c r="A70" t="s">
        <v>135</v>
      </c>
      <c r="B70" t="s">
        <v>36</v>
      </c>
      <c r="C70" t="s">
        <v>664</v>
      </c>
      <c r="D70" t="s">
        <v>1261</v>
      </c>
      <c r="E70" t="s">
        <v>1129</v>
      </c>
      <c r="F70" s="2">
        <v>2000</v>
      </c>
    </row>
    <row r="71" spans="1:6" x14ac:dyDescent="0.25">
      <c r="A71" t="s">
        <v>135</v>
      </c>
      <c r="B71" t="s">
        <v>36</v>
      </c>
      <c r="C71" t="s">
        <v>664</v>
      </c>
      <c r="D71" t="s">
        <v>1262</v>
      </c>
      <c r="E71" t="s">
        <v>273</v>
      </c>
      <c r="F71" s="2">
        <v>2000</v>
      </c>
    </row>
    <row r="72" spans="1:6" x14ac:dyDescent="0.25">
      <c r="A72" t="s">
        <v>135</v>
      </c>
      <c r="B72" t="s">
        <v>36</v>
      </c>
      <c r="C72" t="s">
        <v>664</v>
      </c>
      <c r="D72" t="s">
        <v>1262</v>
      </c>
      <c r="E72" t="s">
        <v>275</v>
      </c>
      <c r="F72" s="2">
        <v>2000</v>
      </c>
    </row>
    <row r="73" spans="1:6" x14ac:dyDescent="0.25">
      <c r="A73" t="s">
        <v>135</v>
      </c>
      <c r="B73" t="s">
        <v>36</v>
      </c>
      <c r="C73" t="s">
        <v>664</v>
      </c>
      <c r="D73" t="s">
        <v>1262</v>
      </c>
      <c r="E73" t="s">
        <v>260</v>
      </c>
      <c r="F73" s="2">
        <v>2000</v>
      </c>
    </row>
    <row r="74" spans="1:6" x14ac:dyDescent="0.25">
      <c r="A74" t="s">
        <v>135</v>
      </c>
      <c r="B74" t="s">
        <v>36</v>
      </c>
      <c r="C74" t="s">
        <v>664</v>
      </c>
      <c r="D74" t="s">
        <v>1262</v>
      </c>
      <c r="E74" t="s">
        <v>272</v>
      </c>
      <c r="F74" s="2">
        <v>2000</v>
      </c>
    </row>
    <row r="75" spans="1:6" x14ac:dyDescent="0.25">
      <c r="A75" t="s">
        <v>135</v>
      </c>
      <c r="B75" t="s">
        <v>36</v>
      </c>
      <c r="C75" t="s">
        <v>664</v>
      </c>
      <c r="D75" t="s">
        <v>1262</v>
      </c>
      <c r="E75" t="s">
        <v>299</v>
      </c>
      <c r="F75" s="2">
        <v>2000</v>
      </c>
    </row>
    <row r="76" spans="1:6" x14ac:dyDescent="0.25">
      <c r="A76" t="s">
        <v>135</v>
      </c>
      <c r="B76" t="s">
        <v>36</v>
      </c>
      <c r="C76" t="s">
        <v>664</v>
      </c>
      <c r="D76" t="s">
        <v>1262</v>
      </c>
      <c r="E76" t="s">
        <v>302</v>
      </c>
      <c r="F76" s="2">
        <v>2000</v>
      </c>
    </row>
    <row r="77" spans="1:6" x14ac:dyDescent="0.25">
      <c r="A77" t="s">
        <v>135</v>
      </c>
      <c r="B77" t="s">
        <v>36</v>
      </c>
      <c r="C77" t="s">
        <v>664</v>
      </c>
      <c r="D77" t="s">
        <v>1262</v>
      </c>
      <c r="E77" t="s">
        <v>300</v>
      </c>
      <c r="F77" s="2">
        <v>2000</v>
      </c>
    </row>
    <row r="78" spans="1:6" x14ac:dyDescent="0.25">
      <c r="A78" t="s">
        <v>135</v>
      </c>
      <c r="B78" t="s">
        <v>36</v>
      </c>
      <c r="C78" t="s">
        <v>664</v>
      </c>
      <c r="D78" t="s">
        <v>1263</v>
      </c>
      <c r="E78" t="s">
        <v>259</v>
      </c>
      <c r="F78" s="2">
        <v>2000</v>
      </c>
    </row>
    <row r="79" spans="1:6" x14ac:dyDescent="0.25">
      <c r="A79" t="s">
        <v>135</v>
      </c>
      <c r="B79" t="s">
        <v>36</v>
      </c>
      <c r="C79" t="s">
        <v>664</v>
      </c>
      <c r="D79" t="s">
        <v>1263</v>
      </c>
      <c r="E79" t="s">
        <v>276</v>
      </c>
      <c r="F79" s="2">
        <v>2000</v>
      </c>
    </row>
    <row r="80" spans="1:6" x14ac:dyDescent="0.25">
      <c r="A80" t="s">
        <v>135</v>
      </c>
      <c r="B80" t="s">
        <v>36</v>
      </c>
      <c r="C80" t="s">
        <v>664</v>
      </c>
      <c r="D80" t="s">
        <v>1263</v>
      </c>
      <c r="E80" t="s">
        <v>303</v>
      </c>
      <c r="F80" s="2">
        <v>2000</v>
      </c>
    </row>
    <row r="81" spans="1:6" x14ac:dyDescent="0.25">
      <c r="A81" t="s">
        <v>135</v>
      </c>
      <c r="B81" t="s">
        <v>36</v>
      </c>
      <c r="C81" t="s">
        <v>664</v>
      </c>
      <c r="D81" t="s">
        <v>1263</v>
      </c>
      <c r="E81" t="s">
        <v>277</v>
      </c>
      <c r="F81" s="2">
        <v>2000</v>
      </c>
    </row>
    <row r="82" spans="1:6" x14ac:dyDescent="0.25">
      <c r="A82" t="s">
        <v>135</v>
      </c>
      <c r="B82" t="s">
        <v>36</v>
      </c>
      <c r="C82" t="s">
        <v>664</v>
      </c>
      <c r="D82" t="s">
        <v>1263</v>
      </c>
      <c r="E82" t="s">
        <v>304</v>
      </c>
      <c r="F82" s="2">
        <v>2000</v>
      </c>
    </row>
    <row r="83" spans="1:6" x14ac:dyDescent="0.25">
      <c r="A83" t="s">
        <v>135</v>
      </c>
      <c r="B83" t="s">
        <v>36</v>
      </c>
      <c r="C83" t="s">
        <v>1163</v>
      </c>
      <c r="D83" t="s">
        <v>1264</v>
      </c>
      <c r="E83" t="s">
        <v>161</v>
      </c>
      <c r="F83" s="2">
        <v>5180</v>
      </c>
    </row>
    <row r="84" spans="1:6" x14ac:dyDescent="0.25">
      <c r="A84" t="s">
        <v>135</v>
      </c>
      <c r="B84" t="s">
        <v>36</v>
      </c>
      <c r="C84" t="s">
        <v>409</v>
      </c>
      <c r="D84" t="s">
        <v>1264</v>
      </c>
      <c r="E84" t="s">
        <v>201</v>
      </c>
      <c r="F84" s="2">
        <v>5180</v>
      </c>
    </row>
    <row r="85" spans="1:6" x14ac:dyDescent="0.25">
      <c r="A85" t="s">
        <v>135</v>
      </c>
      <c r="B85" t="s">
        <v>36</v>
      </c>
      <c r="C85" t="s">
        <v>571</v>
      </c>
      <c r="D85" t="s">
        <v>1264</v>
      </c>
      <c r="E85" t="s">
        <v>156</v>
      </c>
      <c r="F85" s="2">
        <v>5180</v>
      </c>
    </row>
    <row r="86" spans="1:6" x14ac:dyDescent="0.25">
      <c r="A86" t="s">
        <v>135</v>
      </c>
      <c r="B86" t="s">
        <v>36</v>
      </c>
      <c r="C86" t="s">
        <v>383</v>
      </c>
      <c r="D86" t="s">
        <v>1264</v>
      </c>
      <c r="E86" t="s">
        <v>144</v>
      </c>
      <c r="F86" s="2">
        <v>5180</v>
      </c>
    </row>
    <row r="87" spans="1:6" x14ac:dyDescent="0.25">
      <c r="A87" t="s">
        <v>135</v>
      </c>
      <c r="B87" t="s">
        <v>36</v>
      </c>
      <c r="C87" t="s">
        <v>1164</v>
      </c>
      <c r="D87" t="s">
        <v>1264</v>
      </c>
      <c r="E87" t="s">
        <v>181</v>
      </c>
      <c r="F87" s="2">
        <v>5180</v>
      </c>
    </row>
    <row r="88" spans="1:6" x14ac:dyDescent="0.25">
      <c r="A88" t="s">
        <v>135</v>
      </c>
      <c r="B88" t="s">
        <v>36</v>
      </c>
      <c r="C88" t="s">
        <v>662</v>
      </c>
      <c r="D88" t="s">
        <v>1264</v>
      </c>
      <c r="E88" t="s">
        <v>175</v>
      </c>
      <c r="F88" s="2">
        <v>5180</v>
      </c>
    </row>
    <row r="89" spans="1:6" x14ac:dyDescent="0.25">
      <c r="A89" t="s">
        <v>135</v>
      </c>
      <c r="B89" t="s">
        <v>36</v>
      </c>
      <c r="C89" t="s">
        <v>393</v>
      </c>
      <c r="D89" t="s">
        <v>1264</v>
      </c>
      <c r="E89" t="s">
        <v>210</v>
      </c>
      <c r="F89" s="2">
        <v>5180</v>
      </c>
    </row>
    <row r="90" spans="1:6" x14ac:dyDescent="0.25">
      <c r="A90" t="s">
        <v>135</v>
      </c>
      <c r="B90" t="s">
        <v>36</v>
      </c>
      <c r="C90" t="s">
        <v>1165</v>
      </c>
      <c r="D90" t="s">
        <v>1264</v>
      </c>
      <c r="E90" t="s">
        <v>183</v>
      </c>
      <c r="F90" s="2">
        <v>5180</v>
      </c>
    </row>
    <row r="91" spans="1:6" x14ac:dyDescent="0.25">
      <c r="A91" t="s">
        <v>135</v>
      </c>
      <c r="B91" t="s">
        <v>36</v>
      </c>
      <c r="C91" t="s">
        <v>497</v>
      </c>
      <c r="D91" t="s">
        <v>1264</v>
      </c>
      <c r="E91" t="s">
        <v>191</v>
      </c>
      <c r="F91" s="2">
        <v>5180</v>
      </c>
    </row>
    <row r="92" spans="1:6" x14ac:dyDescent="0.25">
      <c r="A92" t="s">
        <v>135</v>
      </c>
      <c r="B92" t="s">
        <v>36</v>
      </c>
      <c r="C92" t="s">
        <v>1166</v>
      </c>
      <c r="D92" t="s">
        <v>1264</v>
      </c>
      <c r="E92" t="s">
        <v>145</v>
      </c>
      <c r="F92" s="2">
        <v>5180</v>
      </c>
    </row>
    <row r="93" spans="1:6" x14ac:dyDescent="0.25">
      <c r="A93" t="s">
        <v>135</v>
      </c>
      <c r="B93" t="s">
        <v>36</v>
      </c>
      <c r="C93" t="s">
        <v>1167</v>
      </c>
      <c r="D93" t="s">
        <v>1264</v>
      </c>
      <c r="E93" t="s">
        <v>309</v>
      </c>
      <c r="F93" s="2">
        <v>2000</v>
      </c>
    </row>
    <row r="94" spans="1:6" x14ac:dyDescent="0.25">
      <c r="A94" t="s">
        <v>135</v>
      </c>
      <c r="B94" t="s">
        <v>36</v>
      </c>
      <c r="C94" t="s">
        <v>436</v>
      </c>
      <c r="D94" t="s">
        <v>1264</v>
      </c>
      <c r="E94" t="s">
        <v>222</v>
      </c>
      <c r="F94" s="2">
        <v>5180</v>
      </c>
    </row>
    <row r="95" spans="1:6" x14ac:dyDescent="0.25">
      <c r="A95" t="s">
        <v>135</v>
      </c>
      <c r="B95" t="s">
        <v>36</v>
      </c>
      <c r="C95" t="s">
        <v>1168</v>
      </c>
      <c r="D95" t="s">
        <v>1264</v>
      </c>
      <c r="E95" t="s">
        <v>195</v>
      </c>
      <c r="F95" s="2">
        <v>5180</v>
      </c>
    </row>
    <row r="96" spans="1:6" x14ac:dyDescent="0.25">
      <c r="A96" t="s">
        <v>135</v>
      </c>
      <c r="B96" t="s">
        <v>36</v>
      </c>
      <c r="C96" t="s">
        <v>1169</v>
      </c>
      <c r="D96" t="s">
        <v>1264</v>
      </c>
      <c r="E96" t="s">
        <v>312</v>
      </c>
      <c r="F96" s="2">
        <v>2000</v>
      </c>
    </row>
    <row r="97" spans="1:6" x14ac:dyDescent="0.25">
      <c r="A97" t="s">
        <v>135</v>
      </c>
      <c r="B97" t="s">
        <v>36</v>
      </c>
      <c r="C97" t="s">
        <v>1170</v>
      </c>
      <c r="D97" t="s">
        <v>1264</v>
      </c>
      <c r="E97" t="s">
        <v>234</v>
      </c>
      <c r="F97" s="2">
        <v>5180</v>
      </c>
    </row>
    <row r="98" spans="1:6" x14ac:dyDescent="0.25">
      <c r="A98" t="s">
        <v>135</v>
      </c>
      <c r="B98" t="s">
        <v>36</v>
      </c>
      <c r="C98" t="s">
        <v>1171</v>
      </c>
      <c r="D98" t="s">
        <v>1264</v>
      </c>
      <c r="E98" t="s">
        <v>138</v>
      </c>
      <c r="F98" s="2">
        <v>5180</v>
      </c>
    </row>
    <row r="99" spans="1:6" x14ac:dyDescent="0.25">
      <c r="A99" t="s">
        <v>135</v>
      </c>
      <c r="B99" t="s">
        <v>36</v>
      </c>
      <c r="C99" t="s">
        <v>1172</v>
      </c>
      <c r="D99" t="s">
        <v>1264</v>
      </c>
      <c r="E99" t="s">
        <v>171</v>
      </c>
      <c r="F99" s="2">
        <v>5180</v>
      </c>
    </row>
    <row r="100" spans="1:6" x14ac:dyDescent="0.25">
      <c r="A100" t="s">
        <v>135</v>
      </c>
      <c r="B100" t="s">
        <v>36</v>
      </c>
      <c r="C100" t="s">
        <v>590</v>
      </c>
      <c r="D100" t="s">
        <v>1264</v>
      </c>
      <c r="E100" t="s">
        <v>143</v>
      </c>
      <c r="F100" s="2">
        <v>5180</v>
      </c>
    </row>
    <row r="101" spans="1:6" x14ac:dyDescent="0.25">
      <c r="A101" t="s">
        <v>135</v>
      </c>
      <c r="B101" t="s">
        <v>36</v>
      </c>
      <c r="C101" t="s">
        <v>1173</v>
      </c>
      <c r="D101" t="s">
        <v>1264</v>
      </c>
      <c r="E101" t="s">
        <v>318</v>
      </c>
      <c r="F101" s="2">
        <v>2000</v>
      </c>
    </row>
    <row r="102" spans="1:6" x14ac:dyDescent="0.25">
      <c r="A102" t="s">
        <v>135</v>
      </c>
      <c r="B102" t="s">
        <v>36</v>
      </c>
      <c r="C102" t="s">
        <v>1174</v>
      </c>
      <c r="D102" t="s">
        <v>1264</v>
      </c>
      <c r="E102" t="s">
        <v>202</v>
      </c>
      <c r="F102" s="2">
        <v>5180</v>
      </c>
    </row>
    <row r="103" spans="1:6" x14ac:dyDescent="0.25">
      <c r="A103" t="s">
        <v>135</v>
      </c>
      <c r="B103" t="s">
        <v>36</v>
      </c>
      <c r="C103" t="s">
        <v>1175</v>
      </c>
      <c r="D103" t="s">
        <v>1264</v>
      </c>
      <c r="E103" t="s">
        <v>177</v>
      </c>
      <c r="F103" s="2">
        <v>5180</v>
      </c>
    </row>
    <row r="104" spans="1:6" x14ac:dyDescent="0.25">
      <c r="A104" t="s">
        <v>135</v>
      </c>
      <c r="B104" t="s">
        <v>36</v>
      </c>
      <c r="C104" t="s">
        <v>1176</v>
      </c>
      <c r="D104" t="s">
        <v>1264</v>
      </c>
      <c r="E104" t="s">
        <v>208</v>
      </c>
      <c r="F104" s="2">
        <v>5180</v>
      </c>
    </row>
    <row r="105" spans="1:6" x14ac:dyDescent="0.25">
      <c r="A105" t="s">
        <v>135</v>
      </c>
      <c r="B105" t="s">
        <v>36</v>
      </c>
      <c r="C105" t="s">
        <v>1177</v>
      </c>
      <c r="D105" t="s">
        <v>1264</v>
      </c>
      <c r="E105" t="s">
        <v>174</v>
      </c>
      <c r="F105" s="2">
        <v>5180</v>
      </c>
    </row>
    <row r="106" spans="1:6" x14ac:dyDescent="0.25">
      <c r="A106" t="s">
        <v>135</v>
      </c>
      <c r="B106" t="s">
        <v>36</v>
      </c>
      <c r="C106" t="s">
        <v>1178</v>
      </c>
      <c r="D106" t="s">
        <v>1264</v>
      </c>
      <c r="E106" t="s">
        <v>180</v>
      </c>
      <c r="F106" s="2">
        <v>5180</v>
      </c>
    </row>
    <row r="107" spans="1:6" x14ac:dyDescent="0.25">
      <c r="A107" t="s">
        <v>135</v>
      </c>
      <c r="B107" t="s">
        <v>36</v>
      </c>
      <c r="C107" t="s">
        <v>1179</v>
      </c>
      <c r="D107" t="s">
        <v>1264</v>
      </c>
      <c r="E107" t="s">
        <v>319</v>
      </c>
      <c r="F107" s="2">
        <v>2000</v>
      </c>
    </row>
    <row r="108" spans="1:6" x14ac:dyDescent="0.25">
      <c r="A108" t="s">
        <v>135</v>
      </c>
      <c r="B108" t="s">
        <v>36</v>
      </c>
      <c r="C108" t="s">
        <v>1180</v>
      </c>
      <c r="D108" t="s">
        <v>1264</v>
      </c>
      <c r="E108" t="s">
        <v>215</v>
      </c>
      <c r="F108" s="2">
        <v>5180</v>
      </c>
    </row>
    <row r="109" spans="1:6" x14ac:dyDescent="0.25">
      <c r="A109" t="s">
        <v>135</v>
      </c>
      <c r="B109" t="s">
        <v>36</v>
      </c>
      <c r="C109" t="s">
        <v>1181</v>
      </c>
      <c r="D109" t="s">
        <v>1264</v>
      </c>
      <c r="E109" t="s">
        <v>176</v>
      </c>
      <c r="F109" s="2">
        <v>5180</v>
      </c>
    </row>
    <row r="110" spans="1:6" x14ac:dyDescent="0.25">
      <c r="A110" t="s">
        <v>135</v>
      </c>
      <c r="B110" t="s">
        <v>36</v>
      </c>
      <c r="C110" t="s">
        <v>1182</v>
      </c>
      <c r="D110" t="s">
        <v>1264</v>
      </c>
      <c r="E110" t="s">
        <v>313</v>
      </c>
      <c r="F110" s="2">
        <v>2000</v>
      </c>
    </row>
    <row r="111" spans="1:6" x14ac:dyDescent="0.25">
      <c r="A111" t="s">
        <v>135</v>
      </c>
      <c r="B111" t="s">
        <v>36</v>
      </c>
      <c r="C111" t="s">
        <v>1183</v>
      </c>
      <c r="D111" t="s">
        <v>1264</v>
      </c>
      <c r="E111" t="s">
        <v>232</v>
      </c>
      <c r="F111" s="2">
        <v>5180</v>
      </c>
    </row>
    <row r="112" spans="1:6" x14ac:dyDescent="0.25">
      <c r="A112" t="s">
        <v>135</v>
      </c>
      <c r="B112" t="s">
        <v>36</v>
      </c>
      <c r="C112" t="s">
        <v>1184</v>
      </c>
      <c r="D112" t="s">
        <v>1264</v>
      </c>
      <c r="E112" t="s">
        <v>182</v>
      </c>
      <c r="F112" s="2">
        <v>5180</v>
      </c>
    </row>
    <row r="113" spans="1:6" x14ac:dyDescent="0.25">
      <c r="A113" t="s">
        <v>135</v>
      </c>
      <c r="B113" t="s">
        <v>36</v>
      </c>
      <c r="C113" t="s">
        <v>1185</v>
      </c>
      <c r="D113" t="s">
        <v>1264</v>
      </c>
      <c r="E113" t="s">
        <v>151</v>
      </c>
      <c r="F113" s="2">
        <v>5180</v>
      </c>
    </row>
    <row r="114" spans="1:6" x14ac:dyDescent="0.25">
      <c r="A114" t="s">
        <v>135</v>
      </c>
      <c r="B114" t="s">
        <v>36</v>
      </c>
      <c r="C114" t="s">
        <v>1186</v>
      </c>
      <c r="D114" t="s">
        <v>1264</v>
      </c>
      <c r="E114" t="s">
        <v>308</v>
      </c>
      <c r="F114" s="2">
        <v>2000</v>
      </c>
    </row>
    <row r="115" spans="1:6" x14ac:dyDescent="0.25">
      <c r="A115" t="s">
        <v>135</v>
      </c>
      <c r="B115" t="s">
        <v>36</v>
      </c>
      <c r="C115" t="s">
        <v>1187</v>
      </c>
      <c r="D115" t="s">
        <v>1264</v>
      </c>
      <c r="E115" t="s">
        <v>185</v>
      </c>
      <c r="F115" s="2">
        <v>5180</v>
      </c>
    </row>
    <row r="116" spans="1:6" x14ac:dyDescent="0.25">
      <c r="A116" t="s">
        <v>135</v>
      </c>
      <c r="B116" t="s">
        <v>36</v>
      </c>
      <c r="C116" t="s">
        <v>1188</v>
      </c>
      <c r="D116" t="s">
        <v>1264</v>
      </c>
      <c r="E116" t="s">
        <v>196</v>
      </c>
      <c r="F116" s="2">
        <v>5180</v>
      </c>
    </row>
    <row r="117" spans="1:6" x14ac:dyDescent="0.25">
      <c r="A117" t="s">
        <v>135</v>
      </c>
      <c r="B117" t="s">
        <v>36</v>
      </c>
      <c r="C117" t="s">
        <v>1189</v>
      </c>
      <c r="D117" t="s">
        <v>1264</v>
      </c>
      <c r="E117" t="s">
        <v>136</v>
      </c>
      <c r="F117" s="2">
        <v>5180</v>
      </c>
    </row>
    <row r="118" spans="1:6" x14ac:dyDescent="0.25">
      <c r="A118" t="s">
        <v>135</v>
      </c>
      <c r="B118" t="s">
        <v>36</v>
      </c>
      <c r="C118" t="s">
        <v>1190</v>
      </c>
      <c r="D118" t="s">
        <v>1264</v>
      </c>
      <c r="E118" t="s">
        <v>310</v>
      </c>
      <c r="F118" s="2">
        <v>2000</v>
      </c>
    </row>
    <row r="119" spans="1:6" x14ac:dyDescent="0.25">
      <c r="A119" t="s">
        <v>135</v>
      </c>
      <c r="B119" t="s">
        <v>36</v>
      </c>
      <c r="C119" t="s">
        <v>1191</v>
      </c>
      <c r="D119" t="s">
        <v>1264</v>
      </c>
      <c r="E119" t="s">
        <v>326</v>
      </c>
      <c r="F119" s="2">
        <v>2000</v>
      </c>
    </row>
    <row r="120" spans="1:6" x14ac:dyDescent="0.25">
      <c r="A120" t="s">
        <v>135</v>
      </c>
      <c r="B120" t="s">
        <v>36</v>
      </c>
      <c r="C120" t="s">
        <v>372</v>
      </c>
      <c r="D120" t="s">
        <v>1264</v>
      </c>
      <c r="E120" t="s">
        <v>158</v>
      </c>
      <c r="F120" s="2">
        <v>5180</v>
      </c>
    </row>
    <row r="121" spans="1:6" x14ac:dyDescent="0.25">
      <c r="A121" t="s">
        <v>135</v>
      </c>
      <c r="B121" t="s">
        <v>36</v>
      </c>
      <c r="C121" t="s">
        <v>479</v>
      </c>
      <c r="D121" t="s">
        <v>1264</v>
      </c>
      <c r="E121" t="s">
        <v>214</v>
      </c>
      <c r="F121" s="2">
        <v>5180</v>
      </c>
    </row>
    <row r="122" spans="1:6" x14ac:dyDescent="0.25">
      <c r="A122" t="s">
        <v>135</v>
      </c>
      <c r="B122" t="s">
        <v>36</v>
      </c>
      <c r="C122" t="s">
        <v>1192</v>
      </c>
      <c r="D122" t="s">
        <v>1264</v>
      </c>
      <c r="E122" t="s">
        <v>162</v>
      </c>
      <c r="F122" s="2">
        <v>5180</v>
      </c>
    </row>
    <row r="123" spans="1:6" x14ac:dyDescent="0.25">
      <c r="A123" t="s">
        <v>135</v>
      </c>
      <c r="B123" t="s">
        <v>36</v>
      </c>
      <c r="C123" t="s">
        <v>1193</v>
      </c>
      <c r="D123" t="s">
        <v>1264</v>
      </c>
      <c r="E123" t="s">
        <v>194</v>
      </c>
      <c r="F123" s="2">
        <v>5180</v>
      </c>
    </row>
    <row r="124" spans="1:6" x14ac:dyDescent="0.25">
      <c r="A124" t="s">
        <v>135</v>
      </c>
      <c r="B124" t="s">
        <v>36</v>
      </c>
      <c r="C124" t="s">
        <v>1194</v>
      </c>
      <c r="D124" t="s">
        <v>1264</v>
      </c>
      <c r="E124" t="s">
        <v>165</v>
      </c>
      <c r="F124" s="2">
        <v>5180</v>
      </c>
    </row>
    <row r="125" spans="1:6" x14ac:dyDescent="0.25">
      <c r="A125" t="s">
        <v>135</v>
      </c>
      <c r="B125" t="s">
        <v>36</v>
      </c>
      <c r="C125" t="s">
        <v>1195</v>
      </c>
      <c r="D125" t="s">
        <v>1264</v>
      </c>
      <c r="E125" t="s">
        <v>160</v>
      </c>
      <c r="F125" s="2">
        <v>5180</v>
      </c>
    </row>
    <row r="126" spans="1:6" x14ac:dyDescent="0.25">
      <c r="A126" t="s">
        <v>135</v>
      </c>
      <c r="B126" t="s">
        <v>36</v>
      </c>
      <c r="C126" t="s">
        <v>592</v>
      </c>
      <c r="D126" t="s">
        <v>1264</v>
      </c>
      <c r="E126" t="s">
        <v>169</v>
      </c>
      <c r="F126" s="2">
        <v>5180</v>
      </c>
    </row>
    <row r="127" spans="1:6" x14ac:dyDescent="0.25">
      <c r="A127" t="s">
        <v>135</v>
      </c>
      <c r="B127" t="s">
        <v>36</v>
      </c>
      <c r="C127" t="s">
        <v>1196</v>
      </c>
      <c r="D127" t="s">
        <v>1264</v>
      </c>
      <c r="E127" t="s">
        <v>207</v>
      </c>
      <c r="F127" s="2">
        <v>5180</v>
      </c>
    </row>
    <row r="128" spans="1:6" x14ac:dyDescent="0.25">
      <c r="A128" t="s">
        <v>135</v>
      </c>
      <c r="B128" t="s">
        <v>36</v>
      </c>
      <c r="C128" t="s">
        <v>391</v>
      </c>
      <c r="D128" t="s">
        <v>1264</v>
      </c>
      <c r="E128" t="s">
        <v>212</v>
      </c>
      <c r="F128" s="2">
        <v>5180</v>
      </c>
    </row>
    <row r="129" spans="1:6" x14ac:dyDescent="0.25">
      <c r="A129" t="s">
        <v>135</v>
      </c>
      <c r="B129" t="s">
        <v>36</v>
      </c>
      <c r="C129" t="s">
        <v>1197</v>
      </c>
      <c r="D129" t="s">
        <v>1264</v>
      </c>
      <c r="E129" t="s">
        <v>206</v>
      </c>
      <c r="F129" s="2">
        <v>5180</v>
      </c>
    </row>
    <row r="130" spans="1:6" x14ac:dyDescent="0.25">
      <c r="A130" t="s">
        <v>135</v>
      </c>
      <c r="B130" t="s">
        <v>36</v>
      </c>
      <c r="C130" t="s">
        <v>626</v>
      </c>
      <c r="D130" t="s">
        <v>1264</v>
      </c>
      <c r="E130" t="s">
        <v>172</v>
      </c>
      <c r="F130" s="2">
        <v>5180</v>
      </c>
    </row>
    <row r="131" spans="1:6" x14ac:dyDescent="0.25">
      <c r="A131" t="s">
        <v>135</v>
      </c>
      <c r="B131" t="s">
        <v>36</v>
      </c>
      <c r="C131" t="s">
        <v>1198</v>
      </c>
      <c r="D131" t="s">
        <v>1264</v>
      </c>
      <c r="E131" t="s">
        <v>141</v>
      </c>
      <c r="F131" s="2">
        <v>5180</v>
      </c>
    </row>
    <row r="132" spans="1:6" x14ac:dyDescent="0.25">
      <c r="A132" t="s">
        <v>135</v>
      </c>
      <c r="B132" t="s">
        <v>36</v>
      </c>
      <c r="C132" t="s">
        <v>426</v>
      </c>
      <c r="D132" t="s">
        <v>1264</v>
      </c>
      <c r="E132" t="s">
        <v>173</v>
      </c>
      <c r="F132" s="2">
        <v>5180</v>
      </c>
    </row>
    <row r="133" spans="1:6" x14ac:dyDescent="0.25">
      <c r="A133" t="s">
        <v>135</v>
      </c>
      <c r="B133" t="s">
        <v>36</v>
      </c>
      <c r="C133" t="s">
        <v>1121</v>
      </c>
      <c r="D133" t="s">
        <v>1264</v>
      </c>
      <c r="E133" t="s">
        <v>307</v>
      </c>
      <c r="F133" s="2">
        <v>2000</v>
      </c>
    </row>
    <row r="134" spans="1:6" x14ac:dyDescent="0.25">
      <c r="A134" t="s">
        <v>135</v>
      </c>
      <c r="B134" t="s">
        <v>36</v>
      </c>
      <c r="C134" t="s">
        <v>470</v>
      </c>
      <c r="D134" t="s">
        <v>1264</v>
      </c>
      <c r="E134" t="s">
        <v>179</v>
      </c>
      <c r="F134" s="2">
        <v>5180</v>
      </c>
    </row>
    <row r="135" spans="1:6" x14ac:dyDescent="0.25">
      <c r="A135" t="s">
        <v>135</v>
      </c>
      <c r="B135" t="s">
        <v>36</v>
      </c>
      <c r="C135" t="s">
        <v>1199</v>
      </c>
      <c r="D135" t="s">
        <v>1264</v>
      </c>
      <c r="E135" t="s">
        <v>311</v>
      </c>
      <c r="F135" s="2">
        <v>2000</v>
      </c>
    </row>
    <row r="136" spans="1:6" x14ac:dyDescent="0.25">
      <c r="A136" t="s">
        <v>135</v>
      </c>
      <c r="B136" t="s">
        <v>36</v>
      </c>
      <c r="C136" t="s">
        <v>414</v>
      </c>
      <c r="D136" t="s">
        <v>1264</v>
      </c>
      <c r="E136" t="s">
        <v>218</v>
      </c>
      <c r="F136" s="2">
        <v>5180</v>
      </c>
    </row>
    <row r="137" spans="1:6" x14ac:dyDescent="0.25">
      <c r="A137" t="s">
        <v>135</v>
      </c>
      <c r="B137" t="s">
        <v>36</v>
      </c>
      <c r="C137" t="s">
        <v>1200</v>
      </c>
      <c r="D137" t="s">
        <v>1264</v>
      </c>
      <c r="E137" t="s">
        <v>186</v>
      </c>
      <c r="F137" s="2">
        <v>5180</v>
      </c>
    </row>
    <row r="138" spans="1:6" x14ac:dyDescent="0.25">
      <c r="A138" t="s">
        <v>135</v>
      </c>
      <c r="B138" t="s">
        <v>36</v>
      </c>
      <c r="C138" t="s">
        <v>1201</v>
      </c>
      <c r="D138" t="s">
        <v>1264</v>
      </c>
      <c r="E138" t="s">
        <v>316</v>
      </c>
      <c r="F138" s="2">
        <v>2000</v>
      </c>
    </row>
    <row r="139" spans="1:6" x14ac:dyDescent="0.25">
      <c r="A139" t="s">
        <v>135</v>
      </c>
      <c r="B139" t="s">
        <v>36</v>
      </c>
      <c r="C139" t="s">
        <v>1202</v>
      </c>
      <c r="D139" t="s">
        <v>1264</v>
      </c>
      <c r="E139" t="s">
        <v>205</v>
      </c>
      <c r="F139" s="2">
        <v>5180</v>
      </c>
    </row>
    <row r="140" spans="1:6" x14ac:dyDescent="0.25">
      <c r="A140" t="s">
        <v>135</v>
      </c>
      <c r="B140" t="s">
        <v>36</v>
      </c>
      <c r="C140" t="s">
        <v>1119</v>
      </c>
      <c r="D140" t="s">
        <v>1264</v>
      </c>
      <c r="E140" t="s">
        <v>305</v>
      </c>
      <c r="F140" s="2">
        <v>2000</v>
      </c>
    </row>
    <row r="141" spans="1:6" x14ac:dyDescent="0.25">
      <c r="A141" t="s">
        <v>135</v>
      </c>
      <c r="B141" t="s">
        <v>36</v>
      </c>
      <c r="C141" t="s">
        <v>1203</v>
      </c>
      <c r="D141" t="s">
        <v>1264</v>
      </c>
      <c r="E141" t="s">
        <v>229</v>
      </c>
      <c r="F141" s="2">
        <v>5180</v>
      </c>
    </row>
    <row r="142" spans="1:6" x14ac:dyDescent="0.25">
      <c r="A142" t="s">
        <v>135</v>
      </c>
      <c r="B142" t="s">
        <v>36</v>
      </c>
      <c r="C142" t="s">
        <v>1204</v>
      </c>
      <c r="D142" t="s">
        <v>1264</v>
      </c>
      <c r="E142" t="s">
        <v>322</v>
      </c>
      <c r="F142" s="2">
        <v>2000</v>
      </c>
    </row>
    <row r="143" spans="1:6" x14ac:dyDescent="0.25">
      <c r="A143" t="s">
        <v>135</v>
      </c>
      <c r="B143" t="s">
        <v>36</v>
      </c>
      <c r="C143" t="s">
        <v>461</v>
      </c>
      <c r="D143" t="s">
        <v>1264</v>
      </c>
      <c r="E143" t="s">
        <v>178</v>
      </c>
      <c r="F143" s="2">
        <v>5180</v>
      </c>
    </row>
    <row r="144" spans="1:6" x14ac:dyDescent="0.25">
      <c r="A144" t="s">
        <v>135</v>
      </c>
      <c r="B144" t="s">
        <v>36</v>
      </c>
      <c r="C144" t="s">
        <v>1205</v>
      </c>
      <c r="D144" t="s">
        <v>1264</v>
      </c>
      <c r="E144" t="s">
        <v>140</v>
      </c>
      <c r="F144" s="2">
        <v>5180</v>
      </c>
    </row>
    <row r="145" spans="1:6" x14ac:dyDescent="0.25">
      <c r="A145" t="s">
        <v>135</v>
      </c>
      <c r="B145" t="s">
        <v>36</v>
      </c>
      <c r="C145" t="s">
        <v>1206</v>
      </c>
      <c r="D145" t="s">
        <v>1264</v>
      </c>
      <c r="E145" t="s">
        <v>146</v>
      </c>
      <c r="F145" s="2">
        <v>5180</v>
      </c>
    </row>
    <row r="146" spans="1:6" x14ac:dyDescent="0.25">
      <c r="A146" t="s">
        <v>135</v>
      </c>
      <c r="B146" t="s">
        <v>36</v>
      </c>
      <c r="C146" t="s">
        <v>481</v>
      </c>
      <c r="D146" t="s">
        <v>1264</v>
      </c>
      <c r="E146" t="s">
        <v>167</v>
      </c>
      <c r="F146" s="2">
        <v>5180</v>
      </c>
    </row>
    <row r="147" spans="1:6" x14ac:dyDescent="0.25">
      <c r="A147" t="s">
        <v>135</v>
      </c>
      <c r="B147" t="s">
        <v>36</v>
      </c>
      <c r="C147" t="s">
        <v>1207</v>
      </c>
      <c r="D147" t="s">
        <v>1264</v>
      </c>
      <c r="E147" t="s">
        <v>198</v>
      </c>
      <c r="F147" s="2">
        <v>5180</v>
      </c>
    </row>
    <row r="148" spans="1:6" x14ac:dyDescent="0.25">
      <c r="A148" t="s">
        <v>135</v>
      </c>
      <c r="B148" t="s">
        <v>36</v>
      </c>
      <c r="C148" t="s">
        <v>1208</v>
      </c>
      <c r="D148" t="s">
        <v>1264</v>
      </c>
      <c r="E148" t="s">
        <v>228</v>
      </c>
      <c r="F148" s="2">
        <v>5180</v>
      </c>
    </row>
    <row r="149" spans="1:6" x14ac:dyDescent="0.25">
      <c r="A149" t="s">
        <v>135</v>
      </c>
      <c r="B149" t="s">
        <v>36</v>
      </c>
      <c r="C149" t="s">
        <v>1209</v>
      </c>
      <c r="D149" t="s">
        <v>1264</v>
      </c>
      <c r="E149" t="s">
        <v>219</v>
      </c>
      <c r="F149" s="2">
        <v>5180</v>
      </c>
    </row>
    <row r="150" spans="1:6" x14ac:dyDescent="0.25">
      <c r="A150" t="s">
        <v>135</v>
      </c>
      <c r="B150" t="s">
        <v>36</v>
      </c>
      <c r="C150" t="s">
        <v>427</v>
      </c>
      <c r="D150" t="s">
        <v>1264</v>
      </c>
      <c r="E150" t="s">
        <v>166</v>
      </c>
      <c r="F150" s="2">
        <v>5180</v>
      </c>
    </row>
    <row r="151" spans="1:6" x14ac:dyDescent="0.25">
      <c r="A151" t="s">
        <v>135</v>
      </c>
      <c r="B151" t="s">
        <v>36</v>
      </c>
      <c r="C151" t="s">
        <v>1210</v>
      </c>
      <c r="D151" t="s">
        <v>1264</v>
      </c>
      <c r="E151" t="s">
        <v>325</v>
      </c>
      <c r="F151" s="2">
        <v>2000</v>
      </c>
    </row>
    <row r="152" spans="1:6" x14ac:dyDescent="0.25">
      <c r="A152" t="s">
        <v>135</v>
      </c>
      <c r="B152" t="s">
        <v>36</v>
      </c>
      <c r="C152" t="s">
        <v>363</v>
      </c>
      <c r="D152" t="s">
        <v>1264</v>
      </c>
      <c r="E152" t="s">
        <v>220</v>
      </c>
      <c r="F152" s="2">
        <v>5180</v>
      </c>
    </row>
    <row r="153" spans="1:6" x14ac:dyDescent="0.25">
      <c r="A153" t="s">
        <v>135</v>
      </c>
      <c r="B153" t="s">
        <v>36</v>
      </c>
      <c r="C153" t="s">
        <v>459</v>
      </c>
      <c r="D153" t="s">
        <v>1264</v>
      </c>
      <c r="E153" t="s">
        <v>193</v>
      </c>
      <c r="F153" s="2">
        <v>5180</v>
      </c>
    </row>
    <row r="154" spans="1:6" x14ac:dyDescent="0.25">
      <c r="A154" t="s">
        <v>135</v>
      </c>
      <c r="B154" t="s">
        <v>36</v>
      </c>
      <c r="C154" t="s">
        <v>353</v>
      </c>
      <c r="D154" t="s">
        <v>1264</v>
      </c>
      <c r="E154" t="s">
        <v>187</v>
      </c>
      <c r="F154" s="2">
        <v>5180</v>
      </c>
    </row>
    <row r="155" spans="1:6" x14ac:dyDescent="0.25">
      <c r="A155" t="s">
        <v>135</v>
      </c>
      <c r="B155" t="s">
        <v>36</v>
      </c>
      <c r="C155" t="s">
        <v>1211</v>
      </c>
      <c r="D155" t="s">
        <v>1264</v>
      </c>
      <c r="E155" t="s">
        <v>150</v>
      </c>
      <c r="F155" s="2">
        <v>5180</v>
      </c>
    </row>
    <row r="156" spans="1:6" x14ac:dyDescent="0.25">
      <c r="A156" t="s">
        <v>135</v>
      </c>
      <c r="B156" t="s">
        <v>36</v>
      </c>
      <c r="C156" t="s">
        <v>1212</v>
      </c>
      <c r="D156" t="s">
        <v>1264</v>
      </c>
      <c r="E156" t="s">
        <v>163</v>
      </c>
      <c r="F156" s="2">
        <v>5180</v>
      </c>
    </row>
    <row r="157" spans="1:6" x14ac:dyDescent="0.25">
      <c r="A157" t="s">
        <v>135</v>
      </c>
      <c r="B157" t="s">
        <v>36</v>
      </c>
      <c r="C157" t="s">
        <v>473</v>
      </c>
      <c r="D157" t="s">
        <v>1264</v>
      </c>
      <c r="E157" t="s">
        <v>188</v>
      </c>
      <c r="F157" s="2">
        <v>5180</v>
      </c>
    </row>
    <row r="158" spans="1:6" x14ac:dyDescent="0.25">
      <c r="A158" t="s">
        <v>135</v>
      </c>
      <c r="B158" t="s">
        <v>36</v>
      </c>
      <c r="C158" t="s">
        <v>1213</v>
      </c>
      <c r="D158" t="s">
        <v>1264</v>
      </c>
      <c r="E158" t="s">
        <v>137</v>
      </c>
      <c r="F158" s="2">
        <v>5180</v>
      </c>
    </row>
    <row r="159" spans="1:6" x14ac:dyDescent="0.25">
      <c r="A159" t="s">
        <v>135</v>
      </c>
      <c r="B159" t="s">
        <v>36</v>
      </c>
      <c r="C159" t="s">
        <v>453</v>
      </c>
      <c r="D159" t="s">
        <v>1264</v>
      </c>
      <c r="E159" t="s">
        <v>231</v>
      </c>
      <c r="F159" s="2">
        <v>5180</v>
      </c>
    </row>
    <row r="160" spans="1:6" x14ac:dyDescent="0.25">
      <c r="A160" t="s">
        <v>135</v>
      </c>
      <c r="B160" t="s">
        <v>36</v>
      </c>
      <c r="C160" t="s">
        <v>1214</v>
      </c>
      <c r="D160" t="s">
        <v>1264</v>
      </c>
      <c r="E160" t="s">
        <v>190</v>
      </c>
      <c r="F160" s="2">
        <v>5180</v>
      </c>
    </row>
    <row r="161" spans="1:6" x14ac:dyDescent="0.25">
      <c r="A161" t="s">
        <v>135</v>
      </c>
      <c r="B161" t="s">
        <v>36</v>
      </c>
      <c r="C161" t="s">
        <v>1215</v>
      </c>
      <c r="D161" t="s">
        <v>1264</v>
      </c>
      <c r="E161" t="s">
        <v>155</v>
      </c>
      <c r="F161" s="2">
        <v>5180</v>
      </c>
    </row>
    <row r="162" spans="1:6" x14ac:dyDescent="0.25">
      <c r="A162" t="s">
        <v>135</v>
      </c>
      <c r="B162" t="s">
        <v>36</v>
      </c>
      <c r="C162" t="s">
        <v>1216</v>
      </c>
      <c r="D162" t="s">
        <v>1264</v>
      </c>
      <c r="E162" t="s">
        <v>329</v>
      </c>
      <c r="F162" s="2">
        <v>2000</v>
      </c>
    </row>
    <row r="163" spans="1:6" x14ac:dyDescent="0.25">
      <c r="A163" t="s">
        <v>135</v>
      </c>
      <c r="B163" t="s">
        <v>36</v>
      </c>
      <c r="C163" t="s">
        <v>1217</v>
      </c>
      <c r="D163" t="s">
        <v>1264</v>
      </c>
      <c r="E163" t="s">
        <v>230</v>
      </c>
      <c r="F163" s="2">
        <v>5180</v>
      </c>
    </row>
    <row r="164" spans="1:6" x14ac:dyDescent="0.25">
      <c r="A164" t="s">
        <v>135</v>
      </c>
      <c r="B164" t="s">
        <v>36</v>
      </c>
      <c r="C164" t="s">
        <v>1218</v>
      </c>
      <c r="D164" t="s">
        <v>1264</v>
      </c>
      <c r="E164" t="s">
        <v>217</v>
      </c>
      <c r="F164" s="2">
        <v>5180</v>
      </c>
    </row>
    <row r="165" spans="1:6" x14ac:dyDescent="0.25">
      <c r="A165" t="s">
        <v>135</v>
      </c>
      <c r="B165" t="s">
        <v>36</v>
      </c>
      <c r="C165" t="s">
        <v>1219</v>
      </c>
      <c r="D165" t="s">
        <v>1264</v>
      </c>
      <c r="E165" t="s">
        <v>168</v>
      </c>
      <c r="F165" s="2">
        <v>5180</v>
      </c>
    </row>
    <row r="166" spans="1:6" x14ac:dyDescent="0.25">
      <c r="A166" t="s">
        <v>135</v>
      </c>
      <c r="B166" t="s">
        <v>36</v>
      </c>
      <c r="C166" t="s">
        <v>1220</v>
      </c>
      <c r="D166" t="s">
        <v>1264</v>
      </c>
      <c r="E166" t="s">
        <v>142</v>
      </c>
      <c r="F166" s="2">
        <v>5180</v>
      </c>
    </row>
    <row r="167" spans="1:6" x14ac:dyDescent="0.25">
      <c r="A167" t="s">
        <v>135</v>
      </c>
      <c r="B167" t="s">
        <v>36</v>
      </c>
      <c r="C167" t="s">
        <v>1221</v>
      </c>
      <c r="D167" t="s">
        <v>1264</v>
      </c>
      <c r="E167" t="s">
        <v>235</v>
      </c>
      <c r="F167" s="2">
        <v>5180</v>
      </c>
    </row>
    <row r="168" spans="1:6" x14ac:dyDescent="0.25">
      <c r="A168" t="s">
        <v>135</v>
      </c>
      <c r="B168" t="s">
        <v>36</v>
      </c>
      <c r="C168" t="s">
        <v>1222</v>
      </c>
      <c r="D168" t="s">
        <v>1264</v>
      </c>
      <c r="E168" t="s">
        <v>328</v>
      </c>
      <c r="F168" s="2">
        <v>2000</v>
      </c>
    </row>
    <row r="169" spans="1:6" x14ac:dyDescent="0.25">
      <c r="A169" t="s">
        <v>135</v>
      </c>
      <c r="B169" t="s">
        <v>36</v>
      </c>
      <c r="C169" t="s">
        <v>1223</v>
      </c>
      <c r="D169" t="s">
        <v>1264</v>
      </c>
      <c r="E169" t="s">
        <v>170</v>
      </c>
      <c r="F169" s="2">
        <v>5180</v>
      </c>
    </row>
    <row r="170" spans="1:6" x14ac:dyDescent="0.25">
      <c r="A170" t="s">
        <v>135</v>
      </c>
      <c r="B170" t="s">
        <v>36</v>
      </c>
      <c r="C170" t="s">
        <v>1224</v>
      </c>
      <c r="D170" t="s">
        <v>1264</v>
      </c>
      <c r="E170" t="s">
        <v>320</v>
      </c>
      <c r="F170" s="2">
        <v>2000</v>
      </c>
    </row>
    <row r="171" spans="1:6" x14ac:dyDescent="0.25">
      <c r="A171" t="s">
        <v>135</v>
      </c>
      <c r="B171" t="s">
        <v>36</v>
      </c>
      <c r="C171" t="s">
        <v>1225</v>
      </c>
      <c r="D171" t="s">
        <v>1264</v>
      </c>
      <c r="E171" t="s">
        <v>159</v>
      </c>
      <c r="F171" s="2">
        <v>5180</v>
      </c>
    </row>
    <row r="172" spans="1:6" x14ac:dyDescent="0.25">
      <c r="A172" t="s">
        <v>135</v>
      </c>
      <c r="B172" t="s">
        <v>36</v>
      </c>
      <c r="C172" t="s">
        <v>1226</v>
      </c>
      <c r="D172" t="s">
        <v>1264</v>
      </c>
      <c r="E172" t="s">
        <v>223</v>
      </c>
      <c r="F172" s="2">
        <v>5180</v>
      </c>
    </row>
    <row r="173" spans="1:6" x14ac:dyDescent="0.25">
      <c r="A173" t="s">
        <v>135</v>
      </c>
      <c r="B173" t="s">
        <v>36</v>
      </c>
      <c r="C173" t="s">
        <v>1227</v>
      </c>
      <c r="D173" t="s">
        <v>1264</v>
      </c>
      <c r="E173" t="s">
        <v>204</v>
      </c>
      <c r="F173" s="2">
        <v>5180</v>
      </c>
    </row>
    <row r="174" spans="1:6" x14ac:dyDescent="0.25">
      <c r="A174" t="s">
        <v>135</v>
      </c>
      <c r="B174" t="s">
        <v>36</v>
      </c>
      <c r="C174" t="s">
        <v>1228</v>
      </c>
      <c r="D174" t="s">
        <v>1264</v>
      </c>
      <c r="E174" t="s">
        <v>233</v>
      </c>
      <c r="F174" s="2">
        <v>5180</v>
      </c>
    </row>
    <row r="175" spans="1:6" x14ac:dyDescent="0.25">
      <c r="A175" t="s">
        <v>135</v>
      </c>
      <c r="B175" t="s">
        <v>36</v>
      </c>
      <c r="C175" t="s">
        <v>1229</v>
      </c>
      <c r="D175" t="s">
        <v>1264</v>
      </c>
      <c r="E175" t="s">
        <v>199</v>
      </c>
      <c r="F175" s="2">
        <v>5180</v>
      </c>
    </row>
    <row r="176" spans="1:6" x14ac:dyDescent="0.25">
      <c r="A176" t="s">
        <v>135</v>
      </c>
      <c r="B176" t="s">
        <v>36</v>
      </c>
      <c r="C176" t="s">
        <v>609</v>
      </c>
      <c r="D176" t="s">
        <v>1264</v>
      </c>
      <c r="E176" t="s">
        <v>225</v>
      </c>
      <c r="F176" s="2">
        <v>5180</v>
      </c>
    </row>
    <row r="177" spans="1:6" x14ac:dyDescent="0.25">
      <c r="A177" t="s">
        <v>135</v>
      </c>
      <c r="B177" t="s">
        <v>36</v>
      </c>
      <c r="C177" t="s">
        <v>1120</v>
      </c>
      <c r="D177" t="s">
        <v>1264</v>
      </c>
      <c r="E177" t="s">
        <v>306</v>
      </c>
      <c r="F177" s="2">
        <v>2000</v>
      </c>
    </row>
    <row r="178" spans="1:6" x14ac:dyDescent="0.25">
      <c r="A178" t="s">
        <v>135</v>
      </c>
      <c r="B178" t="s">
        <v>36</v>
      </c>
      <c r="C178" t="s">
        <v>1230</v>
      </c>
      <c r="D178" t="s">
        <v>1264</v>
      </c>
      <c r="E178" t="s">
        <v>224</v>
      </c>
      <c r="F178" s="2">
        <v>5180</v>
      </c>
    </row>
    <row r="179" spans="1:6" x14ac:dyDescent="0.25">
      <c r="A179" t="s">
        <v>135</v>
      </c>
      <c r="B179" t="s">
        <v>36</v>
      </c>
      <c r="C179" t="s">
        <v>1231</v>
      </c>
      <c r="D179" t="s">
        <v>1264</v>
      </c>
      <c r="E179" t="s">
        <v>184</v>
      </c>
      <c r="F179" s="2">
        <v>5180</v>
      </c>
    </row>
    <row r="180" spans="1:6" x14ac:dyDescent="0.25">
      <c r="A180" t="s">
        <v>135</v>
      </c>
      <c r="B180" t="s">
        <v>36</v>
      </c>
      <c r="C180" t="s">
        <v>1232</v>
      </c>
      <c r="D180" t="s">
        <v>1264</v>
      </c>
      <c r="E180" t="s">
        <v>321</v>
      </c>
      <c r="F180" s="2">
        <v>2000</v>
      </c>
    </row>
    <row r="181" spans="1:6" x14ac:dyDescent="0.25">
      <c r="A181" t="s">
        <v>135</v>
      </c>
      <c r="B181" t="s">
        <v>36</v>
      </c>
      <c r="C181" t="s">
        <v>591</v>
      </c>
      <c r="D181" t="s">
        <v>1264</v>
      </c>
      <c r="E181" t="s">
        <v>200</v>
      </c>
      <c r="F181" s="2">
        <v>5180</v>
      </c>
    </row>
    <row r="182" spans="1:6" x14ac:dyDescent="0.25">
      <c r="A182" t="s">
        <v>135</v>
      </c>
      <c r="B182" t="s">
        <v>36</v>
      </c>
      <c r="C182" t="s">
        <v>1233</v>
      </c>
      <c r="D182" t="s">
        <v>1264</v>
      </c>
      <c r="E182" t="s">
        <v>324</v>
      </c>
      <c r="F182" s="2">
        <v>2000</v>
      </c>
    </row>
    <row r="183" spans="1:6" x14ac:dyDescent="0.25">
      <c r="A183" t="s">
        <v>135</v>
      </c>
      <c r="B183" t="s">
        <v>36</v>
      </c>
      <c r="C183" t="s">
        <v>1234</v>
      </c>
      <c r="D183" t="s">
        <v>1264</v>
      </c>
      <c r="E183" t="s">
        <v>330</v>
      </c>
      <c r="F183" s="2">
        <v>2000</v>
      </c>
    </row>
    <row r="184" spans="1:6" x14ac:dyDescent="0.25">
      <c r="A184" t="s">
        <v>135</v>
      </c>
      <c r="B184" t="s">
        <v>36</v>
      </c>
      <c r="C184" t="s">
        <v>1235</v>
      </c>
      <c r="D184" t="s">
        <v>1264</v>
      </c>
      <c r="E184" t="s">
        <v>314</v>
      </c>
      <c r="F184" s="2">
        <v>2000</v>
      </c>
    </row>
    <row r="185" spans="1:6" x14ac:dyDescent="0.25">
      <c r="A185" t="s">
        <v>135</v>
      </c>
      <c r="B185" t="s">
        <v>36</v>
      </c>
      <c r="C185" t="s">
        <v>1236</v>
      </c>
      <c r="D185" t="s">
        <v>1264</v>
      </c>
      <c r="E185" t="s">
        <v>209</v>
      </c>
      <c r="F185" s="2">
        <v>5180</v>
      </c>
    </row>
    <row r="186" spans="1:6" x14ac:dyDescent="0.25">
      <c r="A186" t="s">
        <v>135</v>
      </c>
      <c r="B186" t="s">
        <v>36</v>
      </c>
      <c r="C186" t="s">
        <v>1237</v>
      </c>
      <c r="D186" t="s">
        <v>1264</v>
      </c>
      <c r="E186" t="s">
        <v>327</v>
      </c>
      <c r="F186" s="2">
        <v>2000</v>
      </c>
    </row>
    <row r="187" spans="1:6" x14ac:dyDescent="0.25">
      <c r="A187" t="s">
        <v>135</v>
      </c>
      <c r="B187" t="s">
        <v>36</v>
      </c>
      <c r="C187" t="s">
        <v>462</v>
      </c>
      <c r="D187" t="s">
        <v>1264</v>
      </c>
      <c r="E187" t="s">
        <v>152</v>
      </c>
      <c r="F187" s="2">
        <v>5180</v>
      </c>
    </row>
    <row r="188" spans="1:6" x14ac:dyDescent="0.25">
      <c r="A188" t="s">
        <v>135</v>
      </c>
      <c r="B188" t="s">
        <v>36</v>
      </c>
      <c r="C188" t="s">
        <v>1238</v>
      </c>
      <c r="D188" t="s">
        <v>1264</v>
      </c>
      <c r="E188" t="s">
        <v>315</v>
      </c>
      <c r="F188" s="2">
        <v>2000</v>
      </c>
    </row>
    <row r="189" spans="1:6" x14ac:dyDescent="0.25">
      <c r="A189" t="s">
        <v>135</v>
      </c>
      <c r="B189" t="s">
        <v>36</v>
      </c>
      <c r="C189" t="s">
        <v>1239</v>
      </c>
      <c r="D189" t="s">
        <v>1264</v>
      </c>
      <c r="E189" t="s">
        <v>323</v>
      </c>
      <c r="F189" s="2">
        <v>2000</v>
      </c>
    </row>
    <row r="190" spans="1:6" x14ac:dyDescent="0.25">
      <c r="A190" t="s">
        <v>135</v>
      </c>
      <c r="B190" t="s">
        <v>36</v>
      </c>
      <c r="C190" t="s">
        <v>1240</v>
      </c>
      <c r="D190" t="s">
        <v>1264</v>
      </c>
      <c r="E190" t="s">
        <v>203</v>
      </c>
      <c r="F190" s="2">
        <v>5180</v>
      </c>
    </row>
    <row r="191" spans="1:6" x14ac:dyDescent="0.25">
      <c r="A191" t="s">
        <v>135</v>
      </c>
      <c r="B191" t="s">
        <v>36</v>
      </c>
      <c r="C191" t="s">
        <v>490</v>
      </c>
      <c r="D191" t="s">
        <v>1264</v>
      </c>
      <c r="E191" t="s">
        <v>153</v>
      </c>
      <c r="F191" s="2">
        <v>5180</v>
      </c>
    </row>
    <row r="192" spans="1:6" x14ac:dyDescent="0.25">
      <c r="A192" t="s">
        <v>135</v>
      </c>
      <c r="B192" t="s">
        <v>36</v>
      </c>
      <c r="C192" t="s">
        <v>478</v>
      </c>
      <c r="D192" t="s">
        <v>1264</v>
      </c>
      <c r="E192" t="s">
        <v>213</v>
      </c>
      <c r="F192" s="2">
        <v>5180</v>
      </c>
    </row>
    <row r="193" spans="1:6" x14ac:dyDescent="0.25">
      <c r="A193" t="s">
        <v>135</v>
      </c>
      <c r="B193" t="s">
        <v>36</v>
      </c>
      <c r="C193" t="s">
        <v>1241</v>
      </c>
      <c r="D193" t="s">
        <v>1264</v>
      </c>
      <c r="E193" t="s">
        <v>157</v>
      </c>
      <c r="F193" s="2">
        <v>5180</v>
      </c>
    </row>
    <row r="194" spans="1:6" x14ac:dyDescent="0.25">
      <c r="A194" t="s">
        <v>135</v>
      </c>
      <c r="B194" t="s">
        <v>36</v>
      </c>
      <c r="C194" t="s">
        <v>1242</v>
      </c>
      <c r="D194" t="s">
        <v>1264</v>
      </c>
      <c r="E194" t="s">
        <v>139</v>
      </c>
      <c r="F194" s="2">
        <v>5180</v>
      </c>
    </row>
    <row r="195" spans="1:6" x14ac:dyDescent="0.25">
      <c r="A195" t="s">
        <v>135</v>
      </c>
      <c r="B195" t="s">
        <v>36</v>
      </c>
      <c r="C195" t="s">
        <v>1243</v>
      </c>
      <c r="D195" t="s">
        <v>1264</v>
      </c>
      <c r="E195" t="s">
        <v>189</v>
      </c>
      <c r="F195" s="2">
        <v>5180</v>
      </c>
    </row>
    <row r="196" spans="1:6" x14ac:dyDescent="0.25">
      <c r="A196" t="s">
        <v>135</v>
      </c>
      <c r="B196" t="s">
        <v>36</v>
      </c>
      <c r="C196" t="s">
        <v>1244</v>
      </c>
      <c r="D196" t="s">
        <v>1264</v>
      </c>
      <c r="E196" t="s">
        <v>227</v>
      </c>
      <c r="F196" s="2">
        <v>5180</v>
      </c>
    </row>
    <row r="197" spans="1:6" x14ac:dyDescent="0.25">
      <c r="A197" t="s">
        <v>135</v>
      </c>
      <c r="B197" t="s">
        <v>36</v>
      </c>
      <c r="C197" t="s">
        <v>1245</v>
      </c>
      <c r="D197" t="s">
        <v>1264</v>
      </c>
      <c r="E197" t="s">
        <v>226</v>
      </c>
      <c r="F197" s="2">
        <v>5180</v>
      </c>
    </row>
    <row r="198" spans="1:6" x14ac:dyDescent="0.25">
      <c r="A198" t="s">
        <v>135</v>
      </c>
      <c r="B198" t="s">
        <v>36</v>
      </c>
      <c r="C198" t="s">
        <v>1246</v>
      </c>
      <c r="D198" t="s">
        <v>1264</v>
      </c>
      <c r="E198" t="s">
        <v>221</v>
      </c>
      <c r="F198" s="2">
        <v>5180</v>
      </c>
    </row>
    <row r="199" spans="1:6" x14ac:dyDescent="0.25">
      <c r="A199" t="s">
        <v>135</v>
      </c>
      <c r="B199" t="s">
        <v>36</v>
      </c>
      <c r="C199" t="s">
        <v>663</v>
      </c>
      <c r="D199" t="s">
        <v>1264</v>
      </c>
      <c r="E199" t="s">
        <v>192</v>
      </c>
      <c r="F199" s="2">
        <v>5180</v>
      </c>
    </row>
    <row r="200" spans="1:6" x14ac:dyDescent="0.25">
      <c r="A200" t="s">
        <v>135</v>
      </c>
      <c r="B200" t="s">
        <v>36</v>
      </c>
      <c r="C200" t="s">
        <v>374</v>
      </c>
      <c r="D200" t="s">
        <v>1264</v>
      </c>
      <c r="E200" t="s">
        <v>148</v>
      </c>
      <c r="F200" s="2">
        <v>5180</v>
      </c>
    </row>
    <row r="201" spans="1:6" x14ac:dyDescent="0.25">
      <c r="A201" t="s">
        <v>135</v>
      </c>
      <c r="B201" t="s">
        <v>36</v>
      </c>
      <c r="C201" t="s">
        <v>1247</v>
      </c>
      <c r="D201" t="s">
        <v>1264</v>
      </c>
      <c r="E201" t="s">
        <v>149</v>
      </c>
      <c r="F201" s="2">
        <v>5180</v>
      </c>
    </row>
    <row r="202" spans="1:6" x14ac:dyDescent="0.25">
      <c r="A202" t="s">
        <v>135</v>
      </c>
      <c r="B202" t="s">
        <v>36</v>
      </c>
      <c r="C202" t="s">
        <v>1248</v>
      </c>
      <c r="D202" t="s">
        <v>1264</v>
      </c>
      <c r="E202" t="s">
        <v>317</v>
      </c>
      <c r="F202" s="2">
        <v>2000</v>
      </c>
    </row>
    <row r="203" spans="1:6" x14ac:dyDescent="0.25">
      <c r="A203" t="s">
        <v>135</v>
      </c>
      <c r="B203" t="s">
        <v>36</v>
      </c>
      <c r="C203" t="s">
        <v>630</v>
      </c>
      <c r="D203" t="s">
        <v>1264</v>
      </c>
      <c r="E203" t="s">
        <v>164</v>
      </c>
      <c r="F203" s="2">
        <v>5180</v>
      </c>
    </row>
    <row r="204" spans="1:6" x14ac:dyDescent="0.25">
      <c r="A204" t="s">
        <v>135</v>
      </c>
      <c r="B204" t="s">
        <v>36</v>
      </c>
      <c r="C204" t="s">
        <v>1249</v>
      </c>
      <c r="D204" t="s">
        <v>1264</v>
      </c>
      <c r="E204" t="s">
        <v>216</v>
      </c>
      <c r="F204" s="2">
        <v>5180</v>
      </c>
    </row>
    <row r="205" spans="1:6" x14ac:dyDescent="0.25">
      <c r="A205" t="s">
        <v>135</v>
      </c>
      <c r="B205" t="s">
        <v>36</v>
      </c>
      <c r="C205" t="s">
        <v>1250</v>
      </c>
      <c r="D205" t="s">
        <v>1264</v>
      </c>
      <c r="E205" t="s">
        <v>197</v>
      </c>
      <c r="F205" s="2">
        <v>5180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75"/>
  <sheetViews>
    <sheetView showGridLines="0" tabSelected="1" zoomScale="145" zoomScaleNormal="145" workbookViewId="0">
      <pane xSplit="15" ySplit="4" topLeftCell="P335" activePane="bottomRight" state="frozen"/>
      <selection pane="topRight" activeCell="P1" sqref="P1"/>
      <selection pane="bottomLeft" activeCell="A5" sqref="A5"/>
      <selection pane="bottomRight" activeCell="D345" sqref="D345"/>
    </sheetView>
  </sheetViews>
  <sheetFormatPr defaultRowHeight="18.75" x14ac:dyDescent="0.3"/>
  <cols>
    <col min="1" max="1" width="17.28515625" style="26" customWidth="1"/>
    <col min="2" max="2" width="29.85546875" style="26" customWidth="1"/>
    <col min="3" max="3" width="16.5703125" style="26" bestFit="1" customWidth="1"/>
    <col min="4" max="4" width="45.85546875" style="35" bestFit="1" customWidth="1"/>
    <col min="5" max="5" width="20.140625" style="27" bestFit="1" customWidth="1"/>
    <col min="6" max="6" width="19.42578125" style="26" bestFit="1" customWidth="1"/>
    <col min="7" max="7" width="27.7109375" style="35" bestFit="1" customWidth="1"/>
    <col min="8" max="8" width="19.42578125" style="36" bestFit="1" customWidth="1"/>
    <col min="9" max="9" width="25.140625" style="35" bestFit="1" customWidth="1"/>
    <col min="10" max="10" width="20.85546875" style="26" bestFit="1" customWidth="1"/>
    <col min="11" max="11" width="20.7109375" style="35" bestFit="1" customWidth="1"/>
    <col min="12" max="12" width="24" style="35" bestFit="1" customWidth="1"/>
    <col min="13" max="13" width="32.28515625" style="36" bestFit="1" customWidth="1"/>
    <col min="14" max="14" width="22.42578125" style="26" bestFit="1" customWidth="1"/>
    <col min="15" max="15" width="21.140625" style="26" bestFit="1" customWidth="1"/>
    <col min="16" max="16" width="26.140625" style="26" bestFit="1" customWidth="1"/>
    <col min="17" max="17" width="42.42578125" style="35" bestFit="1" customWidth="1"/>
    <col min="18" max="18" width="25.140625" style="26" bestFit="1" customWidth="1"/>
    <col min="19" max="19" width="16.7109375" style="35" bestFit="1" customWidth="1"/>
    <col min="20" max="21" width="24.5703125" style="35" bestFit="1" customWidth="1"/>
    <col min="22" max="22" width="18.85546875" style="35" bestFit="1" customWidth="1"/>
    <col min="23" max="23" width="20.85546875" style="35" bestFit="1" customWidth="1"/>
    <col min="24" max="24" width="34.140625" style="35" bestFit="1" customWidth="1"/>
    <col min="25" max="25" width="21.42578125" style="35" bestFit="1" customWidth="1"/>
    <col min="26" max="26" width="34.7109375" style="35" bestFit="1" customWidth="1"/>
    <col min="27" max="27" width="23.5703125" style="35" bestFit="1" customWidth="1"/>
    <col min="28" max="28" width="27.140625" style="35" bestFit="1" customWidth="1"/>
    <col min="29" max="29" width="14.7109375" style="35" bestFit="1" customWidth="1"/>
    <col min="30" max="30" width="29.28515625" style="35" bestFit="1" customWidth="1"/>
    <col min="31" max="32" width="9.140625" style="35"/>
    <col min="33" max="33" width="11.140625" style="26" bestFit="1" customWidth="1"/>
    <col min="34" max="34" width="22.5703125" style="26" bestFit="1" customWidth="1"/>
    <col min="35" max="36" width="9.140625" style="35"/>
    <col min="37" max="37" width="18.85546875" style="26" customWidth="1"/>
    <col min="38" max="38" width="13.7109375" style="27" bestFit="1" customWidth="1"/>
    <col min="39" max="39" width="15.42578125" style="26" bestFit="1" customWidth="1"/>
    <col min="40" max="40" width="16.5703125" style="26" bestFit="1" customWidth="1"/>
    <col min="41" max="45" width="16.7109375" style="26" customWidth="1"/>
    <col min="46" max="46" width="15" style="26" customWidth="1"/>
    <col min="47" max="47" width="16.85546875" style="26" customWidth="1"/>
    <col min="48" max="48" width="18.85546875" style="26" customWidth="1"/>
    <col min="49" max="51" width="9.140625" style="35"/>
    <col min="52" max="52" width="18.42578125" style="26" customWidth="1"/>
    <col min="53" max="16384" width="9.140625" style="26"/>
  </cols>
  <sheetData>
    <row r="1" spans="1:51" x14ac:dyDescent="0.25">
      <c r="B1" s="26" t="s">
        <v>1065</v>
      </c>
      <c r="C1" s="26">
        <f>COUNTIF(K:K,"IPTV")</f>
        <v>0</v>
      </c>
      <c r="D1" s="27" t="s">
        <v>332</v>
      </c>
      <c r="E1" s="26"/>
      <c r="F1" s="26">
        <f>COUNTA(D5:D599)</f>
        <v>370</v>
      </c>
      <c r="G1" s="26" t="s">
        <v>613</v>
      </c>
      <c r="H1" s="26"/>
      <c r="I1" s="26"/>
      <c r="K1" s="26"/>
      <c r="L1" s="26"/>
      <c r="M1" s="28"/>
      <c r="Q1" s="27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I1" s="26"/>
      <c r="AJ1" s="26"/>
      <c r="AL1" s="26"/>
      <c r="AW1" s="26"/>
      <c r="AX1" s="26"/>
      <c r="AY1" s="26"/>
    </row>
    <row r="2" spans="1:51" x14ac:dyDescent="0.25">
      <c r="B2" s="26" t="s">
        <v>1066</v>
      </c>
      <c r="C2" s="26">
        <f>COUNTIF(K:K,"DR HE")</f>
        <v>0</v>
      </c>
      <c r="D2" s="27" t="s">
        <v>333</v>
      </c>
      <c r="E2" s="26"/>
      <c r="F2" s="26">
        <f>COUNTIF($F$5:$F$599,"NA")</f>
        <v>190</v>
      </c>
      <c r="G2" s="27">
        <f>VLOOKUP(G1,D:G,2,0)</f>
        <v>806</v>
      </c>
      <c r="H2" s="27"/>
      <c r="I2" s="27"/>
      <c r="K2" s="26"/>
      <c r="L2" s="26"/>
      <c r="M2" s="28"/>
      <c r="Q2" s="27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I2" s="26"/>
      <c r="AJ2" s="26"/>
      <c r="AL2" s="26"/>
      <c r="AW2" s="26"/>
      <c r="AX2" s="26"/>
      <c r="AY2" s="26"/>
    </row>
    <row r="3" spans="1:51" x14ac:dyDescent="0.25">
      <c r="C3" s="26">
        <f>SUM(C1:C2)</f>
        <v>0</v>
      </c>
      <c r="D3" s="27" t="s">
        <v>1064</v>
      </c>
      <c r="E3" s="26"/>
      <c r="F3" s="26">
        <f>F1-F2</f>
        <v>180</v>
      </c>
      <c r="G3" s="26"/>
      <c r="H3" s="26"/>
      <c r="I3" s="26"/>
      <c r="K3" s="26"/>
      <c r="L3" s="26"/>
      <c r="M3" s="28"/>
      <c r="Q3" s="27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I3" s="26"/>
      <c r="AJ3" s="26"/>
      <c r="AL3" s="26"/>
      <c r="AW3" s="26"/>
      <c r="AX3" s="26"/>
      <c r="AY3" s="26"/>
    </row>
    <row r="4" spans="1:51" s="28" customFormat="1" x14ac:dyDescent="0.25">
      <c r="A4" s="28" t="s">
        <v>334</v>
      </c>
      <c r="B4" s="28" t="s">
        <v>640</v>
      </c>
      <c r="C4" s="28" t="s">
        <v>1033</v>
      </c>
      <c r="D4" s="27" t="s">
        <v>335</v>
      </c>
      <c r="E4" s="26" t="s">
        <v>336</v>
      </c>
      <c r="F4" s="26" t="s">
        <v>337</v>
      </c>
      <c r="G4" s="26" t="s">
        <v>338</v>
      </c>
      <c r="H4" s="28" t="s">
        <v>1348</v>
      </c>
      <c r="I4" s="26" t="s">
        <v>341</v>
      </c>
      <c r="J4" s="28" t="s">
        <v>343</v>
      </c>
      <c r="K4" s="26" t="s">
        <v>344</v>
      </c>
      <c r="L4" s="26" t="s">
        <v>1373</v>
      </c>
      <c r="M4" s="28" t="s">
        <v>1374</v>
      </c>
      <c r="N4" s="28" t="s">
        <v>1399</v>
      </c>
      <c r="O4" s="28" t="s">
        <v>1069</v>
      </c>
      <c r="P4" s="28" t="s">
        <v>1070</v>
      </c>
      <c r="Q4" s="29" t="s">
        <v>339</v>
      </c>
      <c r="R4" s="28" t="s">
        <v>342</v>
      </c>
      <c r="S4" s="28" t="s">
        <v>1021</v>
      </c>
      <c r="T4" s="28" t="s">
        <v>1034</v>
      </c>
      <c r="U4" s="28" t="s">
        <v>1035</v>
      </c>
      <c r="V4" s="28" t="s">
        <v>1316</v>
      </c>
      <c r="W4" s="28" t="s">
        <v>1036</v>
      </c>
      <c r="X4" s="28" t="s">
        <v>1073</v>
      </c>
      <c r="Y4" s="28" t="s">
        <v>1037</v>
      </c>
      <c r="Z4" s="28" t="s">
        <v>1072</v>
      </c>
      <c r="AA4" s="28" t="s">
        <v>340</v>
      </c>
      <c r="AB4" s="28" t="s">
        <v>1349</v>
      </c>
      <c r="AC4" s="28" t="s">
        <v>1000</v>
      </c>
      <c r="AD4" s="28" t="s">
        <v>1071</v>
      </c>
      <c r="AM4" s="28" t="s">
        <v>1317</v>
      </c>
      <c r="AN4" s="28" t="s">
        <v>1318</v>
      </c>
    </row>
    <row r="5" spans="1:51" hidden="1" x14ac:dyDescent="0.25">
      <c r="A5" s="26">
        <v>1</v>
      </c>
      <c r="B5" s="26" t="s">
        <v>346</v>
      </c>
      <c r="C5" s="26" t="s">
        <v>346</v>
      </c>
      <c r="D5" s="27" t="s">
        <v>345</v>
      </c>
      <c r="E5" s="26">
        <v>99</v>
      </c>
      <c r="F5" s="26" t="s">
        <v>346</v>
      </c>
      <c r="G5" s="26">
        <v>11</v>
      </c>
      <c r="H5" s="26" t="s">
        <v>349</v>
      </c>
      <c r="I5" s="26" t="s">
        <v>443</v>
      </c>
      <c r="J5" s="26" t="s">
        <v>1038</v>
      </c>
      <c r="K5" s="26" t="s">
        <v>1039</v>
      </c>
      <c r="L5" s="26" t="s">
        <v>1375</v>
      </c>
      <c r="M5" s="26" t="s">
        <v>1375</v>
      </c>
      <c r="N5" s="26" t="s">
        <v>1085</v>
      </c>
      <c r="O5" s="26" t="s">
        <v>1093</v>
      </c>
      <c r="P5" s="26">
        <v>11640</v>
      </c>
      <c r="Q5" s="27" t="s">
        <v>1379</v>
      </c>
      <c r="R5" s="26">
        <v>7999</v>
      </c>
      <c r="S5" s="26">
        <v>7700</v>
      </c>
      <c r="T5" s="26">
        <f>IF(Table2[[#This Row],[PMT]]="NA","NA",Table2[[#This Row],[PMT]]+1)</f>
        <v>7701</v>
      </c>
      <c r="U5" s="26">
        <f>IF(Table2[[#This Row],[PMT]]="NA","NA",Table2[[#This Row],[PMT]]+2)</f>
        <v>7702</v>
      </c>
      <c r="V5" s="26">
        <v>0</v>
      </c>
      <c r="W5" s="26">
        <f>IF(Table2[[#This Row],[PMT]]="NA","NA",Table2[[#This Row],[PMT]]+8)-Table2[[#This Row],[Const]]</f>
        <v>7708</v>
      </c>
      <c r="X5" s="26" t="str">
        <f t="shared" ref="X5:X19" si="0">IF(W5="NA","",CONCATENATE("0B 04 00 ",DEC2HEX($G5,2)," ",LEFT(DEC2HEX(W5,4),2)," ",RIGHT(DEC2HEX(W5,4),2)))</f>
        <v>0B 04 00 0B 1E 1C</v>
      </c>
      <c r="Y5" s="26">
        <f>IF(Table2[[#This Row],[PMT]]="NA","NA",Table2[[#This Row],[PMT]]+14)-Table2[[#This Row],[Const]]</f>
        <v>7714</v>
      </c>
      <c r="Z5" s="26" t="str">
        <f t="shared" ref="Z5:Z19" si="1">IF(Y5="NA","",CONCATENATE("0B 04 00 ",DEC2HEX($G5,2)," ",LEFT(DEC2HEX(Y5,4),2)," ",RIGHT(DEC2HEX(Y5,4),2)))</f>
        <v>0B 04 00 0B 1E 22</v>
      </c>
      <c r="AA5" s="26" t="s">
        <v>349</v>
      </c>
      <c r="AB5" s="26" t="s">
        <v>443</v>
      </c>
      <c r="AC5" s="26">
        <v>30000</v>
      </c>
      <c r="AD5" s="26" t="s">
        <v>346</v>
      </c>
      <c r="AE5" s="26"/>
      <c r="AF5" s="26"/>
      <c r="AI5" s="26"/>
      <c r="AJ5" s="26"/>
      <c r="AL5" s="26"/>
      <c r="AM5" s="26">
        <v>124</v>
      </c>
      <c r="AN5" s="26" t="s">
        <v>1040</v>
      </c>
      <c r="AW5" s="26"/>
      <c r="AX5" s="26"/>
      <c r="AY5" s="26"/>
    </row>
    <row r="6" spans="1:51" hidden="1" x14ac:dyDescent="0.25">
      <c r="A6" s="26">
        <v>2</v>
      </c>
      <c r="B6" s="26" t="s">
        <v>346</v>
      </c>
      <c r="C6" s="26" t="s">
        <v>346</v>
      </c>
      <c r="D6" s="27" t="s">
        <v>347</v>
      </c>
      <c r="E6" s="26">
        <v>100</v>
      </c>
      <c r="F6" s="26" t="s">
        <v>346</v>
      </c>
      <c r="G6" s="26">
        <v>11</v>
      </c>
      <c r="H6" s="26" t="s">
        <v>349</v>
      </c>
      <c r="I6" s="26" t="s">
        <v>443</v>
      </c>
      <c r="J6" s="26" t="s">
        <v>1038</v>
      </c>
      <c r="K6" s="26" t="s">
        <v>1039</v>
      </c>
      <c r="L6" s="26" t="s">
        <v>1375</v>
      </c>
      <c r="M6" s="26" t="s">
        <v>1375</v>
      </c>
      <c r="N6" s="26" t="s">
        <v>1085</v>
      </c>
      <c r="O6" s="26" t="s">
        <v>1093</v>
      </c>
      <c r="P6" s="26">
        <v>11640</v>
      </c>
      <c r="Q6" s="27" t="s">
        <v>1379</v>
      </c>
      <c r="R6" s="26">
        <v>12112</v>
      </c>
      <c r="S6" s="26">
        <v>7000</v>
      </c>
      <c r="T6" s="26">
        <f>IF(Table2[[#This Row],[PMT]]="NA","NA",Table2[[#This Row],[PMT]]+1)</f>
        <v>7001</v>
      </c>
      <c r="U6" s="26">
        <f>IF(Table2[[#This Row],[PMT]]="NA","NA",Table2[[#This Row],[PMT]]+2)</f>
        <v>7002</v>
      </c>
      <c r="V6" s="26">
        <v>0</v>
      </c>
      <c r="W6" s="26">
        <f>IF(Table2[[#This Row],[PMT]]="NA","NA",Table2[[#This Row],[PMT]]+8)-Table2[[#This Row],[Const]]</f>
        <v>7008</v>
      </c>
      <c r="X6" s="26" t="str">
        <f t="shared" si="0"/>
        <v>0B 04 00 0B 1B 60</v>
      </c>
      <c r="Y6" s="26">
        <f>IF(Table2[[#This Row],[PMT]]="NA","NA",Table2[[#This Row],[PMT]]+14)-Table2[[#This Row],[Const]]</f>
        <v>7014</v>
      </c>
      <c r="Z6" s="26" t="str">
        <f t="shared" si="1"/>
        <v>0B 04 00 0B 1B 66</v>
      </c>
      <c r="AA6" s="26" t="s">
        <v>349</v>
      </c>
      <c r="AB6" s="26" t="s">
        <v>443</v>
      </c>
      <c r="AC6" s="26">
        <v>30000</v>
      </c>
      <c r="AD6" s="26" t="s">
        <v>346</v>
      </c>
      <c r="AE6" s="26"/>
      <c r="AF6" s="26"/>
      <c r="AI6" s="26"/>
      <c r="AJ6" s="26"/>
      <c r="AL6" s="26"/>
      <c r="AN6" s="26" t="s">
        <v>770</v>
      </c>
      <c r="AW6" s="26"/>
      <c r="AX6" s="26"/>
      <c r="AY6" s="26"/>
    </row>
    <row r="7" spans="1:51" hidden="1" x14ac:dyDescent="0.25">
      <c r="A7" s="26">
        <v>3</v>
      </c>
      <c r="B7" s="26" t="s">
        <v>346</v>
      </c>
      <c r="C7" s="26" t="s">
        <v>346</v>
      </c>
      <c r="D7" s="27" t="s">
        <v>1392</v>
      </c>
      <c r="E7" s="26">
        <v>101</v>
      </c>
      <c r="F7" s="26" t="s">
        <v>346</v>
      </c>
      <c r="G7" s="26">
        <v>11</v>
      </c>
      <c r="H7" s="26" t="s">
        <v>1058</v>
      </c>
      <c r="I7" s="26" t="s">
        <v>443</v>
      </c>
      <c r="J7" s="26" t="s">
        <v>1038</v>
      </c>
      <c r="K7" s="26" t="s">
        <v>1039</v>
      </c>
      <c r="L7" s="26" t="s">
        <v>1375</v>
      </c>
      <c r="M7" s="26" t="s">
        <v>1375</v>
      </c>
      <c r="N7" s="31" t="s">
        <v>1085</v>
      </c>
      <c r="O7" s="26" t="s">
        <v>1093</v>
      </c>
      <c r="P7" s="26">
        <v>11640</v>
      </c>
      <c r="Q7" s="32" t="s">
        <v>1379</v>
      </c>
      <c r="R7" s="30"/>
      <c r="S7" s="30"/>
      <c r="T7" s="30">
        <f>IF(Table2[[#This Row],[PMT]]="NA","NA",Table2[[#This Row],[PMT]]+1)</f>
        <v>1</v>
      </c>
      <c r="U7" s="30">
        <f>IF(Table2[[#This Row],[PMT]]="NA","NA",Table2[[#This Row],[PMT]]+2)</f>
        <v>2</v>
      </c>
      <c r="V7" s="28"/>
      <c r="W7" s="30">
        <f>IF(Table2[[#This Row],[PMT]]="NA","NA",Table2[[#This Row],[PMT]]+8)-Table2[[#This Row],[Const]]</f>
        <v>8</v>
      </c>
      <c r="X7" s="30" t="str">
        <f t="shared" si="0"/>
        <v>0B 04 00 0B 00 08</v>
      </c>
      <c r="Y7" s="30">
        <f>IF(Table2[[#This Row],[PMT]]="NA","NA",Table2[[#This Row],[PMT]]+14)-Table2[[#This Row],[Const]]</f>
        <v>14</v>
      </c>
      <c r="Z7" s="30" t="str">
        <f t="shared" si="1"/>
        <v>0B 04 00 0B 00 0E</v>
      </c>
      <c r="AA7" s="28"/>
      <c r="AB7" s="28"/>
      <c r="AC7" s="30"/>
      <c r="AD7" s="30"/>
      <c r="AE7" s="26"/>
      <c r="AF7" s="26"/>
      <c r="AI7" s="26"/>
      <c r="AJ7" s="26"/>
      <c r="AL7" s="26"/>
      <c r="AM7" s="26" t="s">
        <v>346</v>
      </c>
      <c r="AN7" s="26" t="s">
        <v>1038</v>
      </c>
      <c r="AW7" s="26"/>
      <c r="AX7" s="26"/>
      <c r="AY7" s="26"/>
    </row>
    <row r="8" spans="1:51" x14ac:dyDescent="0.25">
      <c r="A8" s="26">
        <v>324</v>
      </c>
      <c r="B8" s="26" t="s">
        <v>330</v>
      </c>
      <c r="C8" s="26">
        <v>2000</v>
      </c>
      <c r="D8" s="27" t="s">
        <v>604</v>
      </c>
      <c r="E8" s="26">
        <v>776</v>
      </c>
      <c r="F8" s="26">
        <v>5</v>
      </c>
      <c r="G8" s="26">
        <v>5</v>
      </c>
      <c r="H8" s="26" t="s">
        <v>1057</v>
      </c>
      <c r="I8" s="26" t="s">
        <v>1355</v>
      </c>
      <c r="J8" s="26" t="s">
        <v>1002</v>
      </c>
      <c r="K8" s="26" t="s">
        <v>953</v>
      </c>
      <c r="L8" s="26" t="s">
        <v>931</v>
      </c>
      <c r="M8" s="26" t="s">
        <v>1376</v>
      </c>
      <c r="Q8" s="27"/>
      <c r="R8" s="26">
        <v>5544</v>
      </c>
      <c r="S8" s="26">
        <v>2000</v>
      </c>
      <c r="T8" s="26">
        <f>IF(Table2[[#This Row],[PMT]]="NA","NA",Table2[[#This Row],[PMT]]+1)</f>
        <v>2001</v>
      </c>
      <c r="U8" s="26">
        <f>IF(Table2[[#This Row],[PMT]]="NA","NA",Table2[[#This Row],[PMT]]+2)</f>
        <v>2002</v>
      </c>
      <c r="V8" s="26">
        <v>0</v>
      </c>
      <c r="W8" s="26">
        <f>IF(Table2[[#This Row],[PMT]]="NA","NA",Table2[[#This Row],[PMT]]+8)-Table2[[#This Row],[Const]]</f>
        <v>2008</v>
      </c>
      <c r="X8" s="26" t="str">
        <f>IF(W8="NA","",CONCATENATE("0B 04 00 ",DEC2HEX($G8,2)," ",LEFT(DEC2HEX(W8,4),2)," ",RIGHT(DEC2HEX(W8,4),2)))</f>
        <v>0B 04 00 05 07 D8</v>
      </c>
      <c r="Y8" s="26">
        <f>IF(Table2[[#This Row],[PMT]]="NA","NA",Table2[[#This Row],[PMT]]+14)-Table2[[#This Row],[Const]]</f>
        <v>2014</v>
      </c>
      <c r="Z8" s="26" t="str">
        <f>IF(Y8="NA","",CONCATENATE("0B 04 00 ",DEC2HEX($G8,2)," ",LEFT(DEC2HEX(Y8,4),2)," ",RIGHT(DEC2HEX(Y8,4),2)))</f>
        <v>0B 04 00 05 07 DE</v>
      </c>
      <c r="AA8" s="26" t="s">
        <v>1057</v>
      </c>
      <c r="AB8" s="26"/>
      <c r="AC8" s="26"/>
      <c r="AD8" s="26" t="s">
        <v>346</v>
      </c>
      <c r="AE8" s="26"/>
      <c r="AF8" s="26"/>
      <c r="AI8" s="26"/>
      <c r="AJ8" s="26"/>
      <c r="AL8" s="26"/>
      <c r="AM8" s="26">
        <v>239</v>
      </c>
      <c r="AN8" s="26" t="s">
        <v>1041</v>
      </c>
      <c r="AW8" s="26"/>
      <c r="AX8" s="26"/>
      <c r="AY8" s="26"/>
    </row>
    <row r="9" spans="1:51" hidden="1" x14ac:dyDescent="0.25">
      <c r="A9" s="26">
        <v>5</v>
      </c>
      <c r="B9" s="26" t="s">
        <v>346</v>
      </c>
      <c r="C9" s="26" t="s">
        <v>346</v>
      </c>
      <c r="D9" s="27" t="s">
        <v>350</v>
      </c>
      <c r="E9" s="26">
        <v>103</v>
      </c>
      <c r="F9" s="26" t="s">
        <v>346</v>
      </c>
      <c r="G9" s="26">
        <v>10</v>
      </c>
      <c r="H9" s="26" t="s">
        <v>349</v>
      </c>
      <c r="I9" s="26" t="s">
        <v>443</v>
      </c>
      <c r="J9" s="26" t="s">
        <v>1038</v>
      </c>
      <c r="K9" s="26" t="s">
        <v>1039</v>
      </c>
      <c r="L9" s="26" t="s">
        <v>931</v>
      </c>
      <c r="M9" s="26" t="s">
        <v>1377</v>
      </c>
      <c r="N9" s="26" t="s">
        <v>1086</v>
      </c>
      <c r="O9" s="26" t="s">
        <v>1091</v>
      </c>
      <c r="P9" s="26">
        <v>3940</v>
      </c>
      <c r="Q9" s="27" t="s">
        <v>1043</v>
      </c>
      <c r="R9" s="26">
        <v>10125</v>
      </c>
      <c r="S9" s="26">
        <v>300</v>
      </c>
      <c r="T9" s="26">
        <f>IF(Table2[[#This Row],[PMT]]="NA","NA",Table2[[#This Row],[PMT]]+1)</f>
        <v>301</v>
      </c>
      <c r="U9" s="26">
        <f>IF(Table2[[#This Row],[PMT]]="NA","NA",Table2[[#This Row],[PMT]]+2)</f>
        <v>302</v>
      </c>
      <c r="V9" s="26">
        <v>0</v>
      </c>
      <c r="W9" s="26">
        <f>IF(Table2[[#This Row],[PMT]]="NA","NA",Table2[[#This Row],[PMT]]+8)-Table2[[#This Row],[Const]]</f>
        <v>308</v>
      </c>
      <c r="X9" s="26" t="str">
        <f>IF(W9="NA","",CONCATENATE("0B 04 00 ",DEC2HEX($G9,2)," ",LEFT(DEC2HEX(W9,4),2)," ",RIGHT(DEC2HEX(W9,4),2)))</f>
        <v>0B 04 00 0A 01 34</v>
      </c>
      <c r="Y9" s="26">
        <f>IF(Table2[[#This Row],[PMT]]="NA","NA",Table2[[#This Row],[PMT]]+14)-Table2[[#This Row],[Const]]</f>
        <v>314</v>
      </c>
      <c r="Z9" s="26" t="str">
        <f>IF(Y9="NA","",CONCATENATE("0B 04 00 ",DEC2HEX($G9,2)," ",LEFT(DEC2HEX(Y9,4),2)," ",RIGHT(DEC2HEX(Y9,4),2)))</f>
        <v>0B 04 00 0A 01 3A</v>
      </c>
      <c r="AA9" s="26" t="s">
        <v>349</v>
      </c>
      <c r="AB9" s="26" t="s">
        <v>443</v>
      </c>
      <c r="AC9" s="26">
        <v>28100</v>
      </c>
      <c r="AD9" s="26" t="s">
        <v>346</v>
      </c>
      <c r="AE9" s="26"/>
      <c r="AF9" s="26"/>
      <c r="AI9" s="26"/>
      <c r="AJ9" s="26"/>
      <c r="AL9" s="26"/>
      <c r="AW9" s="26"/>
      <c r="AX9" s="26"/>
      <c r="AY9" s="26"/>
    </row>
    <row r="10" spans="1:51" x14ac:dyDescent="0.25">
      <c r="A10" s="26">
        <v>102</v>
      </c>
      <c r="B10" s="26" t="s">
        <v>150</v>
      </c>
      <c r="C10" s="26">
        <v>5180</v>
      </c>
      <c r="D10" s="27" t="s">
        <v>429</v>
      </c>
      <c r="E10" s="26">
        <v>254</v>
      </c>
      <c r="F10" s="26">
        <v>1</v>
      </c>
      <c r="G10" s="26">
        <v>1</v>
      </c>
      <c r="H10" s="26" t="s">
        <v>1057</v>
      </c>
      <c r="I10" s="26" t="s">
        <v>443</v>
      </c>
      <c r="J10" s="26" t="s">
        <v>1040</v>
      </c>
      <c r="K10" s="26" t="s">
        <v>953</v>
      </c>
      <c r="L10" s="26" t="s">
        <v>931</v>
      </c>
      <c r="M10" s="26" t="s">
        <v>1377</v>
      </c>
      <c r="N10" s="26" t="s">
        <v>1096</v>
      </c>
      <c r="O10" s="26" t="s">
        <v>1383</v>
      </c>
      <c r="P10" s="26">
        <v>3864</v>
      </c>
      <c r="Q10" s="27" t="s">
        <v>1387</v>
      </c>
      <c r="R10" s="26">
        <v>6277</v>
      </c>
      <c r="S10" s="26">
        <v>3800</v>
      </c>
      <c r="T10" s="26">
        <f>IF(Table2[[#This Row],[PMT]]="NA","NA",Table2[[#This Row],[PMT]]+1)</f>
        <v>3801</v>
      </c>
      <c r="U10" s="26">
        <f>IF(Table2[[#This Row],[PMT]]="NA","NA",Table2[[#This Row],[PMT]]+2)</f>
        <v>3802</v>
      </c>
      <c r="V10" s="26">
        <v>1</v>
      </c>
      <c r="W10" s="26">
        <f>IF(Table2[[#This Row],[PMT]]="NA","NA",Table2[[#This Row],[PMT]]+8)-Table2[[#This Row],[Const]]</f>
        <v>3807</v>
      </c>
      <c r="X10" s="26" t="str">
        <f>IF(W10="NA","",CONCATENATE("0B 04 00 ",DEC2HEX($G10,2)," ",LEFT(DEC2HEX(W10,4),2)," ",RIGHT(DEC2HEX(W10,4),2)))</f>
        <v>0B 04 00 01 0E DF</v>
      </c>
      <c r="Y10" s="26">
        <f>IF(Table2[[#This Row],[PMT]]="NA","NA",Table2[[#This Row],[PMT]]+14)-Table2[[#This Row],[Const]]</f>
        <v>3813</v>
      </c>
      <c r="Z10" s="26" t="str">
        <f>IF(Y10="NA","",CONCATENATE("0B 04 00 ",DEC2HEX($G10,2)," ",LEFT(DEC2HEX(Y10,4),2)," ",RIGHT(DEC2HEX(Y10,4),2)))</f>
        <v>0B 04 00 01 0E E5</v>
      </c>
      <c r="AA10" s="26" t="s">
        <v>1057</v>
      </c>
      <c r="AB10" s="26" t="s">
        <v>443</v>
      </c>
      <c r="AC10" s="26"/>
      <c r="AD10" s="26" t="s">
        <v>814</v>
      </c>
      <c r="AE10" s="26"/>
      <c r="AF10" s="26"/>
      <c r="AI10" s="26"/>
      <c r="AJ10" s="26"/>
      <c r="AL10" s="26"/>
      <c r="AW10" s="26"/>
      <c r="AX10" s="26"/>
      <c r="AY10" s="26"/>
    </row>
    <row r="11" spans="1:51" hidden="1" x14ac:dyDescent="0.25">
      <c r="A11" s="26">
        <v>7</v>
      </c>
      <c r="B11" s="26" t="s">
        <v>346</v>
      </c>
      <c r="C11" s="26" t="s">
        <v>346</v>
      </c>
      <c r="D11" s="27" t="s">
        <v>352</v>
      </c>
      <c r="E11" s="26">
        <v>105</v>
      </c>
      <c r="F11" s="26" t="s">
        <v>346</v>
      </c>
      <c r="G11" s="26">
        <v>10</v>
      </c>
      <c r="H11" s="26" t="s">
        <v>349</v>
      </c>
      <c r="I11" s="26" t="s">
        <v>443</v>
      </c>
      <c r="J11" s="26" t="s">
        <v>1038</v>
      </c>
      <c r="K11" s="26" t="s">
        <v>1039</v>
      </c>
      <c r="L11" s="26" t="s">
        <v>931</v>
      </c>
      <c r="M11" s="26" t="s">
        <v>1377</v>
      </c>
      <c r="N11" s="26" t="s">
        <v>1096</v>
      </c>
      <c r="O11" s="26" t="s">
        <v>1097</v>
      </c>
      <c r="P11" s="26">
        <v>4155</v>
      </c>
      <c r="Q11" s="27" t="s">
        <v>1044</v>
      </c>
      <c r="R11" s="26">
        <v>11127</v>
      </c>
      <c r="S11" s="26">
        <v>3500</v>
      </c>
      <c r="T11" s="26">
        <f>IF(Table2[[#This Row],[PMT]]="NA","NA",Table2[[#This Row],[PMT]]+1)</f>
        <v>3501</v>
      </c>
      <c r="U11" s="26">
        <f>IF(Table2[[#This Row],[PMT]]="NA","NA",Table2[[#This Row],[PMT]]+2)</f>
        <v>3502</v>
      </c>
      <c r="V11" s="26">
        <v>0</v>
      </c>
      <c r="W11" s="26">
        <f>IF(Table2[[#This Row],[PMT]]="NA","NA",Table2[[#This Row],[PMT]]+8)-Table2[[#This Row],[Const]]</f>
        <v>3508</v>
      </c>
      <c r="X11" s="26" t="str">
        <f>IF(W11="NA","",CONCATENATE("0B 04 00 ",DEC2HEX($G11,2)," ",LEFT(DEC2HEX(W11,4),2)," ",RIGHT(DEC2HEX(W11,4),2)))</f>
        <v>0B 04 00 0A 0D B4</v>
      </c>
      <c r="Y11" s="26">
        <f>IF(Table2[[#This Row],[PMT]]="NA","NA",Table2[[#This Row],[PMT]]+14)-Table2[[#This Row],[Const]]</f>
        <v>3514</v>
      </c>
      <c r="Z11" s="26" t="str">
        <f>IF(Y11="NA","",CONCATENATE("0B 04 00 ",DEC2HEX($G11,2)," ",LEFT(DEC2HEX(Y11,4),2)," ",RIGHT(DEC2HEX(Y11,4),2)))</f>
        <v>0B 04 00 0A 0D BA</v>
      </c>
      <c r="AA11" s="26" t="s">
        <v>349</v>
      </c>
      <c r="AB11" s="26" t="s">
        <v>443</v>
      </c>
      <c r="AC11" s="26">
        <v>22500</v>
      </c>
      <c r="AD11" s="26" t="s">
        <v>346</v>
      </c>
      <c r="AE11" s="26"/>
      <c r="AF11" s="26"/>
      <c r="AI11" s="26"/>
      <c r="AJ11" s="26"/>
      <c r="AL11" s="26"/>
      <c r="AW11" s="26"/>
      <c r="AX11" s="26"/>
      <c r="AY11" s="26"/>
    </row>
    <row r="12" spans="1:51" x14ac:dyDescent="0.25">
      <c r="A12" s="26">
        <v>327</v>
      </c>
      <c r="B12" s="26" t="s">
        <v>306</v>
      </c>
      <c r="C12" s="26">
        <v>2000</v>
      </c>
      <c r="D12" s="33" t="s">
        <v>607</v>
      </c>
      <c r="E12" s="34">
        <v>782</v>
      </c>
      <c r="F12" s="26">
        <v>2</v>
      </c>
      <c r="G12" s="26">
        <v>2</v>
      </c>
      <c r="H12" s="26" t="s">
        <v>349</v>
      </c>
      <c r="I12" s="34" t="s">
        <v>1355</v>
      </c>
      <c r="J12" s="26" t="s">
        <v>931</v>
      </c>
      <c r="K12" s="26" t="s">
        <v>953</v>
      </c>
      <c r="L12" s="26" t="s">
        <v>931</v>
      </c>
      <c r="M12" s="26" t="s">
        <v>1376</v>
      </c>
      <c r="N12" s="26" t="s">
        <v>1096</v>
      </c>
      <c r="O12" s="26" t="s">
        <v>1088</v>
      </c>
      <c r="P12" s="26">
        <v>3752</v>
      </c>
      <c r="Q12" s="27"/>
      <c r="R12" s="26">
        <v>5542</v>
      </c>
      <c r="S12" s="26">
        <v>420</v>
      </c>
      <c r="T12" s="26">
        <f>IF(Table2[[#This Row],[PMT]]="NA","NA",Table2[[#This Row],[PMT]]+1)</f>
        <v>421</v>
      </c>
      <c r="U12" s="26">
        <f>IF(Table2[[#This Row],[PMT]]="NA","NA",Table2[[#This Row],[PMT]]+2)</f>
        <v>422</v>
      </c>
      <c r="V12" s="26">
        <v>0</v>
      </c>
      <c r="W12" s="26">
        <f>IF(Table2[[#This Row],[PMT]]="NA","NA",Table2[[#This Row],[PMT]]+8)-Table2[[#This Row],[Const]]</f>
        <v>428</v>
      </c>
      <c r="X12" s="26" t="str">
        <f>IF(W12="NA","",CONCATENATE("0B 04 00 ",DEC2HEX($G12,2)," ",LEFT(DEC2HEX(W12,4),2)," ",RIGHT(DEC2HEX(W12,4),2)))</f>
        <v>0B 04 00 02 01 AC</v>
      </c>
      <c r="Y12" s="26">
        <f>IF(Table2[[#This Row],[PMT]]="NA","NA",Table2[[#This Row],[PMT]]+14)-Table2[[#This Row],[Const]]</f>
        <v>434</v>
      </c>
      <c r="Z12" s="26" t="str">
        <f>IF(Y12="NA","",CONCATENATE("0B 04 00 ",DEC2HEX($G12,2)," ",LEFT(DEC2HEX(Y12,4),2)," ",RIGHT(DEC2HEX(Y12,4),2)))</f>
        <v>0B 04 00 02 01 B2</v>
      </c>
      <c r="AA12" s="26" t="s">
        <v>349</v>
      </c>
      <c r="AB12" s="26" t="s">
        <v>608</v>
      </c>
      <c r="AC12" s="26">
        <v>9300</v>
      </c>
      <c r="AD12" s="26" t="s">
        <v>817</v>
      </c>
      <c r="AE12" s="26"/>
      <c r="AF12" s="26"/>
      <c r="AI12" s="26"/>
      <c r="AJ12" s="26"/>
      <c r="AL12" s="26"/>
      <c r="AW12" s="26"/>
      <c r="AX12" s="26"/>
      <c r="AY12" s="26"/>
    </row>
    <row r="13" spans="1:51" hidden="1" x14ac:dyDescent="0.25">
      <c r="A13" s="26">
        <v>9</v>
      </c>
      <c r="B13" s="26" t="s">
        <v>346</v>
      </c>
      <c r="C13" s="26" t="s">
        <v>346</v>
      </c>
      <c r="D13" s="27" t="s">
        <v>354</v>
      </c>
      <c r="E13" s="26">
        <v>107</v>
      </c>
      <c r="F13" s="26" t="s">
        <v>346</v>
      </c>
      <c r="G13" s="26">
        <v>10</v>
      </c>
      <c r="H13" s="26" t="s">
        <v>349</v>
      </c>
      <c r="I13" s="26" t="s">
        <v>443</v>
      </c>
      <c r="J13" s="26" t="s">
        <v>1038</v>
      </c>
      <c r="K13" s="26" t="s">
        <v>1039</v>
      </c>
      <c r="L13" s="26" t="s">
        <v>931</v>
      </c>
      <c r="M13" s="26" t="s">
        <v>1377</v>
      </c>
      <c r="Q13" s="27" t="s">
        <v>1045</v>
      </c>
      <c r="R13" s="26">
        <v>12013</v>
      </c>
      <c r="S13" s="26">
        <v>2400</v>
      </c>
      <c r="T13" s="26">
        <f>IF(Table2[[#This Row],[PMT]]="NA","NA",Table2[[#This Row],[PMT]]+1)</f>
        <v>2401</v>
      </c>
      <c r="U13" s="26">
        <f>IF(Table2[[#This Row],[PMT]]="NA","NA",Table2[[#This Row],[PMT]]+2)</f>
        <v>2402</v>
      </c>
      <c r="V13" s="26">
        <v>0</v>
      </c>
      <c r="W13" s="26">
        <f>IF(Table2[[#This Row],[PMT]]="NA","NA",Table2[[#This Row],[PMT]]+8)-Table2[[#This Row],[Const]]</f>
        <v>2408</v>
      </c>
      <c r="X13" s="26" t="str">
        <f>IF(W13="NA","",CONCATENATE("0B 04 00 ",DEC2HEX($G13,2)," ",LEFT(DEC2HEX(W13,4),2)," ",RIGHT(DEC2HEX(W13,4),2)))</f>
        <v>0B 04 00 0A 09 68</v>
      </c>
      <c r="Y13" s="26">
        <f>IF(Table2[[#This Row],[PMT]]="NA","NA",Table2[[#This Row],[PMT]]+14)-Table2[[#This Row],[Const]]</f>
        <v>2414</v>
      </c>
      <c r="Z13" s="26" t="str">
        <f>IF(Y13="NA","",CONCATENATE("0B 04 00 ",DEC2HEX($G13,2)," ",LEFT(DEC2HEX(Y13,4),2)," ",RIGHT(DEC2HEX(Y13,4),2)))</f>
        <v>0B 04 00 0A 09 6E</v>
      </c>
      <c r="AA13" s="26" t="s">
        <v>349</v>
      </c>
      <c r="AB13" s="26" t="s">
        <v>443</v>
      </c>
      <c r="AC13" s="26"/>
      <c r="AD13" s="26" t="s">
        <v>346</v>
      </c>
      <c r="AE13" s="26"/>
      <c r="AF13" s="26"/>
      <c r="AI13" s="26"/>
      <c r="AJ13" s="26"/>
      <c r="AL13" s="26"/>
      <c r="AW13" s="26"/>
      <c r="AX13" s="26"/>
      <c r="AY13" s="26"/>
    </row>
    <row r="14" spans="1:51" x14ac:dyDescent="0.25">
      <c r="A14" s="26">
        <v>309</v>
      </c>
      <c r="B14" s="26" t="s">
        <v>200</v>
      </c>
      <c r="C14" s="26">
        <v>5180</v>
      </c>
      <c r="D14" s="27" t="s">
        <v>591</v>
      </c>
      <c r="E14" s="26">
        <v>690</v>
      </c>
      <c r="F14" s="26">
        <v>3</v>
      </c>
      <c r="G14" s="26">
        <v>3</v>
      </c>
      <c r="H14" s="26" t="s">
        <v>1352</v>
      </c>
      <c r="I14" s="26" t="s">
        <v>443</v>
      </c>
      <c r="J14" s="26" t="s">
        <v>1040</v>
      </c>
      <c r="K14" s="26" t="s">
        <v>953</v>
      </c>
      <c r="L14" s="26" t="s">
        <v>931</v>
      </c>
      <c r="M14" s="26" t="s">
        <v>1376</v>
      </c>
      <c r="Q14" s="27"/>
      <c r="R14" s="26">
        <v>3690</v>
      </c>
      <c r="S14" s="26">
        <v>1100</v>
      </c>
      <c r="T14" s="26">
        <f>IF(Table2[[#This Row],[PMT]]="NA","NA",Table2[[#This Row],[PMT]]+1)</f>
        <v>1101</v>
      </c>
      <c r="U14" s="26">
        <f>IF(Table2[[#This Row],[PMT]]="NA","NA",Table2[[#This Row],[PMT]]+2)</f>
        <v>1102</v>
      </c>
      <c r="V14" s="26">
        <v>0</v>
      </c>
      <c r="W14" s="26">
        <f>IF(Table2[[#This Row],[PMT]]="NA","NA",Table2[[#This Row],[PMT]]+8)-Table2[[#This Row],[Const]]</f>
        <v>1108</v>
      </c>
      <c r="X14" s="26" t="str">
        <f>IF(W14="NA","",CONCATENATE("0B 04 00 ",DEC2HEX($G14,2)," ",LEFT(DEC2HEX(W14,4),2)," ",RIGHT(DEC2HEX(W14,4),2)))</f>
        <v>0B 04 00 03 04 54</v>
      </c>
      <c r="Y14" s="26">
        <f>IF(Table2[[#This Row],[PMT]]="NA","NA",Table2[[#This Row],[PMT]]+14)-Table2[[#This Row],[Const]]</f>
        <v>1114</v>
      </c>
      <c r="Z14" s="26" t="str">
        <f>IF(Y14="NA","",CONCATENATE("0B 04 00 ",DEC2HEX($G14,2)," ",LEFT(DEC2HEX(Y14,4),2)," ",RIGHT(DEC2HEX(Y14,4),2)))</f>
        <v>0B 04 00 03 04 5A</v>
      </c>
      <c r="AA14" s="26"/>
      <c r="AB14" s="26"/>
      <c r="AC14" s="26"/>
      <c r="AD14" s="26" t="s">
        <v>814</v>
      </c>
      <c r="AE14" s="26"/>
      <c r="AF14" s="26"/>
      <c r="AI14" s="26"/>
      <c r="AJ14" s="26"/>
      <c r="AL14" s="26"/>
      <c r="AW14" s="26"/>
      <c r="AX14" s="26"/>
      <c r="AY14" s="26"/>
    </row>
    <row r="15" spans="1:51" hidden="1" x14ac:dyDescent="0.25">
      <c r="A15" s="26">
        <v>11</v>
      </c>
      <c r="B15" s="26" t="s">
        <v>346</v>
      </c>
      <c r="C15" s="26" t="s">
        <v>346</v>
      </c>
      <c r="D15" s="27" t="s">
        <v>1267</v>
      </c>
      <c r="E15" s="26">
        <v>109</v>
      </c>
      <c r="F15" s="26" t="s">
        <v>346</v>
      </c>
      <c r="G15" s="26">
        <v>8</v>
      </c>
      <c r="H15" s="26" t="s">
        <v>349</v>
      </c>
      <c r="I15" s="26" t="s">
        <v>443</v>
      </c>
      <c r="J15" s="26" t="s">
        <v>1038</v>
      </c>
      <c r="K15" s="26" t="s">
        <v>1039</v>
      </c>
      <c r="L15" s="26" t="s">
        <v>931</v>
      </c>
      <c r="M15" s="28" t="s">
        <v>1377</v>
      </c>
      <c r="N15" s="31"/>
      <c r="O15" s="31"/>
      <c r="P15" s="31"/>
      <c r="Q15" s="32"/>
      <c r="R15" s="31">
        <v>12179</v>
      </c>
      <c r="S15" s="31">
        <v>772</v>
      </c>
      <c r="T15" s="31">
        <f>IF(Table2[[#This Row],[PMT]]="NA","NA",Table2[[#This Row],[PMT]]+1)</f>
        <v>773</v>
      </c>
      <c r="U15" s="31">
        <f>IF(Table2[[#This Row],[PMT]]="NA","NA",Table2[[#This Row],[PMT]]+2)</f>
        <v>774</v>
      </c>
      <c r="V15" s="26">
        <v>0</v>
      </c>
      <c r="W15" s="31">
        <f>IF(Table2[[#This Row],[PMT]]="NA","NA",Table2[[#This Row],[PMT]]+8)-Table2[[#This Row],[Const]]</f>
        <v>780</v>
      </c>
      <c r="X15" s="31" t="str">
        <f>IF(W15="NA","",CONCATENATE("0B 04 00 ",DEC2HEX($G15,2)," ",LEFT(DEC2HEX(W15,4),2)," ",RIGHT(DEC2HEX(W15,4),2)))</f>
        <v>0B 04 00 08 03 0C</v>
      </c>
      <c r="Y15" s="31">
        <f>IF(Table2[[#This Row],[PMT]]="NA","NA",Table2[[#This Row],[PMT]]+14)-Table2[[#This Row],[Const]]</f>
        <v>786</v>
      </c>
      <c r="Z15" s="31" t="str">
        <f>IF(Y15="NA","",CONCATENATE("0B 04 00 ",DEC2HEX($G15,2)," ",LEFT(DEC2HEX(Y15,4),2)," ",RIGHT(DEC2HEX(Y15,4),2)))</f>
        <v>0B 04 00 08 03 12</v>
      </c>
      <c r="AA15" s="26" t="s">
        <v>349</v>
      </c>
      <c r="AB15" s="26" t="s">
        <v>443</v>
      </c>
      <c r="AC15" s="31"/>
      <c r="AD15" s="31"/>
      <c r="AE15" s="26"/>
      <c r="AF15" s="26"/>
      <c r="AI15" s="26"/>
      <c r="AJ15" s="26"/>
      <c r="AL15" s="26"/>
      <c r="AW15" s="26"/>
      <c r="AX15" s="26"/>
      <c r="AY15" s="26"/>
    </row>
    <row r="16" spans="1:51" x14ac:dyDescent="0.25">
      <c r="A16" s="26">
        <v>325</v>
      </c>
      <c r="B16" s="26" t="s">
        <v>163</v>
      </c>
      <c r="C16" s="26">
        <v>5180</v>
      </c>
      <c r="D16" s="27" t="s">
        <v>605</v>
      </c>
      <c r="E16" s="26">
        <v>778</v>
      </c>
      <c r="F16" s="26">
        <v>2</v>
      </c>
      <c r="G16" s="26">
        <v>2</v>
      </c>
      <c r="H16" s="26" t="s">
        <v>1057</v>
      </c>
      <c r="I16" s="26" t="s">
        <v>1355</v>
      </c>
      <c r="J16" s="26" t="s">
        <v>1038</v>
      </c>
      <c r="K16" s="26" t="s">
        <v>1039</v>
      </c>
      <c r="L16" s="26" t="s">
        <v>931</v>
      </c>
      <c r="M16" s="26" t="s">
        <v>1377</v>
      </c>
      <c r="Q16" s="27"/>
      <c r="R16" s="26">
        <v>5543</v>
      </c>
      <c r="S16" s="26">
        <v>1340</v>
      </c>
      <c r="T16" s="26">
        <f>IF(Table2[[#This Row],[PMT]]="NA","NA",Table2[[#This Row],[PMT]]+1)</f>
        <v>1341</v>
      </c>
      <c r="U16" s="26">
        <f>IF(Table2[[#This Row],[PMT]]="NA","NA",Table2[[#This Row],[PMT]]+2)</f>
        <v>1342</v>
      </c>
      <c r="V16" s="26">
        <v>0</v>
      </c>
      <c r="W16" s="26">
        <f>IF(Table2[[#This Row],[PMT]]="NA","NA",Table2[[#This Row],[PMT]]+8)-Table2[[#This Row],[Const]]</f>
        <v>1348</v>
      </c>
      <c r="X16" s="26" t="str">
        <f>IF(W16="NA","",CONCATENATE("0B 04 00 ",DEC2HEX($G16,2)," ",LEFT(DEC2HEX(W16,4),2)," ",RIGHT(DEC2HEX(W16,4),2)))</f>
        <v>0B 04 00 02 05 44</v>
      </c>
      <c r="Y16" s="26">
        <f>IF(Table2[[#This Row],[PMT]]="NA","NA",Table2[[#This Row],[PMT]]+14)-Table2[[#This Row],[Const]]</f>
        <v>1354</v>
      </c>
      <c r="Z16" s="26" t="str">
        <f>IF(Y16="NA","",CONCATENATE("0B 04 00 ",DEC2HEX($G16,2)," ",LEFT(DEC2HEX(Y16,4),2)," ",RIGHT(DEC2HEX(Y16,4),2)))</f>
        <v>0B 04 00 02 05 4A</v>
      </c>
      <c r="AA16" s="26" t="s">
        <v>1057</v>
      </c>
      <c r="AB16" s="26"/>
      <c r="AC16" s="26"/>
      <c r="AD16" s="26" t="s">
        <v>346</v>
      </c>
      <c r="AE16" s="26"/>
      <c r="AF16" s="26"/>
      <c r="AI16" s="26"/>
      <c r="AJ16" s="26"/>
      <c r="AL16" s="26"/>
      <c r="AW16" s="26"/>
      <c r="AX16" s="26"/>
      <c r="AY16" s="26"/>
    </row>
    <row r="17" spans="1:51" hidden="1" x14ac:dyDescent="0.25">
      <c r="A17" s="26">
        <v>13</v>
      </c>
      <c r="B17" s="26" t="s">
        <v>346</v>
      </c>
      <c r="C17" s="26" t="s">
        <v>346</v>
      </c>
      <c r="D17" s="27" t="s">
        <v>357</v>
      </c>
      <c r="E17" s="26">
        <v>111</v>
      </c>
      <c r="F17" s="26" t="s">
        <v>346</v>
      </c>
      <c r="G17" s="26">
        <v>10</v>
      </c>
      <c r="H17" s="26" t="s">
        <v>349</v>
      </c>
      <c r="I17" s="26" t="s">
        <v>443</v>
      </c>
      <c r="J17" s="26" t="s">
        <v>1038</v>
      </c>
      <c r="K17" s="26" t="s">
        <v>1039</v>
      </c>
      <c r="L17" s="26" t="s">
        <v>931</v>
      </c>
      <c r="M17" s="28" t="s">
        <v>1377</v>
      </c>
      <c r="Q17" s="27" t="s">
        <v>1046</v>
      </c>
      <c r="R17" s="26">
        <v>10126</v>
      </c>
      <c r="S17" s="26">
        <v>3600</v>
      </c>
      <c r="T17" s="26">
        <f>IF(Table2[[#This Row],[PMT]]="NA","NA",Table2[[#This Row],[PMT]]+1)</f>
        <v>3601</v>
      </c>
      <c r="U17" s="26">
        <f>IF(Table2[[#This Row],[PMT]]="NA","NA",Table2[[#This Row],[PMT]]+2)</f>
        <v>3602</v>
      </c>
      <c r="V17" s="26">
        <v>0</v>
      </c>
      <c r="W17" s="26">
        <f>IF(Table2[[#This Row],[PMT]]="NA","NA",Table2[[#This Row],[PMT]]+8)-Table2[[#This Row],[Const]]</f>
        <v>3608</v>
      </c>
      <c r="X17" s="26" t="str">
        <f>IF(W17="NA","",CONCATENATE("0B 04 00 ",DEC2HEX($G17,2)," ",LEFT(DEC2HEX(W17,4),2)," ",RIGHT(DEC2HEX(W17,4),2)))</f>
        <v>0B 04 00 0A 0E 18</v>
      </c>
      <c r="Y17" s="26">
        <f>IF(Table2[[#This Row],[PMT]]="NA","NA",Table2[[#This Row],[PMT]]+14)-Table2[[#This Row],[Const]]</f>
        <v>3614</v>
      </c>
      <c r="Z17" s="26" t="str">
        <f>IF(Y17="NA","",CONCATENATE("0B 04 00 ",DEC2HEX($G17,2)," ",LEFT(DEC2HEX(Y17,4),2)," ",RIGHT(DEC2HEX(Y17,4),2)))</f>
        <v>0B 04 00 0A 0E 1E</v>
      </c>
      <c r="AA17" s="26" t="s">
        <v>349</v>
      </c>
      <c r="AB17" s="26" t="s">
        <v>443</v>
      </c>
      <c r="AC17" s="26"/>
      <c r="AD17" s="26" t="s">
        <v>346</v>
      </c>
      <c r="AE17" s="26"/>
      <c r="AF17" s="26"/>
      <c r="AI17" s="26"/>
      <c r="AJ17" s="26"/>
      <c r="AL17" s="26"/>
      <c r="AW17" s="26"/>
      <c r="AX17" s="26"/>
      <c r="AY17" s="26"/>
    </row>
    <row r="18" spans="1:51" x14ac:dyDescent="0.25">
      <c r="A18" s="26">
        <v>100</v>
      </c>
      <c r="B18" s="26" t="s">
        <v>166</v>
      </c>
      <c r="C18" s="26">
        <v>5180</v>
      </c>
      <c r="D18" s="27" t="s">
        <v>427</v>
      </c>
      <c r="E18" s="26">
        <v>250</v>
      </c>
      <c r="F18" s="26">
        <v>7</v>
      </c>
      <c r="G18" s="26">
        <v>7</v>
      </c>
      <c r="H18" s="26" t="s">
        <v>1057</v>
      </c>
      <c r="I18" s="26" t="s">
        <v>443</v>
      </c>
      <c r="J18" s="26" t="s">
        <v>1040</v>
      </c>
      <c r="K18" s="26" t="s">
        <v>953</v>
      </c>
      <c r="L18" s="26" t="s">
        <v>931</v>
      </c>
      <c r="M18" s="28" t="s">
        <v>1376</v>
      </c>
      <c r="Q18" s="27"/>
      <c r="R18" s="26">
        <v>6275</v>
      </c>
      <c r="S18" s="26">
        <v>160</v>
      </c>
      <c r="T18" s="26">
        <f>IF(Table2[[#This Row],[PMT]]="NA","NA",Table2[[#This Row],[PMT]]+1)</f>
        <v>161</v>
      </c>
      <c r="U18" s="26">
        <f>IF(Table2[[#This Row],[PMT]]="NA","NA",Table2[[#This Row],[PMT]]+2)</f>
        <v>162</v>
      </c>
      <c r="V18" s="26">
        <v>0</v>
      </c>
      <c r="W18" s="26">
        <f>IF(Table2[[#This Row],[PMT]]="NA","NA",Table2[[#This Row],[PMT]]+8)-Table2[[#This Row],[Const]]</f>
        <v>168</v>
      </c>
      <c r="X18" s="26" t="str">
        <f>IF(W18="NA","",CONCATENATE("0B 04 00 ",DEC2HEX($G18,2)," ",LEFT(DEC2HEX(W18,4),2)," ",RIGHT(DEC2HEX(W18,4),2)))</f>
        <v>0B 04 00 07 00 A8</v>
      </c>
      <c r="Y18" s="26">
        <f>IF(Table2[[#This Row],[PMT]]="NA","NA",Table2[[#This Row],[PMT]]+14)-Table2[[#This Row],[Const]]</f>
        <v>174</v>
      </c>
      <c r="Z18" s="26" t="str">
        <f>IF(Y18="NA","",CONCATENATE("0B 04 00 ",DEC2HEX($G18,2)," ",LEFT(DEC2HEX(Y18,4),2)," ",RIGHT(DEC2HEX(Y18,4),2)))</f>
        <v>0B 04 00 07 00 AE</v>
      </c>
      <c r="AA18" s="26" t="s">
        <v>1057</v>
      </c>
      <c r="AB18" s="26" t="s">
        <v>443</v>
      </c>
      <c r="AC18" s="26"/>
      <c r="AD18" s="26" t="s">
        <v>346</v>
      </c>
      <c r="AE18" s="26"/>
      <c r="AF18" s="26"/>
      <c r="AI18" s="26"/>
      <c r="AJ18" s="26"/>
      <c r="AL18" s="26"/>
      <c r="AW18" s="26"/>
      <c r="AX18" s="26"/>
      <c r="AY18" s="26"/>
    </row>
    <row r="19" spans="1:51" x14ac:dyDescent="0.25">
      <c r="A19" s="26">
        <v>306</v>
      </c>
      <c r="B19" s="26" t="s">
        <v>305</v>
      </c>
      <c r="C19" s="26">
        <v>2000</v>
      </c>
      <c r="D19" s="27" t="s">
        <v>588</v>
      </c>
      <c r="E19" s="26">
        <v>687</v>
      </c>
      <c r="F19" s="26">
        <v>3</v>
      </c>
      <c r="G19" s="26">
        <v>3</v>
      </c>
      <c r="H19" s="26" t="s">
        <v>1352</v>
      </c>
      <c r="I19" s="26" t="s">
        <v>443</v>
      </c>
      <c r="J19" s="26" t="s">
        <v>931</v>
      </c>
      <c r="K19" s="26" t="s">
        <v>953</v>
      </c>
      <c r="L19" s="26" t="s">
        <v>931</v>
      </c>
      <c r="M19" s="26" t="s">
        <v>1376</v>
      </c>
      <c r="N19" s="26" t="s">
        <v>1096</v>
      </c>
      <c r="O19" s="26" t="s">
        <v>1088</v>
      </c>
      <c r="P19" s="26">
        <v>3752</v>
      </c>
      <c r="Q19" s="27"/>
      <c r="R19" s="26">
        <v>12125</v>
      </c>
      <c r="S19" s="26">
        <v>840</v>
      </c>
      <c r="T19" s="26">
        <f>IF(Table2[[#This Row],[PMT]]="NA","NA",Table2[[#This Row],[PMT]]+1)</f>
        <v>841</v>
      </c>
      <c r="U19" s="26">
        <f>IF(Table2[[#This Row],[PMT]]="NA","NA",Table2[[#This Row],[PMT]]+2)</f>
        <v>842</v>
      </c>
      <c r="V19" s="26">
        <v>0</v>
      </c>
      <c r="W19" s="26">
        <f>IF(Table2[[#This Row],[PMT]]="NA","NA",Table2[[#This Row],[PMT]]+8)-Table2[[#This Row],[Const]]</f>
        <v>848</v>
      </c>
      <c r="X19" s="26" t="str">
        <f>IF(W19="NA","",CONCATENATE("0B 04 00 ",DEC2HEX($G19,2)," ",LEFT(DEC2HEX(W19,4),2)," ",RIGHT(DEC2HEX(W19,4),2)))</f>
        <v>0B 04 00 03 03 50</v>
      </c>
      <c r="Y19" s="26">
        <f>IF(Table2[[#This Row],[PMT]]="NA","NA",Table2[[#This Row],[PMT]]+14)-Table2[[#This Row],[Const]]</f>
        <v>854</v>
      </c>
      <c r="Z19" s="26" t="str">
        <f>IF(Y19="NA","",CONCATENATE("0B 04 00 ",DEC2HEX($G19,2)," ",LEFT(DEC2HEX(Y19,4),2)," ",RIGHT(DEC2HEX(Y19,4),2)))</f>
        <v>0B 04 00 03 03 56</v>
      </c>
      <c r="AA19" s="26"/>
      <c r="AB19" s="26"/>
      <c r="AC19" s="26">
        <v>9300</v>
      </c>
      <c r="AD19" s="26" t="s">
        <v>814</v>
      </c>
      <c r="AE19" s="26"/>
      <c r="AF19" s="26"/>
      <c r="AI19" s="26"/>
      <c r="AJ19" s="26"/>
      <c r="AL19" s="26"/>
      <c r="AW19" s="26"/>
      <c r="AX19" s="26"/>
      <c r="AY19" s="26"/>
    </row>
    <row r="20" spans="1:51" hidden="1" x14ac:dyDescent="0.25">
      <c r="A20" s="26">
        <v>16</v>
      </c>
      <c r="B20" s="26" t="s">
        <v>346</v>
      </c>
      <c r="C20" s="26" t="s">
        <v>346</v>
      </c>
      <c r="D20" s="27" t="s">
        <v>1319</v>
      </c>
      <c r="E20" s="26">
        <v>114</v>
      </c>
      <c r="F20" s="26" t="s">
        <v>346</v>
      </c>
      <c r="G20" s="26">
        <v>9</v>
      </c>
      <c r="H20" s="26" t="s">
        <v>349</v>
      </c>
      <c r="I20" s="26" t="s">
        <v>443</v>
      </c>
      <c r="J20" s="26" t="s">
        <v>1038</v>
      </c>
      <c r="K20" s="26" t="s">
        <v>1039</v>
      </c>
      <c r="L20" s="26" t="s">
        <v>931</v>
      </c>
      <c r="M20" s="26" t="s">
        <v>1377</v>
      </c>
      <c r="Q20" s="27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I20" s="26"/>
      <c r="AJ20" s="26"/>
      <c r="AL20" s="26"/>
      <c r="AW20" s="26"/>
      <c r="AX20" s="26"/>
      <c r="AY20" s="26"/>
    </row>
    <row r="21" spans="1:51" x14ac:dyDescent="0.25">
      <c r="A21" s="26">
        <v>338</v>
      </c>
      <c r="B21" s="26" t="s">
        <v>652</v>
      </c>
      <c r="C21" s="26">
        <v>5001</v>
      </c>
      <c r="D21" s="27" t="s">
        <v>616</v>
      </c>
      <c r="E21" s="26">
        <v>812</v>
      </c>
      <c r="F21" s="26">
        <v>5</v>
      </c>
      <c r="G21" s="26">
        <v>5</v>
      </c>
      <c r="H21" s="26" t="s">
        <v>349</v>
      </c>
      <c r="I21" s="26" t="s">
        <v>1356</v>
      </c>
      <c r="J21" s="26" t="s">
        <v>931</v>
      </c>
      <c r="K21" s="26" t="s">
        <v>1042</v>
      </c>
      <c r="L21" s="26" t="s">
        <v>931</v>
      </c>
      <c r="M21" s="26" t="s">
        <v>1376</v>
      </c>
      <c r="N21" s="26" t="s">
        <v>1080</v>
      </c>
      <c r="O21" s="26" t="s">
        <v>1383</v>
      </c>
      <c r="P21" s="26">
        <v>4024</v>
      </c>
      <c r="Q21" s="27" t="s">
        <v>1386</v>
      </c>
      <c r="R21" s="26">
        <v>2576</v>
      </c>
      <c r="S21" s="26">
        <v>6100</v>
      </c>
      <c r="T21" s="26">
        <f>IF(Table2[[#This Row],[PMT]]="NA","NA",Table2[[#This Row],[PMT]]+1)</f>
        <v>6101</v>
      </c>
      <c r="U21" s="26">
        <f>IF(Table2[[#This Row],[PMT]]="NA","NA",Table2[[#This Row],[PMT]]+2)</f>
        <v>6102</v>
      </c>
      <c r="V21" s="26">
        <v>0</v>
      </c>
      <c r="W21" s="26">
        <f>IF(Table2[[#This Row],[PMT]]="NA","NA",Table2[[#This Row],[PMT]]+8)-Table2[[#This Row],[Const]]</f>
        <v>6108</v>
      </c>
      <c r="X21" s="26" t="str">
        <f>IF(W21="NA","",CONCATENATE("0B 04 00 ",DEC2HEX($G21,2)," ",LEFT(DEC2HEX(W21,4),2)," ",RIGHT(DEC2HEX(W21,4),2)))</f>
        <v>0B 04 00 05 17 DC</v>
      </c>
      <c r="Y21" s="26">
        <f>IF(Table2[[#This Row],[PMT]]="NA","NA",Table2[[#This Row],[PMT]]+14)-Table2[[#This Row],[Const]]</f>
        <v>6114</v>
      </c>
      <c r="Z21" s="26" t="str">
        <f>IF(Y21="NA","",CONCATENATE("0B 04 00 ",DEC2HEX($G21,2)," ",LEFT(DEC2HEX(Y21,4),2)," ",RIGHT(DEC2HEX(Y21,4),2)))</f>
        <v>0B 04 00 05 17 E2</v>
      </c>
      <c r="AA21" s="26"/>
      <c r="AB21" s="26"/>
      <c r="AC21" s="26"/>
      <c r="AD21" s="26" t="s">
        <v>814</v>
      </c>
      <c r="AE21" s="26"/>
      <c r="AF21" s="26"/>
      <c r="AI21" s="26"/>
      <c r="AJ21" s="26"/>
      <c r="AL21" s="26"/>
      <c r="AW21" s="26"/>
      <c r="AX21" s="26"/>
      <c r="AY21" s="26"/>
    </row>
    <row r="22" spans="1:51" hidden="1" x14ac:dyDescent="0.25">
      <c r="A22" s="26">
        <v>18</v>
      </c>
      <c r="B22" s="26" t="s">
        <v>346</v>
      </c>
      <c r="C22" s="26" t="s">
        <v>346</v>
      </c>
      <c r="D22" s="27" t="s">
        <v>1050</v>
      </c>
      <c r="E22" s="26">
        <v>116</v>
      </c>
      <c r="F22" s="26" t="s">
        <v>346</v>
      </c>
      <c r="G22" s="26">
        <v>6</v>
      </c>
      <c r="H22" s="26" t="s">
        <v>349</v>
      </c>
      <c r="I22" s="26" t="s">
        <v>443</v>
      </c>
      <c r="J22" s="26" t="s">
        <v>1038</v>
      </c>
      <c r="K22" s="26" t="s">
        <v>1039</v>
      </c>
      <c r="L22" s="26" t="s">
        <v>931</v>
      </c>
      <c r="M22" s="26" t="s">
        <v>1377</v>
      </c>
      <c r="N22" s="26" t="s">
        <v>1080</v>
      </c>
      <c r="O22" s="26" t="s">
        <v>1383</v>
      </c>
      <c r="P22" s="26">
        <v>3845</v>
      </c>
      <c r="Q22" s="27" t="s">
        <v>1045</v>
      </c>
      <c r="R22" s="26">
        <v>1109</v>
      </c>
      <c r="S22" s="26">
        <v>8100</v>
      </c>
      <c r="T22" s="26">
        <f>IF(Table2[[#This Row],[PMT]]="NA","NA",Table2[[#This Row],[PMT]]+1)</f>
        <v>8101</v>
      </c>
      <c r="U22" s="26">
        <f>IF(Table2[[#This Row],[PMT]]="NA","NA",Table2[[#This Row],[PMT]]+2)</f>
        <v>8102</v>
      </c>
      <c r="V22" s="26">
        <v>0</v>
      </c>
      <c r="W22" s="26">
        <f>IF(Table2[[#This Row],[PMT]]="NA","NA",Table2[[#This Row],[PMT]]+8)-Table2[[#This Row],[Const]]</f>
        <v>8108</v>
      </c>
      <c r="X22" s="26" t="str">
        <f>IF(W22="NA","",CONCATENATE("0B 04 00 ",DEC2HEX($G22,2)," ",LEFT(DEC2HEX(W22,4),2)," ",RIGHT(DEC2HEX(W22,4),2)))</f>
        <v>0B 04 00 06 1F AC</v>
      </c>
      <c r="Y22" s="26">
        <f>IF(Table2[[#This Row],[PMT]]="NA","NA",Table2[[#This Row],[PMT]]+14)-Table2[[#This Row],[Const]]</f>
        <v>8114</v>
      </c>
      <c r="Z22" s="26" t="str">
        <f>IF(Y22="NA","",CONCATENATE("0B 04 00 ",DEC2HEX($G22,2)," ",LEFT(DEC2HEX(Y22,4),2)," ",RIGHT(DEC2HEX(Y22,4),2)))</f>
        <v>0B 04 00 06 1F B2</v>
      </c>
      <c r="AA22" s="26" t="s">
        <v>349</v>
      </c>
      <c r="AB22" s="26" t="s">
        <v>443</v>
      </c>
      <c r="AC22" s="26"/>
      <c r="AD22" s="26" t="s">
        <v>814</v>
      </c>
      <c r="AE22" s="26"/>
      <c r="AF22" s="26"/>
      <c r="AI22" s="26"/>
      <c r="AJ22" s="26"/>
      <c r="AL22" s="26"/>
      <c r="AW22" s="26"/>
      <c r="AX22" s="26"/>
      <c r="AY22" s="26"/>
    </row>
    <row r="23" spans="1:51" x14ac:dyDescent="0.25">
      <c r="A23" s="26">
        <v>215</v>
      </c>
      <c r="B23" s="26" t="s">
        <v>645</v>
      </c>
      <c r="C23" s="26">
        <v>5001</v>
      </c>
      <c r="D23" s="27" t="s">
        <v>517</v>
      </c>
      <c r="E23" s="26">
        <v>514</v>
      </c>
      <c r="F23" s="26">
        <v>11</v>
      </c>
      <c r="G23" s="26">
        <v>11</v>
      </c>
      <c r="H23" s="26" t="s">
        <v>1352</v>
      </c>
      <c r="I23" s="26" t="s">
        <v>1350</v>
      </c>
      <c r="J23" s="26" t="s">
        <v>931</v>
      </c>
      <c r="K23" s="26" t="s">
        <v>1042</v>
      </c>
      <c r="L23" s="26" t="s">
        <v>1002</v>
      </c>
      <c r="M23" s="26" t="s">
        <v>1376</v>
      </c>
      <c r="N23" s="26" t="s">
        <v>1080</v>
      </c>
      <c r="O23" s="26" t="s">
        <v>1384</v>
      </c>
      <c r="P23" s="26">
        <v>4015</v>
      </c>
      <c r="Q23" s="27" t="s">
        <v>1382</v>
      </c>
      <c r="R23" s="26">
        <v>7514</v>
      </c>
      <c r="S23" s="26">
        <v>980</v>
      </c>
      <c r="T23" s="26">
        <f>IF(Table2[[#This Row],[PMT]]="NA","NA",Table2[[#This Row],[PMT]]+1)</f>
        <v>981</v>
      </c>
      <c r="U23" s="26">
        <f>IF(Table2[[#This Row],[PMT]]="NA","NA",Table2[[#This Row],[PMT]]+2)</f>
        <v>982</v>
      </c>
      <c r="V23" s="26">
        <v>0</v>
      </c>
      <c r="W23" s="26">
        <f>IF(Table2[[#This Row],[PMT]]="NA","NA",Table2[[#This Row],[PMT]]+8)-Table2[[#This Row],[Const]]</f>
        <v>988</v>
      </c>
      <c r="X23" s="26" t="str">
        <f>IF(W23="NA","",CONCATENATE("0B 04 00 ",DEC2HEX($G23,2)," ",LEFT(DEC2HEX(W23,4),2)," ",RIGHT(DEC2HEX(W23,4),2)))</f>
        <v>0B 04 00 0B 03 DC</v>
      </c>
      <c r="Y23" s="26">
        <f>IF(Table2[[#This Row],[PMT]]="NA","NA",Table2[[#This Row],[PMT]]+14)-Table2[[#This Row],[Const]]</f>
        <v>994</v>
      </c>
      <c r="Z23" s="26" t="str">
        <f>IF(Y23="NA","",CONCATENATE("0B 04 00 ",DEC2HEX($G23,2)," ",LEFT(DEC2HEX(Y23,4),2)," ",RIGHT(DEC2HEX(Y23,4),2)))</f>
        <v>0B 04 00 0B 03 E2</v>
      </c>
      <c r="AA23" s="26"/>
      <c r="AB23" s="26"/>
      <c r="AC23" s="26"/>
      <c r="AD23" s="26" t="s">
        <v>1081</v>
      </c>
      <c r="AE23" s="26"/>
      <c r="AF23" s="26"/>
      <c r="AI23" s="26"/>
      <c r="AJ23" s="26"/>
      <c r="AL23" s="26"/>
      <c r="AW23" s="26"/>
      <c r="AX23" s="26"/>
      <c r="AY23" s="26"/>
    </row>
    <row r="24" spans="1:51" x14ac:dyDescent="0.25">
      <c r="A24" s="26">
        <v>155</v>
      </c>
      <c r="B24" s="26" t="s">
        <v>179</v>
      </c>
      <c r="C24" s="26">
        <v>5180</v>
      </c>
      <c r="D24" s="27" t="s">
        <v>470</v>
      </c>
      <c r="E24" s="26">
        <v>343</v>
      </c>
      <c r="F24" s="26">
        <v>3</v>
      </c>
      <c r="G24" s="26">
        <v>3</v>
      </c>
      <c r="H24" s="26" t="s">
        <v>1063</v>
      </c>
      <c r="I24" s="26" t="s">
        <v>1084</v>
      </c>
      <c r="J24" s="26" t="s">
        <v>1040</v>
      </c>
      <c r="K24" s="26" t="s">
        <v>953</v>
      </c>
      <c r="L24" s="26" t="s">
        <v>931</v>
      </c>
      <c r="M24" s="28" t="s">
        <v>1377</v>
      </c>
      <c r="Q24" s="27"/>
      <c r="R24" s="26">
        <v>3343</v>
      </c>
      <c r="S24" s="26">
        <v>700</v>
      </c>
      <c r="T24" s="26">
        <f>IF(Table2[[#This Row],[PMT]]="NA","NA",Table2[[#This Row],[PMT]]+1)</f>
        <v>701</v>
      </c>
      <c r="U24" s="26">
        <f>IF(Table2[[#This Row],[PMT]]="NA","NA",Table2[[#This Row],[PMT]]+2)</f>
        <v>702</v>
      </c>
      <c r="V24" s="26">
        <v>0</v>
      </c>
      <c r="W24" s="26">
        <f>IF(Table2[[#This Row],[PMT]]="NA","NA",Table2[[#This Row],[PMT]]+8)-Table2[[#This Row],[Const]]</f>
        <v>708</v>
      </c>
      <c r="X24" s="26" t="str">
        <f>IF(W24="NA","",CONCATENATE("0B 04 00 ",DEC2HEX($G24,2)," ",LEFT(DEC2HEX(W24,4),2)," ",RIGHT(DEC2HEX(W24,4),2)))</f>
        <v>0B 04 00 03 02 C4</v>
      </c>
      <c r="Y24" s="26">
        <f>IF(Table2[[#This Row],[PMT]]="NA","NA",Table2[[#This Row],[PMT]]+14)-Table2[[#This Row],[Const]]</f>
        <v>714</v>
      </c>
      <c r="Z24" s="26" t="str">
        <f>IF(Y24="NA","",CONCATENATE("0B 04 00 ",DEC2HEX($G24,2)," ",LEFT(DEC2HEX(Y24,4),2)," ",RIGHT(DEC2HEX(Y24,4),2)))</f>
        <v>0B 04 00 03 02 CA</v>
      </c>
      <c r="AA24" s="26" t="s">
        <v>1063</v>
      </c>
      <c r="AB24" s="26" t="s">
        <v>1084</v>
      </c>
      <c r="AC24" s="26"/>
      <c r="AD24" s="26" t="s">
        <v>813</v>
      </c>
      <c r="AE24" s="26"/>
      <c r="AF24" s="26"/>
      <c r="AI24" s="26"/>
      <c r="AJ24" s="26"/>
      <c r="AL24" s="26"/>
      <c r="AW24" s="26"/>
      <c r="AX24" s="26"/>
      <c r="AY24" s="26"/>
    </row>
    <row r="25" spans="1:51" x14ac:dyDescent="0.25">
      <c r="A25" s="26">
        <v>347</v>
      </c>
      <c r="B25" s="26" t="s">
        <v>652</v>
      </c>
      <c r="C25" s="26">
        <v>5001</v>
      </c>
      <c r="D25" s="27" t="s">
        <v>623</v>
      </c>
      <c r="E25" s="26">
        <v>824</v>
      </c>
      <c r="F25" s="26">
        <v>2</v>
      </c>
      <c r="G25" s="26">
        <v>2</v>
      </c>
      <c r="H25" s="26" t="s">
        <v>1057</v>
      </c>
      <c r="I25" s="26" t="s">
        <v>1356</v>
      </c>
      <c r="J25" s="26" t="s">
        <v>931</v>
      </c>
      <c r="K25" s="26" t="s">
        <v>1042</v>
      </c>
      <c r="L25" s="26" t="s">
        <v>931</v>
      </c>
      <c r="M25" s="26" t="s">
        <v>1376</v>
      </c>
      <c r="N25" s="26" t="s">
        <v>1080</v>
      </c>
      <c r="O25" s="26" t="s">
        <v>1383</v>
      </c>
      <c r="P25" s="26">
        <v>4024</v>
      </c>
      <c r="Q25" s="27" t="s">
        <v>1386</v>
      </c>
      <c r="R25" s="26">
        <v>2577</v>
      </c>
      <c r="S25" s="26">
        <v>1620</v>
      </c>
      <c r="T25" s="26">
        <f>IF(Table2[[#This Row],[PMT]]="NA","NA",Table2[[#This Row],[PMT]]+1)</f>
        <v>1621</v>
      </c>
      <c r="U25" s="26">
        <f>IF(Table2[[#This Row],[PMT]]="NA","NA",Table2[[#This Row],[PMT]]+2)</f>
        <v>1622</v>
      </c>
      <c r="V25" s="26">
        <v>0</v>
      </c>
      <c r="W25" s="26">
        <f>IF(Table2[[#This Row],[PMT]]="NA","NA",Table2[[#This Row],[PMT]]+8)-Table2[[#This Row],[Const]]</f>
        <v>1628</v>
      </c>
      <c r="X25" s="26" t="str">
        <f>IF(W25="NA","",CONCATENATE("0B 04 00 ",DEC2HEX($G25,2)," ",LEFT(DEC2HEX(W25,4),2)," ",RIGHT(DEC2HEX(W25,4),2)))</f>
        <v>0B 04 00 02 06 5C</v>
      </c>
      <c r="Y25" s="26">
        <f>IF(Table2[[#This Row],[PMT]]="NA","NA",Table2[[#This Row],[PMT]]+14)-Table2[[#This Row],[Const]]</f>
        <v>1634</v>
      </c>
      <c r="Z25" s="26" t="str">
        <f>IF(Y25="NA","",CONCATENATE("0B 04 00 ",DEC2HEX($G25,2)," ",LEFT(DEC2HEX(Y25,4),2)," ",RIGHT(DEC2HEX(Y25,4),2)))</f>
        <v>0B 04 00 02 06 62</v>
      </c>
      <c r="AA25" s="26" t="s">
        <v>1057</v>
      </c>
      <c r="AB25" s="26"/>
      <c r="AC25" s="26"/>
      <c r="AD25" s="26" t="s">
        <v>814</v>
      </c>
      <c r="AE25" s="26"/>
      <c r="AF25" s="26"/>
      <c r="AI25" s="26"/>
      <c r="AJ25" s="26"/>
      <c r="AL25" s="26"/>
      <c r="AW25" s="26"/>
      <c r="AX25" s="26"/>
      <c r="AY25" s="26"/>
    </row>
    <row r="26" spans="1:51" hidden="1" x14ac:dyDescent="0.25">
      <c r="A26" s="26">
        <v>22</v>
      </c>
      <c r="B26" s="26" t="s">
        <v>346</v>
      </c>
      <c r="C26" s="26" t="s">
        <v>346</v>
      </c>
      <c r="D26" s="27" t="s">
        <v>1268</v>
      </c>
      <c r="E26" s="26">
        <v>120</v>
      </c>
      <c r="F26" s="26" t="s">
        <v>346</v>
      </c>
      <c r="G26" s="26">
        <v>3</v>
      </c>
      <c r="H26" s="26" t="s">
        <v>349</v>
      </c>
      <c r="I26" s="26" t="s">
        <v>443</v>
      </c>
      <c r="J26" s="26" t="s">
        <v>1038</v>
      </c>
      <c r="K26" s="26" t="s">
        <v>1039</v>
      </c>
      <c r="L26" s="26" t="s">
        <v>931</v>
      </c>
      <c r="M26" s="26" t="s">
        <v>1377</v>
      </c>
      <c r="N26" s="31"/>
      <c r="O26" s="31"/>
      <c r="P26" s="31"/>
      <c r="Q26" s="27" t="s">
        <v>1045</v>
      </c>
      <c r="R26" s="31">
        <v>12183</v>
      </c>
      <c r="S26" s="31">
        <v>1420</v>
      </c>
      <c r="T26" s="31">
        <f>IF(Table2[[#This Row],[PMT]]="NA","NA",Table2[[#This Row],[PMT]]+1)</f>
        <v>1421</v>
      </c>
      <c r="U26" s="31">
        <f>IF(Table2[[#This Row],[PMT]]="NA","NA",Table2[[#This Row],[PMT]]+2)</f>
        <v>1422</v>
      </c>
      <c r="V26" s="26">
        <v>0</v>
      </c>
      <c r="W26" s="31">
        <f>IF(Table2[[#This Row],[PMT]]="NA","NA",Table2[[#This Row],[PMT]]+8)-Table2[[#This Row],[Const]]</f>
        <v>1428</v>
      </c>
      <c r="X26" s="31" t="str">
        <f>IF(W26="NA","",CONCATENATE("0B 04 00 ",DEC2HEX($G26,2)," ",LEFT(DEC2HEX(W26,4),2)," ",RIGHT(DEC2HEX(W26,4),2)))</f>
        <v>0B 04 00 03 05 94</v>
      </c>
      <c r="Y26" s="31">
        <f>IF(Table2[[#This Row],[PMT]]="NA","NA",Table2[[#This Row],[PMT]]+14)-Table2[[#This Row],[Const]]</f>
        <v>1434</v>
      </c>
      <c r="Z26" s="31" t="str">
        <f>IF(Y26="NA","",CONCATENATE("0B 04 00 ",DEC2HEX($G26,2)," ",LEFT(DEC2HEX(Y26,4),2)," ",RIGHT(DEC2HEX(Y26,4),2)))</f>
        <v>0B 04 00 03 05 9A</v>
      </c>
      <c r="AA26" s="26"/>
      <c r="AB26" s="26"/>
      <c r="AC26" s="31"/>
      <c r="AD26" s="31"/>
      <c r="AE26" s="26"/>
      <c r="AF26" s="26"/>
      <c r="AI26" s="26"/>
      <c r="AJ26" s="26"/>
      <c r="AL26" s="26"/>
      <c r="AW26" s="26"/>
      <c r="AX26" s="26"/>
      <c r="AY26" s="26"/>
    </row>
    <row r="27" spans="1:51" hidden="1" x14ac:dyDescent="0.25">
      <c r="A27" s="26">
        <v>23</v>
      </c>
      <c r="B27" s="26" t="s">
        <v>346</v>
      </c>
      <c r="C27" s="26" t="s">
        <v>346</v>
      </c>
      <c r="D27" s="27" t="s">
        <v>1393</v>
      </c>
      <c r="E27" s="26">
        <v>121</v>
      </c>
      <c r="F27" s="26" t="s">
        <v>346</v>
      </c>
      <c r="G27" s="26">
        <v>4</v>
      </c>
      <c r="H27" s="26" t="s">
        <v>349</v>
      </c>
      <c r="I27" s="26" t="s">
        <v>443</v>
      </c>
      <c r="J27" s="26" t="s">
        <v>1038</v>
      </c>
      <c r="K27" s="26" t="s">
        <v>1039</v>
      </c>
      <c r="L27" s="26" t="s">
        <v>1375</v>
      </c>
      <c r="M27" s="28" t="s">
        <v>1375</v>
      </c>
      <c r="Q27" s="27"/>
      <c r="R27" s="26">
        <v>12030</v>
      </c>
      <c r="S27" s="26">
        <v>320</v>
      </c>
      <c r="T27" s="26">
        <f>IF(Table2[[#This Row],[PMT]]="NA","NA",Table2[[#This Row],[PMT]]+1)</f>
        <v>321</v>
      </c>
      <c r="U27" s="26">
        <f>IF(Table2[[#This Row],[PMT]]="NA","NA",Table2[[#This Row],[PMT]]+2)</f>
        <v>322</v>
      </c>
      <c r="V27" s="26">
        <v>0</v>
      </c>
      <c r="W27" s="26">
        <f>IF(Table2[[#This Row],[PMT]]="NA","NA",Table2[[#This Row],[PMT]]+8)-Table2[[#This Row],[Const]]</f>
        <v>328</v>
      </c>
      <c r="X27" s="26" t="str">
        <f>IF(W27="NA","",CONCATENATE("0B 04 00 ",DEC2HEX($G27,2)," ",LEFT(DEC2HEX(W27,4),2)," ",RIGHT(DEC2HEX(W27,4),2)))</f>
        <v>0B 04 00 04 01 48</v>
      </c>
      <c r="Y27" s="26">
        <f>IF(Table2[[#This Row],[PMT]]="NA","NA",Table2[[#This Row],[PMT]]+14)-Table2[[#This Row],[Const]]</f>
        <v>334</v>
      </c>
      <c r="Z27" s="26" t="str">
        <f>IF(Y27="NA","",CONCATENATE("0B 04 00 ",DEC2HEX($G27,2)," ",LEFT(DEC2HEX(Y27,4),2)," ",RIGHT(DEC2HEX(Y27,4),2)))</f>
        <v>0B 04 00 04 01 4E</v>
      </c>
      <c r="AA27" s="26" t="s">
        <v>349</v>
      </c>
      <c r="AB27" s="26" t="s">
        <v>443</v>
      </c>
      <c r="AC27" s="26"/>
      <c r="AD27" s="26" t="s">
        <v>346</v>
      </c>
      <c r="AE27" s="26"/>
      <c r="AF27" s="26"/>
      <c r="AI27" s="26"/>
      <c r="AJ27" s="26"/>
      <c r="AL27" s="26"/>
      <c r="AW27" s="26"/>
      <c r="AX27" s="26"/>
      <c r="AY27" s="26"/>
    </row>
    <row r="28" spans="1:51" hidden="1" x14ac:dyDescent="0.25">
      <c r="A28" s="26">
        <v>24</v>
      </c>
      <c r="B28" s="26" t="s">
        <v>346</v>
      </c>
      <c r="C28" s="26" t="s">
        <v>346</v>
      </c>
      <c r="D28" s="27" t="s">
        <v>1320</v>
      </c>
      <c r="E28" s="26">
        <v>122</v>
      </c>
      <c r="F28" s="26" t="s">
        <v>346</v>
      </c>
      <c r="G28" s="26">
        <v>11</v>
      </c>
      <c r="H28" s="26" t="s">
        <v>349</v>
      </c>
      <c r="I28" s="26" t="s">
        <v>443</v>
      </c>
      <c r="J28" s="26" t="s">
        <v>1038</v>
      </c>
      <c r="K28" s="26" t="s">
        <v>1039</v>
      </c>
      <c r="L28" s="26" t="s">
        <v>931</v>
      </c>
      <c r="M28" s="28" t="s">
        <v>1377</v>
      </c>
      <c r="N28" s="26" t="s">
        <v>1096</v>
      </c>
      <c r="O28" s="26" t="s">
        <v>1097</v>
      </c>
      <c r="P28" s="26">
        <v>4155</v>
      </c>
      <c r="Q28" s="27"/>
      <c r="R28" s="26">
        <v>12130</v>
      </c>
      <c r="S28" s="26">
        <v>7900</v>
      </c>
      <c r="T28" s="26">
        <f>IF(Table2[[#This Row],[PMT]]="NA","NA",Table2[[#This Row],[PMT]]+1)</f>
        <v>7901</v>
      </c>
      <c r="U28" s="26">
        <f>IF(Table2[[#This Row],[PMT]]="NA","NA",Table2[[#This Row],[PMT]]+2)</f>
        <v>7902</v>
      </c>
      <c r="V28" s="26">
        <v>0</v>
      </c>
      <c r="W28" s="26">
        <f>IF(Table2[[#This Row],[PMT]]="NA","NA",Table2[[#This Row],[PMT]]+8)-Table2[[#This Row],[Const]]</f>
        <v>7908</v>
      </c>
      <c r="X28" s="26" t="str">
        <f>IF(W28="NA","",CONCATENATE("0B 04 00 ",DEC2HEX($G28,2)," ",LEFT(DEC2HEX(W28,4),2)," ",RIGHT(DEC2HEX(W28,4),2)))</f>
        <v>0B 04 00 0B 1E E4</v>
      </c>
      <c r="Y28" s="26">
        <f>IF(Table2[[#This Row],[PMT]]="NA","NA",Table2[[#This Row],[PMT]]+14)-Table2[[#This Row],[Const]]</f>
        <v>7914</v>
      </c>
      <c r="Z28" s="26" t="str">
        <f>IF(Y28="NA","",CONCATENATE("0B 04 00 ",DEC2HEX($G28,2)," ",LEFT(DEC2HEX(Y28,4),2)," ",RIGHT(DEC2HEX(Y28,4),2)))</f>
        <v>0B 04 00 0B 1E EA</v>
      </c>
      <c r="AA28" s="26" t="s">
        <v>349</v>
      </c>
      <c r="AB28" s="26" t="s">
        <v>443</v>
      </c>
      <c r="AC28" s="26">
        <v>22500</v>
      </c>
      <c r="AD28" s="26" t="s">
        <v>346</v>
      </c>
      <c r="AE28" s="26"/>
      <c r="AF28" s="26"/>
      <c r="AI28" s="26"/>
      <c r="AJ28" s="26"/>
      <c r="AL28" s="26"/>
      <c r="AW28" s="26"/>
      <c r="AX28" s="26"/>
      <c r="AY28" s="26"/>
    </row>
    <row r="29" spans="1:51" x14ac:dyDescent="0.25">
      <c r="A29" s="26">
        <v>39</v>
      </c>
      <c r="B29" s="26" t="s">
        <v>158</v>
      </c>
      <c r="C29" s="26">
        <v>5180</v>
      </c>
      <c r="D29" s="27" t="s">
        <v>372</v>
      </c>
      <c r="E29" s="26">
        <v>144</v>
      </c>
      <c r="F29" s="26">
        <v>7</v>
      </c>
      <c r="G29" s="26">
        <v>7</v>
      </c>
      <c r="H29" s="26" t="s">
        <v>349</v>
      </c>
      <c r="I29" s="26" t="s">
        <v>1084</v>
      </c>
      <c r="J29" s="26" t="s">
        <v>1040</v>
      </c>
      <c r="K29" s="26" t="s">
        <v>953</v>
      </c>
      <c r="L29" s="26" t="s">
        <v>931</v>
      </c>
      <c r="M29" s="28"/>
      <c r="Q29" s="27"/>
      <c r="R29" s="26">
        <v>1135</v>
      </c>
      <c r="S29" s="26">
        <v>6200</v>
      </c>
      <c r="T29" s="26">
        <f>IF(Table2[[#This Row],[PMT]]="NA","NA",Table2[[#This Row],[PMT]]+1)</f>
        <v>6201</v>
      </c>
      <c r="U29" s="26">
        <f>IF(Table2[[#This Row],[PMT]]="NA","NA",Table2[[#This Row],[PMT]]+2)</f>
        <v>6202</v>
      </c>
      <c r="V29" s="26">
        <v>0</v>
      </c>
      <c r="W29" s="26">
        <f>IF(Table2[[#This Row],[PMT]]="NA","NA",Table2[[#This Row],[PMT]]+8)-Table2[[#This Row],[Const]]</f>
        <v>6208</v>
      </c>
      <c r="X29" s="26" t="str">
        <f>IF(W29="NA","",CONCATENATE("0B 04 00 ",DEC2HEX($G29,2)," ",LEFT(DEC2HEX(W29,4),2)," ",RIGHT(DEC2HEX(W29,4),2)))</f>
        <v>0B 04 00 07 18 40</v>
      </c>
      <c r="Y29" s="26">
        <f>IF(Table2[[#This Row],[PMT]]="NA","NA",Table2[[#This Row],[PMT]]+14)-Table2[[#This Row],[Const]]</f>
        <v>6214</v>
      </c>
      <c r="Z29" s="26" t="str">
        <f>IF(Y29="NA","",CONCATENATE("0B 04 00 ",DEC2HEX($G29,2)," ",LEFT(DEC2HEX(Y29,4),2)," ",RIGHT(DEC2HEX(Y29,4),2)))</f>
        <v>0B 04 00 07 18 46</v>
      </c>
      <c r="AA29" s="26" t="s">
        <v>349</v>
      </c>
      <c r="AB29" s="26" t="s">
        <v>1084</v>
      </c>
      <c r="AC29" s="26"/>
      <c r="AD29" s="26" t="s">
        <v>814</v>
      </c>
      <c r="AE29" s="26"/>
      <c r="AF29" s="26"/>
      <c r="AI29" s="26"/>
      <c r="AJ29" s="26"/>
      <c r="AL29" s="26"/>
      <c r="AW29" s="26"/>
      <c r="AX29" s="26"/>
      <c r="AY29" s="26"/>
    </row>
    <row r="30" spans="1:51" hidden="1" x14ac:dyDescent="0.25">
      <c r="A30" s="26">
        <v>26</v>
      </c>
      <c r="B30" s="26" t="s">
        <v>346</v>
      </c>
      <c r="C30" s="26" t="s">
        <v>346</v>
      </c>
      <c r="D30" s="27" t="s">
        <v>1321</v>
      </c>
      <c r="E30" s="26">
        <v>124</v>
      </c>
      <c r="F30" s="26" t="s">
        <v>346</v>
      </c>
      <c r="G30" s="26">
        <v>2</v>
      </c>
      <c r="H30" s="26" t="s">
        <v>349</v>
      </c>
      <c r="I30" s="26" t="s">
        <v>443</v>
      </c>
      <c r="J30" s="26" t="s">
        <v>1038</v>
      </c>
      <c r="K30" s="26" t="s">
        <v>1039</v>
      </c>
      <c r="L30" s="26" t="s">
        <v>931</v>
      </c>
      <c r="M30" s="28" t="s">
        <v>1377</v>
      </c>
      <c r="N30" s="31"/>
      <c r="O30" s="31"/>
      <c r="P30" s="31"/>
      <c r="Q30" s="32"/>
      <c r="R30" s="31"/>
      <c r="S30" s="31"/>
      <c r="T30" s="31">
        <f>IF(Table2[[#This Row],[PMT]]="NA","NA",Table2[[#This Row],[PMT]]+1)</f>
        <v>1</v>
      </c>
      <c r="U30" s="31">
        <f>IF(Table2[[#This Row],[PMT]]="NA","NA",Table2[[#This Row],[PMT]]+2)</f>
        <v>2</v>
      </c>
      <c r="V30" s="26"/>
      <c r="W30" s="31">
        <f>IF(Table2[[#This Row],[PMT]]="NA","NA",Table2[[#This Row],[PMT]]+8)-Table2[[#This Row],[Const]]</f>
        <v>8</v>
      </c>
      <c r="X30" s="31" t="str">
        <f>IF(W30="NA","",CONCATENATE("0B 04 00 ",DEC2HEX($G30,2)," ",LEFT(DEC2HEX(W30,4),2)," ",RIGHT(DEC2HEX(W30,4),2)))</f>
        <v>0B 04 00 02 00 08</v>
      </c>
      <c r="Y30" s="31">
        <f>IF(Table2[[#This Row],[PMT]]="NA","NA",Table2[[#This Row],[PMT]]+14)-Table2[[#This Row],[Const]]</f>
        <v>14</v>
      </c>
      <c r="Z30" s="31" t="str">
        <f>IF(Y30="NA","",CONCATENATE("0B 04 00 ",DEC2HEX($G30,2)," ",LEFT(DEC2HEX(Y30,4),2)," ",RIGHT(DEC2HEX(Y30,4),2)))</f>
        <v>0B 04 00 02 00 0E</v>
      </c>
      <c r="AA30" s="26"/>
      <c r="AB30" s="26"/>
      <c r="AC30" s="31"/>
      <c r="AD30" s="31"/>
      <c r="AE30" s="26"/>
      <c r="AF30" s="26"/>
      <c r="AI30" s="26"/>
      <c r="AJ30" s="26"/>
      <c r="AL30" s="26"/>
      <c r="AW30" s="26"/>
      <c r="AX30" s="26"/>
      <c r="AY30" s="26"/>
    </row>
    <row r="31" spans="1:51" hidden="1" x14ac:dyDescent="0.25">
      <c r="A31" s="26">
        <v>27</v>
      </c>
      <c r="B31" s="26" t="s">
        <v>346</v>
      </c>
      <c r="C31" s="26" t="s">
        <v>346</v>
      </c>
      <c r="D31" s="27" t="s">
        <v>1322</v>
      </c>
      <c r="E31" s="26">
        <v>125</v>
      </c>
      <c r="F31" s="26" t="s">
        <v>346</v>
      </c>
      <c r="G31" s="26">
        <v>3</v>
      </c>
      <c r="H31" s="26" t="s">
        <v>349</v>
      </c>
      <c r="I31" s="26" t="s">
        <v>443</v>
      </c>
      <c r="J31" s="26" t="s">
        <v>1038</v>
      </c>
      <c r="K31" s="26" t="s">
        <v>1039</v>
      </c>
      <c r="L31" s="26" t="s">
        <v>931</v>
      </c>
      <c r="M31" s="26" t="s">
        <v>1377</v>
      </c>
      <c r="N31" s="31"/>
      <c r="O31" s="31"/>
      <c r="P31" s="31"/>
      <c r="Q31" s="32"/>
      <c r="R31" s="31"/>
      <c r="S31" s="31"/>
      <c r="T31" s="31"/>
      <c r="U31" s="31"/>
      <c r="V31" s="26"/>
      <c r="W31" s="31"/>
      <c r="X31" s="31"/>
      <c r="Y31" s="31"/>
      <c r="Z31" s="31"/>
      <c r="AA31" s="26"/>
      <c r="AB31" s="26"/>
      <c r="AC31" s="31"/>
      <c r="AD31" s="31"/>
      <c r="AE31" s="26"/>
      <c r="AF31" s="26"/>
      <c r="AI31" s="26"/>
      <c r="AJ31" s="26"/>
      <c r="AL31" s="26"/>
      <c r="AW31" s="26"/>
      <c r="AX31" s="26"/>
      <c r="AY31" s="26"/>
    </row>
    <row r="32" spans="1:51" hidden="1" x14ac:dyDescent="0.25">
      <c r="A32" s="26">
        <v>28</v>
      </c>
      <c r="B32" s="26" t="s">
        <v>346</v>
      </c>
      <c r="C32" s="26" t="s">
        <v>346</v>
      </c>
      <c r="D32" s="27" t="s">
        <v>364</v>
      </c>
      <c r="E32" s="26">
        <v>127</v>
      </c>
      <c r="F32" s="26" t="s">
        <v>346</v>
      </c>
      <c r="G32" s="26">
        <v>11</v>
      </c>
      <c r="H32" s="26" t="s">
        <v>349</v>
      </c>
      <c r="I32" s="26" t="s">
        <v>443</v>
      </c>
      <c r="J32" s="26" t="s">
        <v>1038</v>
      </c>
      <c r="K32" s="26" t="s">
        <v>1039</v>
      </c>
      <c r="L32" s="26" t="s">
        <v>931</v>
      </c>
      <c r="M32" s="26" t="s">
        <v>1377</v>
      </c>
      <c r="N32" s="31"/>
      <c r="O32" s="31"/>
      <c r="P32" s="31"/>
      <c r="Q32" s="27" t="s">
        <v>1044</v>
      </c>
      <c r="R32" s="31">
        <v>12170</v>
      </c>
      <c r="S32" s="31">
        <v>1220</v>
      </c>
      <c r="T32" s="31">
        <f>IF(Table2[[#This Row],[PMT]]="NA","NA",Table2[[#This Row],[PMT]]+1)</f>
        <v>1221</v>
      </c>
      <c r="U32" s="31">
        <f>IF(Table2[[#This Row],[PMT]]="NA","NA",Table2[[#This Row],[PMT]]+2)</f>
        <v>1222</v>
      </c>
      <c r="V32" s="26">
        <v>0</v>
      </c>
      <c r="W32" s="31">
        <f>IF(Table2[[#This Row],[PMT]]="NA","NA",Table2[[#This Row],[PMT]]+8)-Table2[[#This Row],[Const]]</f>
        <v>1228</v>
      </c>
      <c r="X32" s="31" t="str">
        <f>IF(W32="NA","",CONCATENATE("0B 04 00 ",DEC2HEX($G32,2)," ",LEFT(DEC2HEX(W32,4),2)," ",RIGHT(DEC2HEX(W32,4),2)))</f>
        <v>0B 04 00 0B 04 CC</v>
      </c>
      <c r="Y32" s="31">
        <f>IF(Table2[[#This Row],[PMT]]="NA","NA",Table2[[#This Row],[PMT]]+14)-Table2[[#This Row],[Const]]</f>
        <v>1234</v>
      </c>
      <c r="Z32" s="31" t="str">
        <f>IF(Y32="NA","",CONCATENATE("0B 04 00 ",DEC2HEX($G32,2)," ",LEFT(DEC2HEX(Y32,4),2)," ",RIGHT(DEC2HEX(Y32,4),2)))</f>
        <v>0B 04 00 0B 04 D2</v>
      </c>
      <c r="AA32" s="26"/>
      <c r="AB32" s="26"/>
      <c r="AC32" s="31"/>
      <c r="AD32" s="31"/>
      <c r="AE32" s="26"/>
      <c r="AF32" s="26"/>
      <c r="AI32" s="26"/>
      <c r="AJ32" s="26"/>
      <c r="AL32" s="26"/>
      <c r="AW32" s="26"/>
      <c r="AX32" s="26"/>
      <c r="AY32" s="26"/>
    </row>
    <row r="33" spans="1:51" x14ac:dyDescent="0.25">
      <c r="A33" s="26">
        <v>179</v>
      </c>
      <c r="B33" s="26" t="s">
        <v>209</v>
      </c>
      <c r="C33" s="26">
        <v>5180</v>
      </c>
      <c r="D33" s="27" t="s">
        <v>493</v>
      </c>
      <c r="E33" s="26">
        <v>383</v>
      </c>
      <c r="F33" s="26">
        <v>6</v>
      </c>
      <c r="G33" s="26">
        <v>6</v>
      </c>
      <c r="H33" s="26" t="s">
        <v>361</v>
      </c>
      <c r="I33" s="26" t="s">
        <v>443</v>
      </c>
      <c r="J33" s="26" t="s">
        <v>1038</v>
      </c>
      <c r="K33" s="26" t="s">
        <v>1039</v>
      </c>
      <c r="L33" s="26" t="s">
        <v>931</v>
      </c>
      <c r="M33" s="28" t="s">
        <v>1377</v>
      </c>
      <c r="Q33" s="27"/>
      <c r="R33" s="26">
        <v>6383</v>
      </c>
      <c r="S33" s="26">
        <v>5800</v>
      </c>
      <c r="T33" s="26">
        <f>IF(Table2[[#This Row],[PMT]]="NA","NA",Table2[[#This Row],[PMT]]+1)</f>
        <v>5801</v>
      </c>
      <c r="U33" s="26">
        <f>IF(Table2[[#This Row],[PMT]]="NA","NA",Table2[[#This Row],[PMT]]+2)</f>
        <v>5802</v>
      </c>
      <c r="V33" s="26">
        <v>0</v>
      </c>
      <c r="W33" s="26">
        <f>IF(Table2[[#This Row],[PMT]]="NA","NA",Table2[[#This Row],[PMT]]+8)-Table2[[#This Row],[Const]]</f>
        <v>5808</v>
      </c>
      <c r="X33" s="26" t="str">
        <f>IF(W33="NA","",CONCATENATE("0B 04 00 ",DEC2HEX($G33,2)," ",LEFT(DEC2HEX(W33,4),2)," ",RIGHT(DEC2HEX(W33,4),2)))</f>
        <v>0B 04 00 06 16 B0</v>
      </c>
      <c r="Y33" s="26">
        <f>IF(Table2[[#This Row],[PMT]]="NA","NA",Table2[[#This Row],[PMT]]+14)-Table2[[#This Row],[Const]]</f>
        <v>5814</v>
      </c>
      <c r="Z33" s="26" t="str">
        <f>IF(Y33="NA","",CONCATENATE("0B 04 00 ",DEC2HEX($G33,2)," ",LEFT(DEC2HEX(Y33,4),2)," ",RIGHT(DEC2HEX(Y33,4),2)))</f>
        <v>0B 04 00 06 16 B6</v>
      </c>
      <c r="AA33" s="26" t="s">
        <v>361</v>
      </c>
      <c r="AB33" s="26" t="s">
        <v>443</v>
      </c>
      <c r="AC33" s="26"/>
      <c r="AD33" s="26" t="s">
        <v>346</v>
      </c>
      <c r="AE33" s="26"/>
      <c r="AF33" s="26"/>
      <c r="AI33" s="26"/>
      <c r="AJ33" s="26"/>
      <c r="AL33" s="26"/>
      <c r="AW33" s="26"/>
      <c r="AX33" s="26"/>
      <c r="AY33" s="26"/>
    </row>
    <row r="34" spans="1:51" hidden="1" x14ac:dyDescent="0.25">
      <c r="A34" s="26">
        <v>30</v>
      </c>
      <c r="B34" s="26" t="s">
        <v>346</v>
      </c>
      <c r="C34" s="26" t="s">
        <v>346</v>
      </c>
      <c r="D34" s="27" t="s">
        <v>1327</v>
      </c>
      <c r="E34" s="26">
        <v>129</v>
      </c>
      <c r="F34" s="26" t="s">
        <v>346</v>
      </c>
      <c r="G34" s="26">
        <v>1</v>
      </c>
      <c r="H34" s="26" t="s">
        <v>349</v>
      </c>
      <c r="I34" s="26" t="s">
        <v>443</v>
      </c>
      <c r="J34" s="26" t="s">
        <v>1038</v>
      </c>
      <c r="K34" s="26" t="s">
        <v>1039</v>
      </c>
      <c r="L34" s="26" t="s">
        <v>931</v>
      </c>
      <c r="M34" s="28"/>
      <c r="N34" s="31"/>
      <c r="O34" s="31"/>
      <c r="P34" s="31"/>
      <c r="Q34" s="32"/>
      <c r="R34" s="31"/>
      <c r="S34" s="31"/>
      <c r="T34" s="31">
        <f>IF(Table2[[#This Row],[PMT]]="NA","NA",Table2[[#This Row],[PMT]]+1)</f>
        <v>1</v>
      </c>
      <c r="U34" s="31">
        <f>IF(Table2[[#This Row],[PMT]]="NA","NA",Table2[[#This Row],[PMT]]+2)</f>
        <v>2</v>
      </c>
      <c r="V34" s="26"/>
      <c r="W34" s="31">
        <f>IF(Table2[[#This Row],[PMT]]="NA","NA",Table2[[#This Row],[PMT]]+8)-Table2[[#This Row],[Const]]</f>
        <v>8</v>
      </c>
      <c r="X34" s="31" t="str">
        <f>IF(W34="NA","",CONCATENATE("0B 04 00 ",DEC2HEX($G34,2)," ",LEFT(DEC2HEX(W34,4),2)," ",RIGHT(DEC2HEX(W34,4),2)))</f>
        <v>0B 04 00 01 00 08</v>
      </c>
      <c r="Y34" s="31">
        <f>IF(Table2[[#This Row],[PMT]]="NA","NA",Table2[[#This Row],[PMT]]+14)-Table2[[#This Row],[Const]]</f>
        <v>14</v>
      </c>
      <c r="Z34" s="31" t="str">
        <f>IF(Y34="NA","",CONCATENATE("0B 04 00 ",DEC2HEX($G34,2)," ",LEFT(DEC2HEX(Y34,4),2)," ",RIGHT(DEC2HEX(Y34,4),2)))</f>
        <v>0B 04 00 01 00 0E</v>
      </c>
      <c r="AA34" s="26"/>
      <c r="AB34" s="26"/>
      <c r="AC34" s="31"/>
      <c r="AD34" s="31"/>
      <c r="AE34" s="26"/>
      <c r="AF34" s="26"/>
      <c r="AI34" s="26"/>
      <c r="AJ34" s="26"/>
      <c r="AL34" s="26"/>
      <c r="AW34" s="26"/>
      <c r="AX34" s="26"/>
      <c r="AY34" s="26"/>
    </row>
    <row r="35" spans="1:51" x14ac:dyDescent="0.25">
      <c r="A35" s="26">
        <v>140</v>
      </c>
      <c r="B35" s="26" t="s">
        <v>177</v>
      </c>
      <c r="C35" s="26">
        <v>5180</v>
      </c>
      <c r="D35" s="27" t="s">
        <v>458</v>
      </c>
      <c r="E35" s="26">
        <v>319</v>
      </c>
      <c r="F35" s="26">
        <v>1</v>
      </c>
      <c r="G35" s="26">
        <v>1</v>
      </c>
      <c r="H35" s="26" t="s">
        <v>1057</v>
      </c>
      <c r="I35" s="26" t="s">
        <v>1084</v>
      </c>
      <c r="J35" s="26" t="s">
        <v>1040</v>
      </c>
      <c r="K35" s="26" t="s">
        <v>953</v>
      </c>
      <c r="L35" s="26" t="s">
        <v>931</v>
      </c>
      <c r="M35" s="28"/>
      <c r="Q35" s="27"/>
      <c r="R35" s="26">
        <v>3307</v>
      </c>
      <c r="S35" s="26">
        <v>240</v>
      </c>
      <c r="T35" s="26">
        <f>IF(Table2[[#This Row],[PMT]]="NA","NA",Table2[[#This Row],[PMT]]+1)</f>
        <v>241</v>
      </c>
      <c r="U35" s="26">
        <f>IF(Table2[[#This Row],[PMT]]="NA","NA",Table2[[#This Row],[PMT]]+2)</f>
        <v>242</v>
      </c>
      <c r="V35" s="26">
        <v>1</v>
      </c>
      <c r="W35" s="26">
        <f>IF(Table2[[#This Row],[PMT]]="NA","NA",Table2[[#This Row],[PMT]]+8)-Table2[[#This Row],[Const]]</f>
        <v>247</v>
      </c>
      <c r="X35" s="26" t="str">
        <f>IF(W35="NA","",CONCATENATE("0B 04 00 ",DEC2HEX($G35,2)," ",LEFT(DEC2HEX(W35,4),2)," ",RIGHT(DEC2HEX(W35,4),2)))</f>
        <v>0B 04 00 01 00 F7</v>
      </c>
      <c r="Y35" s="26">
        <f>IF(Table2[[#This Row],[PMT]]="NA","NA",Table2[[#This Row],[PMT]]+14)-Table2[[#This Row],[Const]]</f>
        <v>253</v>
      </c>
      <c r="Z35" s="26" t="str">
        <f>IF(Y35="NA","",CONCATENATE("0B 04 00 ",DEC2HEX($G35,2)," ",LEFT(DEC2HEX(Y35,4),2)," ",RIGHT(DEC2HEX(Y35,4),2)))</f>
        <v>0B 04 00 01 00 FD</v>
      </c>
      <c r="AA35" s="26" t="s">
        <v>1057</v>
      </c>
      <c r="AB35" s="26" t="s">
        <v>1084</v>
      </c>
      <c r="AC35" s="26"/>
      <c r="AD35" s="26" t="s">
        <v>1077</v>
      </c>
      <c r="AE35" s="26"/>
      <c r="AF35" s="26"/>
      <c r="AI35" s="26"/>
      <c r="AJ35" s="26"/>
      <c r="AL35" s="26"/>
      <c r="AW35" s="26"/>
      <c r="AX35" s="26"/>
      <c r="AY35" s="26"/>
    </row>
    <row r="36" spans="1:51" x14ac:dyDescent="0.25">
      <c r="A36" s="26">
        <v>314</v>
      </c>
      <c r="B36" s="26" t="s">
        <v>146</v>
      </c>
      <c r="C36" s="26">
        <v>5180</v>
      </c>
      <c r="D36" s="27" t="s">
        <v>596</v>
      </c>
      <c r="E36" s="26">
        <v>698</v>
      </c>
      <c r="F36" s="26">
        <v>4</v>
      </c>
      <c r="G36" s="26">
        <v>4</v>
      </c>
      <c r="H36" s="26" t="s">
        <v>1352</v>
      </c>
      <c r="I36" s="26" t="s">
        <v>443</v>
      </c>
      <c r="J36" s="26" t="s">
        <v>1040</v>
      </c>
      <c r="K36" s="26" t="s">
        <v>953</v>
      </c>
      <c r="L36" s="26" t="s">
        <v>931</v>
      </c>
      <c r="M36" s="26" t="s">
        <v>1376</v>
      </c>
      <c r="Q36" s="27"/>
      <c r="R36" s="26">
        <v>4698</v>
      </c>
      <c r="S36" s="26">
        <v>1200</v>
      </c>
      <c r="T36" s="26">
        <f>IF(Table2[[#This Row],[PMT]]="NA","NA",Table2[[#This Row],[PMT]]+1)</f>
        <v>1201</v>
      </c>
      <c r="U36" s="26">
        <f>IF(Table2[[#This Row],[PMT]]="NA","NA",Table2[[#This Row],[PMT]]+2)</f>
        <v>1202</v>
      </c>
      <c r="V36" s="26">
        <v>0</v>
      </c>
      <c r="W36" s="26">
        <f>IF(Table2[[#This Row],[PMT]]="NA","NA",Table2[[#This Row],[PMT]]+8)-Table2[[#This Row],[Const]]</f>
        <v>1208</v>
      </c>
      <c r="X36" s="26" t="str">
        <f>IF(W36="NA","",CONCATENATE("0B 04 00 ",DEC2HEX($G36,2)," ",LEFT(DEC2HEX(W36,4),2)," ",RIGHT(DEC2HEX(W36,4),2)))</f>
        <v>0B 04 00 04 04 B8</v>
      </c>
      <c r="Y36" s="26">
        <f>IF(Table2[[#This Row],[PMT]]="NA","NA",Table2[[#This Row],[PMT]]+14)-Table2[[#This Row],[Const]]</f>
        <v>1214</v>
      </c>
      <c r="Z36" s="26" t="str">
        <f>IF(Y36="NA","",CONCATENATE("0B 04 00 ",DEC2HEX($G36,2)," ",LEFT(DEC2HEX(Y36,4),2)," ",RIGHT(DEC2HEX(Y36,4),2)))</f>
        <v>0B 04 00 04 04 BE</v>
      </c>
      <c r="AA36" s="26"/>
      <c r="AB36" s="26"/>
      <c r="AC36" s="26"/>
      <c r="AD36" s="26" t="s">
        <v>814</v>
      </c>
      <c r="AE36" s="26"/>
      <c r="AF36" s="26"/>
      <c r="AI36" s="26"/>
      <c r="AJ36" s="26"/>
      <c r="AL36" s="26"/>
      <c r="AW36" s="26"/>
      <c r="AX36" s="26"/>
      <c r="AY36" s="26"/>
    </row>
    <row r="37" spans="1:51" hidden="1" x14ac:dyDescent="0.25">
      <c r="A37" s="26">
        <v>33</v>
      </c>
      <c r="B37" s="26" t="s">
        <v>346</v>
      </c>
      <c r="C37" s="26" t="s">
        <v>346</v>
      </c>
      <c r="D37" s="27" t="s">
        <v>1323</v>
      </c>
      <c r="E37" s="26">
        <v>133</v>
      </c>
      <c r="F37" s="26" t="s">
        <v>346</v>
      </c>
      <c r="G37" s="26">
        <v>7</v>
      </c>
      <c r="H37" s="26" t="s">
        <v>349</v>
      </c>
      <c r="I37" s="26" t="s">
        <v>1084</v>
      </c>
      <c r="J37" s="26" t="s">
        <v>1038</v>
      </c>
      <c r="K37" s="26" t="s">
        <v>1039</v>
      </c>
      <c r="L37" s="26" t="s">
        <v>931</v>
      </c>
      <c r="M37" s="28"/>
      <c r="N37" s="31"/>
      <c r="O37" s="31"/>
      <c r="P37" s="31"/>
      <c r="Q37" s="32"/>
      <c r="R37" s="31"/>
      <c r="S37" s="31"/>
      <c r="T37" s="31">
        <f>IF(Table2[[#This Row],[PMT]]="NA","NA",Table2[[#This Row],[PMT]]+1)</f>
        <v>1</v>
      </c>
      <c r="U37" s="31">
        <f>IF(Table2[[#This Row],[PMT]]="NA","NA",Table2[[#This Row],[PMT]]+2)</f>
        <v>2</v>
      </c>
      <c r="V37" s="26"/>
      <c r="W37" s="31">
        <f>IF(Table2[[#This Row],[PMT]]="NA","NA",Table2[[#This Row],[PMT]]+8)-Table2[[#This Row],[Const]]</f>
        <v>8</v>
      </c>
      <c r="X37" s="31" t="str">
        <f>IF(W37="NA","",CONCATENATE("0B 04 00 ",DEC2HEX($G37,2)," ",LEFT(DEC2HEX(W37,4),2)," ",RIGHT(DEC2HEX(W37,4),2)))</f>
        <v>0B 04 00 07 00 08</v>
      </c>
      <c r="Y37" s="31">
        <f>IF(Table2[[#This Row],[PMT]]="NA","NA",Table2[[#This Row],[PMT]]+14)-Table2[[#This Row],[Const]]</f>
        <v>14</v>
      </c>
      <c r="Z37" s="31" t="str">
        <f>IF(Y37="NA","",CONCATENATE("0B 04 00 ",DEC2HEX($G37,2)," ",LEFT(DEC2HEX(Y37,4),2)," ",RIGHT(DEC2HEX(Y37,4),2)))</f>
        <v>0B 04 00 07 00 0E</v>
      </c>
      <c r="AA37" s="26"/>
      <c r="AB37" s="26"/>
      <c r="AC37" s="31"/>
      <c r="AD37" s="31"/>
      <c r="AE37" s="26"/>
      <c r="AF37" s="26"/>
      <c r="AI37" s="26"/>
      <c r="AJ37" s="26"/>
      <c r="AL37" s="26"/>
      <c r="AW37" s="26"/>
      <c r="AX37" s="26"/>
      <c r="AY37" s="26"/>
    </row>
    <row r="38" spans="1:51" x14ac:dyDescent="0.25">
      <c r="A38" s="26">
        <v>17</v>
      </c>
      <c r="B38" s="26" t="s">
        <v>312</v>
      </c>
      <c r="C38" s="26">
        <v>2000</v>
      </c>
      <c r="D38" s="27" t="s">
        <v>359</v>
      </c>
      <c r="E38" s="26">
        <v>115</v>
      </c>
      <c r="F38" s="26">
        <v>2</v>
      </c>
      <c r="G38" s="26">
        <v>2</v>
      </c>
      <c r="H38" s="26" t="s">
        <v>349</v>
      </c>
      <c r="I38" s="26" t="s">
        <v>443</v>
      </c>
      <c r="J38" s="26" t="s">
        <v>1002</v>
      </c>
      <c r="K38" s="26" t="s">
        <v>953</v>
      </c>
      <c r="L38" s="26" t="s">
        <v>931</v>
      </c>
      <c r="M38" s="28" t="s">
        <v>1377</v>
      </c>
      <c r="Q38" s="27" t="s">
        <v>1048</v>
      </c>
      <c r="R38" s="26">
        <v>12069</v>
      </c>
      <c r="S38" s="26">
        <v>1760</v>
      </c>
      <c r="T38" s="26">
        <f>IF(Table2[[#This Row],[PMT]]="NA","NA",Table2[[#This Row],[PMT]]+1)</f>
        <v>1761</v>
      </c>
      <c r="U38" s="26">
        <f>IF(Table2[[#This Row],[PMT]]="NA","NA",Table2[[#This Row],[PMT]]+2)</f>
        <v>1762</v>
      </c>
      <c r="V38" s="26">
        <v>0</v>
      </c>
      <c r="W38" s="26">
        <f>IF(Table2[[#This Row],[PMT]]="NA","NA",Table2[[#This Row],[PMT]]+8)-Table2[[#This Row],[Const]]</f>
        <v>1768</v>
      </c>
      <c r="X38" s="26" t="str">
        <f>IF(W38="NA","",CONCATENATE("0B 04 00 ",DEC2HEX($G38,2)," ",LEFT(DEC2HEX(W38,4),2)," ",RIGHT(DEC2HEX(W38,4),2)))</f>
        <v>0B 04 00 02 06 E8</v>
      </c>
      <c r="Y38" s="26">
        <f>IF(Table2[[#This Row],[PMT]]="NA","NA",Table2[[#This Row],[PMT]]+14)-Table2[[#This Row],[Const]]</f>
        <v>1774</v>
      </c>
      <c r="Z38" s="26" t="str">
        <f>IF(Y38="NA","",CONCATENATE("0B 04 00 ",DEC2HEX($G38,2)," ",LEFT(DEC2HEX(Y38,4),2)," ",RIGHT(DEC2HEX(Y38,4),2)))</f>
        <v>0B 04 00 02 06 EE</v>
      </c>
      <c r="AA38" s="26" t="s">
        <v>349</v>
      </c>
      <c r="AB38" s="26" t="s">
        <v>443</v>
      </c>
      <c r="AC38" s="26"/>
      <c r="AD38" s="26" t="s">
        <v>814</v>
      </c>
      <c r="AE38" s="26"/>
      <c r="AF38" s="26"/>
      <c r="AI38" s="26"/>
      <c r="AJ38" s="26"/>
      <c r="AL38" s="26"/>
      <c r="AW38" s="26"/>
      <c r="AX38" s="26"/>
      <c r="AY38" s="26"/>
    </row>
    <row r="39" spans="1:51" hidden="1" x14ac:dyDescent="0.25">
      <c r="A39" s="26">
        <v>35</v>
      </c>
      <c r="B39" s="26" t="s">
        <v>346</v>
      </c>
      <c r="C39" s="26" t="s">
        <v>346</v>
      </c>
      <c r="D39" s="27" t="s">
        <v>1324</v>
      </c>
      <c r="E39" s="26">
        <v>135</v>
      </c>
      <c r="F39" s="26" t="s">
        <v>346</v>
      </c>
      <c r="G39" s="26">
        <v>7</v>
      </c>
      <c r="H39" s="26" t="s">
        <v>349</v>
      </c>
      <c r="I39" s="26" t="s">
        <v>443</v>
      </c>
      <c r="J39" s="26" t="s">
        <v>1038</v>
      </c>
      <c r="K39" s="26" t="s">
        <v>1039</v>
      </c>
      <c r="L39" s="26" t="s">
        <v>931</v>
      </c>
      <c r="M39" s="28" t="s">
        <v>1376</v>
      </c>
      <c r="N39" s="31"/>
      <c r="O39" s="31"/>
      <c r="P39" s="31"/>
      <c r="Q39" s="32"/>
      <c r="R39" s="31"/>
      <c r="S39" s="31"/>
      <c r="T39" s="31">
        <f>IF(Table2[[#This Row],[PMT]]="NA","NA",Table2[[#This Row],[PMT]]+1)</f>
        <v>1</v>
      </c>
      <c r="U39" s="31">
        <f>IF(Table2[[#This Row],[PMT]]="NA","NA",Table2[[#This Row],[PMT]]+2)</f>
        <v>2</v>
      </c>
      <c r="V39" s="26"/>
      <c r="W39" s="31">
        <f>IF(Table2[[#This Row],[PMT]]="NA","NA",Table2[[#This Row],[PMT]]+8)-Table2[[#This Row],[Const]]</f>
        <v>8</v>
      </c>
      <c r="X39" s="31" t="str">
        <f>IF(W39="NA","",CONCATENATE("0B 04 00 ",DEC2HEX($G39,2)," ",LEFT(DEC2HEX(W39,4),2)," ",RIGHT(DEC2HEX(W39,4),2)))</f>
        <v>0B 04 00 07 00 08</v>
      </c>
      <c r="Y39" s="31">
        <f>IF(Table2[[#This Row],[PMT]]="NA","NA",Table2[[#This Row],[PMT]]+14)-Table2[[#This Row],[Const]]</f>
        <v>14</v>
      </c>
      <c r="Z39" s="31" t="str">
        <f>IF(Y39="NA","",CONCATENATE("0B 04 00 ",DEC2HEX($G39,2)," ",LEFT(DEC2HEX(Y39,4),2)," ",RIGHT(DEC2HEX(Y39,4),2)))</f>
        <v>0B 04 00 07 00 0E</v>
      </c>
      <c r="AA39" s="26"/>
      <c r="AB39" s="26"/>
      <c r="AC39" s="31"/>
      <c r="AD39" s="31"/>
      <c r="AE39" s="26"/>
      <c r="AF39" s="26"/>
      <c r="AI39" s="26"/>
      <c r="AJ39" s="26"/>
      <c r="AL39" s="26"/>
      <c r="AW39" s="26"/>
      <c r="AX39" s="26"/>
      <c r="AY39" s="26"/>
    </row>
    <row r="40" spans="1:51" x14ac:dyDescent="0.25">
      <c r="A40" s="26">
        <v>25</v>
      </c>
      <c r="B40" s="26" t="s">
        <v>165</v>
      </c>
      <c r="C40" s="26">
        <v>5180</v>
      </c>
      <c r="D40" s="27" t="s">
        <v>365</v>
      </c>
      <c r="E40" s="26">
        <v>123</v>
      </c>
      <c r="F40" s="26">
        <v>3</v>
      </c>
      <c r="G40" s="26">
        <v>3</v>
      </c>
      <c r="H40" s="26" t="s">
        <v>349</v>
      </c>
      <c r="I40" s="26" t="s">
        <v>443</v>
      </c>
      <c r="J40" s="26" t="s">
        <v>1040</v>
      </c>
      <c r="K40" s="26" t="s">
        <v>953</v>
      </c>
      <c r="L40" s="26" t="s">
        <v>931</v>
      </c>
      <c r="M40" s="28" t="s">
        <v>1377</v>
      </c>
      <c r="Q40" s="27"/>
      <c r="R40" s="26">
        <v>2115</v>
      </c>
      <c r="S40" s="26">
        <v>6100</v>
      </c>
      <c r="T40" s="26">
        <f>IF(Table2[[#This Row],[PMT]]="NA","NA",Table2[[#This Row],[PMT]]+1)</f>
        <v>6101</v>
      </c>
      <c r="U40" s="26">
        <f>IF(Table2[[#This Row],[PMT]]="NA","NA",Table2[[#This Row],[PMT]]+2)</f>
        <v>6102</v>
      </c>
      <c r="V40" s="26">
        <v>-1</v>
      </c>
      <c r="W40" s="26">
        <f>IF(Table2[[#This Row],[PMT]]="NA","NA",Table2[[#This Row],[PMT]]+8)-Table2[[#This Row],[Const]]</f>
        <v>6109</v>
      </c>
      <c r="X40" s="26" t="str">
        <f>IF(W40="NA","",CONCATENATE("0B 04 00 ",DEC2HEX($G40,2)," ",LEFT(DEC2HEX(W40,4),2)," ",RIGHT(DEC2HEX(W40,4),2)))</f>
        <v>0B 04 00 03 17 DD</v>
      </c>
      <c r="Y40" s="26">
        <f>IF(Table2[[#This Row],[PMT]]="NA","NA",Table2[[#This Row],[PMT]]+14)-Table2[[#This Row],[Const]]</f>
        <v>6115</v>
      </c>
      <c r="Z40" s="26" t="str">
        <f>IF(Y40="NA","",CONCATENATE("0B 04 00 ",DEC2HEX($G40,2)," ",LEFT(DEC2HEX(Y40,4),2)," ",RIGHT(DEC2HEX(Y40,4),2)))</f>
        <v>0B 04 00 03 17 E3</v>
      </c>
      <c r="AA40" s="26" t="s">
        <v>349</v>
      </c>
      <c r="AB40" s="26" t="s">
        <v>443</v>
      </c>
      <c r="AC40" s="26"/>
      <c r="AD40" s="26" t="s">
        <v>814</v>
      </c>
      <c r="AE40" s="26"/>
      <c r="AF40" s="26"/>
      <c r="AI40" s="26"/>
      <c r="AJ40" s="26"/>
      <c r="AL40" s="26"/>
      <c r="AW40" s="26"/>
      <c r="AX40" s="26"/>
      <c r="AY40" s="26"/>
    </row>
    <row r="41" spans="1:51" hidden="1" x14ac:dyDescent="0.25">
      <c r="A41" s="26">
        <v>37</v>
      </c>
      <c r="B41" s="26" t="s">
        <v>346</v>
      </c>
      <c r="C41" s="26" t="s">
        <v>346</v>
      </c>
      <c r="D41" s="27" t="s">
        <v>370</v>
      </c>
      <c r="E41" s="26">
        <v>138</v>
      </c>
      <c r="F41" s="26" t="s">
        <v>346</v>
      </c>
      <c r="G41" s="26">
        <v>2</v>
      </c>
      <c r="H41" s="26" t="s">
        <v>349</v>
      </c>
      <c r="I41" s="26" t="s">
        <v>443</v>
      </c>
      <c r="J41" s="26" t="s">
        <v>1038</v>
      </c>
      <c r="K41" s="26" t="s">
        <v>1039</v>
      </c>
      <c r="L41" s="26" t="s">
        <v>931</v>
      </c>
      <c r="M41" s="28" t="s">
        <v>1376</v>
      </c>
      <c r="Q41" s="27"/>
      <c r="R41" s="26">
        <v>12108</v>
      </c>
      <c r="S41" s="26">
        <v>1540</v>
      </c>
      <c r="T41" s="26">
        <f>IF(Table2[[#This Row],[PMT]]="NA","NA",Table2[[#This Row],[PMT]]+1)</f>
        <v>1541</v>
      </c>
      <c r="U41" s="26">
        <f>IF(Table2[[#This Row],[PMT]]="NA","NA",Table2[[#This Row],[PMT]]+2)</f>
        <v>1542</v>
      </c>
      <c r="V41" s="26">
        <v>0</v>
      </c>
      <c r="W41" s="26">
        <f>IF(Table2[[#This Row],[PMT]]="NA","NA",Table2[[#This Row],[PMT]]+8)-Table2[[#This Row],[Const]]</f>
        <v>1548</v>
      </c>
      <c r="X41" s="26" t="str">
        <f>IF(W41="NA","",CONCATENATE("0B 04 00 ",DEC2HEX($G41,2)," ",LEFT(DEC2HEX(W41,4),2)," ",RIGHT(DEC2HEX(W41,4),2)))</f>
        <v>0B 04 00 02 06 0C</v>
      </c>
      <c r="Y41" s="26">
        <f>IF(Table2[[#This Row],[PMT]]="NA","NA",Table2[[#This Row],[PMT]]+14)-Table2[[#This Row],[Const]]</f>
        <v>1554</v>
      </c>
      <c r="Z41" s="26" t="str">
        <f>IF(Y41="NA","",CONCATENATE("0B 04 00 ",DEC2HEX($G41,2)," ",LEFT(DEC2HEX(Y41,4),2)," ",RIGHT(DEC2HEX(Y41,4),2)))</f>
        <v>0B 04 00 02 06 12</v>
      </c>
      <c r="AA41" s="26" t="s">
        <v>349</v>
      </c>
      <c r="AB41" s="26" t="s">
        <v>443</v>
      </c>
      <c r="AC41" s="26"/>
      <c r="AD41" s="26" t="s">
        <v>346</v>
      </c>
      <c r="AE41" s="26"/>
      <c r="AF41" s="26"/>
      <c r="AI41" s="26"/>
      <c r="AJ41" s="26"/>
      <c r="AL41" s="26"/>
      <c r="AW41" s="26"/>
      <c r="AX41" s="26"/>
      <c r="AY41" s="26"/>
    </row>
    <row r="42" spans="1:51" x14ac:dyDescent="0.25">
      <c r="A42" s="26">
        <v>139</v>
      </c>
      <c r="B42" s="26" t="s">
        <v>193</v>
      </c>
      <c r="C42" s="26">
        <v>5180</v>
      </c>
      <c r="D42" s="27" t="s">
        <v>459</v>
      </c>
      <c r="E42" s="26">
        <v>318</v>
      </c>
      <c r="F42" s="26">
        <v>6</v>
      </c>
      <c r="G42" s="26">
        <v>6</v>
      </c>
      <c r="H42" s="26" t="s">
        <v>1057</v>
      </c>
      <c r="I42" s="26" t="s">
        <v>1084</v>
      </c>
      <c r="J42" s="26" t="s">
        <v>1040</v>
      </c>
      <c r="K42" s="26" t="s">
        <v>953</v>
      </c>
      <c r="L42" s="26" t="s">
        <v>931</v>
      </c>
      <c r="M42" s="28"/>
      <c r="Q42" s="27"/>
      <c r="R42" s="26">
        <v>6306</v>
      </c>
      <c r="S42" s="26">
        <v>1700</v>
      </c>
      <c r="T42" s="26">
        <f>IF(Table2[[#This Row],[PMT]]="NA","NA",Table2[[#This Row],[PMT]]+1)</f>
        <v>1701</v>
      </c>
      <c r="U42" s="26">
        <f>IF(Table2[[#This Row],[PMT]]="NA","NA",Table2[[#This Row],[PMT]]+2)</f>
        <v>1702</v>
      </c>
      <c r="V42" s="26">
        <v>0</v>
      </c>
      <c r="W42" s="26">
        <f>IF(Table2[[#This Row],[PMT]]="NA","NA",Table2[[#This Row],[PMT]]+8)-Table2[[#This Row],[Const]]</f>
        <v>1708</v>
      </c>
      <c r="X42" s="26" t="str">
        <f>IF(W42="NA","",CONCATENATE("0B 04 00 ",DEC2HEX($G42,2)," ",LEFT(DEC2HEX(W42,4),2)," ",RIGHT(DEC2HEX(W42,4),2)))</f>
        <v>0B 04 00 06 06 AC</v>
      </c>
      <c r="Y42" s="26">
        <f>IF(Table2[[#This Row],[PMT]]="NA","NA",Table2[[#This Row],[PMT]]+14)-Table2[[#This Row],[Const]]</f>
        <v>1714</v>
      </c>
      <c r="Z42" s="26" t="str">
        <f>IF(Y42="NA","",CONCATENATE("0B 04 00 ",DEC2HEX($G42,2)," ",LEFT(DEC2HEX(Y42,4),2)," ",RIGHT(DEC2HEX(Y42,4),2)))</f>
        <v>0B 04 00 06 06 B2</v>
      </c>
      <c r="AA42" s="26" t="s">
        <v>1057</v>
      </c>
      <c r="AB42" s="26" t="s">
        <v>1084</v>
      </c>
      <c r="AC42" s="26"/>
      <c r="AD42" s="26" t="s">
        <v>814</v>
      </c>
      <c r="AE42" s="26"/>
      <c r="AF42" s="26"/>
      <c r="AI42" s="26"/>
      <c r="AJ42" s="26"/>
      <c r="AL42" s="26"/>
      <c r="AW42" s="26"/>
      <c r="AX42" s="26"/>
      <c r="AY42" s="26"/>
    </row>
    <row r="43" spans="1:51" x14ac:dyDescent="0.25">
      <c r="A43" s="26">
        <v>262</v>
      </c>
      <c r="B43" s="26" t="s">
        <v>160</v>
      </c>
      <c r="C43" s="26">
        <v>5180</v>
      </c>
      <c r="D43" s="27" t="s">
        <v>556</v>
      </c>
      <c r="E43" s="26">
        <v>586</v>
      </c>
      <c r="F43" s="26">
        <v>2</v>
      </c>
      <c r="G43" s="26">
        <v>2</v>
      </c>
      <c r="H43" s="26" t="s">
        <v>1352</v>
      </c>
      <c r="I43" s="26" t="s">
        <v>1353</v>
      </c>
      <c r="J43" s="26" t="s">
        <v>1040</v>
      </c>
      <c r="K43" s="26" t="s">
        <v>953</v>
      </c>
      <c r="L43" s="26" t="s">
        <v>931</v>
      </c>
      <c r="M43" s="28" t="s">
        <v>1376</v>
      </c>
      <c r="Q43" s="27"/>
      <c r="R43" s="26">
        <v>6586</v>
      </c>
      <c r="S43" s="26">
        <v>7800</v>
      </c>
      <c r="T43" s="26">
        <f>IF(Table2[[#This Row],[PMT]]="NA","NA",Table2[[#This Row],[PMT]]+1)</f>
        <v>7801</v>
      </c>
      <c r="U43" s="26">
        <f>IF(Table2[[#This Row],[PMT]]="NA","NA",Table2[[#This Row],[PMT]]+2)</f>
        <v>7802</v>
      </c>
      <c r="V43" s="26">
        <v>0</v>
      </c>
      <c r="W43" s="26">
        <f>IF(Table2[[#This Row],[PMT]]="NA","NA",Table2[[#This Row],[PMT]]+8)-Table2[[#This Row],[Const]]</f>
        <v>7808</v>
      </c>
      <c r="X43" s="26" t="str">
        <f>IF(W43="NA","",CONCATENATE("0B 04 00 ",DEC2HEX($G43,2)," ",LEFT(DEC2HEX(W43,4),2)," ",RIGHT(DEC2HEX(W43,4),2)))</f>
        <v>0B 04 00 02 1E 80</v>
      </c>
      <c r="Y43" s="26">
        <f>IF(Table2[[#This Row],[PMT]]="NA","NA",Table2[[#This Row],[PMT]]+14)-Table2[[#This Row],[Const]]</f>
        <v>7814</v>
      </c>
      <c r="Z43" s="26" t="str">
        <f>IF(Y43="NA","",CONCATENATE("0B 04 00 ",DEC2HEX($G43,2)," ",LEFT(DEC2HEX(Y43,4),2)," ",RIGHT(DEC2HEX(Y43,4),2)))</f>
        <v>0B 04 00 02 1E 86</v>
      </c>
      <c r="AA43" s="26"/>
      <c r="AB43" s="26"/>
      <c r="AC43" s="26"/>
      <c r="AD43" s="26" t="s">
        <v>1079</v>
      </c>
      <c r="AE43" s="26"/>
      <c r="AF43" s="26"/>
      <c r="AI43" s="26"/>
      <c r="AJ43" s="26"/>
      <c r="AL43" s="26"/>
      <c r="AW43" s="26"/>
      <c r="AX43" s="26"/>
      <c r="AY43" s="26"/>
    </row>
    <row r="44" spans="1:51" hidden="1" x14ac:dyDescent="0.25">
      <c r="A44" s="26">
        <v>40</v>
      </c>
      <c r="B44" s="26" t="s">
        <v>346</v>
      </c>
      <c r="C44" s="26" t="s">
        <v>346</v>
      </c>
      <c r="D44" s="27" t="s">
        <v>373</v>
      </c>
      <c r="E44" s="26">
        <v>147</v>
      </c>
      <c r="F44" s="26" t="s">
        <v>346</v>
      </c>
      <c r="G44" s="26">
        <v>11</v>
      </c>
      <c r="H44" s="26" t="s">
        <v>349</v>
      </c>
      <c r="I44" s="26" t="s">
        <v>1084</v>
      </c>
      <c r="J44" s="26" t="s">
        <v>1038</v>
      </c>
      <c r="K44" s="26" t="s">
        <v>1039</v>
      </c>
      <c r="L44" s="26" t="s">
        <v>931</v>
      </c>
      <c r="M44" s="26" t="s">
        <v>1377</v>
      </c>
      <c r="N44" s="26" t="s">
        <v>1086</v>
      </c>
      <c r="O44" s="26" t="s">
        <v>1091</v>
      </c>
      <c r="P44" s="26">
        <v>3940</v>
      </c>
      <c r="Q44" s="27" t="s">
        <v>1043</v>
      </c>
      <c r="R44" s="26">
        <v>12129</v>
      </c>
      <c r="S44" s="26">
        <v>4700</v>
      </c>
      <c r="T44" s="26">
        <f>IF(Table2[[#This Row],[PMT]]="NA","NA",Table2[[#This Row],[PMT]]+1)</f>
        <v>4701</v>
      </c>
      <c r="U44" s="26">
        <f>IF(Table2[[#This Row],[PMT]]="NA","NA",Table2[[#This Row],[PMT]]+2)</f>
        <v>4702</v>
      </c>
      <c r="V44" s="26">
        <v>0</v>
      </c>
      <c r="W44" s="26">
        <f>IF(Table2[[#This Row],[PMT]]="NA","NA",Table2[[#This Row],[PMT]]+8)-Table2[[#This Row],[Const]]</f>
        <v>4708</v>
      </c>
      <c r="X44" s="26" t="str">
        <f>IF(W44="NA","",CONCATENATE("0B 04 00 ",DEC2HEX($G44,2)," ",LEFT(DEC2HEX(W44,4),2)," ",RIGHT(DEC2HEX(W44,4),2)))</f>
        <v>0B 04 00 0B 12 64</v>
      </c>
      <c r="Y44" s="26">
        <f>IF(Table2[[#This Row],[PMT]]="NA","NA",Table2[[#This Row],[PMT]]+14)-Table2[[#This Row],[Const]]</f>
        <v>4714</v>
      </c>
      <c r="Z44" s="26" t="str">
        <f>IF(Y44="NA","",CONCATENATE("0B 04 00 ",DEC2HEX($G44,2)," ",LEFT(DEC2HEX(Y44,4),2)," ",RIGHT(DEC2HEX(Y44,4),2)))</f>
        <v>0B 04 00 0B 12 6A</v>
      </c>
      <c r="AA44" s="26" t="s">
        <v>349</v>
      </c>
      <c r="AB44" s="26" t="s">
        <v>1084</v>
      </c>
      <c r="AC44" s="26">
        <v>28100</v>
      </c>
      <c r="AD44" s="26" t="s">
        <v>346</v>
      </c>
      <c r="AE44" s="26"/>
      <c r="AF44" s="26"/>
      <c r="AI44" s="26"/>
      <c r="AJ44" s="26"/>
      <c r="AL44" s="26"/>
      <c r="AW44" s="26"/>
      <c r="AX44" s="26"/>
      <c r="AY44" s="26"/>
    </row>
    <row r="45" spans="1:51" x14ac:dyDescent="0.25">
      <c r="A45" s="26">
        <v>111</v>
      </c>
      <c r="B45" s="26" t="s">
        <v>222</v>
      </c>
      <c r="C45" s="26">
        <v>5180</v>
      </c>
      <c r="D45" s="27" t="s">
        <v>436</v>
      </c>
      <c r="E45" s="26">
        <v>268</v>
      </c>
      <c r="F45" s="26">
        <v>2</v>
      </c>
      <c r="G45" s="26">
        <v>2</v>
      </c>
      <c r="H45" s="26" t="s">
        <v>1057</v>
      </c>
      <c r="I45" s="26" t="s">
        <v>443</v>
      </c>
      <c r="J45" s="26" t="s">
        <v>1040</v>
      </c>
      <c r="K45" s="26" t="s">
        <v>953</v>
      </c>
      <c r="L45" s="26" t="s">
        <v>931</v>
      </c>
      <c r="M45" s="28" t="s">
        <v>1377</v>
      </c>
      <c r="Q45" s="27"/>
      <c r="R45" s="26">
        <v>6285</v>
      </c>
      <c r="S45" s="26">
        <v>340</v>
      </c>
      <c r="T45" s="26">
        <f>IF(Table2[[#This Row],[PMT]]="NA","NA",Table2[[#This Row],[PMT]]+1)</f>
        <v>341</v>
      </c>
      <c r="U45" s="26">
        <f>IF(Table2[[#This Row],[PMT]]="NA","NA",Table2[[#This Row],[PMT]]+2)</f>
        <v>342</v>
      </c>
      <c r="V45" s="26">
        <v>0</v>
      </c>
      <c r="W45" s="26">
        <f>IF(Table2[[#This Row],[PMT]]="NA","NA",Table2[[#This Row],[PMT]]+8)-Table2[[#This Row],[Const]]</f>
        <v>348</v>
      </c>
      <c r="X45" s="26" t="str">
        <f>IF(W45="NA","",CONCATENATE("0B 04 00 ",DEC2HEX($G45,2)," ",LEFT(DEC2HEX(W45,4),2)," ",RIGHT(DEC2HEX(W45,4),2)))</f>
        <v>0B 04 00 02 01 5C</v>
      </c>
      <c r="Y45" s="26">
        <f>IF(Table2[[#This Row],[PMT]]="NA","NA",Table2[[#This Row],[PMT]]+14)-Table2[[#This Row],[Const]]</f>
        <v>354</v>
      </c>
      <c r="Z45" s="26" t="str">
        <f>IF(Y45="NA","",CONCATENATE("0B 04 00 ",DEC2HEX($G45,2)," ",LEFT(DEC2HEX(Y45,4),2)," ",RIGHT(DEC2HEX(Y45,4),2)))</f>
        <v>0B 04 00 02 01 62</v>
      </c>
      <c r="AA45" s="26" t="s">
        <v>1057</v>
      </c>
      <c r="AB45" s="26" t="s">
        <v>443</v>
      </c>
      <c r="AC45" s="26"/>
      <c r="AD45" s="26" t="s">
        <v>818</v>
      </c>
      <c r="AE45" s="26"/>
      <c r="AF45" s="26"/>
      <c r="AI45" s="26"/>
      <c r="AJ45" s="26"/>
      <c r="AL45" s="26"/>
      <c r="AW45" s="26"/>
      <c r="AX45" s="26"/>
      <c r="AY45" s="26"/>
    </row>
    <row r="46" spans="1:51" hidden="1" x14ac:dyDescent="0.25">
      <c r="A46" s="26">
        <v>42</v>
      </c>
      <c r="B46" s="26" t="s">
        <v>346</v>
      </c>
      <c r="C46" s="26" t="s">
        <v>346</v>
      </c>
      <c r="D46" s="27" t="s">
        <v>375</v>
      </c>
      <c r="E46" s="26">
        <v>149</v>
      </c>
      <c r="F46" s="26" t="s">
        <v>346</v>
      </c>
      <c r="G46" s="26">
        <v>10</v>
      </c>
      <c r="H46" s="26" t="s">
        <v>349</v>
      </c>
      <c r="I46" s="26" t="s">
        <v>1084</v>
      </c>
      <c r="J46" s="26" t="s">
        <v>1038</v>
      </c>
      <c r="K46" s="26" t="s">
        <v>1039</v>
      </c>
      <c r="L46" s="26" t="s">
        <v>931</v>
      </c>
      <c r="M46" s="26" t="s">
        <v>1377</v>
      </c>
      <c r="N46" s="26" t="s">
        <v>1086</v>
      </c>
      <c r="O46" s="26" t="s">
        <v>1091</v>
      </c>
      <c r="P46" s="26">
        <v>3940</v>
      </c>
      <c r="Q46" s="27" t="s">
        <v>1043</v>
      </c>
      <c r="R46" s="26">
        <v>10150</v>
      </c>
      <c r="S46" s="26">
        <v>500</v>
      </c>
      <c r="T46" s="26">
        <f>IF(Table2[[#This Row],[PMT]]="NA","NA",Table2[[#This Row],[PMT]]+1)</f>
        <v>501</v>
      </c>
      <c r="U46" s="26">
        <f>IF(Table2[[#This Row],[PMT]]="NA","NA",Table2[[#This Row],[PMT]]+2)</f>
        <v>502</v>
      </c>
      <c r="V46" s="26">
        <v>0</v>
      </c>
      <c r="W46" s="26">
        <f>IF(Table2[[#This Row],[PMT]]="NA","NA",Table2[[#This Row],[PMT]]+8)-Table2[[#This Row],[Const]]</f>
        <v>508</v>
      </c>
      <c r="X46" s="26" t="str">
        <f>IF(W46="NA","",CONCATENATE("0B 04 00 ",DEC2HEX($G46,2)," ",LEFT(DEC2HEX(W46,4),2)," ",RIGHT(DEC2HEX(W46,4),2)))</f>
        <v>0B 04 00 0A 01 FC</v>
      </c>
      <c r="Y46" s="26">
        <f>IF(Table2[[#This Row],[PMT]]="NA","NA",Table2[[#This Row],[PMT]]+14)-Table2[[#This Row],[Const]]</f>
        <v>514</v>
      </c>
      <c r="Z46" s="26" t="str">
        <f>IF(Y46="NA","",CONCATENATE("0B 04 00 ",DEC2HEX($G46,2)," ",LEFT(DEC2HEX(Y46,4),2)," ",RIGHT(DEC2HEX(Y46,4),2)))</f>
        <v>0B 04 00 0A 02 02</v>
      </c>
      <c r="AA46" s="26" t="s">
        <v>349</v>
      </c>
      <c r="AB46" s="26" t="s">
        <v>1084</v>
      </c>
      <c r="AC46" s="26">
        <v>28100</v>
      </c>
      <c r="AD46" s="26" t="s">
        <v>346</v>
      </c>
      <c r="AE46" s="26"/>
      <c r="AF46" s="26"/>
      <c r="AI46" s="26"/>
      <c r="AJ46" s="26"/>
      <c r="AL46" s="26"/>
      <c r="AW46" s="26"/>
      <c r="AX46" s="26"/>
      <c r="AY46" s="26"/>
    </row>
    <row r="47" spans="1:51" x14ac:dyDescent="0.25">
      <c r="A47" s="26">
        <v>136</v>
      </c>
      <c r="B47" s="26" t="s">
        <v>185</v>
      </c>
      <c r="C47" s="26">
        <v>5180</v>
      </c>
      <c r="D47" s="27" t="s">
        <v>455</v>
      </c>
      <c r="E47" s="26">
        <v>312</v>
      </c>
      <c r="F47" s="26">
        <v>4</v>
      </c>
      <c r="G47" s="26">
        <v>4</v>
      </c>
      <c r="H47" s="26" t="s">
        <v>1057</v>
      </c>
      <c r="I47" s="26" t="s">
        <v>1084</v>
      </c>
      <c r="J47" s="26" t="s">
        <v>1040</v>
      </c>
      <c r="K47" s="26" t="s">
        <v>953</v>
      </c>
      <c r="L47" s="26" t="s">
        <v>931</v>
      </c>
      <c r="M47" s="28" t="s">
        <v>1377</v>
      </c>
      <c r="Q47" s="27"/>
      <c r="R47" s="26">
        <v>6304</v>
      </c>
      <c r="S47" s="26">
        <v>7400</v>
      </c>
      <c r="T47" s="26">
        <f>IF(Table2[[#This Row],[PMT]]="NA","NA",Table2[[#This Row],[PMT]]+1)</f>
        <v>7401</v>
      </c>
      <c r="U47" s="26">
        <f>IF(Table2[[#This Row],[PMT]]="NA","NA",Table2[[#This Row],[PMT]]+2)</f>
        <v>7402</v>
      </c>
      <c r="V47" s="26">
        <v>0</v>
      </c>
      <c r="W47" s="26">
        <f>IF(Table2[[#This Row],[PMT]]="NA","NA",Table2[[#This Row],[PMT]]+8)-Table2[[#This Row],[Const]]</f>
        <v>7408</v>
      </c>
      <c r="X47" s="26" t="str">
        <f>IF(W47="NA","",CONCATENATE("0B 04 00 ",DEC2HEX($G47,2)," ",LEFT(DEC2HEX(W47,4),2)," ",RIGHT(DEC2HEX(W47,4),2)))</f>
        <v>0B 04 00 04 1C F0</v>
      </c>
      <c r="Y47" s="26">
        <f>IF(Table2[[#This Row],[PMT]]="NA","NA",Table2[[#This Row],[PMT]]+14)-Table2[[#This Row],[Const]]</f>
        <v>7414</v>
      </c>
      <c r="Z47" s="26" t="str">
        <f>IF(Y47="NA","",CONCATENATE("0B 04 00 ",DEC2HEX($G47,2)," ",LEFT(DEC2HEX(Y47,4),2)," ",RIGHT(DEC2HEX(Y47,4),2)))</f>
        <v>0B 04 00 04 1C F6</v>
      </c>
      <c r="AA47" s="26" t="s">
        <v>1057</v>
      </c>
      <c r="AB47" s="26" t="s">
        <v>1084</v>
      </c>
      <c r="AC47" s="26"/>
      <c r="AD47" s="26" t="s">
        <v>814</v>
      </c>
      <c r="AE47" s="26"/>
      <c r="AF47" s="26"/>
      <c r="AI47" s="26"/>
      <c r="AJ47" s="26"/>
      <c r="AL47" s="26"/>
      <c r="AW47" s="26"/>
      <c r="AX47" s="26"/>
      <c r="AY47" s="26"/>
    </row>
    <row r="48" spans="1:51" hidden="1" x14ac:dyDescent="0.25">
      <c r="A48" s="26">
        <v>44</v>
      </c>
      <c r="B48" s="26" t="s">
        <v>346</v>
      </c>
      <c r="C48" s="26" t="s">
        <v>346</v>
      </c>
      <c r="D48" s="27" t="s">
        <v>377</v>
      </c>
      <c r="E48" s="26">
        <v>152</v>
      </c>
      <c r="F48" s="26" t="s">
        <v>346</v>
      </c>
      <c r="G48" s="26">
        <v>4</v>
      </c>
      <c r="H48" s="26" t="s">
        <v>349</v>
      </c>
      <c r="I48" s="26" t="s">
        <v>1084</v>
      </c>
      <c r="J48" s="26" t="s">
        <v>1038</v>
      </c>
      <c r="K48" s="26" t="s">
        <v>1039</v>
      </c>
      <c r="L48" s="26" t="s">
        <v>931</v>
      </c>
      <c r="M48" s="26" t="s">
        <v>1377</v>
      </c>
      <c r="N48" s="26" t="s">
        <v>1086</v>
      </c>
      <c r="O48" s="26" t="s">
        <v>1091</v>
      </c>
      <c r="P48" s="26">
        <v>3940</v>
      </c>
      <c r="Q48" s="27" t="s">
        <v>1043</v>
      </c>
      <c r="R48" s="26">
        <v>4141</v>
      </c>
      <c r="S48" s="26">
        <v>440</v>
      </c>
      <c r="T48" s="26">
        <f>IF(Table2[[#This Row],[PMT]]="NA","NA",Table2[[#This Row],[PMT]]+1)</f>
        <v>441</v>
      </c>
      <c r="U48" s="26">
        <f>IF(Table2[[#This Row],[PMT]]="NA","NA",Table2[[#This Row],[PMT]]+2)</f>
        <v>442</v>
      </c>
      <c r="V48" s="26">
        <v>0</v>
      </c>
      <c r="W48" s="26">
        <f>IF(Table2[[#This Row],[PMT]]="NA","NA",Table2[[#This Row],[PMT]]+8)-Table2[[#This Row],[Const]]</f>
        <v>448</v>
      </c>
      <c r="X48" s="26" t="str">
        <f>IF(W48="NA","",CONCATENATE("0B 04 00 ",DEC2HEX($G48,2)," ",LEFT(DEC2HEX(W48,4),2)," ",RIGHT(DEC2HEX(W48,4),2)))</f>
        <v>0B 04 00 04 01 C0</v>
      </c>
      <c r="Y48" s="26">
        <f>IF(Table2[[#This Row],[PMT]]="NA","NA",Table2[[#This Row],[PMT]]+14)-Table2[[#This Row],[Const]]</f>
        <v>454</v>
      </c>
      <c r="Z48" s="26" t="str">
        <f>IF(Y48="NA","",CONCATENATE("0B 04 00 ",DEC2HEX($G48,2)," ",LEFT(DEC2HEX(Y48,4),2)," ",RIGHT(DEC2HEX(Y48,4),2)))</f>
        <v>0B 04 00 04 01 C6</v>
      </c>
      <c r="AA48" s="26" t="s">
        <v>349</v>
      </c>
      <c r="AB48" s="26" t="s">
        <v>1084</v>
      </c>
      <c r="AC48" s="26">
        <v>28100</v>
      </c>
      <c r="AD48" s="26" t="s">
        <v>346</v>
      </c>
      <c r="AE48" s="26"/>
      <c r="AF48" s="26"/>
      <c r="AI48" s="26"/>
      <c r="AJ48" s="26"/>
      <c r="AL48" s="26"/>
      <c r="AW48" s="26"/>
      <c r="AX48" s="26"/>
      <c r="AY48" s="26"/>
    </row>
    <row r="49" spans="1:51" hidden="1" x14ac:dyDescent="0.25">
      <c r="A49" s="26">
        <v>45</v>
      </c>
      <c r="B49" s="26" t="s">
        <v>346</v>
      </c>
      <c r="C49" s="26" t="s">
        <v>346</v>
      </c>
      <c r="D49" s="27" t="s">
        <v>378</v>
      </c>
      <c r="E49" s="26">
        <v>154</v>
      </c>
      <c r="F49" s="26" t="s">
        <v>346</v>
      </c>
      <c r="G49" s="26">
        <v>4</v>
      </c>
      <c r="H49" s="26" t="s">
        <v>349</v>
      </c>
      <c r="I49" s="26" t="s">
        <v>1084</v>
      </c>
      <c r="J49" s="26" t="s">
        <v>1038</v>
      </c>
      <c r="K49" s="26" t="s">
        <v>1039</v>
      </c>
      <c r="L49" s="26" t="s">
        <v>931</v>
      </c>
      <c r="M49" s="26" t="s">
        <v>1377</v>
      </c>
      <c r="N49" s="26" t="s">
        <v>1086</v>
      </c>
      <c r="O49" s="26" t="s">
        <v>1091</v>
      </c>
      <c r="P49" s="26">
        <v>3940</v>
      </c>
      <c r="Q49" s="27" t="s">
        <v>1043</v>
      </c>
      <c r="R49" s="26">
        <v>4142</v>
      </c>
      <c r="S49" s="26">
        <v>460</v>
      </c>
      <c r="T49" s="26">
        <f>IF(Table2[[#This Row],[PMT]]="NA","NA",Table2[[#This Row],[PMT]]+1)</f>
        <v>461</v>
      </c>
      <c r="U49" s="26">
        <f>IF(Table2[[#This Row],[PMT]]="NA","NA",Table2[[#This Row],[PMT]]+2)</f>
        <v>462</v>
      </c>
      <c r="V49" s="26">
        <v>0</v>
      </c>
      <c r="W49" s="26">
        <f>IF(Table2[[#This Row],[PMT]]="NA","NA",Table2[[#This Row],[PMT]]+8)-Table2[[#This Row],[Const]]</f>
        <v>468</v>
      </c>
      <c r="X49" s="26" t="str">
        <f>IF(W49="NA","",CONCATENATE("0B 04 00 ",DEC2HEX($G49,2)," ",LEFT(DEC2HEX(W49,4),2)," ",RIGHT(DEC2HEX(W49,4),2)))</f>
        <v>0B 04 00 04 01 D4</v>
      </c>
      <c r="Y49" s="26">
        <f>IF(Table2[[#This Row],[PMT]]="NA","NA",Table2[[#This Row],[PMT]]+14)-Table2[[#This Row],[Const]]</f>
        <v>474</v>
      </c>
      <c r="Z49" s="26" t="str">
        <f>IF(Y49="NA","",CONCATENATE("0B 04 00 ",DEC2HEX($G49,2)," ",LEFT(DEC2HEX(Y49,4),2)," ",RIGHT(DEC2HEX(Y49,4),2)))</f>
        <v>0B 04 00 04 01 DA</v>
      </c>
      <c r="AA49" s="26" t="s">
        <v>349</v>
      </c>
      <c r="AB49" s="26" t="s">
        <v>1084</v>
      </c>
      <c r="AC49" s="26">
        <v>28100</v>
      </c>
      <c r="AD49" s="26" t="s">
        <v>346</v>
      </c>
      <c r="AE49" s="26"/>
      <c r="AF49" s="26"/>
      <c r="AI49" s="26"/>
      <c r="AJ49" s="26"/>
      <c r="AL49" s="26"/>
      <c r="AW49" s="26"/>
      <c r="AX49" s="26"/>
      <c r="AY49" s="26"/>
    </row>
    <row r="50" spans="1:51" x14ac:dyDescent="0.25">
      <c r="A50" s="26">
        <v>133</v>
      </c>
      <c r="B50" s="26" t="s">
        <v>231</v>
      </c>
      <c r="C50" s="26">
        <v>5180</v>
      </c>
      <c r="D50" s="27" t="s">
        <v>453</v>
      </c>
      <c r="E50" s="26">
        <v>308</v>
      </c>
      <c r="F50" s="26">
        <v>5</v>
      </c>
      <c r="G50" s="26">
        <v>5</v>
      </c>
      <c r="H50" s="26" t="s">
        <v>1057</v>
      </c>
      <c r="I50" s="26" t="s">
        <v>1084</v>
      </c>
      <c r="J50" s="26" t="s">
        <v>1040</v>
      </c>
      <c r="K50" s="26" t="s">
        <v>953</v>
      </c>
      <c r="L50" s="26" t="s">
        <v>931</v>
      </c>
      <c r="M50" s="28" t="s">
        <v>1377</v>
      </c>
      <c r="Q50" s="27"/>
      <c r="R50" s="26">
        <v>6302</v>
      </c>
      <c r="S50" s="26">
        <v>4300</v>
      </c>
      <c r="T50" s="26">
        <f>IF(Table2[[#This Row],[PMT]]="NA","NA",Table2[[#This Row],[PMT]]+1)</f>
        <v>4301</v>
      </c>
      <c r="U50" s="26">
        <f>IF(Table2[[#This Row],[PMT]]="NA","NA",Table2[[#This Row],[PMT]]+2)</f>
        <v>4302</v>
      </c>
      <c r="V50" s="26">
        <v>0</v>
      </c>
      <c r="W50" s="26">
        <f>IF(Table2[[#This Row],[PMT]]="NA","NA",Table2[[#This Row],[PMT]]+8)-Table2[[#This Row],[Const]]</f>
        <v>4308</v>
      </c>
      <c r="X50" s="26" t="str">
        <f>IF(W50="NA","",CONCATENATE("0B 04 00 ",DEC2HEX($G50,2)," ",LEFT(DEC2HEX(W50,4),2)," ",RIGHT(DEC2HEX(W50,4),2)))</f>
        <v>0B 04 00 05 10 D4</v>
      </c>
      <c r="Y50" s="26">
        <f>IF(Table2[[#This Row],[PMT]]="NA","NA",Table2[[#This Row],[PMT]]+14)-Table2[[#This Row],[Const]]</f>
        <v>4314</v>
      </c>
      <c r="Z50" s="26" t="str">
        <f>IF(Y50="NA","",CONCATENATE("0B 04 00 ",DEC2HEX($G50,2)," ",LEFT(DEC2HEX(Y50,4),2)," ",RIGHT(DEC2HEX(Y50,4),2)))</f>
        <v>0B 04 00 05 10 DA</v>
      </c>
      <c r="AA50" s="26" t="s">
        <v>1057</v>
      </c>
      <c r="AB50" s="26" t="s">
        <v>1084</v>
      </c>
      <c r="AC50" s="26"/>
      <c r="AD50" s="26" t="s">
        <v>814</v>
      </c>
      <c r="AE50" s="26"/>
      <c r="AF50" s="26"/>
      <c r="AI50" s="26"/>
      <c r="AJ50" s="26"/>
      <c r="AL50" s="26"/>
      <c r="AW50" s="26"/>
      <c r="AX50" s="26"/>
      <c r="AY50" s="26"/>
    </row>
    <row r="51" spans="1:51" hidden="1" x14ac:dyDescent="0.25">
      <c r="A51" s="26">
        <v>47</v>
      </c>
      <c r="B51" s="26" t="s">
        <v>346</v>
      </c>
      <c r="C51" s="26" t="s">
        <v>346</v>
      </c>
      <c r="D51" s="27" t="s">
        <v>1328</v>
      </c>
      <c r="E51" s="26">
        <v>157</v>
      </c>
      <c r="F51" s="26" t="s">
        <v>346</v>
      </c>
      <c r="G51" s="26">
        <v>9</v>
      </c>
      <c r="H51" s="26" t="s">
        <v>349</v>
      </c>
      <c r="I51" s="26" t="s">
        <v>1084</v>
      </c>
      <c r="J51" s="26" t="s">
        <v>1038</v>
      </c>
      <c r="K51" s="26" t="s">
        <v>1039</v>
      </c>
      <c r="L51" s="26" t="s">
        <v>931</v>
      </c>
      <c r="M51" s="28"/>
      <c r="N51" s="31"/>
      <c r="O51" s="31"/>
      <c r="P51" s="31"/>
      <c r="Q51" s="32"/>
      <c r="R51" s="31"/>
      <c r="S51" s="31"/>
      <c r="T51" s="31">
        <f>IF(Table2[[#This Row],[PMT]]="NA","NA",Table2[[#This Row],[PMT]]+1)</f>
        <v>1</v>
      </c>
      <c r="U51" s="31">
        <f>IF(Table2[[#This Row],[PMT]]="NA","NA",Table2[[#This Row],[PMT]]+2)</f>
        <v>2</v>
      </c>
      <c r="V51" s="26"/>
      <c r="W51" s="31">
        <f>IF(Table2[[#This Row],[PMT]]="NA","NA",Table2[[#This Row],[PMT]]+8)-Table2[[#This Row],[Const]]</f>
        <v>8</v>
      </c>
      <c r="X51" s="31" t="str">
        <f>IF(W51="NA","",CONCATENATE("0B 04 00 ",DEC2HEX($G51,2)," ",LEFT(DEC2HEX(W51,4),2)," ",RIGHT(DEC2HEX(W51,4),2)))</f>
        <v>0B 04 00 09 00 08</v>
      </c>
      <c r="Y51" s="31">
        <f>IF(Table2[[#This Row],[PMT]]="NA","NA",Table2[[#This Row],[PMT]]+14)-Table2[[#This Row],[Const]]</f>
        <v>14</v>
      </c>
      <c r="Z51" s="31" t="str">
        <f>IF(Y51="NA","",CONCATENATE("0B 04 00 ",DEC2HEX($G51,2)," ",LEFT(DEC2HEX(Y51,4),2)," ",RIGHT(DEC2HEX(Y51,4),2)))</f>
        <v>0B 04 00 09 00 0E</v>
      </c>
      <c r="AA51" s="26"/>
      <c r="AB51" s="26"/>
      <c r="AC51" s="31"/>
      <c r="AD51" s="31"/>
      <c r="AE51" s="26"/>
      <c r="AF51" s="26"/>
      <c r="AI51" s="26"/>
      <c r="AJ51" s="26"/>
      <c r="AL51" s="26"/>
      <c r="AW51" s="26"/>
      <c r="AX51" s="26"/>
      <c r="AY51" s="26"/>
    </row>
    <row r="52" spans="1:51" hidden="1" x14ac:dyDescent="0.25">
      <c r="A52" s="26">
        <v>48</v>
      </c>
      <c r="B52" s="26" t="s">
        <v>346</v>
      </c>
      <c r="C52" s="26" t="s">
        <v>346</v>
      </c>
      <c r="D52" s="27" t="s">
        <v>380</v>
      </c>
      <c r="E52" s="26">
        <v>159</v>
      </c>
      <c r="F52" s="26" t="s">
        <v>346</v>
      </c>
      <c r="G52" s="26">
        <v>9</v>
      </c>
      <c r="H52" s="26" t="s">
        <v>1053</v>
      </c>
      <c r="I52" s="26" t="s">
        <v>443</v>
      </c>
      <c r="J52" s="26" t="s">
        <v>1038</v>
      </c>
      <c r="K52" s="26" t="s">
        <v>1039</v>
      </c>
      <c r="L52" s="26" t="s">
        <v>1375</v>
      </c>
      <c r="M52" s="28" t="s">
        <v>1375</v>
      </c>
      <c r="Q52" s="27"/>
      <c r="R52" s="26">
        <v>12175</v>
      </c>
      <c r="S52" s="26">
        <v>720</v>
      </c>
      <c r="T52" s="26">
        <f>IF(Table2[[#This Row],[PMT]]="NA","NA",Table2[[#This Row],[PMT]]+1)</f>
        <v>721</v>
      </c>
      <c r="U52" s="26">
        <f>IF(Table2[[#This Row],[PMT]]="NA","NA",Table2[[#This Row],[PMT]]+2)</f>
        <v>722</v>
      </c>
      <c r="V52" s="26">
        <v>0</v>
      </c>
      <c r="W52" s="26">
        <f>IF(Table2[[#This Row],[PMT]]="NA","NA",Table2[[#This Row],[PMT]]+8)-Table2[[#This Row],[Const]]</f>
        <v>728</v>
      </c>
      <c r="X52" s="26" t="str">
        <f>IF(W52="NA","",CONCATENATE("0B 04 00 ",DEC2HEX($G52,2)," ",LEFT(DEC2HEX(W52,4),2)," ",RIGHT(DEC2HEX(W52,4),2)))</f>
        <v>0B 04 00 09 02 D8</v>
      </c>
      <c r="Y52" s="26">
        <f>IF(Table2[[#This Row],[PMT]]="NA","NA",Table2[[#This Row],[PMT]]+14)-Table2[[#This Row],[Const]]</f>
        <v>734</v>
      </c>
      <c r="Z52" s="26" t="str">
        <f>IF(Y52="NA","",CONCATENATE("0B 04 00 ",DEC2HEX($G52,2)," ",LEFT(DEC2HEX(Y52,4),2)," ",RIGHT(DEC2HEX(Y52,4),2)))</f>
        <v>0B 04 00 09 02 DE</v>
      </c>
      <c r="AA52" s="26" t="s">
        <v>1053</v>
      </c>
      <c r="AB52" s="26" t="s">
        <v>443</v>
      </c>
      <c r="AC52" s="26"/>
      <c r="AD52" s="26" t="s">
        <v>346</v>
      </c>
      <c r="AE52" s="26"/>
      <c r="AF52" s="26"/>
      <c r="AI52" s="26"/>
      <c r="AJ52" s="26"/>
      <c r="AL52" s="26"/>
      <c r="AW52" s="26"/>
      <c r="AX52" s="26"/>
      <c r="AY52" s="26"/>
    </row>
    <row r="53" spans="1:51" hidden="1" x14ac:dyDescent="0.25">
      <c r="A53" s="26">
        <v>49</v>
      </c>
      <c r="B53" s="26" t="s">
        <v>346</v>
      </c>
      <c r="C53" s="26" t="s">
        <v>346</v>
      </c>
      <c r="D53" s="27" t="s">
        <v>1394</v>
      </c>
      <c r="E53" s="26">
        <v>160</v>
      </c>
      <c r="F53" s="26" t="s">
        <v>346</v>
      </c>
      <c r="G53" s="31">
        <v>11</v>
      </c>
      <c r="H53" s="31" t="s">
        <v>1053</v>
      </c>
      <c r="I53" s="31" t="s">
        <v>443</v>
      </c>
      <c r="J53" s="31" t="s">
        <v>1038</v>
      </c>
      <c r="K53" s="31" t="s">
        <v>1039</v>
      </c>
      <c r="L53" s="26" t="s">
        <v>1375</v>
      </c>
      <c r="M53" s="30" t="s">
        <v>1375</v>
      </c>
      <c r="N53" s="30"/>
      <c r="O53" s="30"/>
      <c r="P53" s="30"/>
      <c r="Q53" s="32"/>
      <c r="R53" s="31"/>
      <c r="S53" s="31"/>
      <c r="T53" s="31">
        <f>IF(Table2[[#This Row],[PMT]]="NA","NA",Table2[[#This Row],[PMT]]+1)</f>
        <v>1</v>
      </c>
      <c r="U53" s="31">
        <f>IF(Table2[[#This Row],[PMT]]="NA","NA",Table2[[#This Row],[PMT]]+2)</f>
        <v>2</v>
      </c>
      <c r="V53" s="26"/>
      <c r="W53" s="31">
        <f>IF(Table2[[#This Row],[PMT]]="NA","NA",Table2[[#This Row],[PMT]]+8)-Table2[[#This Row],[Const]]</f>
        <v>8</v>
      </c>
      <c r="X53" s="31" t="str">
        <f>IF(W53="NA","",CONCATENATE("0B 04 00 ",DEC2HEX($G53,2)," ",LEFT(DEC2HEX(W53,4),2)," ",RIGHT(DEC2HEX(W53,4),2)))</f>
        <v>0B 04 00 0B 00 08</v>
      </c>
      <c r="Y53" s="31">
        <f>IF(Table2[[#This Row],[PMT]]="NA","NA",Table2[[#This Row],[PMT]]+14)-Table2[[#This Row],[Const]]</f>
        <v>14</v>
      </c>
      <c r="Z53" s="31" t="str">
        <f>IF(Y53="NA","",CONCATENATE("0B 04 00 ",DEC2HEX($G53,2)," ",LEFT(DEC2HEX(Y53,4),2)," ",RIGHT(DEC2HEX(Y53,4),2)))</f>
        <v>0B 04 00 0B 00 0E</v>
      </c>
      <c r="AA53" s="26"/>
      <c r="AB53" s="26"/>
      <c r="AC53" s="31"/>
      <c r="AD53" s="31"/>
      <c r="AE53" s="26"/>
      <c r="AF53" s="26"/>
      <c r="AI53" s="26"/>
      <c r="AJ53" s="26"/>
      <c r="AL53" s="26"/>
      <c r="AW53" s="26"/>
      <c r="AX53" s="26"/>
      <c r="AY53" s="26"/>
    </row>
    <row r="54" spans="1:51" hidden="1" x14ac:dyDescent="0.25">
      <c r="A54" s="26">
        <v>50</v>
      </c>
      <c r="B54" s="26" t="s">
        <v>346</v>
      </c>
      <c r="C54" s="26" t="s">
        <v>346</v>
      </c>
      <c r="D54" s="27" t="s">
        <v>381</v>
      </c>
      <c r="E54" s="26">
        <v>163</v>
      </c>
      <c r="F54" s="26" t="s">
        <v>346</v>
      </c>
      <c r="G54" s="26">
        <v>9</v>
      </c>
      <c r="H54" s="26" t="s">
        <v>1053</v>
      </c>
      <c r="I54" s="26" t="s">
        <v>443</v>
      </c>
      <c r="J54" s="26" t="s">
        <v>1038</v>
      </c>
      <c r="K54" s="26" t="s">
        <v>1039</v>
      </c>
      <c r="L54" s="26" t="s">
        <v>1375</v>
      </c>
      <c r="M54" s="26" t="s">
        <v>1375</v>
      </c>
      <c r="Q54" s="27" t="s">
        <v>1379</v>
      </c>
      <c r="R54" s="26">
        <v>4158</v>
      </c>
      <c r="S54" s="26">
        <v>7600</v>
      </c>
      <c r="T54" s="26">
        <f>IF(Table2[[#This Row],[PMT]]="NA","NA",Table2[[#This Row],[PMT]]+1)</f>
        <v>7601</v>
      </c>
      <c r="U54" s="26">
        <f>IF(Table2[[#This Row],[PMT]]="NA","NA",Table2[[#This Row],[PMT]]+2)</f>
        <v>7602</v>
      </c>
      <c r="V54" s="26">
        <v>0</v>
      </c>
      <c r="W54" s="26">
        <f>IF(Table2[[#This Row],[PMT]]="NA","NA",Table2[[#This Row],[PMT]]+8)-Table2[[#This Row],[Const]]</f>
        <v>7608</v>
      </c>
      <c r="X54" s="26" t="str">
        <f>IF(W54="NA","",CONCATENATE("0B 04 00 ",DEC2HEX($G54,2)," ",LEFT(DEC2HEX(W54,4),2)," ",RIGHT(DEC2HEX(W54,4),2)))</f>
        <v>0B 04 00 09 1D B8</v>
      </c>
      <c r="Y54" s="26">
        <f>IF(Table2[[#This Row],[PMT]]="NA","NA",Table2[[#This Row],[PMT]]+14)-Table2[[#This Row],[Const]]</f>
        <v>7614</v>
      </c>
      <c r="Z54" s="26" t="str">
        <f>IF(Y54="NA","",CONCATENATE("0B 04 00 ",DEC2HEX($G54,2)," ",LEFT(DEC2HEX(Y54,4),2)," ",RIGHT(DEC2HEX(Y54,4),2)))</f>
        <v>0B 04 00 09 1D BE</v>
      </c>
      <c r="AA54" s="26" t="s">
        <v>1053</v>
      </c>
      <c r="AB54" s="26" t="s">
        <v>443</v>
      </c>
      <c r="AC54" s="26"/>
      <c r="AD54" s="26" t="s">
        <v>346</v>
      </c>
      <c r="AE54" s="26"/>
      <c r="AF54" s="26"/>
      <c r="AI54" s="26"/>
      <c r="AJ54" s="26"/>
      <c r="AL54" s="26"/>
      <c r="AW54" s="26"/>
      <c r="AX54" s="26"/>
      <c r="AY54" s="26"/>
    </row>
    <row r="55" spans="1:51" hidden="1" x14ac:dyDescent="0.25">
      <c r="A55" s="26">
        <v>51</v>
      </c>
      <c r="B55" s="26" t="s">
        <v>346</v>
      </c>
      <c r="C55" s="26" t="s">
        <v>346</v>
      </c>
      <c r="D55" s="27" t="s">
        <v>382</v>
      </c>
      <c r="E55" s="26">
        <v>165</v>
      </c>
      <c r="F55" s="26" t="s">
        <v>346</v>
      </c>
      <c r="G55" s="26">
        <v>11</v>
      </c>
      <c r="H55" s="26" t="s">
        <v>1053</v>
      </c>
      <c r="I55" s="26" t="s">
        <v>443</v>
      </c>
      <c r="J55" s="26" t="s">
        <v>1038</v>
      </c>
      <c r="K55" s="26" t="s">
        <v>1039</v>
      </c>
      <c r="L55" s="26" t="s">
        <v>1375</v>
      </c>
      <c r="M55" s="26" t="s">
        <v>1375</v>
      </c>
      <c r="Q55" s="27" t="s">
        <v>1379</v>
      </c>
      <c r="R55" s="26">
        <v>12137</v>
      </c>
      <c r="S55" s="26">
        <v>140</v>
      </c>
      <c r="T55" s="26">
        <f>IF(Table2[[#This Row],[PMT]]="NA","NA",Table2[[#This Row],[PMT]]+1)</f>
        <v>141</v>
      </c>
      <c r="U55" s="26">
        <f>IF(Table2[[#This Row],[PMT]]="NA","NA",Table2[[#This Row],[PMT]]+2)</f>
        <v>142</v>
      </c>
      <c r="V55" s="26">
        <v>0</v>
      </c>
      <c r="W55" s="26">
        <f>IF(Table2[[#This Row],[PMT]]="NA","NA",Table2[[#This Row],[PMT]]+8)-Table2[[#This Row],[Const]]</f>
        <v>148</v>
      </c>
      <c r="X55" s="26" t="str">
        <f>IF(W55="NA","",CONCATENATE("0B 04 00 ",DEC2HEX($G55,2)," ",LEFT(DEC2HEX(W55,4),2)," ",RIGHT(DEC2HEX(W55,4),2)))</f>
        <v>0B 04 00 0B 00 94</v>
      </c>
      <c r="Y55" s="26">
        <f>IF(Table2[[#This Row],[PMT]]="NA","NA",Table2[[#This Row],[PMT]]+14)-Table2[[#This Row],[Const]]</f>
        <v>154</v>
      </c>
      <c r="Z55" s="26" t="str">
        <f>IF(Y55="NA","",CONCATENATE("0B 04 00 ",DEC2HEX($G55,2)," ",LEFT(DEC2HEX(Y55,4),2)," ",RIGHT(DEC2HEX(Y55,4),2)))</f>
        <v>0B 04 00 0B 00 9A</v>
      </c>
      <c r="AA55" s="26" t="s">
        <v>1053</v>
      </c>
      <c r="AB55" s="26" t="s">
        <v>443</v>
      </c>
      <c r="AC55" s="26"/>
      <c r="AD55" s="26" t="s">
        <v>346</v>
      </c>
      <c r="AE55" s="26"/>
      <c r="AF55" s="26"/>
      <c r="AI55" s="26"/>
      <c r="AJ55" s="26"/>
      <c r="AL55" s="26"/>
      <c r="AW55" s="26"/>
      <c r="AX55" s="26"/>
      <c r="AY55" s="26"/>
    </row>
    <row r="56" spans="1:51" hidden="1" x14ac:dyDescent="0.25">
      <c r="A56" s="26">
        <v>52</v>
      </c>
      <c r="B56" s="37"/>
      <c r="C56" s="38"/>
      <c r="D56" s="27" t="s">
        <v>1054</v>
      </c>
      <c r="E56" s="26">
        <v>166</v>
      </c>
      <c r="F56" s="26" t="s">
        <v>346</v>
      </c>
      <c r="G56" s="26">
        <v>5</v>
      </c>
      <c r="H56" s="26" t="s">
        <v>1053</v>
      </c>
      <c r="I56" s="26" t="s">
        <v>443</v>
      </c>
      <c r="J56" s="26" t="s">
        <v>1040</v>
      </c>
      <c r="K56" s="26" t="s">
        <v>953</v>
      </c>
      <c r="L56" s="26" t="s">
        <v>931</v>
      </c>
      <c r="M56" s="26" t="s">
        <v>1377</v>
      </c>
      <c r="N56" s="26" t="s">
        <v>1080</v>
      </c>
      <c r="O56" s="26" t="s">
        <v>1383</v>
      </c>
      <c r="P56" s="26">
        <v>3845</v>
      </c>
      <c r="Q56" s="27" t="s">
        <v>1045</v>
      </c>
      <c r="R56" s="26">
        <v>1160</v>
      </c>
      <c r="S56" s="26">
        <v>7000</v>
      </c>
      <c r="T56" s="26">
        <f>IF(Table2[[#This Row],[PMT]]="NA","NA",Table2[[#This Row],[PMT]]+1)</f>
        <v>7001</v>
      </c>
      <c r="U56" s="26">
        <f>IF(Table2[[#This Row],[PMT]]="NA","NA",Table2[[#This Row],[PMT]]+2)</f>
        <v>7002</v>
      </c>
      <c r="V56" s="26">
        <v>0</v>
      </c>
      <c r="W56" s="26">
        <f>IF(Table2[[#This Row],[PMT]]="NA","NA",Table2[[#This Row],[PMT]]+8)-Table2[[#This Row],[Const]]</f>
        <v>7008</v>
      </c>
      <c r="X56" s="26" t="str">
        <f>IF(W56="NA","",CONCATENATE("0B 04 00 ",DEC2HEX($G56,2)," ",LEFT(DEC2HEX(W56,4),2)," ",RIGHT(DEC2HEX(W56,4),2)))</f>
        <v>0B 04 00 05 1B 60</v>
      </c>
      <c r="Y56" s="26">
        <f>IF(Table2[[#This Row],[PMT]]="NA","NA",Table2[[#This Row],[PMT]]+14)-Table2[[#This Row],[Const]]</f>
        <v>7014</v>
      </c>
      <c r="Z56" s="26" t="str">
        <f>IF(Y56="NA","",CONCATENATE("0B 04 00 ",DEC2HEX($G56,2)," ",LEFT(DEC2HEX(Y56,4),2)," ",RIGHT(DEC2HEX(Y56,4),2)))</f>
        <v>0B 04 00 05 1B 66</v>
      </c>
      <c r="AA56" s="26" t="s">
        <v>1053</v>
      </c>
      <c r="AB56" s="26" t="s">
        <v>443</v>
      </c>
      <c r="AC56" s="26"/>
      <c r="AD56" s="26" t="s">
        <v>814</v>
      </c>
      <c r="AE56" s="26"/>
      <c r="AF56" s="26"/>
      <c r="AI56" s="26"/>
      <c r="AJ56" s="26"/>
      <c r="AL56" s="26"/>
      <c r="AW56" s="26"/>
      <c r="AX56" s="26"/>
      <c r="AY56" s="26"/>
    </row>
    <row r="57" spans="1:51" x14ac:dyDescent="0.25">
      <c r="A57" s="26">
        <v>141</v>
      </c>
      <c r="B57" s="26" t="s">
        <v>202</v>
      </c>
      <c r="C57" s="26">
        <v>5180</v>
      </c>
      <c r="D57" s="27" t="s">
        <v>1117</v>
      </c>
      <c r="E57" s="26">
        <v>320</v>
      </c>
      <c r="F57" s="26">
        <v>6</v>
      </c>
      <c r="G57" s="26">
        <v>6</v>
      </c>
      <c r="H57" s="26" t="s">
        <v>1057</v>
      </c>
      <c r="I57" s="26" t="s">
        <v>1084</v>
      </c>
      <c r="J57" s="26" t="s">
        <v>1040</v>
      </c>
      <c r="K57" s="26" t="s">
        <v>953</v>
      </c>
      <c r="L57" s="26" t="s">
        <v>931</v>
      </c>
      <c r="M57" s="28"/>
      <c r="Q57" s="27"/>
      <c r="R57" s="26">
        <v>1308</v>
      </c>
      <c r="S57" s="26">
        <v>3600</v>
      </c>
      <c r="T57" s="26">
        <f>IF(Table2[[#This Row],[PMT]]="NA","NA",Table2[[#This Row],[PMT]]+1)</f>
        <v>3601</v>
      </c>
      <c r="U57" s="26">
        <f>IF(Table2[[#This Row],[PMT]]="NA","NA",Table2[[#This Row],[PMT]]+2)</f>
        <v>3602</v>
      </c>
      <c r="V57" s="26">
        <v>0</v>
      </c>
      <c r="W57" s="26">
        <f>IF(Table2[[#This Row],[PMT]]="NA","NA",Table2[[#This Row],[PMT]]+8)-Table2[[#This Row],[Const]]</f>
        <v>3608</v>
      </c>
      <c r="X57" s="26" t="str">
        <f>IF(W57="NA","",CONCATENATE("0B 04 00 ",DEC2HEX($G57,2)," ",LEFT(DEC2HEX(W57,4),2)," ",RIGHT(DEC2HEX(W57,4),2)))</f>
        <v>0B 04 00 06 0E 18</v>
      </c>
      <c r="Y57" s="26">
        <f>IF(Table2[[#This Row],[PMT]]="NA","NA",Table2[[#This Row],[PMT]]+14)-Table2[[#This Row],[Const]]</f>
        <v>3614</v>
      </c>
      <c r="Z57" s="26" t="str">
        <f>IF(Y57="NA","",CONCATENATE("0B 04 00 ",DEC2HEX($G57,2)," ",LEFT(DEC2HEX(Y57,4),2)," ",RIGHT(DEC2HEX(Y57,4),2)))</f>
        <v>0B 04 00 06 0E 1E</v>
      </c>
      <c r="AA57" s="26" t="s">
        <v>1057</v>
      </c>
      <c r="AB57" s="26" t="s">
        <v>1084</v>
      </c>
      <c r="AC57" s="26"/>
      <c r="AD57" s="26" t="s">
        <v>814</v>
      </c>
      <c r="AE57" s="26"/>
      <c r="AF57" s="26"/>
      <c r="AI57" s="26"/>
      <c r="AJ57" s="26"/>
      <c r="AL57" s="26"/>
      <c r="AW57" s="26"/>
      <c r="AX57" s="26"/>
      <c r="AY57" s="26"/>
    </row>
    <row r="58" spans="1:51" hidden="1" x14ac:dyDescent="0.25">
      <c r="A58" s="26">
        <v>54</v>
      </c>
      <c r="B58" s="26" t="s">
        <v>346</v>
      </c>
      <c r="C58" s="26" t="s">
        <v>346</v>
      </c>
      <c r="D58" s="27" t="s">
        <v>385</v>
      </c>
      <c r="E58" s="26">
        <v>169</v>
      </c>
      <c r="F58" s="26" t="s">
        <v>346</v>
      </c>
      <c r="G58" s="26">
        <v>8</v>
      </c>
      <c r="H58" s="26" t="s">
        <v>1053</v>
      </c>
      <c r="I58" s="26" t="s">
        <v>443</v>
      </c>
      <c r="J58" s="26" t="s">
        <v>1038</v>
      </c>
      <c r="K58" s="26" t="s">
        <v>1039</v>
      </c>
      <c r="L58" s="26" t="s">
        <v>931</v>
      </c>
      <c r="M58" s="26" t="s">
        <v>1377</v>
      </c>
      <c r="N58" s="26" t="s">
        <v>1096</v>
      </c>
      <c r="O58" s="26" t="s">
        <v>1097</v>
      </c>
      <c r="P58" s="26">
        <v>4155</v>
      </c>
      <c r="Q58" s="27" t="s">
        <v>1044</v>
      </c>
      <c r="R58" s="26">
        <v>12003</v>
      </c>
      <c r="S58" s="26">
        <v>280</v>
      </c>
      <c r="T58" s="26">
        <f>IF(Table2[[#This Row],[PMT]]="NA","NA",Table2[[#This Row],[PMT]]+1)</f>
        <v>281</v>
      </c>
      <c r="U58" s="26">
        <f>IF(Table2[[#This Row],[PMT]]="NA","NA",Table2[[#This Row],[PMT]]+2)</f>
        <v>282</v>
      </c>
      <c r="V58" s="26">
        <v>0</v>
      </c>
      <c r="W58" s="26">
        <f>IF(Table2[[#This Row],[PMT]]="NA","NA",Table2[[#This Row],[PMT]]+8)-Table2[[#This Row],[Const]]</f>
        <v>288</v>
      </c>
      <c r="X58" s="26" t="str">
        <f>IF(W58="NA","",CONCATENATE("0B 04 00 ",DEC2HEX($G58,2)," ",LEFT(DEC2HEX(W58,4),2)," ",RIGHT(DEC2HEX(W58,4),2)))</f>
        <v>0B 04 00 08 01 20</v>
      </c>
      <c r="Y58" s="26">
        <f>IF(Table2[[#This Row],[PMT]]="NA","NA",Table2[[#This Row],[PMT]]+14)-Table2[[#This Row],[Const]]</f>
        <v>294</v>
      </c>
      <c r="Z58" s="26" t="str">
        <f>IF(Y58="NA","",CONCATENATE("0B 04 00 ",DEC2HEX($G58,2)," ",LEFT(DEC2HEX(Y58,4),2)," ",RIGHT(DEC2HEX(Y58,4),2)))</f>
        <v>0B 04 00 08 01 26</v>
      </c>
      <c r="AA58" s="26" t="s">
        <v>1053</v>
      </c>
      <c r="AB58" s="26" t="s">
        <v>443</v>
      </c>
      <c r="AC58" s="26">
        <v>22500</v>
      </c>
      <c r="AD58" s="26" t="s">
        <v>346</v>
      </c>
      <c r="AE58" s="26"/>
      <c r="AF58" s="26"/>
      <c r="AI58" s="26"/>
      <c r="AJ58" s="26"/>
      <c r="AL58" s="26"/>
      <c r="AW58" s="26"/>
      <c r="AX58" s="26"/>
      <c r="AY58" s="26"/>
    </row>
    <row r="59" spans="1:51" hidden="1" x14ac:dyDescent="0.25">
      <c r="A59" s="26">
        <v>55</v>
      </c>
      <c r="B59" s="37" t="s">
        <v>346</v>
      </c>
      <c r="C59" s="38" t="s">
        <v>346</v>
      </c>
      <c r="D59" s="27" t="s">
        <v>386</v>
      </c>
      <c r="E59" s="26">
        <v>170</v>
      </c>
      <c r="F59" s="26" t="s">
        <v>346</v>
      </c>
      <c r="G59" s="26">
        <v>3</v>
      </c>
      <c r="H59" s="26" t="s">
        <v>1053</v>
      </c>
      <c r="I59" s="26" t="s">
        <v>443</v>
      </c>
      <c r="J59" s="26" t="s">
        <v>1040</v>
      </c>
      <c r="K59" s="26" t="s">
        <v>953</v>
      </c>
      <c r="L59" s="26" t="s">
        <v>931</v>
      </c>
      <c r="M59" s="26" t="s">
        <v>1377</v>
      </c>
      <c r="N59" s="26" t="s">
        <v>1086</v>
      </c>
      <c r="O59" s="26" t="s">
        <v>1092</v>
      </c>
      <c r="P59" s="26">
        <v>3980</v>
      </c>
      <c r="Q59" s="27" t="s">
        <v>1043</v>
      </c>
      <c r="R59" s="26">
        <v>1162</v>
      </c>
      <c r="S59" s="26">
        <v>360</v>
      </c>
      <c r="T59" s="26">
        <f>IF(Table2[[#This Row],[PMT]]="NA","NA",Table2[[#This Row],[PMT]]+1)</f>
        <v>361</v>
      </c>
      <c r="U59" s="26">
        <f>IF(Table2[[#This Row],[PMT]]="NA","NA",Table2[[#This Row],[PMT]]+2)</f>
        <v>362</v>
      </c>
      <c r="V59" s="26">
        <v>0</v>
      </c>
      <c r="W59" s="26">
        <f>IF(Table2[[#This Row],[PMT]]="NA","NA",Table2[[#This Row],[PMT]]+8)-Table2[[#This Row],[Const]]</f>
        <v>368</v>
      </c>
      <c r="X59" s="26" t="str">
        <f>IF(W59="NA","",CONCATENATE("0B 04 00 ",DEC2HEX($G59,2)," ",LEFT(DEC2HEX(W59,4),2)," ",RIGHT(DEC2HEX(W59,4),2)))</f>
        <v>0B 04 00 03 01 70</v>
      </c>
      <c r="Y59" s="26">
        <f>IF(Table2[[#This Row],[PMT]]="NA","NA",Table2[[#This Row],[PMT]]+14)-Table2[[#This Row],[Const]]</f>
        <v>374</v>
      </c>
      <c r="Z59" s="26" t="str">
        <f>IF(Y59="NA","",CONCATENATE("0B 04 00 ",DEC2HEX($G59,2)," ",LEFT(DEC2HEX(Y59,4),2)," ",RIGHT(DEC2HEX(Y59,4),2)))</f>
        <v>0B 04 00 03 01 76</v>
      </c>
      <c r="AA59" s="26" t="s">
        <v>1053</v>
      </c>
      <c r="AB59" s="26" t="s">
        <v>443</v>
      </c>
      <c r="AC59" s="26">
        <v>28100</v>
      </c>
      <c r="AD59" s="26" t="s">
        <v>814</v>
      </c>
      <c r="AE59" s="26"/>
      <c r="AF59" s="26"/>
      <c r="AI59" s="26"/>
      <c r="AJ59" s="26"/>
      <c r="AL59" s="26"/>
      <c r="AW59" s="26"/>
      <c r="AX59" s="26"/>
      <c r="AY59" s="26"/>
    </row>
    <row r="60" spans="1:51" hidden="1" x14ac:dyDescent="0.25">
      <c r="A60" s="26">
        <v>56</v>
      </c>
      <c r="B60" s="26" t="s">
        <v>346</v>
      </c>
      <c r="C60" s="26" t="s">
        <v>346</v>
      </c>
      <c r="D60" s="27" t="s">
        <v>387</v>
      </c>
      <c r="E60" s="26">
        <v>171</v>
      </c>
      <c r="F60" s="26" t="s">
        <v>346</v>
      </c>
      <c r="G60" s="26">
        <v>8</v>
      </c>
      <c r="H60" s="26" t="s">
        <v>1053</v>
      </c>
      <c r="I60" s="26" t="s">
        <v>443</v>
      </c>
      <c r="J60" s="26" t="s">
        <v>1038</v>
      </c>
      <c r="K60" s="26" t="s">
        <v>1039</v>
      </c>
      <c r="L60" s="26" t="s">
        <v>931</v>
      </c>
      <c r="M60" s="26" t="s">
        <v>1377</v>
      </c>
      <c r="N60" s="26" t="s">
        <v>1086</v>
      </c>
      <c r="O60" s="26" t="s">
        <v>1091</v>
      </c>
      <c r="P60" s="26">
        <v>3940</v>
      </c>
      <c r="Q60" s="27" t="s">
        <v>1043</v>
      </c>
      <c r="R60" s="26">
        <v>10180</v>
      </c>
      <c r="S60" s="26">
        <v>420</v>
      </c>
      <c r="T60" s="26">
        <f>IF(Table2[[#This Row],[PMT]]="NA","NA",Table2[[#This Row],[PMT]]+1)</f>
        <v>421</v>
      </c>
      <c r="U60" s="26">
        <f>IF(Table2[[#This Row],[PMT]]="NA","NA",Table2[[#This Row],[PMT]]+2)</f>
        <v>422</v>
      </c>
      <c r="V60" s="26">
        <v>0</v>
      </c>
      <c r="W60" s="26">
        <f>IF(Table2[[#This Row],[PMT]]="NA","NA",Table2[[#This Row],[PMT]]+8)-Table2[[#This Row],[Const]]</f>
        <v>428</v>
      </c>
      <c r="X60" s="26" t="str">
        <f>IF(W60="NA","",CONCATENATE("0B 04 00 ",DEC2HEX($G60,2)," ",LEFT(DEC2HEX(W60,4),2)," ",RIGHT(DEC2HEX(W60,4),2)))</f>
        <v>0B 04 00 08 01 AC</v>
      </c>
      <c r="Y60" s="26">
        <f>IF(Table2[[#This Row],[PMT]]="NA","NA",Table2[[#This Row],[PMT]]+14)-Table2[[#This Row],[Const]]</f>
        <v>434</v>
      </c>
      <c r="Z60" s="26" t="str">
        <f>IF(Y60="NA","",CONCATENATE("0B 04 00 ",DEC2HEX($G60,2)," ",LEFT(DEC2HEX(Y60,4),2)," ",RIGHT(DEC2HEX(Y60,4),2)))</f>
        <v>0B 04 00 08 01 B2</v>
      </c>
      <c r="AA60" s="26" t="s">
        <v>1053</v>
      </c>
      <c r="AB60" s="26" t="s">
        <v>443</v>
      </c>
      <c r="AC60" s="26">
        <v>28100</v>
      </c>
      <c r="AD60" s="26" t="s">
        <v>346</v>
      </c>
      <c r="AE60" s="26"/>
      <c r="AF60" s="26"/>
      <c r="AI60" s="26"/>
      <c r="AJ60" s="26"/>
      <c r="AL60" s="26"/>
      <c r="AW60" s="26"/>
      <c r="AX60" s="26"/>
      <c r="AY60" s="26"/>
    </row>
    <row r="61" spans="1:51" hidden="1" x14ac:dyDescent="0.25">
      <c r="A61" s="26">
        <v>57</v>
      </c>
      <c r="B61" s="26" t="s">
        <v>346</v>
      </c>
      <c r="C61" s="26" t="s">
        <v>346</v>
      </c>
      <c r="D61" s="27" t="s">
        <v>388</v>
      </c>
      <c r="E61" s="26">
        <v>172</v>
      </c>
      <c r="F61" s="26" t="s">
        <v>346</v>
      </c>
      <c r="G61" s="26">
        <v>2</v>
      </c>
      <c r="H61" s="26" t="s">
        <v>1053</v>
      </c>
      <c r="I61" s="26" t="s">
        <v>443</v>
      </c>
      <c r="J61" s="26" t="s">
        <v>1038</v>
      </c>
      <c r="K61" s="26" t="s">
        <v>1039</v>
      </c>
      <c r="L61" s="26" t="s">
        <v>931</v>
      </c>
      <c r="M61" s="28"/>
      <c r="N61" s="26" t="s">
        <v>1086</v>
      </c>
      <c r="O61" s="26" t="s">
        <v>1091</v>
      </c>
      <c r="P61" s="26">
        <v>3940</v>
      </c>
      <c r="Q61" s="27"/>
      <c r="R61" s="26">
        <v>12009</v>
      </c>
      <c r="S61" s="26">
        <v>1040</v>
      </c>
      <c r="T61" s="26">
        <f>IF(Table2[[#This Row],[PMT]]="NA","NA",Table2[[#This Row],[PMT]]+1)</f>
        <v>1041</v>
      </c>
      <c r="U61" s="26">
        <f>IF(Table2[[#This Row],[PMT]]="NA","NA",Table2[[#This Row],[PMT]]+2)</f>
        <v>1042</v>
      </c>
      <c r="V61" s="26">
        <v>0</v>
      </c>
      <c r="W61" s="26">
        <f>IF(Table2[[#This Row],[PMT]]="NA","NA",Table2[[#This Row],[PMT]]+8)-Table2[[#This Row],[Const]]</f>
        <v>1048</v>
      </c>
      <c r="X61" s="26" t="str">
        <f>IF(W61="NA","",CONCATENATE("0B 04 00 ",DEC2HEX($G61,2)," ",LEFT(DEC2HEX(W61,4),2)," ",RIGHT(DEC2HEX(W61,4),2)))</f>
        <v>0B 04 00 02 04 18</v>
      </c>
      <c r="Y61" s="26">
        <f>IF(Table2[[#This Row],[PMT]]="NA","NA",Table2[[#This Row],[PMT]]+14)-Table2[[#This Row],[Const]]</f>
        <v>1054</v>
      </c>
      <c r="Z61" s="26" t="str">
        <f>IF(Y61="NA","",CONCATENATE("0B 04 00 ",DEC2HEX($G61,2)," ",LEFT(DEC2HEX(Y61,4),2)," ",RIGHT(DEC2HEX(Y61,4),2)))</f>
        <v>0B 04 00 02 04 1E</v>
      </c>
      <c r="AA61" s="26" t="s">
        <v>1053</v>
      </c>
      <c r="AB61" s="26" t="s">
        <v>443</v>
      </c>
      <c r="AC61" s="26">
        <v>28100</v>
      </c>
      <c r="AD61" s="26" t="s">
        <v>346</v>
      </c>
      <c r="AE61" s="26"/>
      <c r="AF61" s="26"/>
      <c r="AI61" s="26"/>
      <c r="AJ61" s="26"/>
      <c r="AL61" s="26"/>
      <c r="AW61" s="26"/>
      <c r="AX61" s="26"/>
      <c r="AY61" s="26"/>
    </row>
    <row r="62" spans="1:51" hidden="1" x14ac:dyDescent="0.25">
      <c r="A62" s="26">
        <v>58</v>
      </c>
      <c r="B62" s="26" t="s">
        <v>346</v>
      </c>
      <c r="C62" s="26" t="s">
        <v>346</v>
      </c>
      <c r="D62" s="27" t="s">
        <v>389</v>
      </c>
      <c r="E62" s="26">
        <v>173</v>
      </c>
      <c r="F62" s="26" t="s">
        <v>346</v>
      </c>
      <c r="G62" s="26">
        <v>1</v>
      </c>
      <c r="H62" s="26" t="s">
        <v>1053</v>
      </c>
      <c r="I62" s="26" t="s">
        <v>443</v>
      </c>
      <c r="J62" s="26" t="s">
        <v>1038</v>
      </c>
      <c r="K62" s="26" t="s">
        <v>1039</v>
      </c>
      <c r="L62" s="26" t="s">
        <v>931</v>
      </c>
      <c r="M62" s="26" t="s">
        <v>1377</v>
      </c>
      <c r="Q62" s="27" t="s">
        <v>1045</v>
      </c>
      <c r="R62" s="26">
        <v>12156</v>
      </c>
      <c r="S62" s="26">
        <v>580</v>
      </c>
      <c r="T62" s="26">
        <f>IF(Table2[[#This Row],[PMT]]="NA","NA",Table2[[#This Row],[PMT]]+1)</f>
        <v>581</v>
      </c>
      <c r="U62" s="26">
        <f>IF(Table2[[#This Row],[PMT]]="NA","NA",Table2[[#This Row],[PMT]]+2)</f>
        <v>582</v>
      </c>
      <c r="V62" s="26">
        <v>0</v>
      </c>
      <c r="W62" s="26">
        <f>IF(Table2[[#This Row],[PMT]]="NA","NA",Table2[[#This Row],[PMT]]+8)-Table2[[#This Row],[Const]]</f>
        <v>588</v>
      </c>
      <c r="X62" s="26" t="str">
        <f>IF(W62="NA","",CONCATENATE("0B 04 00 ",DEC2HEX($G62,2)," ",LEFT(DEC2HEX(W62,4),2)," ",RIGHT(DEC2HEX(W62,4),2)))</f>
        <v>0B 04 00 01 02 4C</v>
      </c>
      <c r="Y62" s="26">
        <f>IF(Table2[[#This Row],[PMT]]="NA","NA",Table2[[#This Row],[PMT]]+14)-Table2[[#This Row],[Const]]</f>
        <v>594</v>
      </c>
      <c r="Z62" s="26" t="str">
        <f>IF(Y62="NA","",CONCATENATE("0B 04 00 ",DEC2HEX($G62,2)," ",LEFT(DEC2HEX(Y62,4),2)," ",RIGHT(DEC2HEX(Y62,4),2)))</f>
        <v>0B 04 00 01 02 52</v>
      </c>
      <c r="AA62" s="26" t="s">
        <v>1053</v>
      </c>
      <c r="AB62" s="26" t="s">
        <v>443</v>
      </c>
      <c r="AC62" s="26"/>
      <c r="AD62" s="26" t="s">
        <v>346</v>
      </c>
      <c r="AE62" s="26"/>
      <c r="AF62" s="26"/>
      <c r="AI62" s="26"/>
      <c r="AJ62" s="26"/>
      <c r="AL62" s="26"/>
      <c r="AW62" s="26"/>
      <c r="AX62" s="26"/>
      <c r="AY62" s="26"/>
    </row>
    <row r="63" spans="1:51" hidden="1" x14ac:dyDescent="0.25">
      <c r="A63" s="26">
        <v>59</v>
      </c>
      <c r="B63" s="26" t="s">
        <v>346</v>
      </c>
      <c r="C63" s="26" t="s">
        <v>346</v>
      </c>
      <c r="D63" s="27" t="s">
        <v>390</v>
      </c>
      <c r="E63" s="26">
        <v>174</v>
      </c>
      <c r="F63" s="26" t="s">
        <v>346</v>
      </c>
      <c r="G63" s="26">
        <v>11</v>
      </c>
      <c r="H63" s="26" t="s">
        <v>1053</v>
      </c>
      <c r="I63" s="26" t="s">
        <v>443</v>
      </c>
      <c r="J63" s="26" t="s">
        <v>1038</v>
      </c>
      <c r="K63" s="26" t="s">
        <v>1039</v>
      </c>
      <c r="L63" s="26" t="s">
        <v>931</v>
      </c>
      <c r="M63" s="26" t="s">
        <v>1377</v>
      </c>
      <c r="N63" s="26" t="s">
        <v>1086</v>
      </c>
      <c r="O63" s="26" t="s">
        <v>1094</v>
      </c>
      <c r="P63" s="26">
        <v>3820</v>
      </c>
      <c r="Q63" s="27"/>
      <c r="R63" s="26">
        <v>12131</v>
      </c>
      <c r="S63" s="26">
        <v>4900</v>
      </c>
      <c r="T63" s="26">
        <f>IF(Table2[[#This Row],[PMT]]="NA","NA",Table2[[#This Row],[PMT]]+1)</f>
        <v>4901</v>
      </c>
      <c r="U63" s="26">
        <f>IF(Table2[[#This Row],[PMT]]="NA","NA",Table2[[#This Row],[PMT]]+2)</f>
        <v>4902</v>
      </c>
      <c r="V63" s="26">
        <v>0</v>
      </c>
      <c r="W63" s="26">
        <f>IF(Table2[[#This Row],[PMT]]="NA","NA",Table2[[#This Row],[PMT]]+8)-Table2[[#This Row],[Const]]</f>
        <v>4908</v>
      </c>
      <c r="X63" s="26" t="str">
        <f>IF(W63="NA","",CONCATENATE("0B 04 00 ",DEC2HEX($G63,2)," ",LEFT(DEC2HEX(W63,4),2)," ",RIGHT(DEC2HEX(W63,4),2)))</f>
        <v>0B 04 00 0B 13 2C</v>
      </c>
      <c r="Y63" s="26">
        <f>IF(Table2[[#This Row],[PMT]]="NA","NA",Table2[[#This Row],[PMT]]+14)-Table2[[#This Row],[Const]]</f>
        <v>4914</v>
      </c>
      <c r="Z63" s="26" t="str">
        <f>IF(Y63="NA","",CONCATENATE("0B 04 00 ",DEC2HEX($G63,2)," ",LEFT(DEC2HEX(Y63,4),2)," ",RIGHT(DEC2HEX(Y63,4),2)))</f>
        <v>0B 04 00 0B 13 32</v>
      </c>
      <c r="AA63" s="26" t="s">
        <v>1053</v>
      </c>
      <c r="AB63" s="26" t="s">
        <v>443</v>
      </c>
      <c r="AC63" s="26">
        <v>27500</v>
      </c>
      <c r="AD63" s="26" t="s">
        <v>346</v>
      </c>
      <c r="AE63" s="26"/>
      <c r="AF63" s="26"/>
      <c r="AI63" s="26"/>
      <c r="AJ63" s="26"/>
      <c r="AL63" s="26"/>
      <c r="AW63" s="26"/>
      <c r="AX63" s="26"/>
      <c r="AY63" s="26"/>
    </row>
    <row r="64" spans="1:51" hidden="1" x14ac:dyDescent="0.25">
      <c r="A64" s="26">
        <v>60</v>
      </c>
      <c r="B64" s="26" t="s">
        <v>346</v>
      </c>
      <c r="C64" s="26" t="s">
        <v>346</v>
      </c>
      <c r="D64" s="27" t="s">
        <v>1329</v>
      </c>
      <c r="E64" s="26">
        <v>175</v>
      </c>
      <c r="F64" s="26" t="s">
        <v>346</v>
      </c>
      <c r="G64" s="26">
        <v>5</v>
      </c>
      <c r="H64" s="26" t="s">
        <v>1053</v>
      </c>
      <c r="I64" s="26" t="s">
        <v>443</v>
      </c>
      <c r="J64" s="26" t="s">
        <v>1038</v>
      </c>
      <c r="K64" s="26" t="s">
        <v>1039</v>
      </c>
      <c r="L64" s="26" t="s">
        <v>931</v>
      </c>
      <c r="M64" s="26" t="s">
        <v>1377</v>
      </c>
      <c r="N64" s="31"/>
      <c r="O64" s="31"/>
      <c r="P64" s="31"/>
      <c r="Q64" s="32"/>
      <c r="R64" s="31"/>
      <c r="S64" s="31"/>
      <c r="T64" s="31">
        <f>IF(Table2[[#This Row],[PMT]]="NA","NA",Table2[[#This Row],[PMT]]+1)</f>
        <v>1</v>
      </c>
      <c r="U64" s="31">
        <f>IF(Table2[[#This Row],[PMT]]="NA","NA",Table2[[#This Row],[PMT]]+2)</f>
        <v>2</v>
      </c>
      <c r="V64" s="26"/>
      <c r="W64" s="31">
        <f>IF(Table2[[#This Row],[PMT]]="NA","NA",Table2[[#This Row],[PMT]]+8)-Table2[[#This Row],[Const]]</f>
        <v>8</v>
      </c>
      <c r="X64" s="31" t="str">
        <f>IF(W64="NA","",CONCATENATE("0B 04 00 ",DEC2HEX($G64,2)," ",LEFT(DEC2HEX(W64,4),2)," ",RIGHT(DEC2HEX(W64,4),2)))</f>
        <v>0B 04 00 05 00 08</v>
      </c>
      <c r="Y64" s="31">
        <f>IF(Table2[[#This Row],[PMT]]="NA","NA",Table2[[#This Row],[PMT]]+14)-Table2[[#This Row],[Const]]</f>
        <v>14</v>
      </c>
      <c r="Z64" s="31" t="str">
        <f>IF(Y64="NA","",CONCATENATE("0B 04 00 ",DEC2HEX($G64,2)," ",LEFT(DEC2HEX(Y64,4),2)," ",RIGHT(DEC2HEX(Y64,4),2)))</f>
        <v>0B 04 00 05 00 0E</v>
      </c>
      <c r="AA64" s="26"/>
      <c r="AB64" s="26"/>
      <c r="AC64" s="31"/>
      <c r="AD64" s="31"/>
      <c r="AE64" s="26"/>
      <c r="AF64" s="26"/>
      <c r="AI64" s="26"/>
      <c r="AJ64" s="26"/>
      <c r="AL64" s="26"/>
      <c r="AW64" s="26"/>
      <c r="AX64" s="26"/>
      <c r="AY64" s="26"/>
    </row>
    <row r="65" spans="1:51" x14ac:dyDescent="0.25">
      <c r="A65" s="26">
        <v>12</v>
      </c>
      <c r="B65" s="26" t="s">
        <v>229</v>
      </c>
      <c r="C65" s="26">
        <v>5180</v>
      </c>
      <c r="D65" s="27" t="s">
        <v>356</v>
      </c>
      <c r="E65" s="26">
        <v>110</v>
      </c>
      <c r="F65" s="26">
        <v>11</v>
      </c>
      <c r="G65" s="26">
        <v>11</v>
      </c>
      <c r="H65" s="26" t="s">
        <v>349</v>
      </c>
      <c r="I65" s="26" t="s">
        <v>443</v>
      </c>
      <c r="J65" s="26" t="s">
        <v>1040</v>
      </c>
      <c r="K65" s="26" t="s">
        <v>953</v>
      </c>
      <c r="L65" s="26" t="s">
        <v>931</v>
      </c>
      <c r="M65" s="28" t="s">
        <v>1377</v>
      </c>
      <c r="Q65" s="27" t="s">
        <v>1046</v>
      </c>
      <c r="R65" s="26">
        <v>5114</v>
      </c>
      <c r="S65" s="26">
        <v>4500</v>
      </c>
      <c r="T65" s="26">
        <f>IF(Table2[[#This Row],[PMT]]="NA","NA",Table2[[#This Row],[PMT]]+1)</f>
        <v>4501</v>
      </c>
      <c r="U65" s="26">
        <f>IF(Table2[[#This Row],[PMT]]="NA","NA",Table2[[#This Row],[PMT]]+2)</f>
        <v>4502</v>
      </c>
      <c r="V65" s="26">
        <v>1</v>
      </c>
      <c r="W65" s="26">
        <f>IF(Table2[[#This Row],[PMT]]="NA","NA",Table2[[#This Row],[PMT]]+8)-Table2[[#This Row],[Const]]</f>
        <v>4507</v>
      </c>
      <c r="X65" s="26" t="str">
        <f>IF(W65="NA","",CONCATENATE("0B 04 00 ",DEC2HEX($G65,2)," ",LEFT(DEC2HEX(W65,4),2)," ",RIGHT(DEC2HEX(W65,4),2)))</f>
        <v>0B 04 00 0B 11 9B</v>
      </c>
      <c r="Y65" s="26">
        <f>IF(Table2[[#This Row],[PMT]]="NA","NA",Table2[[#This Row],[PMT]]+14)-Table2[[#This Row],[Const]]</f>
        <v>4513</v>
      </c>
      <c r="Z65" s="26" t="str">
        <f>IF(Y65="NA","",CONCATENATE("0B 04 00 ",DEC2HEX($G65,2)," ",LEFT(DEC2HEX(Y65,4),2)," ",RIGHT(DEC2HEX(Y65,4),2)))</f>
        <v>0B 04 00 0B 11 A1</v>
      </c>
      <c r="AA65" s="26" t="s">
        <v>349</v>
      </c>
      <c r="AB65" s="26" t="s">
        <v>443</v>
      </c>
      <c r="AC65" s="26"/>
      <c r="AD65" s="26" t="s">
        <v>814</v>
      </c>
      <c r="AE65" s="26"/>
      <c r="AF65" s="26"/>
      <c r="AI65" s="26"/>
      <c r="AJ65" s="26"/>
      <c r="AL65" s="26"/>
      <c r="AW65" s="26"/>
      <c r="AX65" s="26"/>
      <c r="AY65" s="26"/>
    </row>
    <row r="66" spans="1:51" x14ac:dyDescent="0.25">
      <c r="A66" s="26">
        <v>265</v>
      </c>
      <c r="B66" s="26" t="s">
        <v>144</v>
      </c>
      <c r="C66" s="26">
        <v>5180</v>
      </c>
      <c r="D66" s="27" t="s">
        <v>1401</v>
      </c>
      <c r="E66" s="26">
        <v>590</v>
      </c>
      <c r="F66" s="26">
        <v>1</v>
      </c>
      <c r="G66" s="26">
        <v>1</v>
      </c>
      <c r="H66" s="26" t="s">
        <v>349</v>
      </c>
      <c r="I66" s="34" t="s">
        <v>559</v>
      </c>
      <c r="J66" s="26" t="s">
        <v>1038</v>
      </c>
      <c r="K66" s="26" t="s">
        <v>1039</v>
      </c>
      <c r="L66" s="26" t="s">
        <v>931</v>
      </c>
      <c r="M66" s="28" t="s">
        <v>1377</v>
      </c>
      <c r="N66" s="26" t="s">
        <v>1082</v>
      </c>
      <c r="O66" s="26" t="s">
        <v>1083</v>
      </c>
      <c r="P66" s="26">
        <v>4005</v>
      </c>
      <c r="Q66" s="27"/>
      <c r="R66" s="26">
        <v>1590</v>
      </c>
      <c r="S66" s="26">
        <v>7400</v>
      </c>
      <c r="T66" s="26">
        <f>IF(Table2[[#This Row],[PMT]]="NA","NA",Table2[[#This Row],[PMT]]+1)</f>
        <v>7401</v>
      </c>
      <c r="U66" s="26">
        <f>IF(Table2[[#This Row],[PMT]]="NA","NA",Table2[[#This Row],[PMT]]+2)</f>
        <v>7402</v>
      </c>
      <c r="V66" s="26">
        <v>1</v>
      </c>
      <c r="W66" s="26">
        <f>IF(Table2[[#This Row],[PMT]]="NA","NA",Table2[[#This Row],[PMT]]+8)-Table2[[#This Row],[Const]]</f>
        <v>7407</v>
      </c>
      <c r="X66" s="26" t="str">
        <f>IF(W66="NA","",CONCATENATE("0B 04 00 ",DEC2HEX($G66,2)," ",LEFT(DEC2HEX(W66,4),2)," ",RIGHT(DEC2HEX(W66,4),2)))</f>
        <v>0B 04 00 01 1C EF</v>
      </c>
      <c r="Y66" s="26">
        <f>IF(Table2[[#This Row],[PMT]]="NA","NA",Table2[[#This Row],[PMT]]+14)-Table2[[#This Row],[Const]]</f>
        <v>7413</v>
      </c>
      <c r="Z66" s="26" t="str">
        <f>IF(Y66="NA","",CONCATENATE("0B 04 00 ",DEC2HEX($G66,2)," ",LEFT(DEC2HEX(Y66,4),2)," ",RIGHT(DEC2HEX(Y66,4),2)))</f>
        <v>0B 04 00 01 1C F5</v>
      </c>
      <c r="AA66" s="26" t="s">
        <v>349</v>
      </c>
      <c r="AB66" s="26"/>
      <c r="AC66" s="26">
        <v>22220</v>
      </c>
      <c r="AD66" s="26" t="s">
        <v>1074</v>
      </c>
      <c r="AE66" s="26"/>
      <c r="AF66" s="26"/>
      <c r="AI66" s="26"/>
      <c r="AJ66" s="26"/>
      <c r="AL66" s="26"/>
      <c r="AW66" s="26"/>
      <c r="AX66" s="26"/>
      <c r="AY66" s="26"/>
    </row>
    <row r="67" spans="1:51" x14ac:dyDescent="0.25">
      <c r="A67" s="26">
        <v>247</v>
      </c>
      <c r="B67" s="26" t="s">
        <v>649</v>
      </c>
      <c r="C67" s="26">
        <v>5001</v>
      </c>
      <c r="D67" s="27" t="s">
        <v>1389</v>
      </c>
      <c r="E67" s="26">
        <v>551</v>
      </c>
      <c r="F67" s="26">
        <v>3</v>
      </c>
      <c r="G67" s="26">
        <v>3</v>
      </c>
      <c r="H67" s="26" t="s">
        <v>349</v>
      </c>
      <c r="I67" s="26" t="s">
        <v>1368</v>
      </c>
      <c r="J67" s="26" t="s">
        <v>931</v>
      </c>
      <c r="K67" s="26" t="s">
        <v>1042</v>
      </c>
      <c r="L67" s="26" t="s">
        <v>931</v>
      </c>
      <c r="M67" s="28" t="s">
        <v>1377</v>
      </c>
      <c r="Q67" s="27"/>
      <c r="R67" s="26">
        <v>1551</v>
      </c>
      <c r="S67" s="26">
        <v>240</v>
      </c>
      <c r="T67" s="26">
        <f>IF(Table2[[#This Row],[PMT]]="NA","NA",Table2[[#This Row],[PMT]]+1)</f>
        <v>241</v>
      </c>
      <c r="U67" s="26">
        <f>IF(Table2[[#This Row],[PMT]]="NA","NA",Table2[[#This Row],[PMT]]+2)</f>
        <v>242</v>
      </c>
      <c r="V67" s="26">
        <v>-1</v>
      </c>
      <c r="W67" s="26">
        <f>IF(Table2[[#This Row],[PMT]]="NA","NA",Table2[[#This Row],[PMT]]+8)-Table2[[#This Row],[Const]]</f>
        <v>249</v>
      </c>
      <c r="X67" s="26" t="str">
        <f>IF(W67="NA","",CONCATENATE("0B 04 00 ",DEC2HEX($G67,2)," ",LEFT(DEC2HEX(W67,4),2)," ",RIGHT(DEC2HEX(W67,4),2)))</f>
        <v>0B 04 00 03 00 F9</v>
      </c>
      <c r="Y67" s="26">
        <f>IF(Table2[[#This Row],[PMT]]="NA","NA",Table2[[#This Row],[PMT]]+14)-Table2[[#This Row],[Const]]</f>
        <v>255</v>
      </c>
      <c r="Z67" s="26" t="str">
        <f>IF(Y67="NA","",CONCATENATE("0B 04 00 ",DEC2HEX($G67,2)," ",LEFT(DEC2HEX(Y67,4),2)," ",RIGHT(DEC2HEX(Y67,4),2)))</f>
        <v>0B 04 00 03 00 FF</v>
      </c>
      <c r="AA67" s="26" t="s">
        <v>349</v>
      </c>
      <c r="AB67" s="26"/>
      <c r="AC67" s="26"/>
      <c r="AD67" s="26" t="s">
        <v>817</v>
      </c>
      <c r="AE67" s="26"/>
      <c r="AF67" s="26"/>
      <c r="AI67" s="26"/>
      <c r="AJ67" s="26"/>
      <c r="AL67" s="26"/>
      <c r="AW67" s="26"/>
      <c r="AX67" s="26"/>
      <c r="AY67" s="26"/>
    </row>
    <row r="68" spans="1:51" x14ac:dyDescent="0.25">
      <c r="A68" s="26">
        <v>46</v>
      </c>
      <c r="B68" s="26" t="s">
        <v>313</v>
      </c>
      <c r="C68" s="26">
        <v>2000</v>
      </c>
      <c r="D68" s="27" t="s">
        <v>379</v>
      </c>
      <c r="E68" s="26">
        <v>156</v>
      </c>
      <c r="F68" s="26">
        <v>2</v>
      </c>
      <c r="G68" s="26">
        <v>2</v>
      </c>
      <c r="H68" s="26" t="s">
        <v>349</v>
      </c>
      <c r="I68" s="26" t="s">
        <v>1084</v>
      </c>
      <c r="J68" s="26" t="s">
        <v>1002</v>
      </c>
      <c r="K68" s="26" t="s">
        <v>953</v>
      </c>
      <c r="L68" s="26" t="s">
        <v>931</v>
      </c>
      <c r="M68" s="28" t="s">
        <v>1377</v>
      </c>
      <c r="N68" s="26" t="s">
        <v>1076</v>
      </c>
      <c r="O68" s="26" t="s">
        <v>1088</v>
      </c>
      <c r="P68" s="26">
        <v>4034</v>
      </c>
      <c r="Q68" s="27"/>
      <c r="R68" s="26">
        <v>2145</v>
      </c>
      <c r="S68" s="26">
        <v>600</v>
      </c>
      <c r="T68" s="26">
        <f>IF(Table2[[#This Row],[PMT]]="NA","NA",Table2[[#This Row],[PMT]]+1)</f>
        <v>601</v>
      </c>
      <c r="U68" s="26">
        <f>IF(Table2[[#This Row],[PMT]]="NA","NA",Table2[[#This Row],[PMT]]+2)</f>
        <v>602</v>
      </c>
      <c r="V68" s="26">
        <v>0</v>
      </c>
      <c r="W68" s="26">
        <f>IF(Table2[[#This Row],[PMT]]="NA","NA",Table2[[#This Row],[PMT]]+8)-Table2[[#This Row],[Const]]</f>
        <v>608</v>
      </c>
      <c r="X68" s="26" t="str">
        <f>IF(W68="NA","",CONCATENATE("0B 04 00 ",DEC2HEX($G68,2)," ",LEFT(DEC2HEX(W68,4),2)," ",RIGHT(DEC2HEX(W68,4),2)))</f>
        <v>0B 04 00 02 02 60</v>
      </c>
      <c r="Y68" s="26">
        <f>IF(Table2[[#This Row],[PMT]]="NA","NA",Table2[[#This Row],[PMT]]+14)-Table2[[#This Row],[Const]]</f>
        <v>614</v>
      </c>
      <c r="Z68" s="26" t="str">
        <f>IF(Y68="NA","",CONCATENATE("0B 04 00 ",DEC2HEX($G68,2)," ",LEFT(DEC2HEX(Y68,4),2)," ",RIGHT(DEC2HEX(Y68,4),2)))</f>
        <v>0B 04 00 02 02 66</v>
      </c>
      <c r="AA68" s="26" t="s">
        <v>349</v>
      </c>
      <c r="AB68" s="26" t="s">
        <v>1084</v>
      </c>
      <c r="AC68" s="26">
        <v>21600</v>
      </c>
      <c r="AD68" s="26" t="s">
        <v>818</v>
      </c>
      <c r="AE68" s="26"/>
      <c r="AF68" s="26"/>
      <c r="AI68" s="26"/>
      <c r="AJ68" s="26"/>
      <c r="AL68" s="26"/>
      <c r="AW68" s="26"/>
      <c r="AX68" s="26"/>
      <c r="AY68" s="26"/>
    </row>
    <row r="69" spans="1:51" x14ac:dyDescent="0.25">
      <c r="A69" s="26">
        <v>38</v>
      </c>
      <c r="B69" s="26" t="s">
        <v>194</v>
      </c>
      <c r="C69" s="26">
        <v>5180</v>
      </c>
      <c r="D69" s="27" t="s">
        <v>371</v>
      </c>
      <c r="E69" s="26">
        <v>140</v>
      </c>
      <c r="F69" s="26">
        <v>1</v>
      </c>
      <c r="G69" s="26">
        <v>1</v>
      </c>
      <c r="H69" s="26" t="s">
        <v>349</v>
      </c>
      <c r="I69" s="26" t="s">
        <v>443</v>
      </c>
      <c r="J69" s="26" t="s">
        <v>1040</v>
      </c>
      <c r="K69" s="26" t="s">
        <v>953</v>
      </c>
      <c r="L69" s="26" t="s">
        <v>931</v>
      </c>
      <c r="M69" s="28" t="s">
        <v>1376</v>
      </c>
      <c r="Q69" s="27" t="s">
        <v>1102</v>
      </c>
      <c r="R69" s="26">
        <v>3113</v>
      </c>
      <c r="S69" s="26">
        <v>460</v>
      </c>
      <c r="T69" s="26">
        <f>IF(Table2[[#This Row],[PMT]]="NA","NA",Table2[[#This Row],[PMT]]+1)</f>
        <v>461</v>
      </c>
      <c r="U69" s="26">
        <f>IF(Table2[[#This Row],[PMT]]="NA","NA",Table2[[#This Row],[PMT]]+2)</f>
        <v>462</v>
      </c>
      <c r="V69" s="26">
        <v>1</v>
      </c>
      <c r="W69" s="26">
        <f>IF(Table2[[#This Row],[PMT]]="NA","NA",Table2[[#This Row],[PMT]]+8)-Table2[[#This Row],[Const]]</f>
        <v>467</v>
      </c>
      <c r="X69" s="26" t="str">
        <f>IF(W69="NA","",CONCATENATE("0B 04 00 ",DEC2HEX($G69,2)," ",LEFT(DEC2HEX(W69,4),2)," ",RIGHT(DEC2HEX(W69,4),2)))</f>
        <v>0B 04 00 01 01 D3</v>
      </c>
      <c r="Y69" s="26">
        <f>IF(Table2[[#This Row],[PMT]]="NA","NA",Table2[[#This Row],[PMT]]+14)-Table2[[#This Row],[Const]]</f>
        <v>473</v>
      </c>
      <c r="Z69" s="26" t="str">
        <f>IF(Y69="NA","",CONCATENATE("0B 04 00 ",DEC2HEX($G69,2)," ",LEFT(DEC2HEX(Y69,4),2)," ",RIGHT(DEC2HEX(Y69,4),2)))</f>
        <v>0B 04 00 01 01 D9</v>
      </c>
      <c r="AA69" s="26" t="s">
        <v>349</v>
      </c>
      <c r="AB69" s="26" t="s">
        <v>443</v>
      </c>
      <c r="AC69" s="26"/>
      <c r="AD69" s="26" t="s">
        <v>813</v>
      </c>
      <c r="AE69" s="26"/>
      <c r="AF69" s="26"/>
      <c r="AI69" s="26"/>
      <c r="AJ69" s="26"/>
      <c r="AL69" s="26"/>
      <c r="AW69" s="26"/>
      <c r="AX69" s="26"/>
      <c r="AY69" s="26"/>
    </row>
    <row r="70" spans="1:51" hidden="1" x14ac:dyDescent="0.25">
      <c r="A70" s="26">
        <v>66</v>
      </c>
      <c r="B70" s="26" t="s">
        <v>346</v>
      </c>
      <c r="C70" s="26" t="s">
        <v>346</v>
      </c>
      <c r="D70" s="27" t="s">
        <v>396</v>
      </c>
      <c r="E70" s="26">
        <v>185</v>
      </c>
      <c r="F70" s="26" t="s">
        <v>346</v>
      </c>
      <c r="G70" s="26">
        <v>2</v>
      </c>
      <c r="H70" s="26" t="s">
        <v>1053</v>
      </c>
      <c r="I70" s="26" t="s">
        <v>443</v>
      </c>
      <c r="J70" s="26" t="s">
        <v>1038</v>
      </c>
      <c r="K70" s="26" t="s">
        <v>1039</v>
      </c>
      <c r="L70" s="26" t="s">
        <v>931</v>
      </c>
      <c r="M70" s="28" t="s">
        <v>1376</v>
      </c>
      <c r="N70" s="31"/>
      <c r="O70" s="31"/>
      <c r="P70" s="31"/>
      <c r="Q70" s="32"/>
      <c r="R70" s="26">
        <v>12014</v>
      </c>
      <c r="S70" s="26">
        <v>940</v>
      </c>
      <c r="T70" s="26">
        <f>IF(Table2[[#This Row],[PMT]]="NA","NA",Table2[[#This Row],[PMT]]+1)</f>
        <v>941</v>
      </c>
      <c r="U70" s="26">
        <f>IF(Table2[[#This Row],[PMT]]="NA","NA",Table2[[#This Row],[PMT]]+2)</f>
        <v>942</v>
      </c>
      <c r="V70" s="26">
        <v>0</v>
      </c>
      <c r="W70" s="26">
        <f>IF(Table2[[#This Row],[PMT]]="NA","NA",Table2[[#This Row],[PMT]]+8)-Table2[[#This Row],[Const]]</f>
        <v>948</v>
      </c>
      <c r="X70" s="26" t="str">
        <f>IF(W70="NA","",CONCATENATE("0B 04 00 ",DEC2HEX($G70,2)," ",LEFT(DEC2HEX(W70,4),2)," ",RIGHT(DEC2HEX(W70,4),2)))</f>
        <v>0B 04 00 02 03 B4</v>
      </c>
      <c r="Y70" s="26">
        <f>IF(Table2[[#This Row],[PMT]]="NA","NA",Table2[[#This Row],[PMT]]+14)-Table2[[#This Row],[Const]]</f>
        <v>954</v>
      </c>
      <c r="Z70" s="26" t="str">
        <f>IF(Y70="NA","",CONCATENATE("0B 04 00 ",DEC2HEX($G70,2)," ",LEFT(DEC2HEX(Y70,4),2)," ",RIGHT(DEC2HEX(Y70,4),2)))</f>
        <v>0B 04 00 02 03 BA</v>
      </c>
      <c r="AA70" s="26"/>
      <c r="AB70" s="26"/>
      <c r="AC70" s="31"/>
      <c r="AD70" s="31"/>
      <c r="AE70" s="26"/>
      <c r="AF70" s="26"/>
      <c r="AI70" s="26"/>
      <c r="AJ70" s="26"/>
      <c r="AL70" s="26"/>
      <c r="AW70" s="26"/>
      <c r="AX70" s="26"/>
      <c r="AY70" s="26"/>
    </row>
    <row r="71" spans="1:51" x14ac:dyDescent="0.25">
      <c r="A71" s="26">
        <v>359</v>
      </c>
      <c r="B71" s="26" t="s">
        <v>234</v>
      </c>
      <c r="C71" s="26">
        <v>5180</v>
      </c>
      <c r="D71" s="27" t="s">
        <v>631</v>
      </c>
      <c r="E71" s="26">
        <v>852</v>
      </c>
      <c r="F71" s="26">
        <v>6</v>
      </c>
      <c r="G71" s="26">
        <v>6</v>
      </c>
      <c r="H71" s="26" t="s">
        <v>349</v>
      </c>
      <c r="I71" s="26" t="s">
        <v>1357</v>
      </c>
      <c r="J71" s="26" t="s">
        <v>1040</v>
      </c>
      <c r="K71" s="26" t="s">
        <v>953</v>
      </c>
      <c r="L71" s="26" t="s">
        <v>931</v>
      </c>
      <c r="M71" s="28" t="s">
        <v>1376</v>
      </c>
      <c r="Q71" s="27" t="s">
        <v>1102</v>
      </c>
      <c r="R71" s="26">
        <v>8567</v>
      </c>
      <c r="S71" s="26">
        <v>6500</v>
      </c>
      <c r="T71" s="26">
        <f>IF(Table2[[#This Row],[PMT]]="NA","NA",Table2[[#This Row],[PMT]]+1)</f>
        <v>6501</v>
      </c>
      <c r="U71" s="26">
        <f>IF(Table2[[#This Row],[PMT]]="NA","NA",Table2[[#This Row],[PMT]]+2)</f>
        <v>6502</v>
      </c>
      <c r="V71" s="26">
        <v>0</v>
      </c>
      <c r="W71" s="26">
        <f>IF(Table2[[#This Row],[PMT]]="NA","NA",Table2[[#This Row],[PMT]]+8)-Table2[[#This Row],[Const]]</f>
        <v>6508</v>
      </c>
      <c r="X71" s="26" t="str">
        <f>IF(W71="NA","",CONCATENATE("0B 04 00 ",DEC2HEX($G71,2)," ",LEFT(DEC2HEX(W71,4),2)," ",RIGHT(DEC2HEX(W71,4),2)))</f>
        <v>0B 04 00 06 19 6C</v>
      </c>
      <c r="Y71" s="26">
        <f>IF(Table2[[#This Row],[PMT]]="NA","NA",Table2[[#This Row],[PMT]]+14)-Table2[[#This Row],[Const]]</f>
        <v>6514</v>
      </c>
      <c r="Z71" s="26" t="str">
        <f>IF(Y71="NA","",CONCATENATE("0B 04 00 ",DEC2HEX($G71,2)," ",LEFT(DEC2HEX(Y71,4),2)," ",RIGHT(DEC2HEX(Y71,4),2)))</f>
        <v>0B 04 00 06 19 72</v>
      </c>
      <c r="AA71" s="26" t="s">
        <v>349</v>
      </c>
      <c r="AB71" s="26"/>
      <c r="AC71" s="26"/>
      <c r="AD71" s="26" t="s">
        <v>814</v>
      </c>
      <c r="AE71" s="26"/>
      <c r="AF71" s="26"/>
      <c r="AI71" s="26"/>
      <c r="AJ71" s="26"/>
      <c r="AL71" s="26"/>
      <c r="AW71" s="26"/>
      <c r="AX71" s="26"/>
      <c r="AY71" s="26"/>
    </row>
    <row r="72" spans="1:51" x14ac:dyDescent="0.25">
      <c r="A72" s="26">
        <v>266</v>
      </c>
      <c r="B72" s="26" t="s">
        <v>137</v>
      </c>
      <c r="C72" s="26">
        <v>5180</v>
      </c>
      <c r="D72" s="33" t="s">
        <v>558</v>
      </c>
      <c r="E72" s="34">
        <v>591</v>
      </c>
      <c r="F72" s="26">
        <v>7</v>
      </c>
      <c r="G72" s="26">
        <v>7</v>
      </c>
      <c r="H72" s="26" t="s">
        <v>349</v>
      </c>
      <c r="I72" s="34" t="s">
        <v>559</v>
      </c>
      <c r="J72" s="26" t="s">
        <v>1040</v>
      </c>
      <c r="K72" s="26" t="s">
        <v>953</v>
      </c>
      <c r="L72" s="26" t="s">
        <v>931</v>
      </c>
      <c r="M72" s="28"/>
      <c r="Q72" s="27" t="s">
        <v>1102</v>
      </c>
      <c r="R72" s="26">
        <v>5591</v>
      </c>
      <c r="S72" s="26">
        <v>8100</v>
      </c>
      <c r="T72" s="26">
        <f>IF(Table2[[#This Row],[PMT]]="NA","NA",Table2[[#This Row],[PMT]]+1)</f>
        <v>8101</v>
      </c>
      <c r="U72" s="26">
        <f>IF(Table2[[#This Row],[PMT]]="NA","NA",Table2[[#This Row],[PMT]]+2)</f>
        <v>8102</v>
      </c>
      <c r="V72" s="26">
        <v>0</v>
      </c>
      <c r="W72" s="26">
        <f>IF(Table2[[#This Row],[PMT]]="NA","NA",Table2[[#This Row],[PMT]]+8)-Table2[[#This Row],[Const]]</f>
        <v>8108</v>
      </c>
      <c r="X72" s="26" t="str">
        <f>IF(W72="NA","",CONCATENATE("0B 04 00 ",DEC2HEX($G72,2)," ",LEFT(DEC2HEX(W72,4),2)," ",RIGHT(DEC2HEX(W72,4),2)))</f>
        <v>0B 04 00 07 1F AC</v>
      </c>
      <c r="Y72" s="26">
        <f>IF(Table2[[#This Row],[PMT]]="NA","NA",Table2[[#This Row],[PMT]]+14)-Table2[[#This Row],[Const]]</f>
        <v>8114</v>
      </c>
      <c r="Z72" s="26" t="str">
        <f>IF(Y72="NA","",CONCATENATE("0B 04 00 ",DEC2HEX($G72,2)," ",LEFT(DEC2HEX(Y72,4),2)," ",RIGHT(DEC2HEX(Y72,4),2)))</f>
        <v>0B 04 00 07 1F B2</v>
      </c>
      <c r="AA72" s="26" t="s">
        <v>349</v>
      </c>
      <c r="AB72" s="26" t="s">
        <v>559</v>
      </c>
      <c r="AC72" s="26"/>
      <c r="AD72" s="26" t="s">
        <v>814</v>
      </c>
      <c r="AE72" s="26"/>
      <c r="AF72" s="26"/>
      <c r="AI72" s="26"/>
      <c r="AJ72" s="26"/>
      <c r="AL72" s="26"/>
      <c r="AW72" s="26"/>
      <c r="AX72" s="26"/>
      <c r="AY72" s="26"/>
    </row>
    <row r="73" spans="1:51" hidden="1" x14ac:dyDescent="0.25">
      <c r="A73" s="26">
        <v>69</v>
      </c>
      <c r="B73" s="26" t="s">
        <v>346</v>
      </c>
      <c r="C73" s="26" t="s">
        <v>346</v>
      </c>
      <c r="D73" s="27" t="s">
        <v>399</v>
      </c>
      <c r="E73" s="26">
        <v>193</v>
      </c>
      <c r="F73" s="26" t="s">
        <v>346</v>
      </c>
      <c r="G73" s="26">
        <v>10</v>
      </c>
      <c r="H73" s="26" t="s">
        <v>1053</v>
      </c>
      <c r="I73" s="26" t="s">
        <v>1084</v>
      </c>
      <c r="J73" s="26" t="s">
        <v>1038</v>
      </c>
      <c r="K73" s="26" t="s">
        <v>1039</v>
      </c>
      <c r="L73" s="26" t="s">
        <v>931</v>
      </c>
      <c r="M73" s="26" t="s">
        <v>1377</v>
      </c>
      <c r="N73" s="26" t="s">
        <v>1086</v>
      </c>
      <c r="O73" s="26" t="s">
        <v>1091</v>
      </c>
      <c r="P73" s="26">
        <v>3940</v>
      </c>
      <c r="Q73" s="27" t="s">
        <v>1043</v>
      </c>
      <c r="R73" s="26">
        <v>10211</v>
      </c>
      <c r="S73" s="26">
        <v>600</v>
      </c>
      <c r="T73" s="26">
        <f>IF(Table2[[#This Row],[PMT]]="NA","NA",Table2[[#This Row],[PMT]]+1)</f>
        <v>601</v>
      </c>
      <c r="U73" s="26">
        <f>IF(Table2[[#This Row],[PMT]]="NA","NA",Table2[[#This Row],[PMT]]+2)</f>
        <v>602</v>
      </c>
      <c r="V73" s="26">
        <v>0</v>
      </c>
      <c r="W73" s="26">
        <f>IF(Table2[[#This Row],[PMT]]="NA","NA",Table2[[#This Row],[PMT]]+8)-Table2[[#This Row],[Const]]</f>
        <v>608</v>
      </c>
      <c r="X73" s="26" t="str">
        <f>IF(W73="NA","",CONCATENATE("0B 04 00 ",DEC2HEX($G73,2)," ",LEFT(DEC2HEX(W73,4),2)," ",RIGHT(DEC2HEX(W73,4),2)))</f>
        <v>0B 04 00 0A 02 60</v>
      </c>
      <c r="Y73" s="26">
        <f>IF(Table2[[#This Row],[PMT]]="NA","NA",Table2[[#This Row],[PMT]]+14)-Table2[[#This Row],[Const]]</f>
        <v>614</v>
      </c>
      <c r="Z73" s="26" t="str">
        <f>IF(Y73="NA","",CONCATENATE("0B 04 00 ",DEC2HEX($G73,2)," ",LEFT(DEC2HEX(Y73,4),2)," ",RIGHT(DEC2HEX(Y73,4),2)))</f>
        <v>0B 04 00 0A 02 66</v>
      </c>
      <c r="AA73" s="26" t="s">
        <v>1053</v>
      </c>
      <c r="AB73" s="26" t="s">
        <v>1084</v>
      </c>
      <c r="AC73" s="26">
        <v>28100</v>
      </c>
      <c r="AD73" s="26" t="s">
        <v>346</v>
      </c>
      <c r="AE73" s="26"/>
      <c r="AF73" s="26"/>
      <c r="AI73" s="26"/>
      <c r="AJ73" s="26"/>
      <c r="AL73" s="26"/>
      <c r="AW73" s="26"/>
      <c r="AX73" s="26"/>
      <c r="AY73" s="26"/>
    </row>
    <row r="74" spans="1:51" hidden="1" x14ac:dyDescent="0.25">
      <c r="A74" s="26">
        <v>70</v>
      </c>
      <c r="B74" s="37"/>
      <c r="C74" s="38"/>
      <c r="D74" s="27" t="s">
        <v>400</v>
      </c>
      <c r="E74" s="26">
        <v>194</v>
      </c>
      <c r="F74" s="26" t="s">
        <v>346</v>
      </c>
      <c r="G74" s="26">
        <v>7</v>
      </c>
      <c r="H74" s="26" t="s">
        <v>1053</v>
      </c>
      <c r="I74" s="26" t="s">
        <v>1084</v>
      </c>
      <c r="J74" s="26" t="s">
        <v>1040</v>
      </c>
      <c r="K74" s="26" t="s">
        <v>953</v>
      </c>
      <c r="L74" s="26" t="s">
        <v>931</v>
      </c>
      <c r="M74" s="28" t="s">
        <v>1377</v>
      </c>
      <c r="Q74" s="27"/>
      <c r="R74" s="26">
        <v>1191</v>
      </c>
      <c r="S74" s="26">
        <v>460</v>
      </c>
      <c r="T74" s="26">
        <f>IF(Table2[[#This Row],[PMT]]="NA","NA",Table2[[#This Row],[PMT]]+1)</f>
        <v>461</v>
      </c>
      <c r="U74" s="26">
        <f>IF(Table2[[#This Row],[PMT]]="NA","NA",Table2[[#This Row],[PMT]]+2)</f>
        <v>462</v>
      </c>
      <c r="V74" s="26">
        <v>0</v>
      </c>
      <c r="W74" s="26">
        <f>IF(Table2[[#This Row],[PMT]]="NA","NA",Table2[[#This Row],[PMT]]+8)-Table2[[#This Row],[Const]]</f>
        <v>468</v>
      </c>
      <c r="X74" s="26" t="str">
        <f>IF(W74="NA","",CONCATENATE("0B 04 00 ",DEC2HEX($G74,2)," ",LEFT(DEC2HEX(W74,4),2)," ",RIGHT(DEC2HEX(W74,4),2)))</f>
        <v>0B 04 00 07 01 D4</v>
      </c>
      <c r="Y74" s="26">
        <f>IF(Table2[[#This Row],[PMT]]="NA","NA",Table2[[#This Row],[PMT]]+14)-Table2[[#This Row],[Const]]</f>
        <v>474</v>
      </c>
      <c r="Z74" s="26" t="str">
        <f>IF(Y74="NA","",CONCATENATE("0B 04 00 ",DEC2HEX($G74,2)," ",LEFT(DEC2HEX(Y74,4),2)," ",RIGHT(DEC2HEX(Y74,4),2)))</f>
        <v>0B 04 00 07 01 DA</v>
      </c>
      <c r="AA74" s="26" t="s">
        <v>1053</v>
      </c>
      <c r="AB74" s="26" t="s">
        <v>1084</v>
      </c>
      <c r="AC74" s="26"/>
      <c r="AD74" s="26" t="s">
        <v>814</v>
      </c>
      <c r="AE74" s="26"/>
      <c r="AF74" s="26"/>
      <c r="AI74" s="26"/>
      <c r="AJ74" s="26"/>
      <c r="AL74" s="26"/>
      <c r="AW74" s="26"/>
      <c r="AX74" s="26"/>
      <c r="AY74" s="26"/>
    </row>
    <row r="75" spans="1:51" x14ac:dyDescent="0.25">
      <c r="A75" s="26">
        <v>340</v>
      </c>
      <c r="B75" s="26" t="s">
        <v>235</v>
      </c>
      <c r="C75" s="26">
        <v>5180</v>
      </c>
      <c r="D75" s="27" t="s">
        <v>618</v>
      </c>
      <c r="E75" s="26">
        <v>816</v>
      </c>
      <c r="F75" s="26">
        <v>6</v>
      </c>
      <c r="G75" s="26">
        <v>6</v>
      </c>
      <c r="H75" s="26" t="s">
        <v>1063</v>
      </c>
      <c r="I75" s="26" t="s">
        <v>1356</v>
      </c>
      <c r="J75" s="26" t="s">
        <v>1040</v>
      </c>
      <c r="K75" s="26" t="s">
        <v>953</v>
      </c>
      <c r="L75" s="26" t="s">
        <v>931</v>
      </c>
      <c r="M75" s="28"/>
      <c r="Q75" s="27" t="s">
        <v>1102</v>
      </c>
      <c r="R75" s="26">
        <v>4588</v>
      </c>
      <c r="S75" s="26">
        <v>7200</v>
      </c>
      <c r="T75" s="26">
        <f>IF(Table2[[#This Row],[PMT]]="NA","NA",Table2[[#This Row],[PMT]]+1)</f>
        <v>7201</v>
      </c>
      <c r="U75" s="26">
        <f>IF(Table2[[#This Row],[PMT]]="NA","NA",Table2[[#This Row],[PMT]]+2)</f>
        <v>7202</v>
      </c>
      <c r="V75" s="26">
        <v>0</v>
      </c>
      <c r="W75" s="26">
        <f>IF(Table2[[#This Row],[PMT]]="NA","NA",Table2[[#This Row],[PMT]]+8)-Table2[[#This Row],[Const]]</f>
        <v>7208</v>
      </c>
      <c r="X75" s="26" t="str">
        <f>IF(W75="NA","",CONCATENATE("0B 04 00 ",DEC2HEX($G75,2)," ",LEFT(DEC2HEX(W75,4),2)," ",RIGHT(DEC2HEX(W75,4),2)))</f>
        <v>0B 04 00 06 1C 28</v>
      </c>
      <c r="Y75" s="26">
        <f>IF(Table2[[#This Row],[PMT]]="NA","NA",Table2[[#This Row],[PMT]]+14)-Table2[[#This Row],[Const]]</f>
        <v>7214</v>
      </c>
      <c r="Z75" s="26" t="str">
        <f>IF(Y75="NA","",CONCATENATE("0B 04 00 ",DEC2HEX($G75,2)," ",LEFT(DEC2HEX(Y75,4),2)," ",RIGHT(DEC2HEX(Y75,4),2)))</f>
        <v>0B 04 00 06 1C 2E</v>
      </c>
      <c r="AA75" s="26"/>
      <c r="AB75" s="26"/>
      <c r="AC75" s="26"/>
      <c r="AD75" s="26" t="s">
        <v>814</v>
      </c>
      <c r="AE75" s="26"/>
      <c r="AF75" s="26"/>
      <c r="AI75" s="26"/>
      <c r="AJ75" s="26"/>
      <c r="AL75" s="26"/>
      <c r="AW75" s="26"/>
      <c r="AX75" s="26"/>
      <c r="AY75" s="26"/>
    </row>
    <row r="76" spans="1:51" hidden="1" x14ac:dyDescent="0.25">
      <c r="A76" s="26">
        <v>72</v>
      </c>
      <c r="B76" s="26" t="s">
        <v>346</v>
      </c>
      <c r="C76" s="26" t="s">
        <v>346</v>
      </c>
      <c r="D76" s="27" t="s">
        <v>1330</v>
      </c>
      <c r="E76" s="26">
        <v>197</v>
      </c>
      <c r="F76" s="26" t="s">
        <v>346</v>
      </c>
      <c r="G76" s="26">
        <v>8</v>
      </c>
      <c r="H76" s="26" t="s">
        <v>1053</v>
      </c>
      <c r="I76" s="26" t="s">
        <v>1084</v>
      </c>
      <c r="J76" s="26" t="s">
        <v>1038</v>
      </c>
      <c r="K76" s="26" t="s">
        <v>1039</v>
      </c>
      <c r="L76" s="26" t="s">
        <v>931</v>
      </c>
      <c r="M76" s="26" t="s">
        <v>1377</v>
      </c>
      <c r="N76" s="31"/>
      <c r="O76" s="31"/>
      <c r="P76" s="31"/>
      <c r="Q76" s="27" t="s">
        <v>1045</v>
      </c>
      <c r="R76" s="31"/>
      <c r="S76" s="31"/>
      <c r="T76" s="31"/>
      <c r="U76" s="31"/>
      <c r="V76" s="26"/>
      <c r="W76" s="31"/>
      <c r="X76" s="31"/>
      <c r="Y76" s="31"/>
      <c r="Z76" s="31"/>
      <c r="AA76" s="26"/>
      <c r="AB76" s="26"/>
      <c r="AC76" s="31"/>
      <c r="AD76" s="31"/>
      <c r="AE76" s="26"/>
      <c r="AF76" s="26"/>
      <c r="AI76" s="26"/>
      <c r="AJ76" s="26"/>
      <c r="AL76" s="26"/>
      <c r="AW76" s="26"/>
      <c r="AX76" s="26"/>
      <c r="AY76" s="26"/>
    </row>
    <row r="77" spans="1:51" x14ac:dyDescent="0.25">
      <c r="A77" s="26">
        <v>36</v>
      </c>
      <c r="B77" s="26" t="s">
        <v>174</v>
      </c>
      <c r="C77" s="26">
        <v>5180</v>
      </c>
      <c r="D77" s="27" t="s">
        <v>369</v>
      </c>
      <c r="E77" s="26">
        <v>136</v>
      </c>
      <c r="F77" s="26">
        <v>1</v>
      </c>
      <c r="G77" s="26">
        <v>1</v>
      </c>
      <c r="H77" s="26" t="s">
        <v>349</v>
      </c>
      <c r="I77" s="26" t="s">
        <v>443</v>
      </c>
      <c r="J77" s="26" t="s">
        <v>1040</v>
      </c>
      <c r="K77" s="26" t="s">
        <v>953</v>
      </c>
      <c r="L77" s="26" t="s">
        <v>931</v>
      </c>
      <c r="M77" s="28" t="s">
        <v>1376</v>
      </c>
      <c r="Q77" s="27" t="s">
        <v>1102</v>
      </c>
      <c r="R77" s="26">
        <v>3108</v>
      </c>
      <c r="S77" s="26">
        <v>4700</v>
      </c>
      <c r="T77" s="26">
        <f>IF(Table2[[#This Row],[PMT]]="NA","NA",Table2[[#This Row],[PMT]]+1)</f>
        <v>4701</v>
      </c>
      <c r="U77" s="26">
        <f>IF(Table2[[#This Row],[PMT]]="NA","NA",Table2[[#This Row],[PMT]]+2)</f>
        <v>4702</v>
      </c>
      <c r="V77" s="26">
        <v>1</v>
      </c>
      <c r="W77" s="26">
        <f>IF(Table2[[#This Row],[PMT]]="NA","NA",Table2[[#This Row],[PMT]]+8)-Table2[[#This Row],[Const]]</f>
        <v>4707</v>
      </c>
      <c r="X77" s="26" t="str">
        <f>IF(W77="NA","",CONCATENATE("0B 04 00 ",DEC2HEX($G77,2)," ",LEFT(DEC2HEX(W77,4),2)," ",RIGHT(DEC2HEX(W77,4),2)))</f>
        <v>0B 04 00 01 12 63</v>
      </c>
      <c r="Y77" s="26">
        <f>IF(Table2[[#This Row],[PMT]]="NA","NA",Table2[[#This Row],[PMT]]+14)-Table2[[#This Row],[Const]]</f>
        <v>4713</v>
      </c>
      <c r="Z77" s="26" t="str">
        <f>IF(Y77="NA","",CONCATENATE("0B 04 00 ",DEC2HEX($G77,2)," ",LEFT(DEC2HEX(Y77,4),2)," ",RIGHT(DEC2HEX(Y77,4),2)))</f>
        <v>0B 04 00 01 12 69</v>
      </c>
      <c r="AA77" s="26" t="s">
        <v>349</v>
      </c>
      <c r="AB77" s="26" t="s">
        <v>443</v>
      </c>
      <c r="AC77" s="26"/>
      <c r="AD77" s="26" t="s">
        <v>1077</v>
      </c>
      <c r="AE77" s="26"/>
      <c r="AF77" s="26"/>
      <c r="AI77" s="26"/>
      <c r="AJ77" s="26"/>
      <c r="AL77" s="26"/>
      <c r="AW77" s="26"/>
      <c r="AX77" s="26"/>
      <c r="AY77" s="26"/>
    </row>
    <row r="78" spans="1:51" x14ac:dyDescent="0.25">
      <c r="A78" s="26">
        <v>124</v>
      </c>
      <c r="B78" s="26" t="s">
        <v>140</v>
      </c>
      <c r="C78" s="26">
        <v>5180</v>
      </c>
      <c r="D78" s="27" t="s">
        <v>432</v>
      </c>
      <c r="E78" s="26">
        <v>290</v>
      </c>
      <c r="F78" s="26">
        <v>6</v>
      </c>
      <c r="G78" s="26">
        <v>6</v>
      </c>
      <c r="H78" s="26" t="s">
        <v>1057</v>
      </c>
      <c r="I78" s="26" t="s">
        <v>443</v>
      </c>
      <c r="J78" s="26" t="s">
        <v>1040</v>
      </c>
      <c r="K78" s="26" t="s">
        <v>953</v>
      </c>
      <c r="L78" s="26" t="s">
        <v>931</v>
      </c>
      <c r="M78" s="28" t="s">
        <v>1376</v>
      </c>
      <c r="Q78" s="27" t="s">
        <v>1102</v>
      </c>
      <c r="R78" s="26">
        <v>3280</v>
      </c>
      <c r="S78" s="26">
        <v>6100</v>
      </c>
      <c r="T78" s="26">
        <f>IF(Table2[[#This Row],[PMT]]="NA","NA",Table2[[#This Row],[PMT]]+1)</f>
        <v>6101</v>
      </c>
      <c r="U78" s="26">
        <f>IF(Table2[[#This Row],[PMT]]="NA","NA",Table2[[#This Row],[PMT]]+2)</f>
        <v>6102</v>
      </c>
      <c r="V78" s="26">
        <v>0</v>
      </c>
      <c r="W78" s="26">
        <f>IF(Table2[[#This Row],[PMT]]="NA","NA",Table2[[#This Row],[PMT]]+8)-Table2[[#This Row],[Const]]</f>
        <v>6108</v>
      </c>
      <c r="X78" s="26" t="str">
        <f>IF(W78="NA","",CONCATENATE("0B 04 00 ",DEC2HEX($G78,2)," ",LEFT(DEC2HEX(W78,4),2)," ",RIGHT(DEC2HEX(W78,4),2)))</f>
        <v>0B 04 00 06 17 DC</v>
      </c>
      <c r="Y78" s="26">
        <f>IF(Table2[[#This Row],[PMT]]="NA","NA",Table2[[#This Row],[PMT]]+14)-Table2[[#This Row],[Const]]</f>
        <v>6114</v>
      </c>
      <c r="Z78" s="26" t="str">
        <f>IF(Y78="NA","",CONCATENATE("0B 04 00 ",DEC2HEX($G78,2)," ",LEFT(DEC2HEX(Y78,4),2)," ",RIGHT(DEC2HEX(Y78,4),2)))</f>
        <v>0B 04 00 06 17 E2</v>
      </c>
      <c r="AA78" s="26" t="s">
        <v>1057</v>
      </c>
      <c r="AB78" s="26" t="s">
        <v>443</v>
      </c>
      <c r="AC78" s="26"/>
      <c r="AD78" s="26" t="s">
        <v>814</v>
      </c>
      <c r="AE78" s="26"/>
      <c r="AF78" s="26"/>
      <c r="AI78" s="26"/>
      <c r="AJ78" s="26"/>
      <c r="AL78" s="26"/>
      <c r="AW78" s="26"/>
      <c r="AX78" s="26"/>
      <c r="AY78" s="26"/>
    </row>
    <row r="79" spans="1:51" hidden="1" x14ac:dyDescent="0.25">
      <c r="A79" s="26">
        <v>75</v>
      </c>
      <c r="B79" s="26" t="s">
        <v>346</v>
      </c>
      <c r="C79" s="26" t="s">
        <v>346</v>
      </c>
      <c r="D79" s="27" t="s">
        <v>403</v>
      </c>
      <c r="E79" s="26">
        <v>200</v>
      </c>
      <c r="F79" s="26" t="s">
        <v>346</v>
      </c>
      <c r="G79" s="26">
        <v>4</v>
      </c>
      <c r="H79" s="26" t="s">
        <v>1053</v>
      </c>
      <c r="I79" s="26" t="s">
        <v>1084</v>
      </c>
      <c r="J79" s="26" t="s">
        <v>1038</v>
      </c>
      <c r="K79" s="26" t="s">
        <v>1039</v>
      </c>
      <c r="L79" s="26" t="s">
        <v>931</v>
      </c>
      <c r="M79" s="26" t="s">
        <v>1377</v>
      </c>
      <c r="N79" s="26" t="s">
        <v>1086</v>
      </c>
      <c r="O79" s="26" t="s">
        <v>1091</v>
      </c>
      <c r="P79" s="26">
        <v>3940</v>
      </c>
      <c r="Q79" s="27" t="s">
        <v>1043</v>
      </c>
      <c r="R79" s="26">
        <v>12004</v>
      </c>
      <c r="S79" s="26">
        <v>560</v>
      </c>
      <c r="T79" s="26">
        <f>IF(Table2[[#This Row],[PMT]]="NA","NA",Table2[[#This Row],[PMT]]+1)</f>
        <v>561</v>
      </c>
      <c r="U79" s="26">
        <f>IF(Table2[[#This Row],[PMT]]="NA","NA",Table2[[#This Row],[PMT]]+2)</f>
        <v>562</v>
      </c>
      <c r="V79" s="26">
        <v>0</v>
      </c>
      <c r="W79" s="26">
        <f>IF(Table2[[#This Row],[PMT]]="NA","NA",Table2[[#This Row],[PMT]]+8)-Table2[[#This Row],[Const]]</f>
        <v>568</v>
      </c>
      <c r="X79" s="26" t="str">
        <f>IF(W79="NA","",CONCATENATE("0B 04 00 ",DEC2HEX($G79,2)," ",LEFT(DEC2HEX(W79,4),2)," ",RIGHT(DEC2HEX(W79,4),2)))</f>
        <v>0B 04 00 04 02 38</v>
      </c>
      <c r="Y79" s="26">
        <f>IF(Table2[[#This Row],[PMT]]="NA","NA",Table2[[#This Row],[PMT]]+14)-Table2[[#This Row],[Const]]</f>
        <v>574</v>
      </c>
      <c r="Z79" s="26" t="str">
        <f>IF(Y79="NA","",CONCATENATE("0B 04 00 ",DEC2HEX($G79,2)," ",LEFT(DEC2HEX(Y79,4),2)," ",RIGHT(DEC2HEX(Y79,4),2)))</f>
        <v>0B 04 00 04 02 3E</v>
      </c>
      <c r="AA79" s="26" t="s">
        <v>1053</v>
      </c>
      <c r="AB79" s="26" t="s">
        <v>1084</v>
      </c>
      <c r="AC79" s="26">
        <v>28100</v>
      </c>
      <c r="AD79" s="26" t="s">
        <v>346</v>
      </c>
      <c r="AE79" s="26"/>
      <c r="AF79" s="26"/>
      <c r="AI79" s="26"/>
      <c r="AJ79" s="26"/>
      <c r="AL79" s="26"/>
      <c r="AW79" s="26"/>
      <c r="AX79" s="26"/>
      <c r="AY79" s="26"/>
    </row>
    <row r="80" spans="1:51" hidden="1" x14ac:dyDescent="0.25">
      <c r="A80" s="26">
        <v>76</v>
      </c>
      <c r="B80" s="26" t="s">
        <v>346</v>
      </c>
      <c r="C80" s="26" t="s">
        <v>346</v>
      </c>
      <c r="D80" s="27" t="s">
        <v>404</v>
      </c>
      <c r="E80" s="26">
        <v>201</v>
      </c>
      <c r="F80" s="26" t="s">
        <v>346</v>
      </c>
      <c r="G80" s="26">
        <v>11</v>
      </c>
      <c r="H80" s="26" t="s">
        <v>1053</v>
      </c>
      <c r="I80" s="26" t="s">
        <v>1084</v>
      </c>
      <c r="J80" s="26" t="s">
        <v>1038</v>
      </c>
      <c r="K80" s="26" t="s">
        <v>1039</v>
      </c>
      <c r="L80" s="26" t="s">
        <v>1375</v>
      </c>
      <c r="M80" s="28" t="s">
        <v>1375</v>
      </c>
      <c r="Q80" s="27"/>
      <c r="R80" s="26">
        <v>12152</v>
      </c>
      <c r="S80" s="26">
        <v>7600</v>
      </c>
      <c r="T80" s="26">
        <f>IF(Table2[[#This Row],[PMT]]="NA","NA",Table2[[#This Row],[PMT]]+1)</f>
        <v>7601</v>
      </c>
      <c r="U80" s="26">
        <f>IF(Table2[[#This Row],[PMT]]="NA","NA",Table2[[#This Row],[PMT]]+2)</f>
        <v>7602</v>
      </c>
      <c r="V80" s="26">
        <v>0</v>
      </c>
      <c r="W80" s="26">
        <f>IF(Table2[[#This Row],[PMT]]="NA","NA",Table2[[#This Row],[PMT]]+8)-Table2[[#This Row],[Const]]</f>
        <v>7608</v>
      </c>
      <c r="X80" s="26" t="str">
        <f>IF(W80="NA","",CONCATENATE("0B 04 00 ",DEC2HEX($G80,2)," ",LEFT(DEC2HEX(W80,4),2)," ",RIGHT(DEC2HEX(W80,4),2)))</f>
        <v>0B 04 00 0B 1D B8</v>
      </c>
      <c r="Y80" s="26">
        <f>IF(Table2[[#This Row],[PMT]]="NA","NA",Table2[[#This Row],[PMT]]+14)-Table2[[#This Row],[Const]]</f>
        <v>7614</v>
      </c>
      <c r="Z80" s="26" t="str">
        <f>IF(Y80="NA","",CONCATENATE("0B 04 00 ",DEC2HEX($G80,2)," ",LEFT(DEC2HEX(Y80,4),2)," ",RIGHT(DEC2HEX(Y80,4),2)))</f>
        <v>0B 04 00 0B 1D BE</v>
      </c>
      <c r="AA80" s="26" t="s">
        <v>1053</v>
      </c>
      <c r="AB80" s="26" t="s">
        <v>1084</v>
      </c>
      <c r="AC80" s="26"/>
      <c r="AD80" s="26" t="s">
        <v>346</v>
      </c>
      <c r="AE80" s="26"/>
      <c r="AF80" s="26"/>
      <c r="AI80" s="26"/>
      <c r="AJ80" s="26"/>
      <c r="AL80" s="26"/>
      <c r="AW80" s="26"/>
      <c r="AX80" s="26"/>
      <c r="AY80" s="26"/>
    </row>
    <row r="81" spans="1:51" x14ac:dyDescent="0.25">
      <c r="A81" s="26">
        <v>291</v>
      </c>
      <c r="B81" s="26" t="s">
        <v>199</v>
      </c>
      <c r="C81" s="26">
        <v>5180</v>
      </c>
      <c r="D81" s="27" t="s">
        <v>577</v>
      </c>
      <c r="E81" s="26">
        <v>623</v>
      </c>
      <c r="F81" s="26">
        <v>6</v>
      </c>
      <c r="G81" s="26">
        <v>6</v>
      </c>
      <c r="H81" s="26" t="s">
        <v>1063</v>
      </c>
      <c r="I81" s="26" t="s">
        <v>1360</v>
      </c>
      <c r="J81" s="26" t="s">
        <v>1040</v>
      </c>
      <c r="K81" s="26" t="s">
        <v>953</v>
      </c>
      <c r="L81" s="26" t="s">
        <v>931</v>
      </c>
      <c r="M81" s="28"/>
      <c r="Q81" s="27" t="s">
        <v>1102</v>
      </c>
      <c r="R81" s="26">
        <v>6623</v>
      </c>
      <c r="S81" s="26">
        <v>7600</v>
      </c>
      <c r="T81" s="26">
        <f>IF(Table2[[#This Row],[PMT]]="NA","NA",Table2[[#This Row],[PMT]]+1)</f>
        <v>7601</v>
      </c>
      <c r="U81" s="26">
        <f>IF(Table2[[#This Row],[PMT]]="NA","NA",Table2[[#This Row],[PMT]]+2)</f>
        <v>7602</v>
      </c>
      <c r="V81" s="26">
        <v>0</v>
      </c>
      <c r="W81" s="26">
        <f>IF(Table2[[#This Row],[PMT]]="NA","NA",Table2[[#This Row],[PMT]]+8)-Table2[[#This Row],[Const]]</f>
        <v>7608</v>
      </c>
      <c r="X81" s="26" t="str">
        <f>IF(W81="NA","",CONCATENATE("0B 04 00 ",DEC2HEX($G81,2)," ",LEFT(DEC2HEX(W81,4),2)," ",RIGHT(DEC2HEX(W81,4),2)))</f>
        <v>0B 04 00 06 1D B8</v>
      </c>
      <c r="Y81" s="26">
        <f>IF(Table2[[#This Row],[PMT]]="NA","NA",Table2[[#This Row],[PMT]]+14)-Table2[[#This Row],[Const]]</f>
        <v>7614</v>
      </c>
      <c r="Z81" s="26" t="str">
        <f>IF(Y81="NA","",CONCATENATE("0B 04 00 ",DEC2HEX($G81,2)," ",LEFT(DEC2HEX(Y81,4),2)," ",RIGHT(DEC2HEX(Y81,4),2)))</f>
        <v>0B 04 00 06 1D BE</v>
      </c>
      <c r="AA81" s="26"/>
      <c r="AB81" s="26"/>
      <c r="AC81" s="26"/>
      <c r="AD81" s="26" t="s">
        <v>814</v>
      </c>
      <c r="AE81" s="26"/>
      <c r="AF81" s="26"/>
      <c r="AI81" s="26"/>
      <c r="AJ81" s="26"/>
      <c r="AL81" s="26"/>
      <c r="AW81" s="26"/>
      <c r="AX81" s="26"/>
      <c r="AY81" s="26"/>
    </row>
    <row r="82" spans="1:51" x14ac:dyDescent="0.25">
      <c r="A82" s="26">
        <v>274</v>
      </c>
      <c r="B82" s="26" t="s">
        <v>192</v>
      </c>
      <c r="C82" s="26">
        <v>5180</v>
      </c>
      <c r="D82" s="27" t="s">
        <v>564</v>
      </c>
      <c r="E82" s="26">
        <v>602</v>
      </c>
      <c r="F82" s="26">
        <v>6</v>
      </c>
      <c r="G82" s="26">
        <v>6</v>
      </c>
      <c r="H82" s="26" t="s">
        <v>349</v>
      </c>
      <c r="I82" s="26" t="s">
        <v>1354</v>
      </c>
      <c r="J82" s="26" t="s">
        <v>1040</v>
      </c>
      <c r="K82" s="26" t="s">
        <v>953</v>
      </c>
      <c r="L82" s="26" t="s">
        <v>931</v>
      </c>
      <c r="M82" s="28"/>
      <c r="Q82" s="27"/>
      <c r="R82" s="26">
        <v>2602</v>
      </c>
      <c r="S82" s="26">
        <v>4100</v>
      </c>
      <c r="T82" s="26">
        <f>IF(Table2[[#This Row],[PMT]]="NA","NA",Table2[[#This Row],[PMT]]+1)</f>
        <v>4101</v>
      </c>
      <c r="U82" s="26">
        <f>IF(Table2[[#This Row],[PMT]]="NA","NA",Table2[[#This Row],[PMT]]+2)</f>
        <v>4102</v>
      </c>
      <c r="V82" s="26">
        <v>0</v>
      </c>
      <c r="W82" s="26">
        <f>IF(Table2[[#This Row],[PMT]]="NA","NA",Table2[[#This Row],[PMT]]+8)-Table2[[#This Row],[Const]]</f>
        <v>4108</v>
      </c>
      <c r="X82" s="26" t="str">
        <f>IF(W82="NA","",CONCATENATE("0B 04 00 ",DEC2HEX($G82,2)," ",LEFT(DEC2HEX(W82,4),2)," ",RIGHT(DEC2HEX(W82,4),2)))</f>
        <v>0B 04 00 06 10 0C</v>
      </c>
      <c r="Y82" s="26">
        <f>IF(Table2[[#This Row],[PMT]]="NA","NA",Table2[[#This Row],[PMT]]+14)-Table2[[#This Row],[Const]]</f>
        <v>4114</v>
      </c>
      <c r="Z82" s="26" t="str">
        <f>IF(Y82="NA","",CONCATENATE("0B 04 00 ",DEC2HEX($G82,2)," ",LEFT(DEC2HEX(Y82,4),2)," ",RIGHT(DEC2HEX(Y82,4),2)))</f>
        <v>0B 04 00 06 10 12</v>
      </c>
      <c r="AA82" s="26" t="s">
        <v>349</v>
      </c>
      <c r="AB82" s="26"/>
      <c r="AC82" s="26"/>
      <c r="AD82" s="26" t="s">
        <v>814</v>
      </c>
      <c r="AE82" s="26"/>
      <c r="AF82" s="26"/>
      <c r="AI82" s="26"/>
      <c r="AJ82" s="26"/>
      <c r="AL82" s="26"/>
      <c r="AW82" s="26"/>
      <c r="AX82" s="26"/>
      <c r="AY82" s="26"/>
    </row>
    <row r="83" spans="1:51" hidden="1" x14ac:dyDescent="0.25">
      <c r="A83" s="26">
        <v>79</v>
      </c>
      <c r="B83" s="26" t="s">
        <v>346</v>
      </c>
      <c r="C83" s="26" t="s">
        <v>346</v>
      </c>
      <c r="D83" s="27" t="s">
        <v>407</v>
      </c>
      <c r="E83" s="26">
        <v>205</v>
      </c>
      <c r="F83" s="26" t="s">
        <v>346</v>
      </c>
      <c r="G83" s="26">
        <v>10</v>
      </c>
      <c r="H83" s="26" t="s">
        <v>1053</v>
      </c>
      <c r="I83" s="26" t="s">
        <v>1084</v>
      </c>
      <c r="J83" s="26" t="s">
        <v>1038</v>
      </c>
      <c r="K83" s="26" t="s">
        <v>1039</v>
      </c>
      <c r="L83" s="26" t="s">
        <v>931</v>
      </c>
      <c r="M83" s="26" t="s">
        <v>1377</v>
      </c>
      <c r="Q83" s="27" t="s">
        <v>1044</v>
      </c>
      <c r="R83" s="26">
        <v>12050</v>
      </c>
      <c r="S83" s="26">
        <v>2600</v>
      </c>
      <c r="T83" s="26">
        <f>IF(Table2[[#This Row],[PMT]]="NA","NA",Table2[[#This Row],[PMT]]+1)</f>
        <v>2601</v>
      </c>
      <c r="U83" s="26">
        <f>IF(Table2[[#This Row],[PMT]]="NA","NA",Table2[[#This Row],[PMT]]+2)</f>
        <v>2602</v>
      </c>
      <c r="V83" s="26">
        <v>0</v>
      </c>
      <c r="W83" s="26">
        <f>IF(Table2[[#This Row],[PMT]]="NA","NA",Table2[[#This Row],[PMT]]+8)-Table2[[#This Row],[Const]]</f>
        <v>2608</v>
      </c>
      <c r="X83" s="26" t="str">
        <f>IF(W83="NA","",CONCATENATE("0B 04 00 ",DEC2HEX($G83,2)," ",LEFT(DEC2HEX(W83,4),2)," ",RIGHT(DEC2HEX(W83,4),2)))</f>
        <v>0B 04 00 0A 0A 30</v>
      </c>
      <c r="Y83" s="26">
        <f>IF(Table2[[#This Row],[PMT]]="NA","NA",Table2[[#This Row],[PMT]]+14)-Table2[[#This Row],[Const]]</f>
        <v>2614</v>
      </c>
      <c r="Z83" s="26" t="str">
        <f>IF(Y83="NA","",CONCATENATE("0B 04 00 ",DEC2HEX($G83,2)," ",LEFT(DEC2HEX(Y83,4),2)," ",RIGHT(DEC2HEX(Y83,4),2)))</f>
        <v>0B 04 00 0A 0A 36</v>
      </c>
      <c r="AA83" s="26" t="s">
        <v>1053</v>
      </c>
      <c r="AB83" s="26" t="s">
        <v>1084</v>
      </c>
      <c r="AC83" s="26"/>
      <c r="AD83" s="26" t="s">
        <v>346</v>
      </c>
      <c r="AE83" s="26"/>
      <c r="AF83" s="26"/>
      <c r="AI83" s="26"/>
      <c r="AJ83" s="26"/>
      <c r="AL83" s="26"/>
      <c r="AW83" s="26"/>
      <c r="AX83" s="26"/>
      <c r="AY83" s="26"/>
    </row>
    <row r="84" spans="1:51" hidden="1" x14ac:dyDescent="0.25">
      <c r="A84" s="26">
        <v>80</v>
      </c>
      <c r="B84" s="26" t="s">
        <v>346</v>
      </c>
      <c r="C84" s="26" t="s">
        <v>346</v>
      </c>
      <c r="D84" s="27" t="s">
        <v>408</v>
      </c>
      <c r="E84" s="26">
        <v>206</v>
      </c>
      <c r="F84" s="26" t="s">
        <v>346</v>
      </c>
      <c r="G84" s="26">
        <v>2</v>
      </c>
      <c r="H84" s="26" t="s">
        <v>1053</v>
      </c>
      <c r="I84" s="26" t="s">
        <v>1084</v>
      </c>
      <c r="J84" s="26" t="s">
        <v>1038</v>
      </c>
      <c r="K84" s="26" t="s">
        <v>1039</v>
      </c>
      <c r="L84" s="26" t="s">
        <v>931</v>
      </c>
      <c r="M84" s="28"/>
      <c r="Q84" s="27"/>
      <c r="R84" s="26">
        <v>8196</v>
      </c>
      <c r="S84" s="26">
        <v>8000</v>
      </c>
      <c r="T84" s="26">
        <f>IF(Table2[[#This Row],[PMT]]="NA","NA",Table2[[#This Row],[PMT]]+1)</f>
        <v>8001</v>
      </c>
      <c r="U84" s="26">
        <f>IF(Table2[[#This Row],[PMT]]="NA","NA",Table2[[#This Row],[PMT]]+2)</f>
        <v>8002</v>
      </c>
      <c r="V84" s="26">
        <v>0</v>
      </c>
      <c r="W84" s="26">
        <f>IF(Table2[[#This Row],[PMT]]="NA","NA",Table2[[#This Row],[PMT]]+8)-Table2[[#This Row],[Const]]</f>
        <v>8008</v>
      </c>
      <c r="X84" s="26" t="str">
        <f>IF(W84="NA","",CONCATENATE("0B 04 00 ",DEC2HEX($G84,2)," ",LEFT(DEC2HEX(W84,4),2)," ",RIGHT(DEC2HEX(W84,4),2)))</f>
        <v>0B 04 00 02 1F 48</v>
      </c>
      <c r="Y84" s="26">
        <f>IF(Table2[[#This Row],[PMT]]="NA","NA",Table2[[#This Row],[PMT]]+14)-Table2[[#This Row],[Const]]</f>
        <v>8014</v>
      </c>
      <c r="Z84" s="26" t="str">
        <f>IF(Y84="NA","",CONCATENATE("0B 04 00 ",DEC2HEX($G84,2)," ",LEFT(DEC2HEX(Y84,4),2)," ",RIGHT(DEC2HEX(Y84,4),2)))</f>
        <v>0B 04 00 02 1F 4E</v>
      </c>
      <c r="AA84" s="26" t="s">
        <v>1053</v>
      </c>
      <c r="AB84" s="26" t="s">
        <v>1084</v>
      </c>
      <c r="AC84" s="26"/>
      <c r="AD84" s="26" t="s">
        <v>346</v>
      </c>
      <c r="AE84" s="26"/>
      <c r="AF84" s="26"/>
      <c r="AI84" s="26"/>
      <c r="AJ84" s="26"/>
      <c r="AL84" s="26"/>
      <c r="AW84" s="26"/>
      <c r="AX84" s="26"/>
      <c r="AY84" s="26"/>
    </row>
    <row r="85" spans="1:51" hidden="1" x14ac:dyDescent="0.25">
      <c r="A85" s="26">
        <v>81</v>
      </c>
      <c r="B85" s="26" t="s">
        <v>346</v>
      </c>
      <c r="C85" s="26" t="s">
        <v>346</v>
      </c>
      <c r="D85" s="27" t="s">
        <v>410</v>
      </c>
      <c r="E85" s="26">
        <v>212</v>
      </c>
      <c r="F85" s="26" t="s">
        <v>346</v>
      </c>
      <c r="G85" s="26">
        <v>11</v>
      </c>
      <c r="H85" s="26" t="s">
        <v>1053</v>
      </c>
      <c r="I85" s="26" t="s">
        <v>443</v>
      </c>
      <c r="J85" s="26" t="s">
        <v>1038</v>
      </c>
      <c r="K85" s="26" t="s">
        <v>1039</v>
      </c>
      <c r="L85" s="26" t="s">
        <v>931</v>
      </c>
      <c r="M85" s="28" t="s">
        <v>1377</v>
      </c>
      <c r="Q85" s="27"/>
      <c r="R85" s="26">
        <v>12063</v>
      </c>
      <c r="S85" s="26">
        <v>2700</v>
      </c>
      <c r="T85" s="26">
        <f>IF(Table2[[#This Row],[PMT]]="NA","NA",Table2[[#This Row],[PMT]]+1)</f>
        <v>2701</v>
      </c>
      <c r="U85" s="26">
        <f>IF(Table2[[#This Row],[PMT]]="NA","NA",Table2[[#This Row],[PMT]]+2)</f>
        <v>2702</v>
      </c>
      <c r="V85" s="26">
        <v>0</v>
      </c>
      <c r="W85" s="26">
        <f>IF(Table2[[#This Row],[PMT]]="NA","NA",Table2[[#This Row],[PMT]]+8)-Table2[[#This Row],[Const]]</f>
        <v>2708</v>
      </c>
      <c r="X85" s="26" t="str">
        <f>IF(W85="NA","",CONCATENATE("0B 04 00 ",DEC2HEX($G85,2)," ",LEFT(DEC2HEX(W85,4),2)," ",RIGHT(DEC2HEX(W85,4),2)))</f>
        <v>0B 04 00 0B 0A 94</v>
      </c>
      <c r="Y85" s="26">
        <f>IF(Table2[[#This Row],[PMT]]="NA","NA",Table2[[#This Row],[PMT]]+14)-Table2[[#This Row],[Const]]</f>
        <v>2714</v>
      </c>
      <c r="Z85" s="26" t="str">
        <f>IF(Y85="NA","",CONCATENATE("0B 04 00 ",DEC2HEX($G85,2)," ",LEFT(DEC2HEX(Y85,4),2)," ",RIGHT(DEC2HEX(Y85,4),2)))</f>
        <v>0B 04 00 0B 0A 9A</v>
      </c>
      <c r="AA85" s="26" t="s">
        <v>1053</v>
      </c>
      <c r="AB85" s="26" t="s">
        <v>443</v>
      </c>
      <c r="AC85" s="26"/>
      <c r="AD85" s="26" t="s">
        <v>346</v>
      </c>
      <c r="AE85" s="26"/>
      <c r="AF85" s="26"/>
      <c r="AI85" s="26"/>
      <c r="AJ85" s="26"/>
      <c r="AL85" s="26"/>
      <c r="AW85" s="26"/>
      <c r="AX85" s="26"/>
      <c r="AY85" s="26"/>
    </row>
    <row r="86" spans="1:51" hidden="1" x14ac:dyDescent="0.25">
      <c r="A86" s="26">
        <v>82</v>
      </c>
      <c r="B86" s="26" t="s">
        <v>346</v>
      </c>
      <c r="C86" s="26" t="s">
        <v>346</v>
      </c>
      <c r="D86" s="27" t="s">
        <v>411</v>
      </c>
      <c r="E86" s="26">
        <v>214</v>
      </c>
      <c r="F86" s="26" t="s">
        <v>346</v>
      </c>
      <c r="G86" s="26">
        <v>4</v>
      </c>
      <c r="H86" s="26" t="s">
        <v>1053</v>
      </c>
      <c r="I86" s="26" t="s">
        <v>1084</v>
      </c>
      <c r="J86" s="26" t="s">
        <v>1038</v>
      </c>
      <c r="K86" s="26" t="s">
        <v>1039</v>
      </c>
      <c r="L86" s="26" t="s">
        <v>931</v>
      </c>
      <c r="M86" s="28" t="s">
        <v>1377</v>
      </c>
      <c r="Q86" s="27"/>
      <c r="R86" s="26">
        <v>12064</v>
      </c>
      <c r="S86" s="26">
        <v>1120</v>
      </c>
      <c r="T86" s="26">
        <f>IF(Table2[[#This Row],[PMT]]="NA","NA",Table2[[#This Row],[PMT]]+1)</f>
        <v>1121</v>
      </c>
      <c r="U86" s="26">
        <f>IF(Table2[[#This Row],[PMT]]="NA","NA",Table2[[#This Row],[PMT]]+2)</f>
        <v>1122</v>
      </c>
      <c r="V86" s="26">
        <v>0</v>
      </c>
      <c r="W86" s="26">
        <f>IF(Table2[[#This Row],[PMT]]="NA","NA",Table2[[#This Row],[PMT]]+8)-Table2[[#This Row],[Const]]</f>
        <v>1128</v>
      </c>
      <c r="X86" s="26" t="str">
        <f>IF(W86="NA","",CONCATENATE("0B 04 00 ",DEC2HEX($G86,2)," ",LEFT(DEC2HEX(W86,4),2)," ",RIGHT(DEC2HEX(W86,4),2)))</f>
        <v>0B 04 00 04 04 68</v>
      </c>
      <c r="Y86" s="26">
        <f>IF(Table2[[#This Row],[PMT]]="NA","NA",Table2[[#This Row],[PMT]]+14)-Table2[[#This Row],[Const]]</f>
        <v>1134</v>
      </c>
      <c r="Z86" s="26" t="str">
        <f>IF(Y86="NA","",CONCATENATE("0B 04 00 ",DEC2HEX($G86,2)," ",LEFT(DEC2HEX(Y86,4),2)," ",RIGHT(DEC2HEX(Y86,4),2)))</f>
        <v>0B 04 00 04 04 6E</v>
      </c>
      <c r="AA86" s="26" t="s">
        <v>1053</v>
      </c>
      <c r="AB86" s="26" t="s">
        <v>1084</v>
      </c>
      <c r="AC86" s="26"/>
      <c r="AD86" s="26" t="s">
        <v>346</v>
      </c>
      <c r="AE86" s="26"/>
      <c r="AF86" s="26"/>
      <c r="AI86" s="26"/>
      <c r="AJ86" s="26"/>
      <c r="AL86" s="26"/>
      <c r="AW86" s="26"/>
      <c r="AX86" s="26"/>
      <c r="AY86" s="26"/>
    </row>
    <row r="87" spans="1:51" hidden="1" x14ac:dyDescent="0.25">
      <c r="A87" s="26">
        <v>83</v>
      </c>
      <c r="B87" s="26" t="s">
        <v>346</v>
      </c>
      <c r="C87" s="26" t="s">
        <v>346</v>
      </c>
      <c r="D87" s="27" t="s">
        <v>1325</v>
      </c>
      <c r="E87" s="26">
        <v>219</v>
      </c>
      <c r="F87" s="26" t="s">
        <v>346</v>
      </c>
      <c r="G87" s="26">
        <v>3</v>
      </c>
      <c r="H87" s="26" t="s">
        <v>1058</v>
      </c>
      <c r="I87" s="26" t="s">
        <v>1084</v>
      </c>
      <c r="J87" s="26" t="s">
        <v>1038</v>
      </c>
      <c r="K87" s="26" t="s">
        <v>1039</v>
      </c>
      <c r="L87" s="26" t="s">
        <v>931</v>
      </c>
      <c r="M87" s="28" t="s">
        <v>1375</v>
      </c>
      <c r="N87" s="31"/>
      <c r="O87" s="31"/>
      <c r="P87" s="31"/>
      <c r="Q87" s="32"/>
      <c r="R87" s="31"/>
      <c r="S87" s="31"/>
      <c r="T87" s="31">
        <f>IF(Table2[[#This Row],[PMT]]="NA","NA",Table2[[#This Row],[PMT]]+1)</f>
        <v>1</v>
      </c>
      <c r="U87" s="31">
        <f>IF(Table2[[#This Row],[PMT]]="NA","NA",Table2[[#This Row],[PMT]]+2)</f>
        <v>2</v>
      </c>
      <c r="V87" s="26"/>
      <c r="W87" s="31">
        <f>IF(Table2[[#This Row],[PMT]]="NA","NA",Table2[[#This Row],[PMT]]+8)-Table2[[#This Row],[Const]]</f>
        <v>8</v>
      </c>
      <c r="X87" s="31" t="str">
        <f>IF(W87="NA","",CONCATENATE("0B 04 00 ",DEC2HEX($G87,2)," ",LEFT(DEC2HEX(W87,4),2)," ",RIGHT(DEC2HEX(W87,4),2)))</f>
        <v>0B 04 00 03 00 08</v>
      </c>
      <c r="Y87" s="31">
        <f>IF(Table2[[#This Row],[PMT]]="NA","NA",Table2[[#This Row],[PMT]]+14)-Table2[[#This Row],[Const]]</f>
        <v>14</v>
      </c>
      <c r="Z87" s="31" t="str">
        <f>IF(Y87="NA","",CONCATENATE("0B 04 00 ",DEC2HEX($G87,2)," ",LEFT(DEC2HEX(Y87,4),2)," ",RIGHT(DEC2HEX(Y87,4),2)))</f>
        <v>0B 04 00 03 00 0E</v>
      </c>
      <c r="AA87" s="26"/>
      <c r="AB87" s="26"/>
      <c r="AC87" s="31"/>
      <c r="AD87" s="31"/>
      <c r="AE87" s="26"/>
      <c r="AF87" s="26"/>
      <c r="AI87" s="26"/>
      <c r="AJ87" s="26"/>
      <c r="AL87" s="26"/>
      <c r="AW87" s="26"/>
      <c r="AX87" s="26"/>
      <c r="AY87" s="26"/>
    </row>
    <row r="88" spans="1:51" x14ac:dyDescent="0.25">
      <c r="A88" s="26">
        <v>217</v>
      </c>
      <c r="B88" s="26" t="s">
        <v>176</v>
      </c>
      <c r="C88" s="26">
        <v>5180</v>
      </c>
      <c r="D88" s="27" t="s">
        <v>519</v>
      </c>
      <c r="E88" s="26">
        <v>516</v>
      </c>
      <c r="F88" s="26">
        <v>6</v>
      </c>
      <c r="G88" s="26">
        <v>6</v>
      </c>
      <c r="H88" s="26" t="s">
        <v>349</v>
      </c>
      <c r="I88" s="26" t="s">
        <v>1350</v>
      </c>
      <c r="J88" s="26" t="s">
        <v>1040</v>
      </c>
      <c r="K88" s="26" t="s">
        <v>953</v>
      </c>
      <c r="L88" s="26" t="s">
        <v>931</v>
      </c>
      <c r="M88" s="28"/>
      <c r="Q88" s="27" t="s">
        <v>1102</v>
      </c>
      <c r="R88" s="26">
        <v>8511</v>
      </c>
      <c r="S88" s="26">
        <v>5600</v>
      </c>
      <c r="T88" s="26">
        <f>IF(Table2[[#This Row],[PMT]]="NA","NA",Table2[[#This Row],[PMT]]+1)</f>
        <v>5601</v>
      </c>
      <c r="U88" s="26">
        <f>IF(Table2[[#This Row],[PMT]]="NA","NA",Table2[[#This Row],[PMT]]+2)</f>
        <v>5602</v>
      </c>
      <c r="V88" s="26">
        <v>0</v>
      </c>
      <c r="W88" s="26">
        <f>IF(Table2[[#This Row],[PMT]]="NA","NA",Table2[[#This Row],[PMT]]+8)-Table2[[#This Row],[Const]]</f>
        <v>5608</v>
      </c>
      <c r="X88" s="26" t="str">
        <f>IF(W88="NA","",CONCATENATE("0B 04 00 ",DEC2HEX($G88,2)," ",LEFT(DEC2HEX(W88,4),2)," ",RIGHT(DEC2HEX(W88,4),2)))</f>
        <v>0B 04 00 06 15 E8</v>
      </c>
      <c r="Y88" s="26">
        <f>IF(Table2[[#This Row],[PMT]]="NA","NA",Table2[[#This Row],[PMT]]+14)-Table2[[#This Row],[Const]]</f>
        <v>5614</v>
      </c>
      <c r="Z88" s="26" t="str">
        <f>IF(Y88="NA","",CONCATENATE("0B 04 00 ",DEC2HEX($G88,2)," ",LEFT(DEC2HEX(Y88,4),2)," ",RIGHT(DEC2HEX(Y88,4),2)))</f>
        <v>0B 04 00 06 15 EE</v>
      </c>
      <c r="AA88" s="26" t="s">
        <v>349</v>
      </c>
      <c r="AB88" s="26"/>
      <c r="AC88" s="26"/>
      <c r="AD88" s="26" t="s">
        <v>814</v>
      </c>
      <c r="AE88" s="26"/>
      <c r="AF88" s="26"/>
      <c r="AI88" s="26"/>
      <c r="AJ88" s="26"/>
      <c r="AL88" s="26"/>
      <c r="AW88" s="26"/>
      <c r="AX88" s="26"/>
      <c r="AY88" s="26"/>
    </row>
    <row r="89" spans="1:51" hidden="1" x14ac:dyDescent="0.25">
      <c r="A89" s="26">
        <v>85</v>
      </c>
      <c r="B89" s="26" t="s">
        <v>346</v>
      </c>
      <c r="C89" s="26" t="s">
        <v>346</v>
      </c>
      <c r="D89" s="27" t="s">
        <v>415</v>
      </c>
      <c r="E89" s="26">
        <v>221</v>
      </c>
      <c r="F89" s="26" t="s">
        <v>346</v>
      </c>
      <c r="G89" s="26">
        <v>8</v>
      </c>
      <c r="H89" s="26" t="s">
        <v>1058</v>
      </c>
      <c r="I89" s="26" t="s">
        <v>1084</v>
      </c>
      <c r="J89" s="26" t="s">
        <v>1038</v>
      </c>
      <c r="K89" s="26" t="s">
        <v>1039</v>
      </c>
      <c r="L89" s="26" t="s">
        <v>931</v>
      </c>
      <c r="M89" s="26" t="s">
        <v>1377</v>
      </c>
      <c r="N89" s="26" t="s">
        <v>1086</v>
      </c>
      <c r="O89" s="26" t="s">
        <v>1089</v>
      </c>
      <c r="P89" s="26">
        <v>3860</v>
      </c>
      <c r="Q89" s="27" t="s">
        <v>1043</v>
      </c>
      <c r="R89" s="26">
        <v>11221</v>
      </c>
      <c r="S89" s="26">
        <v>750</v>
      </c>
      <c r="T89" s="26">
        <f>IF(Table2[[#This Row],[PMT]]="NA","NA",Table2[[#This Row],[PMT]]+1)</f>
        <v>751</v>
      </c>
      <c r="U89" s="26">
        <f>IF(Table2[[#This Row],[PMT]]="NA","NA",Table2[[#This Row],[PMT]]+2)</f>
        <v>752</v>
      </c>
      <c r="V89" s="26">
        <v>0</v>
      </c>
      <c r="W89" s="26">
        <f>IF(Table2[[#This Row],[PMT]]="NA","NA",Table2[[#This Row],[PMT]]+8)-Table2[[#This Row],[Const]]</f>
        <v>758</v>
      </c>
      <c r="X89" s="26" t="str">
        <f>IF(W89="NA","",CONCATENATE("0B 04 00 ",DEC2HEX($G89,2)," ",LEFT(DEC2HEX(W89,4),2)," ",RIGHT(DEC2HEX(W89,4),2)))</f>
        <v>0B 04 00 08 02 F6</v>
      </c>
      <c r="Y89" s="26">
        <f>IF(Table2[[#This Row],[PMT]]="NA","NA",Table2[[#This Row],[PMT]]+14)-Table2[[#This Row],[Const]]</f>
        <v>764</v>
      </c>
      <c r="Z89" s="26" t="str">
        <f>IF(Y89="NA","",CONCATENATE("0B 04 00 ",DEC2HEX($G89,2)," ",LEFT(DEC2HEX(Y89,4),2)," ",RIGHT(DEC2HEX(Y89,4),2)))</f>
        <v>0B 04 00 08 02 FC</v>
      </c>
      <c r="AA89" s="26" t="s">
        <v>1058</v>
      </c>
      <c r="AB89" s="26" t="s">
        <v>1084</v>
      </c>
      <c r="AC89" s="26">
        <v>28100</v>
      </c>
      <c r="AD89" s="26" t="s">
        <v>346</v>
      </c>
      <c r="AE89" s="26"/>
      <c r="AF89" s="26"/>
      <c r="AI89" s="26"/>
      <c r="AJ89" s="26"/>
      <c r="AL89" s="26"/>
      <c r="AW89" s="26"/>
      <c r="AX89" s="26"/>
      <c r="AY89" s="26"/>
    </row>
    <row r="90" spans="1:51" x14ac:dyDescent="0.25">
      <c r="A90" s="26">
        <v>300</v>
      </c>
      <c r="B90" s="26" t="s">
        <v>136</v>
      </c>
      <c r="C90" s="26">
        <v>5180</v>
      </c>
      <c r="D90" s="27" t="s">
        <v>585</v>
      </c>
      <c r="E90" s="26">
        <v>658</v>
      </c>
      <c r="F90" s="26">
        <v>6</v>
      </c>
      <c r="G90" s="26">
        <v>6</v>
      </c>
      <c r="H90" s="26" t="s">
        <v>349</v>
      </c>
      <c r="I90" s="26" t="s">
        <v>1353</v>
      </c>
      <c r="J90" s="26" t="s">
        <v>1040</v>
      </c>
      <c r="K90" s="26" t="s">
        <v>953</v>
      </c>
      <c r="L90" s="26" t="s">
        <v>931</v>
      </c>
      <c r="M90" s="28" t="s">
        <v>1376</v>
      </c>
      <c r="Q90" s="27" t="s">
        <v>1102</v>
      </c>
      <c r="R90" s="26">
        <v>6585</v>
      </c>
      <c r="S90" s="26">
        <v>2900</v>
      </c>
      <c r="T90" s="26">
        <f>IF(Table2[[#This Row],[PMT]]="NA","NA",Table2[[#This Row],[PMT]]+1)</f>
        <v>2901</v>
      </c>
      <c r="U90" s="26">
        <f>IF(Table2[[#This Row],[PMT]]="NA","NA",Table2[[#This Row],[PMT]]+2)</f>
        <v>2902</v>
      </c>
      <c r="V90" s="26">
        <v>0</v>
      </c>
      <c r="W90" s="26">
        <f>IF(Table2[[#This Row],[PMT]]="NA","NA",Table2[[#This Row],[PMT]]+8)-Table2[[#This Row],[Const]]</f>
        <v>2908</v>
      </c>
      <c r="X90" s="26" t="str">
        <f>IF(W90="NA","",CONCATENATE("0B 04 00 ",DEC2HEX($G90,2)," ",LEFT(DEC2HEX(W90,4),2)," ",RIGHT(DEC2HEX(W90,4),2)))</f>
        <v>0B 04 00 06 0B 5C</v>
      </c>
      <c r="Y90" s="26">
        <f>IF(Table2[[#This Row],[PMT]]="NA","NA",Table2[[#This Row],[PMT]]+14)-Table2[[#This Row],[Const]]</f>
        <v>2914</v>
      </c>
      <c r="Z90" s="26" t="str">
        <f>IF(Y90="NA","",CONCATENATE("0B 04 00 ",DEC2HEX($G90,2)," ",LEFT(DEC2HEX(Y90,4),2)," ",RIGHT(DEC2HEX(Y90,4),2)))</f>
        <v>0B 04 00 06 0B 62</v>
      </c>
      <c r="AA90" s="26" t="s">
        <v>349</v>
      </c>
      <c r="AB90" s="26"/>
      <c r="AC90" s="26"/>
      <c r="AD90" s="26" t="s">
        <v>814</v>
      </c>
      <c r="AE90" s="26"/>
      <c r="AF90" s="26"/>
      <c r="AI90" s="26"/>
      <c r="AJ90" s="26"/>
      <c r="AL90" s="26"/>
      <c r="AW90" s="26"/>
      <c r="AX90" s="26"/>
      <c r="AY90" s="26"/>
    </row>
    <row r="91" spans="1:51" hidden="1" x14ac:dyDescent="0.25">
      <c r="A91" s="26">
        <v>87</v>
      </c>
      <c r="B91" s="26" t="s">
        <v>346</v>
      </c>
      <c r="C91" s="26" t="s">
        <v>346</v>
      </c>
      <c r="D91" s="27" t="s">
        <v>417</v>
      </c>
      <c r="E91" s="26">
        <v>223</v>
      </c>
      <c r="F91" s="26" t="s">
        <v>346</v>
      </c>
      <c r="G91" s="26">
        <v>10</v>
      </c>
      <c r="H91" s="26" t="s">
        <v>1058</v>
      </c>
      <c r="I91" s="26" t="s">
        <v>1084</v>
      </c>
      <c r="J91" s="26" t="s">
        <v>1038</v>
      </c>
      <c r="K91" s="26" t="s">
        <v>1039</v>
      </c>
      <c r="L91" s="26" t="s">
        <v>931</v>
      </c>
      <c r="M91" s="26" t="s">
        <v>1377</v>
      </c>
      <c r="N91" s="26" t="s">
        <v>1086</v>
      </c>
      <c r="O91" s="26" t="s">
        <v>1089</v>
      </c>
      <c r="P91" s="26">
        <v>3860</v>
      </c>
      <c r="Q91" s="27" t="s">
        <v>1043</v>
      </c>
      <c r="R91" s="26">
        <v>11220</v>
      </c>
      <c r="S91" s="26">
        <v>3200</v>
      </c>
      <c r="T91" s="26">
        <f>IF(Table2[[#This Row],[PMT]]="NA","NA",Table2[[#This Row],[PMT]]+1)</f>
        <v>3201</v>
      </c>
      <c r="U91" s="26">
        <f>IF(Table2[[#This Row],[PMT]]="NA","NA",Table2[[#This Row],[PMT]]+2)</f>
        <v>3202</v>
      </c>
      <c r="V91" s="26">
        <v>0</v>
      </c>
      <c r="W91" s="26">
        <f>IF(Table2[[#This Row],[PMT]]="NA","NA",Table2[[#This Row],[PMT]]+8)-Table2[[#This Row],[Const]]</f>
        <v>3208</v>
      </c>
      <c r="X91" s="26" t="str">
        <f>IF(W91="NA","",CONCATENATE("0B 04 00 ",DEC2HEX($G91,2)," ",LEFT(DEC2HEX(W91,4),2)," ",RIGHT(DEC2HEX(W91,4),2)))</f>
        <v>0B 04 00 0A 0C 88</v>
      </c>
      <c r="Y91" s="26">
        <f>IF(Table2[[#This Row],[PMT]]="NA","NA",Table2[[#This Row],[PMT]]+14)-Table2[[#This Row],[Const]]</f>
        <v>3214</v>
      </c>
      <c r="Z91" s="26" t="str">
        <f>IF(Y91="NA","",CONCATENATE("0B 04 00 ",DEC2HEX($G91,2)," ",LEFT(DEC2HEX(Y91,4),2)," ",RIGHT(DEC2HEX(Y91,4),2)))</f>
        <v>0B 04 00 0A 0C 8E</v>
      </c>
      <c r="AA91" s="26" t="s">
        <v>1058</v>
      </c>
      <c r="AB91" s="26" t="s">
        <v>1084</v>
      </c>
      <c r="AC91" s="26">
        <v>28100</v>
      </c>
      <c r="AD91" s="26" t="s">
        <v>346</v>
      </c>
      <c r="AE91" s="26"/>
      <c r="AF91" s="26"/>
      <c r="AI91" s="26"/>
      <c r="AJ91" s="26"/>
      <c r="AL91" s="26"/>
      <c r="AW91" s="26"/>
      <c r="AX91" s="26"/>
      <c r="AY91" s="26"/>
    </row>
    <row r="92" spans="1:51" x14ac:dyDescent="0.25">
      <c r="A92" s="26">
        <v>99</v>
      </c>
      <c r="B92" s="26" t="s">
        <v>173</v>
      </c>
      <c r="C92" s="26">
        <v>5180</v>
      </c>
      <c r="D92" s="27" t="s">
        <v>426</v>
      </c>
      <c r="E92" s="26">
        <v>244</v>
      </c>
      <c r="F92" s="26">
        <v>2</v>
      </c>
      <c r="G92" s="26">
        <v>2</v>
      </c>
      <c r="H92" s="26" t="s">
        <v>1058</v>
      </c>
      <c r="I92" s="26" t="s">
        <v>443</v>
      </c>
      <c r="J92" s="26" t="s">
        <v>1040</v>
      </c>
      <c r="K92" s="26" t="s">
        <v>953</v>
      </c>
      <c r="L92" s="26" t="s">
        <v>931</v>
      </c>
      <c r="M92" s="28" t="s">
        <v>1376</v>
      </c>
      <c r="Q92" s="27"/>
      <c r="R92" s="26">
        <v>2232</v>
      </c>
      <c r="S92" s="26">
        <v>180</v>
      </c>
      <c r="T92" s="26">
        <f>IF(Table2[[#This Row],[PMT]]="NA","NA",Table2[[#This Row],[PMT]]+1)</f>
        <v>181</v>
      </c>
      <c r="U92" s="26">
        <f>IF(Table2[[#This Row],[PMT]]="NA","NA",Table2[[#This Row],[PMT]]+2)</f>
        <v>182</v>
      </c>
      <c r="V92" s="26">
        <v>0</v>
      </c>
      <c r="W92" s="26">
        <f>IF(Table2[[#This Row],[PMT]]="NA","NA",Table2[[#This Row],[PMT]]+8)-Table2[[#This Row],[Const]]</f>
        <v>188</v>
      </c>
      <c r="X92" s="26" t="str">
        <f>IF(W92="NA","",CONCATENATE("0B 04 00 ",DEC2HEX($G92,2)," ",LEFT(DEC2HEX(W92,4),2)," ",RIGHT(DEC2HEX(W92,4),2)))</f>
        <v>0B 04 00 02 00 BC</v>
      </c>
      <c r="Y92" s="26">
        <f>IF(Table2[[#This Row],[PMT]]="NA","NA",Table2[[#This Row],[PMT]]+14)-Table2[[#This Row],[Const]]</f>
        <v>194</v>
      </c>
      <c r="Z92" s="26" t="str">
        <f>IF(Y92="NA","",CONCATENATE("0B 04 00 ",DEC2HEX($G92,2)," ",LEFT(DEC2HEX(Y92,4),2)," ",RIGHT(DEC2HEX(Y92,4),2)))</f>
        <v>0B 04 00 02 00 C2</v>
      </c>
      <c r="AA92" s="26" t="s">
        <v>1058</v>
      </c>
      <c r="AB92" s="26" t="s">
        <v>1084</v>
      </c>
      <c r="AC92" s="26"/>
      <c r="AD92" s="26" t="s">
        <v>818</v>
      </c>
      <c r="AE92" s="26"/>
      <c r="AF92" s="26"/>
      <c r="AI92" s="26"/>
      <c r="AJ92" s="26"/>
      <c r="AL92" s="26"/>
      <c r="AW92" s="26"/>
      <c r="AX92" s="26"/>
      <c r="AY92" s="26"/>
    </row>
    <row r="93" spans="1:51" hidden="1" x14ac:dyDescent="0.25">
      <c r="A93" s="26">
        <v>89</v>
      </c>
      <c r="B93" s="26" t="s">
        <v>346</v>
      </c>
      <c r="C93" s="26" t="s">
        <v>346</v>
      </c>
      <c r="D93" s="27" t="s">
        <v>1331</v>
      </c>
      <c r="E93" s="26">
        <v>225</v>
      </c>
      <c r="F93" s="26" t="s">
        <v>346</v>
      </c>
      <c r="G93" s="26">
        <v>8</v>
      </c>
      <c r="H93" s="26" t="s">
        <v>1058</v>
      </c>
      <c r="I93" s="26" t="s">
        <v>443</v>
      </c>
      <c r="J93" s="26" t="s">
        <v>1038</v>
      </c>
      <c r="K93" s="26" t="s">
        <v>1039</v>
      </c>
      <c r="L93" s="26" t="s">
        <v>931</v>
      </c>
      <c r="M93" s="26" t="s">
        <v>1377</v>
      </c>
      <c r="N93" s="26" t="s">
        <v>1086</v>
      </c>
      <c r="O93" s="26" t="s">
        <v>1089</v>
      </c>
      <c r="P93" s="26">
        <v>3860</v>
      </c>
      <c r="Q93" s="27" t="s">
        <v>1043</v>
      </c>
      <c r="S93" s="26"/>
      <c r="T93" s="26"/>
      <c r="U93" s="26"/>
      <c r="V93" s="26"/>
      <c r="W93" s="26"/>
      <c r="X93" s="26"/>
      <c r="Y93" s="26"/>
      <c r="Z93" s="26"/>
      <c r="AA93" s="26" t="s">
        <v>1058</v>
      </c>
      <c r="AB93" s="26" t="s">
        <v>1084</v>
      </c>
      <c r="AC93" s="26">
        <v>28100</v>
      </c>
      <c r="AD93" s="26" t="s">
        <v>346</v>
      </c>
      <c r="AE93" s="26"/>
      <c r="AF93" s="26"/>
      <c r="AI93" s="26"/>
      <c r="AJ93" s="26"/>
      <c r="AL93" s="26"/>
      <c r="AW93" s="26"/>
      <c r="AX93" s="26"/>
      <c r="AY93" s="26"/>
    </row>
    <row r="94" spans="1:51" x14ac:dyDescent="0.25">
      <c r="A94" s="26">
        <v>282</v>
      </c>
      <c r="B94" s="26" t="s">
        <v>156</v>
      </c>
      <c r="C94" s="26">
        <v>5180</v>
      </c>
      <c r="D94" s="27" t="s">
        <v>571</v>
      </c>
      <c r="E94" s="26">
        <v>611</v>
      </c>
      <c r="F94" s="26">
        <v>1</v>
      </c>
      <c r="G94" s="26">
        <v>1</v>
      </c>
      <c r="H94" s="26" t="s">
        <v>349</v>
      </c>
      <c r="I94" s="26" t="s">
        <v>1351</v>
      </c>
      <c r="J94" s="26" t="s">
        <v>1040</v>
      </c>
      <c r="K94" s="26" t="s">
        <v>953</v>
      </c>
      <c r="L94" s="26" t="s">
        <v>931</v>
      </c>
      <c r="M94" s="28" t="s">
        <v>1376</v>
      </c>
      <c r="Q94" s="27" t="s">
        <v>1102</v>
      </c>
      <c r="R94" s="26">
        <v>5611</v>
      </c>
      <c r="S94" s="26">
        <v>280</v>
      </c>
      <c r="T94" s="26">
        <f>IF(Table2[[#This Row],[PMT]]="NA","NA",Table2[[#This Row],[PMT]]+1)</f>
        <v>281</v>
      </c>
      <c r="U94" s="26">
        <f>IF(Table2[[#This Row],[PMT]]="NA","NA",Table2[[#This Row],[PMT]]+2)</f>
        <v>282</v>
      </c>
      <c r="V94" s="26">
        <v>1</v>
      </c>
      <c r="W94" s="26">
        <f>IF(Table2[[#This Row],[PMT]]="NA","NA",Table2[[#This Row],[PMT]]+8)-Table2[[#This Row],[Const]]</f>
        <v>287</v>
      </c>
      <c r="X94" s="26" t="str">
        <f>IF(W94="NA","",CONCATENATE("0B 04 00 ",DEC2HEX($G94,2)," ",LEFT(DEC2HEX(W94,4),2)," ",RIGHT(DEC2HEX(W94,4),2)))</f>
        <v>0B 04 00 01 01 1F</v>
      </c>
      <c r="Y94" s="26">
        <f>IF(Table2[[#This Row],[PMT]]="NA","NA",Table2[[#This Row],[PMT]]+14)-Table2[[#This Row],[Const]]</f>
        <v>293</v>
      </c>
      <c r="Z94" s="26" t="str">
        <f>IF(Y94="NA","",CONCATENATE("0B 04 00 ",DEC2HEX($G94,2)," ",LEFT(DEC2HEX(Y94,4),2)," ",RIGHT(DEC2HEX(Y94,4),2)))</f>
        <v>0B 04 00 01 01 25</v>
      </c>
      <c r="AA94" s="26" t="s">
        <v>349</v>
      </c>
      <c r="AB94" s="26"/>
      <c r="AC94" s="26"/>
      <c r="AD94" s="26" t="s">
        <v>813</v>
      </c>
      <c r="AE94" s="26"/>
      <c r="AF94" s="26"/>
      <c r="AI94" s="26"/>
      <c r="AJ94" s="26"/>
      <c r="AL94" s="26"/>
      <c r="AW94" s="26"/>
      <c r="AX94" s="26"/>
      <c r="AY94" s="26"/>
    </row>
    <row r="95" spans="1:51" hidden="1" x14ac:dyDescent="0.25">
      <c r="A95" s="37"/>
      <c r="B95" s="37"/>
      <c r="C95" s="38"/>
      <c r="D95" s="39" t="s">
        <v>1388</v>
      </c>
      <c r="E95" s="37">
        <v>227</v>
      </c>
      <c r="F95" s="37" t="s">
        <v>346</v>
      </c>
      <c r="G95" s="38">
        <v>8</v>
      </c>
      <c r="H95" s="38" t="s">
        <v>1058</v>
      </c>
      <c r="I95" s="38" t="s">
        <v>1084</v>
      </c>
      <c r="J95" s="38" t="s">
        <v>1038</v>
      </c>
      <c r="K95" s="38" t="s">
        <v>1039</v>
      </c>
      <c r="L95" s="37"/>
      <c r="M95" s="40"/>
      <c r="N95" s="40"/>
      <c r="O95" s="40"/>
      <c r="P95" s="40"/>
      <c r="Q95" s="41"/>
      <c r="R95" s="38"/>
      <c r="S95" s="38"/>
      <c r="T95" s="38">
        <f>IF(Table2[[#This Row],[PMT]]="NA","NA",Table2[[#This Row],[PMT]]+1)</f>
        <v>1</v>
      </c>
      <c r="U95" s="38">
        <f>IF(Table2[[#This Row],[PMT]]="NA","NA",Table2[[#This Row],[PMT]]+2)</f>
        <v>2</v>
      </c>
      <c r="V95" s="37"/>
      <c r="W95" s="38">
        <f>IF(Table2[[#This Row],[PMT]]="NA","NA",Table2[[#This Row],[PMT]]+8)-Table2[[#This Row],[Const]]</f>
        <v>8</v>
      </c>
      <c r="X95" s="38" t="str">
        <f>IF(W95="NA","",CONCATENATE("0B 04 00 ",DEC2HEX($G95,2)," ",LEFT(DEC2HEX(W95,4),2)," ",RIGHT(DEC2HEX(W95,4),2)))</f>
        <v>0B 04 00 08 00 08</v>
      </c>
      <c r="Y95" s="38">
        <f>IF(Table2[[#This Row],[PMT]]="NA","NA",Table2[[#This Row],[PMT]]+14)-Table2[[#This Row],[Const]]</f>
        <v>14</v>
      </c>
      <c r="Z95" s="38" t="str">
        <f>IF(Y95="NA","",CONCATENATE("0B 04 00 ",DEC2HEX($G95,2)," ",LEFT(DEC2HEX(Y95,4),2)," ",RIGHT(DEC2HEX(Y95,4),2)))</f>
        <v>0B 04 00 08 00 0E</v>
      </c>
      <c r="AA95" s="37"/>
      <c r="AB95" s="37"/>
      <c r="AC95" s="38"/>
      <c r="AD95" s="38"/>
      <c r="AE95" s="26"/>
      <c r="AF95" s="26"/>
      <c r="AI95" s="26"/>
      <c r="AJ95" s="26"/>
      <c r="AL95" s="26"/>
      <c r="AW95" s="26"/>
      <c r="AX95" s="26"/>
      <c r="AY95" s="26"/>
    </row>
    <row r="96" spans="1:51" x14ac:dyDescent="0.25">
      <c r="A96" s="26">
        <v>230</v>
      </c>
      <c r="B96" s="26" t="s">
        <v>1359</v>
      </c>
      <c r="C96" s="26">
        <v>5180</v>
      </c>
      <c r="D96" s="27" t="s">
        <v>1396</v>
      </c>
      <c r="E96" s="26">
        <v>529</v>
      </c>
      <c r="F96" s="26">
        <v>2</v>
      </c>
      <c r="G96" s="26">
        <v>2</v>
      </c>
      <c r="H96" s="26" t="s">
        <v>349</v>
      </c>
      <c r="I96" s="26" t="s">
        <v>523</v>
      </c>
      <c r="J96" s="26" t="s">
        <v>1040</v>
      </c>
      <c r="K96" s="26" t="s">
        <v>953</v>
      </c>
      <c r="L96" s="26" t="s">
        <v>931</v>
      </c>
      <c r="M96" s="28"/>
      <c r="Q96" s="27"/>
      <c r="R96" s="26">
        <v>12001</v>
      </c>
      <c r="S96" s="26">
        <v>920</v>
      </c>
      <c r="T96" s="26">
        <f>IF(Table2[[#This Row],[PMT]]="NA","NA",Table2[[#This Row],[PMT]]+1)</f>
        <v>921</v>
      </c>
      <c r="U96" s="26">
        <f>IF(Table2[[#This Row],[PMT]]="NA","NA",Table2[[#This Row],[PMT]]+2)</f>
        <v>922</v>
      </c>
      <c r="V96" s="26">
        <v>0</v>
      </c>
      <c r="W96" s="26">
        <f>IF(Table2[[#This Row],[PMT]]="NA","NA",Table2[[#This Row],[PMT]]+8)-Table2[[#This Row],[Const]]</f>
        <v>928</v>
      </c>
      <c r="X96" s="26" t="str">
        <f>IF(W96="NA","",CONCATENATE("0B 04 00 ",DEC2HEX($G96,2)," ",LEFT(DEC2HEX(W96,4),2)," ",RIGHT(DEC2HEX(W96,4),2)))</f>
        <v>0B 04 00 02 03 A0</v>
      </c>
      <c r="Y96" s="26">
        <f>IF(Table2[[#This Row],[PMT]]="NA","NA",Table2[[#This Row],[PMT]]+14)-Table2[[#This Row],[Const]]</f>
        <v>934</v>
      </c>
      <c r="Z96" s="26" t="str">
        <f>IF(Y96="NA","",CONCATENATE("0B 04 00 ",DEC2HEX($G96,2)," ",LEFT(DEC2HEX(Y96,4),2)," ",RIGHT(DEC2HEX(Y96,4),2)))</f>
        <v>0B 04 00 02 03 A6</v>
      </c>
      <c r="AA96" s="26" t="s">
        <v>349</v>
      </c>
      <c r="AB96" s="26"/>
      <c r="AC96" s="26"/>
      <c r="AD96" s="26" t="s">
        <v>346</v>
      </c>
      <c r="AE96" s="26"/>
      <c r="AF96" s="26"/>
      <c r="AI96" s="26"/>
      <c r="AJ96" s="26"/>
      <c r="AL96" s="26"/>
      <c r="AW96" s="26"/>
      <c r="AX96" s="26"/>
      <c r="AY96" s="26"/>
    </row>
    <row r="97" spans="1:51" hidden="1" x14ac:dyDescent="0.25">
      <c r="A97" s="26">
        <v>92</v>
      </c>
      <c r="B97" s="26" t="s">
        <v>346</v>
      </c>
      <c r="C97" s="26" t="s">
        <v>346</v>
      </c>
      <c r="D97" s="27" t="s">
        <v>419</v>
      </c>
      <c r="E97" s="26">
        <v>231</v>
      </c>
      <c r="F97" s="26" t="s">
        <v>346</v>
      </c>
      <c r="G97" s="26">
        <v>8</v>
      </c>
      <c r="H97" s="26" t="s">
        <v>1058</v>
      </c>
      <c r="I97" s="26" t="s">
        <v>1084</v>
      </c>
      <c r="J97" s="26" t="s">
        <v>1038</v>
      </c>
      <c r="K97" s="26" t="s">
        <v>1039</v>
      </c>
      <c r="L97" s="26" t="s">
        <v>931</v>
      </c>
      <c r="M97" s="26" t="s">
        <v>1377</v>
      </c>
      <c r="N97" s="26" t="s">
        <v>1076</v>
      </c>
      <c r="O97" s="26" t="s">
        <v>1099</v>
      </c>
      <c r="P97" s="26">
        <v>3781</v>
      </c>
      <c r="Q97" s="27" t="s">
        <v>1044</v>
      </c>
      <c r="R97" s="26">
        <v>5223</v>
      </c>
      <c r="S97" s="26">
        <v>710</v>
      </c>
      <c r="T97" s="26">
        <f>IF(Table2[[#This Row],[PMT]]="NA","NA",Table2[[#This Row],[PMT]]+1)</f>
        <v>711</v>
      </c>
      <c r="U97" s="26">
        <f>IF(Table2[[#This Row],[PMT]]="NA","NA",Table2[[#This Row],[PMT]]+2)</f>
        <v>712</v>
      </c>
      <c r="V97" s="26">
        <v>0</v>
      </c>
      <c r="W97" s="26">
        <f>IF(Table2[[#This Row],[PMT]]="NA","NA",Table2[[#This Row],[PMT]]+8)-Table2[[#This Row],[Const]]</f>
        <v>718</v>
      </c>
      <c r="X97" s="26" t="str">
        <f>IF(W97="NA","",CONCATENATE("0B 04 00 ",DEC2HEX($G97,2)," ",LEFT(DEC2HEX(W97,4),2)," ",RIGHT(DEC2HEX(W97,4),2)))</f>
        <v>0B 04 00 08 02 CE</v>
      </c>
      <c r="Y97" s="26">
        <f>IF(Table2[[#This Row],[PMT]]="NA","NA",Table2[[#This Row],[PMT]]+14)-Table2[[#This Row],[Const]]</f>
        <v>724</v>
      </c>
      <c r="Z97" s="26" t="str">
        <f>IF(Y97="NA","",CONCATENATE("0B 04 00 ",DEC2HEX($G97,2)," ",LEFT(DEC2HEX(Y97,4),2)," ",RIGHT(DEC2HEX(Y97,4),2)))</f>
        <v>0B 04 00 08 02 D4</v>
      </c>
      <c r="AA97" s="26" t="s">
        <v>1058</v>
      </c>
      <c r="AB97" s="26" t="s">
        <v>1084</v>
      </c>
      <c r="AC97" s="26">
        <v>6989</v>
      </c>
      <c r="AD97" s="26" t="s">
        <v>346</v>
      </c>
      <c r="AE97" s="26"/>
      <c r="AF97" s="26"/>
      <c r="AI97" s="26"/>
      <c r="AJ97" s="26"/>
      <c r="AL97" s="26"/>
      <c r="AW97" s="26"/>
      <c r="AX97" s="26"/>
      <c r="AY97" s="26"/>
    </row>
    <row r="98" spans="1:51" x14ac:dyDescent="0.25">
      <c r="A98" s="26">
        <v>152</v>
      </c>
      <c r="B98" s="26" t="s">
        <v>180</v>
      </c>
      <c r="C98" s="26">
        <v>5180</v>
      </c>
      <c r="D98" s="27" t="s">
        <v>467</v>
      </c>
      <c r="E98" s="26">
        <v>340</v>
      </c>
      <c r="F98" s="26">
        <v>3</v>
      </c>
      <c r="G98" s="26">
        <v>3</v>
      </c>
      <c r="H98" s="26" t="s">
        <v>1063</v>
      </c>
      <c r="I98" s="26" t="s">
        <v>1084</v>
      </c>
      <c r="J98" s="26" t="s">
        <v>1040</v>
      </c>
      <c r="K98" s="26" t="s">
        <v>953</v>
      </c>
      <c r="L98" s="26" t="s">
        <v>931</v>
      </c>
      <c r="M98" s="28" t="s">
        <v>1377</v>
      </c>
      <c r="Q98" s="27"/>
      <c r="R98" s="26">
        <v>3340</v>
      </c>
      <c r="S98" s="26">
        <v>620</v>
      </c>
      <c r="T98" s="26">
        <f>IF(Table2[[#This Row],[PMT]]="NA","NA",Table2[[#This Row],[PMT]]+1)</f>
        <v>621</v>
      </c>
      <c r="U98" s="26">
        <f>IF(Table2[[#This Row],[PMT]]="NA","NA",Table2[[#This Row],[PMT]]+2)</f>
        <v>622</v>
      </c>
      <c r="V98" s="26">
        <v>0</v>
      </c>
      <c r="W98" s="26">
        <f>IF(Table2[[#This Row],[PMT]]="NA","NA",Table2[[#This Row],[PMT]]+8)-Table2[[#This Row],[Const]]</f>
        <v>628</v>
      </c>
      <c r="X98" s="26" t="str">
        <f>IF(W98="NA","",CONCATENATE("0B 04 00 ",DEC2HEX($G98,2)," ",LEFT(DEC2HEX(W98,4),2)," ",RIGHT(DEC2HEX(W98,4),2)))</f>
        <v>0B 04 00 03 02 74</v>
      </c>
      <c r="Y98" s="26">
        <f>IF(Table2[[#This Row],[PMT]]="NA","NA",Table2[[#This Row],[PMT]]+14)-Table2[[#This Row],[Const]]</f>
        <v>634</v>
      </c>
      <c r="Z98" s="26" t="str">
        <f>IF(Y98="NA","",CONCATENATE("0B 04 00 ",DEC2HEX($G98,2)," ",LEFT(DEC2HEX(Y98,4),2)," ",RIGHT(DEC2HEX(Y98,4),2)))</f>
        <v>0B 04 00 03 02 7A</v>
      </c>
      <c r="AA98" s="26" t="s">
        <v>1063</v>
      </c>
      <c r="AB98" s="26" t="s">
        <v>1084</v>
      </c>
      <c r="AC98" s="26"/>
      <c r="AD98" s="26" t="s">
        <v>813</v>
      </c>
      <c r="AE98" s="26"/>
      <c r="AF98" s="26"/>
      <c r="AI98" s="26"/>
      <c r="AJ98" s="26"/>
      <c r="AL98" s="26"/>
      <c r="AW98" s="26"/>
      <c r="AX98" s="26"/>
      <c r="AY98" s="26"/>
    </row>
    <row r="99" spans="1:51" x14ac:dyDescent="0.25">
      <c r="A99" s="26">
        <v>171</v>
      </c>
      <c r="B99" s="26" t="s">
        <v>320</v>
      </c>
      <c r="C99" s="26">
        <v>2000</v>
      </c>
      <c r="D99" s="27" t="s">
        <v>486</v>
      </c>
      <c r="E99" s="26">
        <v>363</v>
      </c>
      <c r="F99" s="26">
        <v>4</v>
      </c>
      <c r="G99" s="26">
        <v>4</v>
      </c>
      <c r="H99" s="26" t="s">
        <v>1061</v>
      </c>
      <c r="I99" s="26" t="s">
        <v>1084</v>
      </c>
      <c r="J99" s="26" t="s">
        <v>1002</v>
      </c>
      <c r="K99" s="26" t="s">
        <v>953</v>
      </c>
      <c r="L99" s="26" t="s">
        <v>931</v>
      </c>
      <c r="M99" s="28" t="s">
        <v>1377</v>
      </c>
      <c r="Q99" s="27"/>
      <c r="R99" s="26">
        <v>12044</v>
      </c>
      <c r="S99" s="26">
        <v>7100</v>
      </c>
      <c r="T99" s="26">
        <f>IF(Table2[[#This Row],[PMT]]="NA","NA",Table2[[#This Row],[PMT]]+1)</f>
        <v>7101</v>
      </c>
      <c r="U99" s="26">
        <f>IF(Table2[[#This Row],[PMT]]="NA","NA",Table2[[#This Row],[PMT]]+2)</f>
        <v>7102</v>
      </c>
      <c r="V99" s="26">
        <v>0</v>
      </c>
      <c r="W99" s="26">
        <f>IF(Table2[[#This Row],[PMT]]="NA","NA",Table2[[#This Row],[PMT]]+8)-Table2[[#This Row],[Const]]</f>
        <v>7108</v>
      </c>
      <c r="X99" s="26" t="str">
        <f>IF(W99="NA","",CONCATENATE("0B 04 00 ",DEC2HEX($G99,2)," ",LEFT(DEC2HEX(W99,4),2)," ",RIGHT(DEC2HEX(W99,4),2)))</f>
        <v>0B 04 00 04 1B C4</v>
      </c>
      <c r="Y99" s="26">
        <f>IF(Table2[[#This Row],[PMT]]="NA","NA",Table2[[#This Row],[PMT]]+14)-Table2[[#This Row],[Const]]</f>
        <v>7114</v>
      </c>
      <c r="Z99" s="26" t="str">
        <f>IF(Y99="NA","",CONCATENATE("0B 04 00 ",DEC2HEX($G99,2)," ",LEFT(DEC2HEX(Y99,4),2)," ",RIGHT(DEC2HEX(Y99,4),2)))</f>
        <v>0B 04 00 04 1B CA</v>
      </c>
      <c r="AA99" s="26" t="s">
        <v>1061</v>
      </c>
      <c r="AB99" s="26" t="s">
        <v>1084</v>
      </c>
      <c r="AC99" s="26"/>
      <c r="AD99" s="26" t="s">
        <v>814</v>
      </c>
      <c r="AE99" s="26"/>
      <c r="AF99" s="26"/>
      <c r="AI99" s="26"/>
      <c r="AJ99" s="26"/>
      <c r="AL99" s="26"/>
      <c r="AW99" s="26"/>
      <c r="AX99" s="26"/>
      <c r="AY99" s="26"/>
    </row>
    <row r="100" spans="1:51" x14ac:dyDescent="0.25">
      <c r="A100" s="26">
        <v>157</v>
      </c>
      <c r="B100" s="26" t="s">
        <v>203</v>
      </c>
      <c r="C100" s="26">
        <v>5180</v>
      </c>
      <c r="D100" s="27" t="s">
        <v>472</v>
      </c>
      <c r="E100" s="26">
        <v>346</v>
      </c>
      <c r="F100" s="26">
        <v>9</v>
      </c>
      <c r="G100" s="26">
        <v>9</v>
      </c>
      <c r="H100" s="26" t="s">
        <v>1063</v>
      </c>
      <c r="I100" s="26" t="s">
        <v>1084</v>
      </c>
      <c r="J100" s="26" t="s">
        <v>1040</v>
      </c>
      <c r="K100" s="26" t="s">
        <v>953</v>
      </c>
      <c r="L100" s="26" t="s">
        <v>931</v>
      </c>
      <c r="M100" s="28" t="s">
        <v>1377</v>
      </c>
      <c r="Q100" s="27"/>
      <c r="R100" s="26">
        <v>4346</v>
      </c>
      <c r="S100" s="26">
        <v>6100</v>
      </c>
      <c r="T100" s="26">
        <f>IF(Table2[[#This Row],[PMT]]="NA","NA",Table2[[#This Row],[PMT]]+1)</f>
        <v>6101</v>
      </c>
      <c r="U100" s="26">
        <f>IF(Table2[[#This Row],[PMT]]="NA","NA",Table2[[#This Row],[PMT]]+2)</f>
        <v>6102</v>
      </c>
      <c r="V100" s="26">
        <v>0</v>
      </c>
      <c r="W100" s="26">
        <f>IF(Table2[[#This Row],[PMT]]="NA","NA",Table2[[#This Row],[PMT]]+8)-Table2[[#This Row],[Const]]</f>
        <v>6108</v>
      </c>
      <c r="X100" s="26" t="str">
        <f>IF(W100="NA","",CONCATENATE("0B 04 00 ",DEC2HEX($G100,2)," ",LEFT(DEC2HEX(W100,4),2)," ",RIGHT(DEC2HEX(W100,4),2)))</f>
        <v>0B 04 00 09 17 DC</v>
      </c>
      <c r="Y100" s="26">
        <f>IF(Table2[[#This Row],[PMT]]="NA","NA",Table2[[#This Row],[PMT]]+14)-Table2[[#This Row],[Const]]</f>
        <v>6114</v>
      </c>
      <c r="Z100" s="26" t="str">
        <f>IF(Y100="NA","",CONCATENATE("0B 04 00 ",DEC2HEX($G100,2)," ",LEFT(DEC2HEX(Y100,4),2)," ",RIGHT(DEC2HEX(Y100,4),2)))</f>
        <v>0B 04 00 09 17 E2</v>
      </c>
      <c r="AA100" s="26" t="s">
        <v>1063</v>
      </c>
      <c r="AB100" s="26" t="s">
        <v>1084</v>
      </c>
      <c r="AC100" s="26"/>
      <c r="AD100" s="26" t="s">
        <v>814</v>
      </c>
      <c r="AE100" s="26"/>
      <c r="AF100" s="26"/>
      <c r="AI100" s="26"/>
      <c r="AJ100" s="26"/>
      <c r="AL100" s="26"/>
      <c r="AW100" s="26"/>
      <c r="AX100" s="26"/>
      <c r="AY100" s="26"/>
    </row>
    <row r="101" spans="1:51" hidden="1" x14ac:dyDescent="0.25">
      <c r="A101" s="26">
        <v>96</v>
      </c>
      <c r="B101" s="26" t="s">
        <v>346</v>
      </c>
      <c r="C101" s="26" t="s">
        <v>346</v>
      </c>
      <c r="D101" s="27" t="s">
        <v>423</v>
      </c>
      <c r="E101" s="26">
        <v>237</v>
      </c>
      <c r="F101" s="26" t="s">
        <v>346</v>
      </c>
      <c r="G101" s="26">
        <v>9</v>
      </c>
      <c r="H101" s="26" t="s">
        <v>1058</v>
      </c>
      <c r="I101" s="26" t="s">
        <v>1084</v>
      </c>
      <c r="J101" s="26" t="s">
        <v>1038</v>
      </c>
      <c r="K101" s="26" t="s">
        <v>1039</v>
      </c>
      <c r="L101" s="26" t="s">
        <v>931</v>
      </c>
      <c r="M101" s="26" t="s">
        <v>1377</v>
      </c>
      <c r="Q101" s="27" t="s">
        <v>1045</v>
      </c>
      <c r="R101" s="26">
        <v>12049</v>
      </c>
      <c r="S101" s="26">
        <v>4300</v>
      </c>
      <c r="T101" s="26">
        <f>IF(Table2[[#This Row],[PMT]]="NA","NA",Table2[[#This Row],[PMT]]+1)</f>
        <v>4301</v>
      </c>
      <c r="U101" s="26">
        <f>IF(Table2[[#This Row],[PMT]]="NA","NA",Table2[[#This Row],[PMT]]+2)</f>
        <v>4302</v>
      </c>
      <c r="V101" s="26">
        <v>0</v>
      </c>
      <c r="W101" s="26">
        <f>IF(Table2[[#This Row],[PMT]]="NA","NA",Table2[[#This Row],[PMT]]+8)-Table2[[#This Row],[Const]]</f>
        <v>4308</v>
      </c>
      <c r="X101" s="26" t="str">
        <f>IF(W101="NA","",CONCATENATE("0B 04 00 ",DEC2HEX($G101,2)," ",LEFT(DEC2HEX(W101,4),2)," ",RIGHT(DEC2HEX(W101,4),2)))</f>
        <v>0B 04 00 09 10 D4</v>
      </c>
      <c r="Y101" s="26">
        <f>IF(Table2[[#This Row],[PMT]]="NA","NA",Table2[[#This Row],[PMT]]+14)-Table2[[#This Row],[Const]]</f>
        <v>4314</v>
      </c>
      <c r="Z101" s="26" t="str">
        <f>IF(Y101="NA","",CONCATENATE("0B 04 00 ",DEC2HEX($G101,2)," ",LEFT(DEC2HEX(Y101,4),2)," ",RIGHT(DEC2HEX(Y101,4),2)))</f>
        <v>0B 04 00 09 10 DA</v>
      </c>
      <c r="AA101" s="26" t="s">
        <v>1058</v>
      </c>
      <c r="AB101" s="26" t="s">
        <v>1084</v>
      </c>
      <c r="AC101" s="26"/>
      <c r="AD101" s="26" t="s">
        <v>346</v>
      </c>
      <c r="AE101" s="26"/>
      <c r="AF101" s="26"/>
      <c r="AI101" s="26"/>
      <c r="AJ101" s="26"/>
      <c r="AL101" s="26"/>
      <c r="AW101" s="26"/>
      <c r="AX101" s="26"/>
      <c r="AY101" s="26"/>
    </row>
    <row r="102" spans="1:51" x14ac:dyDescent="0.25">
      <c r="A102" s="26">
        <v>211</v>
      </c>
      <c r="B102" s="26" t="s">
        <v>323</v>
      </c>
      <c r="C102" s="26">
        <v>2000</v>
      </c>
      <c r="D102" s="27" t="s">
        <v>514</v>
      </c>
      <c r="E102" s="26">
        <v>510</v>
      </c>
      <c r="F102" s="26">
        <v>4</v>
      </c>
      <c r="G102" s="26">
        <v>4</v>
      </c>
      <c r="H102" s="26" t="s">
        <v>1063</v>
      </c>
      <c r="I102" s="26" t="s">
        <v>1350</v>
      </c>
      <c r="J102" s="26" t="s">
        <v>1002</v>
      </c>
      <c r="K102" s="26" t="s">
        <v>953</v>
      </c>
      <c r="L102" s="26" t="s">
        <v>931</v>
      </c>
      <c r="M102" s="28"/>
      <c r="Q102" s="27"/>
      <c r="R102" s="26">
        <v>12043</v>
      </c>
      <c r="S102" s="26">
        <v>7000</v>
      </c>
      <c r="T102" s="26">
        <f>IF(Table2[[#This Row],[PMT]]="NA","NA",Table2[[#This Row],[PMT]]+1)</f>
        <v>7001</v>
      </c>
      <c r="U102" s="26">
        <f>IF(Table2[[#This Row],[PMT]]="NA","NA",Table2[[#This Row],[PMT]]+2)</f>
        <v>7002</v>
      </c>
      <c r="V102" s="26">
        <v>0</v>
      </c>
      <c r="W102" s="26">
        <f>IF(Table2[[#This Row],[PMT]]="NA","NA",Table2[[#This Row],[PMT]]+8)-Table2[[#This Row],[Const]]</f>
        <v>7008</v>
      </c>
      <c r="X102" s="26" t="str">
        <f>IF(W102="NA","",CONCATENATE("0B 04 00 ",DEC2HEX($G102,2)," ",LEFT(DEC2HEX(W102,4),2)," ",RIGHT(DEC2HEX(W102,4),2)))</f>
        <v>0B 04 00 04 1B 60</v>
      </c>
      <c r="Y102" s="26">
        <f>IF(Table2[[#This Row],[PMT]]="NA","NA",Table2[[#This Row],[PMT]]+14)-Table2[[#This Row],[Const]]</f>
        <v>7014</v>
      </c>
      <c r="Z102" s="26" t="str">
        <f>IF(Y102="NA","",CONCATENATE("0B 04 00 ",DEC2HEX($G102,2)," ",LEFT(DEC2HEX(Y102,4),2)," ",RIGHT(DEC2HEX(Y102,4),2)))</f>
        <v>0B 04 00 04 1B 66</v>
      </c>
      <c r="AA102" s="26" t="s">
        <v>1063</v>
      </c>
      <c r="AB102" s="26"/>
      <c r="AC102" s="26"/>
      <c r="AD102" s="26" t="s">
        <v>814</v>
      </c>
      <c r="AE102" s="26"/>
      <c r="AF102" s="26"/>
      <c r="AI102" s="26"/>
      <c r="AJ102" s="26"/>
      <c r="AL102" s="26"/>
      <c r="AW102" s="26"/>
      <c r="AX102" s="26"/>
      <c r="AY102" s="26"/>
    </row>
    <row r="103" spans="1:51" x14ac:dyDescent="0.25">
      <c r="A103" s="26">
        <v>158</v>
      </c>
      <c r="B103" s="26" t="s">
        <v>188</v>
      </c>
      <c r="C103" s="26">
        <v>5180</v>
      </c>
      <c r="D103" s="27" t="s">
        <v>473</v>
      </c>
      <c r="E103" s="26">
        <v>347</v>
      </c>
      <c r="F103" s="26">
        <v>9</v>
      </c>
      <c r="G103" s="26">
        <v>9</v>
      </c>
      <c r="H103" s="26" t="s">
        <v>1063</v>
      </c>
      <c r="I103" s="26" t="s">
        <v>1084</v>
      </c>
      <c r="J103" s="26" t="s">
        <v>1040</v>
      </c>
      <c r="K103" s="26" t="s">
        <v>953</v>
      </c>
      <c r="L103" s="26" t="s">
        <v>931</v>
      </c>
      <c r="M103" s="28" t="s">
        <v>1377</v>
      </c>
      <c r="Q103" s="27"/>
      <c r="R103" s="26">
        <v>4347</v>
      </c>
      <c r="S103" s="26">
        <v>6200</v>
      </c>
      <c r="T103" s="26">
        <f>IF(Table2[[#This Row],[PMT]]="NA","NA",Table2[[#This Row],[PMT]]+1)</f>
        <v>6201</v>
      </c>
      <c r="U103" s="26">
        <f>IF(Table2[[#This Row],[PMT]]="NA","NA",Table2[[#This Row],[PMT]]+2)</f>
        <v>6202</v>
      </c>
      <c r="V103" s="26">
        <v>0</v>
      </c>
      <c r="W103" s="26">
        <f>IF(Table2[[#This Row],[PMT]]="NA","NA",Table2[[#This Row],[PMT]]+8)-Table2[[#This Row],[Const]]</f>
        <v>6208</v>
      </c>
      <c r="X103" s="26" t="str">
        <f>IF(W103="NA","",CONCATENATE("0B 04 00 ",DEC2HEX($G103,2)," ",LEFT(DEC2HEX(W103,4),2)," ",RIGHT(DEC2HEX(W103,4),2)))</f>
        <v>0B 04 00 09 18 40</v>
      </c>
      <c r="Y103" s="26">
        <f>IF(Table2[[#This Row],[PMT]]="NA","NA",Table2[[#This Row],[PMT]]+14)-Table2[[#This Row],[Const]]</f>
        <v>6214</v>
      </c>
      <c r="Z103" s="26" t="str">
        <f>IF(Y103="NA","",CONCATENATE("0B 04 00 ",DEC2HEX($G103,2)," ",LEFT(DEC2HEX(Y103,4),2)," ",RIGHT(DEC2HEX(Y103,4),2)))</f>
        <v>0B 04 00 09 18 46</v>
      </c>
      <c r="AA103" s="26" t="s">
        <v>1063</v>
      </c>
      <c r="AB103" s="26" t="s">
        <v>1084</v>
      </c>
      <c r="AC103" s="26"/>
      <c r="AD103" s="26" t="s">
        <v>814</v>
      </c>
      <c r="AE103" s="26"/>
      <c r="AF103" s="26"/>
      <c r="AI103" s="26"/>
      <c r="AJ103" s="26"/>
      <c r="AL103" s="26"/>
      <c r="AW103" s="26"/>
      <c r="AX103" s="26"/>
      <c r="AY103" s="26"/>
    </row>
    <row r="104" spans="1:51" x14ac:dyDescent="0.25">
      <c r="A104" s="26">
        <v>308</v>
      </c>
      <c r="B104" s="26" t="s">
        <v>143</v>
      </c>
      <c r="C104" s="26">
        <v>5180</v>
      </c>
      <c r="D104" s="27" t="s">
        <v>590</v>
      </c>
      <c r="E104" s="26">
        <v>689</v>
      </c>
      <c r="F104" s="26">
        <v>6</v>
      </c>
      <c r="G104" s="26">
        <v>6</v>
      </c>
      <c r="H104" s="26" t="s">
        <v>1352</v>
      </c>
      <c r="I104" s="26" t="s">
        <v>443</v>
      </c>
      <c r="J104" s="26" t="s">
        <v>1040</v>
      </c>
      <c r="K104" s="26" t="s">
        <v>953</v>
      </c>
      <c r="L104" s="26" t="s">
        <v>931</v>
      </c>
      <c r="M104" s="26" t="s">
        <v>1376</v>
      </c>
      <c r="Q104" s="27"/>
      <c r="R104" s="26">
        <v>10689</v>
      </c>
      <c r="S104" s="26">
        <v>560</v>
      </c>
      <c r="T104" s="26">
        <f>IF(Table2[[#This Row],[PMT]]="NA","NA",Table2[[#This Row],[PMT]]+1)</f>
        <v>561</v>
      </c>
      <c r="U104" s="26">
        <f>IF(Table2[[#This Row],[PMT]]="NA","NA",Table2[[#This Row],[PMT]]+2)</f>
        <v>562</v>
      </c>
      <c r="V104" s="26">
        <v>0</v>
      </c>
      <c r="W104" s="26">
        <f>IF(Table2[[#This Row],[PMT]]="NA","NA",Table2[[#This Row],[PMT]]+8)-Table2[[#This Row],[Const]]</f>
        <v>568</v>
      </c>
      <c r="X104" s="26" t="str">
        <f>IF(W104="NA","",CONCATENATE("0B 04 00 ",DEC2HEX($G104,2)," ",LEFT(DEC2HEX(W104,4),2)," ",RIGHT(DEC2HEX(W104,4),2)))</f>
        <v>0B 04 00 06 02 38</v>
      </c>
      <c r="Y104" s="26">
        <f>IF(Table2[[#This Row],[PMT]]="NA","NA",Table2[[#This Row],[PMT]]+14)-Table2[[#This Row],[Const]]</f>
        <v>574</v>
      </c>
      <c r="Z104" s="26" t="str">
        <f>IF(Y104="NA","",CONCATENATE("0B 04 00 ",DEC2HEX($G104,2)," ",LEFT(DEC2HEX(Y104,4),2)," ",RIGHT(DEC2HEX(Y104,4),2)))</f>
        <v>0B 04 00 06 02 3E</v>
      </c>
      <c r="AA104" s="26"/>
      <c r="AB104" s="26"/>
      <c r="AC104" s="26"/>
      <c r="AD104" s="26" t="s">
        <v>814</v>
      </c>
      <c r="AE104" s="26"/>
      <c r="AF104" s="26"/>
      <c r="AI104" s="26"/>
      <c r="AJ104" s="26"/>
      <c r="AL104" s="26"/>
      <c r="AW104" s="26"/>
      <c r="AX104" s="26"/>
      <c r="AY104" s="26"/>
    </row>
    <row r="105" spans="1:51" x14ac:dyDescent="0.25">
      <c r="A105" s="26">
        <v>168</v>
      </c>
      <c r="B105" s="26" t="s">
        <v>186</v>
      </c>
      <c r="C105" s="26">
        <v>5180</v>
      </c>
      <c r="D105" s="27" t="s">
        <v>483</v>
      </c>
      <c r="E105" s="26">
        <v>360</v>
      </c>
      <c r="F105" s="26">
        <v>3</v>
      </c>
      <c r="G105" s="26">
        <v>3</v>
      </c>
      <c r="H105" s="26" t="s">
        <v>1061</v>
      </c>
      <c r="I105" s="26" t="s">
        <v>1084</v>
      </c>
      <c r="J105" s="26" t="s">
        <v>1040</v>
      </c>
      <c r="K105" s="26" t="s">
        <v>953</v>
      </c>
      <c r="L105" s="26" t="s">
        <v>931</v>
      </c>
      <c r="M105" s="28" t="s">
        <v>1377</v>
      </c>
      <c r="Q105" s="27"/>
      <c r="R105" s="26">
        <v>2360</v>
      </c>
      <c r="S105" s="26">
        <v>120</v>
      </c>
      <c r="T105" s="26">
        <f>IF(Table2[[#This Row],[PMT]]="NA","NA",Table2[[#This Row],[PMT]]+1)</f>
        <v>121</v>
      </c>
      <c r="U105" s="26">
        <f>IF(Table2[[#This Row],[PMT]]="NA","NA",Table2[[#This Row],[PMT]]+2)</f>
        <v>122</v>
      </c>
      <c r="V105" s="26">
        <v>-1</v>
      </c>
      <c r="W105" s="26">
        <f>IF(Table2[[#This Row],[PMT]]="NA","NA",Table2[[#This Row],[PMT]]+8)-Table2[[#This Row],[Const]]</f>
        <v>129</v>
      </c>
      <c r="X105" s="26" t="str">
        <f>IF(W105="NA","",CONCATENATE("0B 04 00 ",DEC2HEX($G105,2)," ",LEFT(DEC2HEX(W105,4),2)," ",RIGHT(DEC2HEX(W105,4),2)))</f>
        <v>0B 04 00 03 00 81</v>
      </c>
      <c r="Y105" s="26">
        <f>IF(Table2[[#This Row],[PMT]]="NA","NA",Table2[[#This Row],[PMT]]+14)-Table2[[#This Row],[Const]]</f>
        <v>135</v>
      </c>
      <c r="Z105" s="26" t="str">
        <f>IF(Y105="NA","",CONCATENATE("0B 04 00 ",DEC2HEX($G105,2)," ",LEFT(DEC2HEX(Y105,4),2)," ",RIGHT(DEC2HEX(Y105,4),2)))</f>
        <v>0B 04 00 03 00 87</v>
      </c>
      <c r="AA105" s="26" t="s">
        <v>1061</v>
      </c>
      <c r="AB105" s="26" t="s">
        <v>1084</v>
      </c>
      <c r="AC105" s="26"/>
      <c r="AD105" s="26" t="s">
        <v>1075</v>
      </c>
      <c r="AE105" s="26"/>
      <c r="AF105" s="26"/>
      <c r="AI105" s="26"/>
      <c r="AJ105" s="26"/>
      <c r="AL105" s="26"/>
      <c r="AW105" s="26"/>
      <c r="AX105" s="26"/>
      <c r="AY105" s="26"/>
    </row>
    <row r="106" spans="1:51" x14ac:dyDescent="0.25">
      <c r="A106" s="26">
        <v>167</v>
      </c>
      <c r="B106" s="26" t="s">
        <v>189</v>
      </c>
      <c r="C106" s="26">
        <v>5180</v>
      </c>
      <c r="D106" s="27" t="s">
        <v>482</v>
      </c>
      <c r="E106" s="26">
        <v>359</v>
      </c>
      <c r="F106" s="26">
        <v>1</v>
      </c>
      <c r="G106" s="26">
        <v>1</v>
      </c>
      <c r="H106" s="26" t="s">
        <v>1061</v>
      </c>
      <c r="I106" s="26" t="s">
        <v>1084</v>
      </c>
      <c r="J106" s="26" t="s">
        <v>1040</v>
      </c>
      <c r="K106" s="26" t="s">
        <v>953</v>
      </c>
      <c r="L106" s="26" t="s">
        <v>931</v>
      </c>
      <c r="M106" s="28" t="s">
        <v>1377</v>
      </c>
      <c r="Q106" s="27"/>
      <c r="R106" s="26">
        <v>2358</v>
      </c>
      <c r="S106" s="26">
        <v>5900</v>
      </c>
      <c r="T106" s="26">
        <f>IF(Table2[[#This Row],[PMT]]="NA","NA",Table2[[#This Row],[PMT]]+1)</f>
        <v>5901</v>
      </c>
      <c r="U106" s="26">
        <f>IF(Table2[[#This Row],[PMT]]="NA","NA",Table2[[#This Row],[PMT]]+2)</f>
        <v>5902</v>
      </c>
      <c r="V106" s="26">
        <v>1</v>
      </c>
      <c r="W106" s="26">
        <f>IF(Table2[[#This Row],[PMT]]="NA","NA",Table2[[#This Row],[PMT]]+8)-Table2[[#This Row],[Const]]</f>
        <v>5907</v>
      </c>
      <c r="X106" s="26" t="str">
        <f>IF(W106="NA","",CONCATENATE("0B 04 00 ",DEC2HEX($G106,2)," ",LEFT(DEC2HEX(W106,4),2)," ",RIGHT(DEC2HEX(W106,4),2)))</f>
        <v>0B 04 00 01 17 13</v>
      </c>
      <c r="Y106" s="26">
        <f>IF(Table2[[#This Row],[PMT]]="NA","NA",Table2[[#This Row],[PMT]]+14)-Table2[[#This Row],[Const]]</f>
        <v>5913</v>
      </c>
      <c r="Z106" s="26" t="str">
        <f>IF(Y106="NA","",CONCATENATE("0B 04 00 ",DEC2HEX($G106,2)," ",LEFT(DEC2HEX(Y106,4),2)," ",RIGHT(DEC2HEX(Y106,4),2)))</f>
        <v>0B 04 00 01 17 19</v>
      </c>
      <c r="AA106" s="26" t="s">
        <v>1061</v>
      </c>
      <c r="AB106" s="26" t="s">
        <v>1084</v>
      </c>
      <c r="AC106" s="26"/>
      <c r="AD106" s="26" t="s">
        <v>816</v>
      </c>
      <c r="AE106" s="26"/>
      <c r="AF106" s="26"/>
      <c r="AI106" s="26"/>
      <c r="AJ106" s="26"/>
      <c r="AL106" s="26"/>
      <c r="AW106" s="26"/>
      <c r="AX106" s="26"/>
      <c r="AY106" s="26"/>
    </row>
    <row r="107" spans="1:51" x14ac:dyDescent="0.25">
      <c r="A107" s="26">
        <v>222</v>
      </c>
      <c r="B107" s="26" t="s">
        <v>227</v>
      </c>
      <c r="C107" s="26">
        <v>5180</v>
      </c>
      <c r="D107" s="33" t="s">
        <v>522</v>
      </c>
      <c r="E107" s="34">
        <v>521</v>
      </c>
      <c r="F107" s="26">
        <v>7</v>
      </c>
      <c r="G107" s="26">
        <v>7</v>
      </c>
      <c r="H107" s="26" t="s">
        <v>349</v>
      </c>
      <c r="I107" s="34" t="s">
        <v>523</v>
      </c>
      <c r="J107" s="26" t="s">
        <v>1040</v>
      </c>
      <c r="K107" s="26" t="s">
        <v>953</v>
      </c>
      <c r="L107" s="26" t="s">
        <v>931</v>
      </c>
      <c r="M107" s="28"/>
      <c r="Q107" s="27"/>
      <c r="R107" s="26">
        <v>7521</v>
      </c>
      <c r="S107" s="26">
        <v>120</v>
      </c>
      <c r="T107" s="26">
        <f>IF(Table2[[#This Row],[PMT]]="NA","NA",Table2[[#This Row],[PMT]]+1)</f>
        <v>121</v>
      </c>
      <c r="U107" s="26">
        <f>IF(Table2[[#This Row],[PMT]]="NA","NA",Table2[[#This Row],[PMT]]+2)</f>
        <v>122</v>
      </c>
      <c r="V107" s="26">
        <v>0</v>
      </c>
      <c r="W107" s="26">
        <f>IF(Table2[[#This Row],[PMT]]="NA","NA",Table2[[#This Row],[PMT]]+8)-Table2[[#This Row],[Const]]</f>
        <v>128</v>
      </c>
      <c r="X107" s="26" t="str">
        <f>IF(W107="NA","",CONCATENATE("0B 04 00 ",DEC2HEX($G107,2)," ",LEFT(DEC2HEX(W107,4),2)," ",RIGHT(DEC2HEX(W107,4),2)))</f>
        <v>0B 04 00 07 00 80</v>
      </c>
      <c r="Y107" s="26">
        <f>IF(Table2[[#This Row],[PMT]]="NA","NA",Table2[[#This Row],[PMT]]+14)-Table2[[#This Row],[Const]]</f>
        <v>134</v>
      </c>
      <c r="Z107" s="26" t="str">
        <f>IF(Y107="NA","",CONCATENATE("0B 04 00 ",DEC2HEX($G107,2)," ",LEFT(DEC2HEX(Y107,4),2)," ",RIGHT(DEC2HEX(Y107,4),2)))</f>
        <v>0B 04 00 07 00 86</v>
      </c>
      <c r="AA107" s="26" t="s">
        <v>349</v>
      </c>
      <c r="AB107" s="26" t="s">
        <v>523</v>
      </c>
      <c r="AC107" s="26"/>
      <c r="AD107" s="26" t="s">
        <v>814</v>
      </c>
      <c r="AE107" s="26"/>
      <c r="AF107" s="26"/>
      <c r="AI107" s="26"/>
      <c r="AJ107" s="26"/>
      <c r="AL107" s="26"/>
      <c r="AW107" s="26"/>
      <c r="AX107" s="26"/>
      <c r="AY107" s="26"/>
    </row>
    <row r="108" spans="1:51" x14ac:dyDescent="0.25">
      <c r="A108" s="26">
        <v>31</v>
      </c>
      <c r="B108" s="26" t="s">
        <v>175</v>
      </c>
      <c r="C108" s="26">
        <v>5180</v>
      </c>
      <c r="D108" s="27" t="s">
        <v>662</v>
      </c>
      <c r="E108" s="26">
        <v>130</v>
      </c>
      <c r="F108" s="26">
        <v>5</v>
      </c>
      <c r="G108" s="26">
        <v>5</v>
      </c>
      <c r="H108" s="26" t="s">
        <v>349</v>
      </c>
      <c r="I108" s="26" t="s">
        <v>443</v>
      </c>
      <c r="J108" s="26" t="s">
        <v>1040</v>
      </c>
      <c r="K108" s="26" t="s">
        <v>953</v>
      </c>
      <c r="L108" s="26" t="s">
        <v>931</v>
      </c>
      <c r="M108" s="28" t="s">
        <v>1376</v>
      </c>
      <c r="Q108" s="27"/>
      <c r="R108" s="26">
        <v>1107</v>
      </c>
      <c r="S108" s="26">
        <v>3800</v>
      </c>
      <c r="T108" s="26">
        <f>IF(Table2[[#This Row],[PMT]]="NA","NA",Table2[[#This Row],[PMT]]+1)</f>
        <v>3801</v>
      </c>
      <c r="U108" s="26">
        <f>IF(Table2[[#This Row],[PMT]]="NA","NA",Table2[[#This Row],[PMT]]+2)</f>
        <v>3802</v>
      </c>
      <c r="V108" s="26">
        <v>0</v>
      </c>
      <c r="W108" s="26">
        <f>IF(Table2[[#This Row],[PMT]]="NA","NA",Table2[[#This Row],[PMT]]+8)-Table2[[#This Row],[Const]]</f>
        <v>3808</v>
      </c>
      <c r="X108" s="26" t="str">
        <f>IF(W108="NA","",CONCATENATE("0B 04 00 ",DEC2HEX($G108,2)," ",LEFT(DEC2HEX(W108,4),2)," ",RIGHT(DEC2HEX(W108,4),2)))</f>
        <v>0B 04 00 05 0E E0</v>
      </c>
      <c r="Y108" s="26">
        <f>IF(Table2[[#This Row],[PMT]]="NA","NA",Table2[[#This Row],[PMT]]+14)-Table2[[#This Row],[Const]]</f>
        <v>3814</v>
      </c>
      <c r="Z108" s="26" t="str">
        <f>IF(Y108="NA","",CONCATENATE("0B 04 00 ",DEC2HEX($G108,2)," ",LEFT(DEC2HEX(Y108,4),2)," ",RIGHT(DEC2HEX(Y108,4),2)))</f>
        <v>0B 04 00 05 0E E6</v>
      </c>
      <c r="AA108" s="26" t="s">
        <v>349</v>
      </c>
      <c r="AB108" s="26" t="s">
        <v>443</v>
      </c>
      <c r="AC108" s="26"/>
      <c r="AD108" s="26" t="s">
        <v>814</v>
      </c>
      <c r="AE108" s="26"/>
      <c r="AF108" s="26"/>
      <c r="AI108" s="26"/>
      <c r="AJ108" s="26"/>
      <c r="AL108" s="26"/>
      <c r="AW108" s="26"/>
      <c r="AX108" s="26"/>
      <c r="AY108" s="26"/>
    </row>
    <row r="109" spans="1:51" hidden="1" x14ac:dyDescent="0.25">
      <c r="A109" s="26">
        <v>104</v>
      </c>
      <c r="B109" s="26" t="s">
        <v>346</v>
      </c>
      <c r="C109" s="26" t="s">
        <v>346</v>
      </c>
      <c r="D109" s="27" t="s">
        <v>431</v>
      </c>
      <c r="E109" s="26">
        <v>256</v>
      </c>
      <c r="F109" s="26" t="s">
        <v>346</v>
      </c>
      <c r="G109" s="26">
        <v>5</v>
      </c>
      <c r="H109" s="26" t="s">
        <v>1057</v>
      </c>
      <c r="I109" s="26" t="s">
        <v>443</v>
      </c>
      <c r="J109" s="26" t="s">
        <v>1038</v>
      </c>
      <c r="K109" s="26" t="s">
        <v>1039</v>
      </c>
      <c r="L109" s="26" t="s">
        <v>931</v>
      </c>
      <c r="M109" s="28" t="s">
        <v>1377</v>
      </c>
      <c r="Q109" s="27"/>
      <c r="R109" s="26">
        <v>6279</v>
      </c>
      <c r="S109" s="26">
        <v>4100</v>
      </c>
      <c r="T109" s="26">
        <f>IF(Table2[[#This Row],[PMT]]="NA","NA",Table2[[#This Row],[PMT]]+1)</f>
        <v>4101</v>
      </c>
      <c r="U109" s="26">
        <f>IF(Table2[[#This Row],[PMT]]="NA","NA",Table2[[#This Row],[PMT]]+2)</f>
        <v>4102</v>
      </c>
      <c r="V109" s="26">
        <v>0</v>
      </c>
      <c r="W109" s="26">
        <f>IF(Table2[[#This Row],[PMT]]="NA","NA",Table2[[#This Row],[PMT]]+8)-Table2[[#This Row],[Const]]</f>
        <v>4108</v>
      </c>
      <c r="X109" s="26" t="str">
        <f>IF(W109="NA","",CONCATENATE("0B 04 00 ",DEC2HEX($G109,2)," ",LEFT(DEC2HEX(W109,4),2)," ",RIGHT(DEC2HEX(W109,4),2)))</f>
        <v>0B 04 00 05 10 0C</v>
      </c>
      <c r="Y109" s="26">
        <f>IF(Table2[[#This Row],[PMT]]="NA","NA",Table2[[#This Row],[PMT]]+14)-Table2[[#This Row],[Const]]</f>
        <v>4114</v>
      </c>
      <c r="Z109" s="26" t="str">
        <f>IF(Y109="NA","",CONCATENATE("0B 04 00 ",DEC2HEX($G109,2)," ",LEFT(DEC2HEX(Y109,4),2)," ",RIGHT(DEC2HEX(Y109,4),2)))</f>
        <v>0B 04 00 05 10 12</v>
      </c>
      <c r="AA109" s="26" t="s">
        <v>1057</v>
      </c>
      <c r="AB109" s="26" t="s">
        <v>443</v>
      </c>
      <c r="AC109" s="26"/>
      <c r="AD109" s="26" t="s">
        <v>346</v>
      </c>
      <c r="AE109" s="26"/>
      <c r="AF109" s="26"/>
      <c r="AI109" s="26"/>
      <c r="AJ109" s="26"/>
      <c r="AL109" s="26"/>
      <c r="AW109" s="26"/>
      <c r="AX109" s="26"/>
      <c r="AY109" s="26"/>
    </row>
    <row r="110" spans="1:51" x14ac:dyDescent="0.25">
      <c r="A110" s="26">
        <v>137</v>
      </c>
      <c r="B110" s="26" t="s">
        <v>205</v>
      </c>
      <c r="C110" s="26">
        <v>5180</v>
      </c>
      <c r="D110" s="27" t="s">
        <v>456</v>
      </c>
      <c r="E110" s="26">
        <v>314</v>
      </c>
      <c r="F110" s="26">
        <v>2</v>
      </c>
      <c r="G110" s="26">
        <v>2</v>
      </c>
      <c r="H110" s="26" t="s">
        <v>1057</v>
      </c>
      <c r="I110" s="26" t="s">
        <v>1084</v>
      </c>
      <c r="J110" s="26" t="s">
        <v>1040</v>
      </c>
      <c r="K110" s="26" t="s">
        <v>953</v>
      </c>
      <c r="L110" s="26" t="s">
        <v>931</v>
      </c>
      <c r="M110" s="28" t="s">
        <v>1377</v>
      </c>
      <c r="Q110" s="27"/>
      <c r="R110" s="26">
        <v>2309</v>
      </c>
      <c r="S110" s="26">
        <v>1240</v>
      </c>
      <c r="T110" s="26">
        <f>IF(Table2[[#This Row],[PMT]]="NA","NA",Table2[[#This Row],[PMT]]+1)</f>
        <v>1241</v>
      </c>
      <c r="U110" s="26">
        <f>IF(Table2[[#This Row],[PMT]]="NA","NA",Table2[[#This Row],[PMT]]+2)</f>
        <v>1242</v>
      </c>
      <c r="V110" s="26">
        <v>0</v>
      </c>
      <c r="W110" s="26">
        <f>IF(Table2[[#This Row],[PMT]]="NA","NA",Table2[[#This Row],[PMT]]+8)-Table2[[#This Row],[Const]]</f>
        <v>1248</v>
      </c>
      <c r="X110" s="26" t="str">
        <f>IF(W110="NA","",CONCATENATE("0B 04 00 ",DEC2HEX($G110,2)," ",LEFT(DEC2HEX(W110,4),2)," ",RIGHT(DEC2HEX(W110,4),2)))</f>
        <v>0B 04 00 02 04 E0</v>
      </c>
      <c r="Y110" s="26">
        <f>IF(Table2[[#This Row],[PMT]]="NA","NA",Table2[[#This Row],[PMT]]+14)-Table2[[#This Row],[Const]]</f>
        <v>1254</v>
      </c>
      <c r="Z110" s="26" t="str">
        <f>IF(Y110="NA","",CONCATENATE("0B 04 00 ",DEC2HEX($G110,2)," ",LEFT(DEC2HEX(Y110,4),2)," ",RIGHT(DEC2HEX(Y110,4),2)))</f>
        <v>0B 04 00 02 04 E6</v>
      </c>
      <c r="AA110" s="26" t="s">
        <v>1057</v>
      </c>
      <c r="AB110" s="26" t="s">
        <v>1084</v>
      </c>
      <c r="AC110" s="26"/>
      <c r="AD110" s="26" t="s">
        <v>346</v>
      </c>
      <c r="AE110" s="26"/>
      <c r="AF110" s="26"/>
      <c r="AI110" s="26"/>
      <c r="AJ110" s="26"/>
      <c r="AL110" s="26"/>
      <c r="AW110" s="26"/>
      <c r="AX110" s="26"/>
      <c r="AY110" s="26"/>
    </row>
    <row r="111" spans="1:51" hidden="1" x14ac:dyDescent="0.25">
      <c r="A111" s="26">
        <v>106</v>
      </c>
      <c r="B111" s="26" t="s">
        <v>346</v>
      </c>
      <c r="C111" s="26" t="s">
        <v>346</v>
      </c>
      <c r="D111" s="27" t="s">
        <v>1332</v>
      </c>
      <c r="E111" s="26">
        <v>259</v>
      </c>
      <c r="F111" s="26" t="s">
        <v>346</v>
      </c>
      <c r="G111" s="26">
        <v>8</v>
      </c>
      <c r="H111" s="26" t="s">
        <v>1057</v>
      </c>
      <c r="I111" s="26" t="s">
        <v>443</v>
      </c>
      <c r="J111" s="26" t="s">
        <v>1038</v>
      </c>
      <c r="K111" s="26" t="s">
        <v>1039</v>
      </c>
      <c r="L111" s="26" t="s">
        <v>931</v>
      </c>
      <c r="M111" s="28" t="s">
        <v>1377</v>
      </c>
      <c r="N111" s="31"/>
      <c r="O111" s="31"/>
      <c r="P111" s="31"/>
      <c r="Q111" s="32"/>
      <c r="R111" s="31"/>
      <c r="S111" s="31"/>
      <c r="T111" s="31">
        <f>IF(Table2[[#This Row],[PMT]]="NA","NA",Table2[[#This Row],[PMT]]+1)</f>
        <v>1</v>
      </c>
      <c r="U111" s="31">
        <f>IF(Table2[[#This Row],[PMT]]="NA","NA",Table2[[#This Row],[PMT]]+2)</f>
        <v>2</v>
      </c>
      <c r="V111" s="26"/>
      <c r="W111" s="31">
        <f>IF(Table2[[#This Row],[PMT]]="NA","NA",Table2[[#This Row],[PMT]]+8)-Table2[[#This Row],[Const]]</f>
        <v>8</v>
      </c>
      <c r="X111" s="31" t="str">
        <f>IF(W111="NA","",CONCATENATE("0B 04 00 ",DEC2HEX($G111,2)," ",LEFT(DEC2HEX(W111,4),2)," ",RIGHT(DEC2HEX(W111,4),2)))</f>
        <v>0B 04 00 08 00 08</v>
      </c>
      <c r="Y111" s="31">
        <f>IF(Table2[[#This Row],[PMT]]="NA","NA",Table2[[#This Row],[PMT]]+14)-Table2[[#This Row],[Const]]</f>
        <v>14</v>
      </c>
      <c r="Z111" s="31" t="str">
        <f>IF(Y111="NA","",CONCATENATE("0B 04 00 ",DEC2HEX($G111,2)," ",LEFT(DEC2HEX(Y111,4),2)," ",RIGHT(DEC2HEX(Y111,4),2)))</f>
        <v>0B 04 00 08 00 0E</v>
      </c>
      <c r="AA111" s="26"/>
      <c r="AB111" s="26"/>
      <c r="AC111" s="31"/>
      <c r="AD111" s="31"/>
      <c r="AE111" s="26"/>
      <c r="AF111" s="26"/>
      <c r="AI111" s="26"/>
      <c r="AJ111" s="26"/>
      <c r="AL111" s="26"/>
      <c r="AW111" s="26"/>
      <c r="AX111" s="26"/>
      <c r="AY111" s="26"/>
    </row>
    <row r="112" spans="1:51" hidden="1" x14ac:dyDescent="0.25">
      <c r="A112" s="26">
        <v>107</v>
      </c>
      <c r="B112" s="26" t="s">
        <v>346</v>
      </c>
      <c r="C112" s="26" t="s">
        <v>346</v>
      </c>
      <c r="D112" s="27" t="s">
        <v>434</v>
      </c>
      <c r="E112" s="26">
        <v>260</v>
      </c>
      <c r="F112" s="26" t="s">
        <v>346</v>
      </c>
      <c r="G112" s="26">
        <v>5</v>
      </c>
      <c r="H112" s="26" t="s">
        <v>1057</v>
      </c>
      <c r="I112" s="26" t="s">
        <v>443</v>
      </c>
      <c r="J112" s="26" t="s">
        <v>1038</v>
      </c>
      <c r="K112" s="26" t="s">
        <v>1039</v>
      </c>
      <c r="L112" s="26" t="s">
        <v>931</v>
      </c>
      <c r="M112" s="28" t="s">
        <v>1377</v>
      </c>
      <c r="Q112" s="27"/>
      <c r="R112" s="26">
        <v>8282</v>
      </c>
      <c r="S112" s="26">
        <v>5900</v>
      </c>
      <c r="T112" s="26">
        <f>IF(Table2[[#This Row],[PMT]]="NA","NA",Table2[[#This Row],[PMT]]+1)</f>
        <v>5901</v>
      </c>
      <c r="U112" s="26">
        <f>IF(Table2[[#This Row],[PMT]]="NA","NA",Table2[[#This Row],[PMT]]+2)</f>
        <v>5902</v>
      </c>
      <c r="V112" s="26">
        <v>0</v>
      </c>
      <c r="W112" s="26">
        <f>IF(Table2[[#This Row],[PMT]]="NA","NA",Table2[[#This Row],[PMT]]+8)-Table2[[#This Row],[Const]]</f>
        <v>5908</v>
      </c>
      <c r="X112" s="26" t="str">
        <f>IF(W112="NA","",CONCATENATE("0B 04 00 ",DEC2HEX($G112,2)," ",LEFT(DEC2HEX(W112,4),2)," ",RIGHT(DEC2HEX(W112,4),2)))</f>
        <v>0B 04 00 05 17 14</v>
      </c>
      <c r="Y112" s="26">
        <f>IF(Table2[[#This Row],[PMT]]="NA","NA",Table2[[#This Row],[PMT]]+14)-Table2[[#This Row],[Const]]</f>
        <v>5914</v>
      </c>
      <c r="Z112" s="26" t="str">
        <f>IF(Y112="NA","",CONCATENATE("0B 04 00 ",DEC2HEX($G112,2)," ",LEFT(DEC2HEX(Y112,4),2)," ",RIGHT(DEC2HEX(Y112,4),2)))</f>
        <v>0B 04 00 05 17 1A</v>
      </c>
      <c r="AA112" s="26" t="s">
        <v>1057</v>
      </c>
      <c r="AB112" s="26" t="s">
        <v>443</v>
      </c>
      <c r="AC112" s="26"/>
      <c r="AD112" s="26" t="s">
        <v>814</v>
      </c>
      <c r="AE112" s="26"/>
      <c r="AF112" s="26"/>
      <c r="AI112" s="26"/>
      <c r="AJ112" s="26"/>
      <c r="AL112" s="26"/>
      <c r="AW112" s="26"/>
      <c r="AX112" s="26"/>
      <c r="AY112" s="26"/>
    </row>
    <row r="113" spans="1:51" x14ac:dyDescent="0.25">
      <c r="A113" s="26">
        <v>226</v>
      </c>
      <c r="B113" s="26" t="s">
        <v>1126</v>
      </c>
      <c r="C113" s="26">
        <v>2000</v>
      </c>
      <c r="D113" s="27" t="s">
        <v>527</v>
      </c>
      <c r="E113" s="26">
        <v>525</v>
      </c>
      <c r="F113" s="26">
        <v>1</v>
      </c>
      <c r="G113" s="26">
        <v>1</v>
      </c>
      <c r="H113" s="26" t="s">
        <v>1057</v>
      </c>
      <c r="I113" s="26" t="s">
        <v>523</v>
      </c>
      <c r="J113" s="26" t="s">
        <v>931</v>
      </c>
      <c r="K113" s="26" t="s">
        <v>1042</v>
      </c>
      <c r="L113" s="26" t="s">
        <v>931</v>
      </c>
      <c r="M113" s="28"/>
      <c r="Q113" s="27"/>
      <c r="R113" s="26">
        <v>7525</v>
      </c>
      <c r="S113" s="26">
        <v>890</v>
      </c>
      <c r="T113" s="26">
        <f>IF(Table2[[#This Row],[PMT]]="NA","NA",Table2[[#This Row],[PMT]]+1)</f>
        <v>891</v>
      </c>
      <c r="U113" s="26">
        <f>IF(Table2[[#This Row],[PMT]]="NA","NA",Table2[[#This Row],[PMT]]+2)</f>
        <v>892</v>
      </c>
      <c r="V113" s="26">
        <v>0</v>
      </c>
      <c r="W113" s="26">
        <f>IF(Table2[[#This Row],[PMT]]="NA","NA",Table2[[#This Row],[PMT]]+8)-Table2[[#This Row],[Const]]</f>
        <v>898</v>
      </c>
      <c r="X113" s="26" t="str">
        <f>IF(W113="NA","",CONCATENATE("0B 04 00 ",DEC2HEX($G113,2)," ",LEFT(DEC2HEX(W113,4),2)," ",RIGHT(DEC2HEX(W113,4),2)))</f>
        <v>0B 04 00 01 03 82</v>
      </c>
      <c r="Y113" s="26">
        <f>IF(Table2[[#This Row],[PMT]]="NA","NA",Table2[[#This Row],[PMT]]+14)-Table2[[#This Row],[Const]]</f>
        <v>904</v>
      </c>
      <c r="Z113" s="26" t="str">
        <f>IF(Y113="NA","",CONCATENATE("0B 04 00 ",DEC2HEX($G113,2)," ",LEFT(DEC2HEX(Y113,4),2)," ",RIGHT(DEC2HEX(Y113,4),2)))</f>
        <v>0B 04 00 01 03 88</v>
      </c>
      <c r="AA113" s="26" t="s">
        <v>1057</v>
      </c>
      <c r="AB113" s="26"/>
      <c r="AC113" s="26"/>
      <c r="AD113" s="26" t="s">
        <v>346</v>
      </c>
      <c r="AE113" s="26"/>
      <c r="AF113" s="26"/>
      <c r="AI113" s="26"/>
      <c r="AJ113" s="26"/>
      <c r="AL113" s="26"/>
      <c r="AW113" s="26"/>
      <c r="AX113" s="26"/>
      <c r="AY113" s="26"/>
    </row>
    <row r="114" spans="1:51" x14ac:dyDescent="0.25">
      <c r="A114" s="26">
        <v>317</v>
      </c>
      <c r="B114" s="26" t="s">
        <v>651</v>
      </c>
      <c r="C114" s="26">
        <v>5001</v>
      </c>
      <c r="D114" s="27" t="s">
        <v>598</v>
      </c>
      <c r="E114" s="26">
        <v>762</v>
      </c>
      <c r="F114" s="26">
        <v>3</v>
      </c>
      <c r="G114" s="26">
        <v>3</v>
      </c>
      <c r="H114" s="26" t="s">
        <v>349</v>
      </c>
      <c r="I114" s="26" t="s">
        <v>1355</v>
      </c>
      <c r="J114" s="26" t="s">
        <v>931</v>
      </c>
      <c r="K114" s="26" t="s">
        <v>1042</v>
      </c>
      <c r="L114" s="26" t="s">
        <v>931</v>
      </c>
      <c r="M114" s="26" t="s">
        <v>1377</v>
      </c>
      <c r="Q114" s="27"/>
      <c r="R114" s="26">
        <v>1541</v>
      </c>
      <c r="S114" s="26">
        <v>220</v>
      </c>
      <c r="T114" s="26">
        <f>IF(Table2[[#This Row],[PMT]]="NA","NA",Table2[[#This Row],[PMT]]+1)</f>
        <v>221</v>
      </c>
      <c r="U114" s="26">
        <f>IF(Table2[[#This Row],[PMT]]="NA","NA",Table2[[#This Row],[PMT]]+2)</f>
        <v>222</v>
      </c>
      <c r="V114" s="26">
        <v>-1</v>
      </c>
      <c r="W114" s="26">
        <f>IF(Table2[[#This Row],[PMT]]="NA","NA",Table2[[#This Row],[PMT]]+8)-Table2[[#This Row],[Const]]</f>
        <v>229</v>
      </c>
      <c r="X114" s="26" t="str">
        <f>IF(W114="NA","",CONCATENATE("0B 04 00 ",DEC2HEX($G114,2)," ",LEFT(DEC2HEX(W114,4),2)," ",RIGHT(DEC2HEX(W114,4),2)))</f>
        <v>0B 04 00 03 00 E5</v>
      </c>
      <c r="Y114" s="26">
        <f>IF(Table2[[#This Row],[PMT]]="NA","NA",Table2[[#This Row],[PMT]]+14)-Table2[[#This Row],[Const]]</f>
        <v>235</v>
      </c>
      <c r="Z114" s="26" t="str">
        <f>IF(Y114="NA","",CONCATENATE("0B 04 00 ",DEC2HEX($G114,2)," ",LEFT(DEC2HEX(Y114,4),2)," ",RIGHT(DEC2HEX(Y114,4),2)))</f>
        <v>0B 04 00 03 00 EB</v>
      </c>
      <c r="AA114" s="26" t="s">
        <v>349</v>
      </c>
      <c r="AB114" s="26"/>
      <c r="AC114" s="26"/>
      <c r="AD114" s="26" t="s">
        <v>818</v>
      </c>
      <c r="AE114" s="26"/>
      <c r="AF114" s="26"/>
      <c r="AI114" s="26"/>
      <c r="AJ114" s="26"/>
      <c r="AL114" s="26"/>
      <c r="AW114" s="26"/>
      <c r="AX114" s="26"/>
      <c r="AY114" s="26"/>
    </row>
    <row r="115" spans="1:51" x14ac:dyDescent="0.25">
      <c r="A115" s="26">
        <v>113</v>
      </c>
      <c r="B115" s="26" t="s">
        <v>1118</v>
      </c>
      <c r="C115" s="26">
        <v>2000</v>
      </c>
      <c r="D115" s="27" t="s">
        <v>438</v>
      </c>
      <c r="E115" s="26">
        <v>272</v>
      </c>
      <c r="F115" s="26">
        <v>3</v>
      </c>
      <c r="G115" s="26">
        <v>3</v>
      </c>
      <c r="H115" s="26" t="s">
        <v>1057</v>
      </c>
      <c r="I115" s="26" t="s">
        <v>1362</v>
      </c>
      <c r="J115" s="26" t="s">
        <v>931</v>
      </c>
      <c r="K115" s="26" t="s">
        <v>1042</v>
      </c>
      <c r="L115" s="26" t="s">
        <v>931</v>
      </c>
      <c r="M115" s="28" t="s">
        <v>1377</v>
      </c>
      <c r="Q115" s="27"/>
      <c r="R115" s="26">
        <v>8287</v>
      </c>
      <c r="S115" s="26">
        <v>6300</v>
      </c>
      <c r="T115" s="26">
        <f>IF(Table2[[#This Row],[PMT]]="NA","NA",Table2[[#This Row],[PMT]]+1)</f>
        <v>6301</v>
      </c>
      <c r="U115" s="26">
        <f>IF(Table2[[#This Row],[PMT]]="NA","NA",Table2[[#This Row],[PMT]]+2)</f>
        <v>6302</v>
      </c>
      <c r="V115" s="26">
        <v>0</v>
      </c>
      <c r="W115" s="26">
        <f>IF(Table2[[#This Row],[PMT]]="NA","NA",Table2[[#This Row],[PMT]]+8)-Table2[[#This Row],[Const]]</f>
        <v>6308</v>
      </c>
      <c r="X115" s="26" t="str">
        <f>IF(W115="NA","",CONCATENATE("0B 04 00 ",DEC2HEX($G115,2)," ",LEFT(DEC2HEX(W115,4),2)," ",RIGHT(DEC2HEX(W115,4),2)))</f>
        <v>0B 04 00 03 18 A4</v>
      </c>
      <c r="Y115" s="26">
        <f>IF(Table2[[#This Row],[PMT]]="NA","NA",Table2[[#This Row],[PMT]]+14)-Table2[[#This Row],[Const]]</f>
        <v>6314</v>
      </c>
      <c r="Z115" s="26" t="str">
        <f>IF(Y115="NA","",CONCATENATE("0B 04 00 ",DEC2HEX($G115,2)," ",LEFT(DEC2HEX(Y115,4),2)," ",RIGHT(DEC2HEX(Y115,4),2)))</f>
        <v>0B 04 00 03 18 AA</v>
      </c>
      <c r="AA115" s="26" t="s">
        <v>1057</v>
      </c>
      <c r="AB115" s="26" t="s">
        <v>443</v>
      </c>
      <c r="AC115" s="26"/>
      <c r="AD115" s="26" t="s">
        <v>346</v>
      </c>
      <c r="AE115" s="26"/>
      <c r="AF115" s="26"/>
      <c r="AI115" s="26"/>
      <c r="AJ115" s="26"/>
      <c r="AL115" s="26"/>
      <c r="AW115" s="26"/>
      <c r="AX115" s="26"/>
      <c r="AY115" s="26"/>
    </row>
    <row r="116" spans="1:51" x14ac:dyDescent="0.25">
      <c r="A116" s="26">
        <v>353</v>
      </c>
      <c r="B116" s="26" t="s">
        <v>172</v>
      </c>
      <c r="C116" s="26">
        <v>5180</v>
      </c>
      <c r="D116" s="27" t="s">
        <v>626</v>
      </c>
      <c r="E116" s="26">
        <v>842</v>
      </c>
      <c r="F116" s="26">
        <v>7</v>
      </c>
      <c r="G116" s="26">
        <v>7</v>
      </c>
      <c r="H116" s="26" t="s">
        <v>349</v>
      </c>
      <c r="I116" s="26" t="s">
        <v>1357</v>
      </c>
      <c r="J116" s="26" t="s">
        <v>1040</v>
      </c>
      <c r="K116" s="26" t="s">
        <v>953</v>
      </c>
      <c r="L116" s="26" t="s">
        <v>931</v>
      </c>
      <c r="M116" s="28" t="s">
        <v>1377</v>
      </c>
      <c r="Q116" s="27"/>
      <c r="R116" s="26">
        <v>1561</v>
      </c>
      <c r="S116" s="26">
        <v>280</v>
      </c>
      <c r="T116" s="26">
        <f>IF(Table2[[#This Row],[PMT]]="NA","NA",Table2[[#This Row],[PMT]]+1)</f>
        <v>281</v>
      </c>
      <c r="U116" s="26">
        <f>IF(Table2[[#This Row],[PMT]]="NA","NA",Table2[[#This Row],[PMT]]+2)</f>
        <v>282</v>
      </c>
      <c r="V116" s="26">
        <v>0</v>
      </c>
      <c r="W116" s="26">
        <f>IF(Table2[[#This Row],[PMT]]="NA","NA",Table2[[#This Row],[PMT]]+8)-Table2[[#This Row],[Const]]</f>
        <v>288</v>
      </c>
      <c r="X116" s="26" t="str">
        <f>IF(W116="NA","",CONCATENATE("0B 04 00 ",DEC2HEX($G116,2)," ",LEFT(DEC2HEX(W116,4),2)," ",RIGHT(DEC2HEX(W116,4),2)))</f>
        <v>0B 04 00 07 01 20</v>
      </c>
      <c r="Y116" s="26">
        <f>IF(Table2[[#This Row],[PMT]]="NA","NA",Table2[[#This Row],[PMT]]+14)-Table2[[#This Row],[Const]]</f>
        <v>294</v>
      </c>
      <c r="Z116" s="26" t="str">
        <f>IF(Y116="NA","",CONCATENATE("0B 04 00 ",DEC2HEX($G116,2)," ",LEFT(DEC2HEX(Y116,4),2)," ",RIGHT(DEC2HEX(Y116,4),2)))</f>
        <v>0B 04 00 07 01 26</v>
      </c>
      <c r="AA116" s="26" t="s">
        <v>349</v>
      </c>
      <c r="AB116" s="26"/>
      <c r="AC116" s="26"/>
      <c r="AD116" s="26" t="s">
        <v>814</v>
      </c>
      <c r="AE116" s="26"/>
      <c r="AF116" s="26"/>
      <c r="AI116" s="26"/>
      <c r="AJ116" s="26"/>
      <c r="AL116" s="26"/>
      <c r="AW116" s="26"/>
      <c r="AX116" s="26"/>
      <c r="AY116" s="26"/>
    </row>
    <row r="117" spans="1:51" x14ac:dyDescent="0.25">
      <c r="A117" s="26">
        <v>118</v>
      </c>
      <c r="B117" s="26" t="s">
        <v>1129</v>
      </c>
      <c r="C117" s="26">
        <v>2000</v>
      </c>
      <c r="D117" s="27" t="s">
        <v>444</v>
      </c>
      <c r="E117" s="26">
        <v>282</v>
      </c>
      <c r="F117" s="26">
        <v>6</v>
      </c>
      <c r="G117" s="26">
        <v>6</v>
      </c>
      <c r="H117" s="26" t="s">
        <v>1057</v>
      </c>
      <c r="I117" s="26" t="s">
        <v>443</v>
      </c>
      <c r="J117" s="26" t="s">
        <v>931</v>
      </c>
      <c r="K117" s="26" t="s">
        <v>1042</v>
      </c>
      <c r="L117" s="26" t="s">
        <v>931</v>
      </c>
      <c r="M117" s="28" t="s">
        <v>1377</v>
      </c>
      <c r="Q117" s="27"/>
      <c r="R117" s="26">
        <v>8292</v>
      </c>
      <c r="S117" s="26">
        <v>5700</v>
      </c>
      <c r="T117" s="26">
        <f>IF(Table2[[#This Row],[PMT]]="NA","NA",Table2[[#This Row],[PMT]]+1)</f>
        <v>5701</v>
      </c>
      <c r="U117" s="26">
        <f>IF(Table2[[#This Row],[PMT]]="NA","NA",Table2[[#This Row],[PMT]]+2)</f>
        <v>5702</v>
      </c>
      <c r="V117" s="26">
        <v>0</v>
      </c>
      <c r="W117" s="26">
        <f>IF(Table2[[#This Row],[PMT]]="NA","NA",Table2[[#This Row],[PMT]]+8)-Table2[[#This Row],[Const]]</f>
        <v>5708</v>
      </c>
      <c r="X117" s="26" t="str">
        <f>IF(W117="NA","",CONCATENATE("0B 04 00 ",DEC2HEX($G117,2)," ",LEFT(DEC2HEX(W117,4),2)," ",RIGHT(DEC2HEX(W117,4),2)))</f>
        <v>0B 04 00 06 16 4C</v>
      </c>
      <c r="Y117" s="26">
        <f>IF(Table2[[#This Row],[PMT]]="NA","NA",Table2[[#This Row],[PMT]]+14)-Table2[[#This Row],[Const]]</f>
        <v>5714</v>
      </c>
      <c r="Z117" s="26" t="str">
        <f>IF(Y117="NA","",CONCATENATE("0B 04 00 ",DEC2HEX($G117,2)," ",LEFT(DEC2HEX(Y117,4),2)," ",RIGHT(DEC2HEX(Y117,4),2)))</f>
        <v>0B 04 00 06 16 52</v>
      </c>
      <c r="AA117" s="26" t="s">
        <v>1057</v>
      </c>
      <c r="AB117" s="26" t="s">
        <v>443</v>
      </c>
      <c r="AC117" s="26"/>
      <c r="AD117" s="26" t="s">
        <v>346</v>
      </c>
      <c r="AE117" s="26"/>
      <c r="AF117" s="26"/>
      <c r="AI117" s="26"/>
      <c r="AJ117" s="26"/>
      <c r="AL117" s="26"/>
      <c r="AW117" s="26"/>
      <c r="AX117" s="26"/>
      <c r="AY117" s="26"/>
    </row>
    <row r="118" spans="1:51" x14ac:dyDescent="0.25">
      <c r="A118" s="26">
        <v>272</v>
      </c>
      <c r="B118" s="26" t="s">
        <v>266</v>
      </c>
      <c r="C118" s="26">
        <v>2000</v>
      </c>
      <c r="D118" s="27" t="s">
        <v>562</v>
      </c>
      <c r="E118" s="26">
        <v>600</v>
      </c>
      <c r="F118" s="26">
        <v>3</v>
      </c>
      <c r="G118" s="26">
        <v>3</v>
      </c>
      <c r="H118" s="26" t="s">
        <v>349</v>
      </c>
      <c r="I118" s="26" t="s">
        <v>1354</v>
      </c>
      <c r="J118" s="26" t="s">
        <v>931</v>
      </c>
      <c r="K118" s="26" t="s">
        <v>1042</v>
      </c>
      <c r="L118" s="26" t="s">
        <v>931</v>
      </c>
      <c r="M118" s="28" t="s">
        <v>1377</v>
      </c>
      <c r="Q118" s="27"/>
      <c r="R118" s="26">
        <v>7600</v>
      </c>
      <c r="S118" s="26">
        <v>6200</v>
      </c>
      <c r="T118" s="26">
        <f>IF(Table2[[#This Row],[PMT]]="NA","NA",Table2[[#This Row],[PMT]]+1)</f>
        <v>6201</v>
      </c>
      <c r="U118" s="26">
        <f>IF(Table2[[#This Row],[PMT]]="NA","NA",Table2[[#This Row],[PMT]]+2)</f>
        <v>6202</v>
      </c>
      <c r="V118" s="26">
        <v>0</v>
      </c>
      <c r="W118" s="26">
        <f>IF(Table2[[#This Row],[PMT]]="NA","NA",Table2[[#This Row],[PMT]]+8)-Table2[[#This Row],[Const]]</f>
        <v>6208</v>
      </c>
      <c r="X118" s="26" t="str">
        <f>IF(W118="NA","",CONCATENATE("0B 04 00 ",DEC2HEX($G118,2)," ",LEFT(DEC2HEX(W118,4),2)," ",RIGHT(DEC2HEX(W118,4),2)))</f>
        <v>0B 04 00 03 18 40</v>
      </c>
      <c r="Y118" s="26">
        <f>IF(Table2[[#This Row],[PMT]]="NA","NA",Table2[[#This Row],[PMT]]+14)-Table2[[#This Row],[Const]]</f>
        <v>6214</v>
      </c>
      <c r="Z118" s="26" t="str">
        <f>IF(Y118="NA","",CONCATENATE("0B 04 00 ",DEC2HEX($G118,2)," ",LEFT(DEC2HEX(Y118,4),2)," ",RIGHT(DEC2HEX(Y118,4),2)))</f>
        <v>0B 04 00 03 18 46</v>
      </c>
      <c r="AA118" s="26" t="s">
        <v>349</v>
      </c>
      <c r="AB118" s="26"/>
      <c r="AC118" s="26"/>
      <c r="AD118" s="26" t="s">
        <v>346</v>
      </c>
      <c r="AE118" s="26"/>
      <c r="AF118" s="26"/>
      <c r="AI118" s="26"/>
      <c r="AJ118" s="26"/>
      <c r="AL118" s="26"/>
      <c r="AW118" s="26"/>
      <c r="AX118" s="26"/>
      <c r="AY118" s="26"/>
    </row>
    <row r="119" spans="1:51" x14ac:dyDescent="0.25">
      <c r="A119" s="26">
        <v>114</v>
      </c>
      <c r="B119" s="26" t="s">
        <v>155</v>
      </c>
      <c r="C119" s="26">
        <v>5180</v>
      </c>
      <c r="D119" s="27" t="s">
        <v>439</v>
      </c>
      <c r="E119" s="26">
        <v>274</v>
      </c>
      <c r="F119" s="26">
        <v>2</v>
      </c>
      <c r="G119" s="26">
        <v>2</v>
      </c>
      <c r="H119" s="26" t="s">
        <v>1057</v>
      </c>
      <c r="I119" s="26" t="s">
        <v>443</v>
      </c>
      <c r="J119" s="26" t="s">
        <v>1040</v>
      </c>
      <c r="K119" s="26" t="s">
        <v>953</v>
      </c>
      <c r="L119" s="26" t="s">
        <v>931</v>
      </c>
      <c r="M119" s="28" t="s">
        <v>1377</v>
      </c>
      <c r="Q119" s="27"/>
      <c r="R119" s="26">
        <v>8288</v>
      </c>
      <c r="S119" s="26">
        <v>320</v>
      </c>
      <c r="T119" s="26">
        <f>IF(Table2[[#This Row],[PMT]]="NA","NA",Table2[[#This Row],[PMT]]+1)</f>
        <v>321</v>
      </c>
      <c r="U119" s="26">
        <f>IF(Table2[[#This Row],[PMT]]="NA","NA",Table2[[#This Row],[PMT]]+2)</f>
        <v>322</v>
      </c>
      <c r="V119" s="26">
        <v>0</v>
      </c>
      <c r="W119" s="26">
        <f>IF(Table2[[#This Row],[PMT]]="NA","NA",Table2[[#This Row],[PMT]]+8)-Table2[[#This Row],[Const]]</f>
        <v>328</v>
      </c>
      <c r="X119" s="26" t="str">
        <f>IF(W119="NA","",CONCATENATE("0B 04 00 ",DEC2HEX($G119,2)," ",LEFT(DEC2HEX(W119,4),2)," ",RIGHT(DEC2HEX(W119,4),2)))</f>
        <v>0B 04 00 02 01 48</v>
      </c>
      <c r="Y119" s="26">
        <f>IF(Table2[[#This Row],[PMT]]="NA","NA",Table2[[#This Row],[PMT]]+14)-Table2[[#This Row],[Const]]</f>
        <v>334</v>
      </c>
      <c r="Z119" s="26" t="str">
        <f>IF(Y119="NA","",CONCATENATE("0B 04 00 ",DEC2HEX($G119,2)," ",LEFT(DEC2HEX(Y119,4),2)," ",RIGHT(DEC2HEX(Y119,4),2)))</f>
        <v>0B 04 00 02 01 4E</v>
      </c>
      <c r="AA119" s="26" t="s">
        <v>1057</v>
      </c>
      <c r="AB119" s="26" t="s">
        <v>443</v>
      </c>
      <c r="AC119" s="26"/>
      <c r="AD119" s="26" t="s">
        <v>818</v>
      </c>
      <c r="AE119" s="26"/>
      <c r="AF119" s="26"/>
      <c r="AI119" s="26"/>
      <c r="AJ119" s="26"/>
      <c r="AL119" s="26"/>
      <c r="AW119" s="26"/>
      <c r="AX119" s="26"/>
      <c r="AY119" s="26"/>
    </row>
    <row r="120" spans="1:51" hidden="1" x14ac:dyDescent="0.25">
      <c r="A120" s="26">
        <v>115</v>
      </c>
      <c r="B120" s="26" t="s">
        <v>346</v>
      </c>
      <c r="C120" s="26" t="s">
        <v>346</v>
      </c>
      <c r="D120" s="27" t="s">
        <v>442</v>
      </c>
      <c r="E120" s="26">
        <v>276</v>
      </c>
      <c r="F120" s="26" t="s">
        <v>346</v>
      </c>
      <c r="G120" s="26">
        <v>9</v>
      </c>
      <c r="H120" s="26" t="s">
        <v>1057</v>
      </c>
      <c r="I120" s="26" t="s">
        <v>443</v>
      </c>
      <c r="J120" s="26" t="s">
        <v>1038</v>
      </c>
      <c r="K120" s="26" t="s">
        <v>1039</v>
      </c>
      <c r="L120" s="26" t="s">
        <v>931</v>
      </c>
      <c r="M120" s="26" t="s">
        <v>1377</v>
      </c>
      <c r="N120" s="26" t="s">
        <v>1086</v>
      </c>
      <c r="O120" s="26" t="s">
        <v>1094</v>
      </c>
      <c r="P120" s="26">
        <v>3820</v>
      </c>
      <c r="Q120" s="27" t="s">
        <v>1044</v>
      </c>
      <c r="R120" s="26">
        <v>12143</v>
      </c>
      <c r="S120" s="26">
        <v>5800</v>
      </c>
      <c r="T120" s="26">
        <f>IF(Table2[[#This Row],[PMT]]="NA","NA",Table2[[#This Row],[PMT]]+1)</f>
        <v>5801</v>
      </c>
      <c r="U120" s="26">
        <f>IF(Table2[[#This Row],[PMT]]="NA","NA",Table2[[#This Row],[PMT]]+2)</f>
        <v>5802</v>
      </c>
      <c r="V120" s="26">
        <v>0</v>
      </c>
      <c r="W120" s="26">
        <f>IF(Table2[[#This Row],[PMT]]="NA","NA",Table2[[#This Row],[PMT]]+8)-Table2[[#This Row],[Const]]</f>
        <v>5808</v>
      </c>
      <c r="X120" s="26" t="str">
        <f>IF(W120="NA","",CONCATENATE("0B 04 00 ",DEC2HEX($G120,2)," ",LEFT(DEC2HEX(W120,4),2)," ",RIGHT(DEC2HEX(W120,4),2)))</f>
        <v>0B 04 00 09 16 B0</v>
      </c>
      <c r="Y120" s="26">
        <f>IF(Table2[[#This Row],[PMT]]="NA","NA",Table2[[#This Row],[PMT]]+14)-Table2[[#This Row],[Const]]</f>
        <v>5814</v>
      </c>
      <c r="Z120" s="26" t="str">
        <f>IF(Y120="NA","",CONCATENATE("0B 04 00 ",DEC2HEX($G120,2)," ",LEFT(DEC2HEX(Y120,4),2)," ",RIGHT(DEC2HEX(Y120,4),2)))</f>
        <v>0B 04 00 09 16 B6</v>
      </c>
      <c r="AA120" s="26" t="s">
        <v>1057</v>
      </c>
      <c r="AB120" s="26" t="s">
        <v>443</v>
      </c>
      <c r="AC120" s="26">
        <v>27500</v>
      </c>
      <c r="AD120" s="26" t="s">
        <v>346</v>
      </c>
      <c r="AE120" s="26"/>
      <c r="AF120" s="26"/>
      <c r="AI120" s="26"/>
      <c r="AJ120" s="26"/>
      <c r="AL120" s="26"/>
      <c r="AW120" s="26"/>
      <c r="AX120" s="26"/>
      <c r="AY120" s="26"/>
    </row>
    <row r="121" spans="1:51" x14ac:dyDescent="0.25">
      <c r="A121" s="26">
        <v>116</v>
      </c>
      <c r="B121" s="26" t="s">
        <v>264</v>
      </c>
      <c r="C121" s="26">
        <v>2000</v>
      </c>
      <c r="D121" s="27" t="s">
        <v>440</v>
      </c>
      <c r="E121" s="26">
        <v>278</v>
      </c>
      <c r="F121" s="26">
        <v>6</v>
      </c>
      <c r="G121" s="26">
        <v>6</v>
      </c>
      <c r="H121" s="26" t="s">
        <v>1057</v>
      </c>
      <c r="I121" s="26" t="s">
        <v>443</v>
      </c>
      <c r="J121" s="26" t="s">
        <v>931</v>
      </c>
      <c r="K121" s="26" t="s">
        <v>1042</v>
      </c>
      <c r="L121" s="26" t="s">
        <v>931</v>
      </c>
      <c r="M121" s="28" t="s">
        <v>1377</v>
      </c>
      <c r="Q121" s="27"/>
      <c r="R121" s="26">
        <v>5289</v>
      </c>
      <c r="S121" s="26">
        <v>4900</v>
      </c>
      <c r="T121" s="26">
        <f>IF(Table2[[#This Row],[PMT]]="NA","NA",Table2[[#This Row],[PMT]]+1)</f>
        <v>4901</v>
      </c>
      <c r="U121" s="26">
        <f>IF(Table2[[#This Row],[PMT]]="NA","NA",Table2[[#This Row],[PMT]]+2)</f>
        <v>4902</v>
      </c>
      <c r="V121" s="26">
        <v>0</v>
      </c>
      <c r="W121" s="26">
        <f>IF(Table2[[#This Row],[PMT]]="NA","NA",Table2[[#This Row],[PMT]]+8)-Table2[[#This Row],[Const]]</f>
        <v>4908</v>
      </c>
      <c r="X121" s="26" t="str">
        <f>IF(W121="NA","",CONCATENATE("0B 04 00 ",DEC2HEX($G121,2)," ",LEFT(DEC2HEX(W121,4),2)," ",RIGHT(DEC2HEX(W121,4),2)))</f>
        <v>0B 04 00 06 13 2C</v>
      </c>
      <c r="Y121" s="26">
        <f>IF(Table2[[#This Row],[PMT]]="NA","NA",Table2[[#This Row],[PMT]]+14)-Table2[[#This Row],[Const]]</f>
        <v>4914</v>
      </c>
      <c r="Z121" s="26" t="str">
        <f>IF(Y121="NA","",CONCATENATE("0B 04 00 ",DEC2HEX($G121,2)," ",LEFT(DEC2HEX(Y121,4),2)," ",RIGHT(DEC2HEX(Y121,4),2)))</f>
        <v>0B 04 00 06 13 32</v>
      </c>
      <c r="AA121" s="26" t="s">
        <v>1057</v>
      </c>
      <c r="AB121" s="26" t="s">
        <v>443</v>
      </c>
      <c r="AC121" s="26"/>
      <c r="AD121" s="26" t="s">
        <v>346</v>
      </c>
      <c r="AE121" s="26"/>
      <c r="AF121" s="26"/>
      <c r="AI121" s="26"/>
      <c r="AJ121" s="26"/>
      <c r="AL121" s="26"/>
      <c r="AW121" s="26"/>
      <c r="AX121" s="26"/>
      <c r="AY121" s="26"/>
    </row>
    <row r="122" spans="1:51" hidden="1" x14ac:dyDescent="0.25">
      <c r="A122" s="26">
        <v>117</v>
      </c>
      <c r="B122" s="26" t="s">
        <v>346</v>
      </c>
      <c r="C122" s="26" t="s">
        <v>346</v>
      </c>
      <c r="D122" s="27" t="s">
        <v>441</v>
      </c>
      <c r="E122" s="26">
        <v>280</v>
      </c>
      <c r="F122" s="26" t="s">
        <v>346</v>
      </c>
      <c r="G122" s="26">
        <v>1</v>
      </c>
      <c r="H122" s="26" t="s">
        <v>1057</v>
      </c>
      <c r="I122" s="26" t="s">
        <v>443</v>
      </c>
      <c r="J122" s="26" t="s">
        <v>1038</v>
      </c>
      <c r="K122" s="26" t="s">
        <v>1039</v>
      </c>
      <c r="L122" s="26" t="s">
        <v>931</v>
      </c>
      <c r="M122" s="26" t="s">
        <v>1376</v>
      </c>
      <c r="Q122" s="27" t="s">
        <v>1044</v>
      </c>
      <c r="R122" s="26">
        <v>12032</v>
      </c>
      <c r="S122" s="26">
        <v>260</v>
      </c>
      <c r="T122" s="26">
        <f>IF(Table2[[#This Row],[PMT]]="NA","NA",Table2[[#This Row],[PMT]]+1)</f>
        <v>261</v>
      </c>
      <c r="U122" s="26">
        <f>IF(Table2[[#This Row],[PMT]]="NA","NA",Table2[[#This Row],[PMT]]+2)</f>
        <v>262</v>
      </c>
      <c r="V122" s="26">
        <v>0</v>
      </c>
      <c r="W122" s="26">
        <f>IF(Table2[[#This Row],[PMT]]="NA","NA",Table2[[#This Row],[PMT]]+8)-Table2[[#This Row],[Const]]</f>
        <v>268</v>
      </c>
      <c r="X122" s="26" t="str">
        <f>IF(W122="NA","",CONCATENATE("0B 04 00 ",DEC2HEX($G122,2)," ",LEFT(DEC2HEX(W122,4),2)," ",RIGHT(DEC2HEX(W122,4),2)))</f>
        <v>0B 04 00 01 01 0C</v>
      </c>
      <c r="Y122" s="26">
        <f>IF(Table2[[#This Row],[PMT]]="NA","NA",Table2[[#This Row],[PMT]]+14)-Table2[[#This Row],[Const]]</f>
        <v>274</v>
      </c>
      <c r="Z122" s="26" t="str">
        <f>IF(Y122="NA","",CONCATENATE("0B 04 00 ",DEC2HEX($G122,2)," ",LEFT(DEC2HEX(Y122,4),2)," ",RIGHT(DEC2HEX(Y122,4),2)))</f>
        <v>0B 04 00 01 01 12</v>
      </c>
      <c r="AA122" s="26" t="s">
        <v>1057</v>
      </c>
      <c r="AB122" s="26" t="s">
        <v>443</v>
      </c>
      <c r="AC122" s="26"/>
      <c r="AD122" s="26" t="s">
        <v>346</v>
      </c>
      <c r="AE122" s="26"/>
      <c r="AF122" s="26"/>
      <c r="AI122" s="26"/>
      <c r="AJ122" s="26"/>
      <c r="AL122" s="26"/>
      <c r="AW122" s="26"/>
      <c r="AX122" s="26"/>
      <c r="AY122" s="26"/>
    </row>
    <row r="123" spans="1:51" x14ac:dyDescent="0.25">
      <c r="A123" s="26">
        <v>281</v>
      </c>
      <c r="B123" s="26" t="s">
        <v>1128</v>
      </c>
      <c r="C123" s="26">
        <v>2000</v>
      </c>
      <c r="D123" s="27" t="s">
        <v>570</v>
      </c>
      <c r="E123" s="26">
        <v>610</v>
      </c>
      <c r="F123" s="26">
        <v>1</v>
      </c>
      <c r="G123" s="26">
        <v>1</v>
      </c>
      <c r="H123" s="26" t="s">
        <v>349</v>
      </c>
      <c r="I123" s="26" t="s">
        <v>1351</v>
      </c>
      <c r="J123" s="26" t="s">
        <v>931</v>
      </c>
      <c r="K123" s="26" t="s">
        <v>1042</v>
      </c>
      <c r="L123" s="26" t="s">
        <v>931</v>
      </c>
      <c r="M123" s="28" t="s">
        <v>1377</v>
      </c>
      <c r="Q123" s="27"/>
      <c r="R123" s="26">
        <v>1610</v>
      </c>
      <c r="S123" s="26">
        <v>870</v>
      </c>
      <c r="T123" s="26">
        <f>IF(Table2[[#This Row],[PMT]]="NA","NA",Table2[[#This Row],[PMT]]+1)</f>
        <v>871</v>
      </c>
      <c r="U123" s="26">
        <f>IF(Table2[[#This Row],[PMT]]="NA","NA",Table2[[#This Row],[PMT]]+2)</f>
        <v>872</v>
      </c>
      <c r="V123" s="26">
        <v>0</v>
      </c>
      <c r="W123" s="26">
        <f>IF(Table2[[#This Row],[PMT]]="NA","NA",Table2[[#This Row],[PMT]]+8)-Table2[[#This Row],[Const]]</f>
        <v>878</v>
      </c>
      <c r="X123" s="26" t="str">
        <f>IF(W123="NA","",CONCATENATE("0B 04 00 ",DEC2HEX($G123,2)," ",LEFT(DEC2HEX(W123,4),2)," ",RIGHT(DEC2HEX(W123,4),2)))</f>
        <v>0B 04 00 01 03 6E</v>
      </c>
      <c r="Y123" s="26">
        <f>IF(Table2[[#This Row],[PMT]]="NA","NA",Table2[[#This Row],[PMT]]+14)-Table2[[#This Row],[Const]]</f>
        <v>884</v>
      </c>
      <c r="Z123" s="26" t="str">
        <f>IF(Y123="NA","",CONCATENATE("0B 04 00 ",DEC2HEX($G123,2)," ",LEFT(DEC2HEX(Y123,4),2)," ",RIGHT(DEC2HEX(Y123,4),2)))</f>
        <v>0B 04 00 01 03 74</v>
      </c>
      <c r="AA123" s="26" t="s">
        <v>349</v>
      </c>
      <c r="AB123" s="26"/>
      <c r="AC123" s="26"/>
      <c r="AD123" s="26" t="s">
        <v>346</v>
      </c>
      <c r="AE123" s="26"/>
      <c r="AF123" s="26"/>
      <c r="AI123" s="26"/>
      <c r="AJ123" s="26"/>
      <c r="AL123" s="26"/>
      <c r="AW123" s="26"/>
      <c r="AX123" s="26"/>
      <c r="AY123" s="26"/>
    </row>
    <row r="124" spans="1:51" hidden="1" x14ac:dyDescent="0.25">
      <c r="A124" s="26">
        <v>119</v>
      </c>
      <c r="B124" s="26" t="s">
        <v>346</v>
      </c>
      <c r="C124" s="26" t="s">
        <v>346</v>
      </c>
      <c r="D124" s="27" t="s">
        <v>1333</v>
      </c>
      <c r="E124" s="26">
        <v>283</v>
      </c>
      <c r="F124" s="26" t="s">
        <v>346</v>
      </c>
      <c r="G124" s="26">
        <v>3</v>
      </c>
      <c r="H124" s="26" t="s">
        <v>1057</v>
      </c>
      <c r="I124" s="26" t="s">
        <v>443</v>
      </c>
      <c r="J124" s="26" t="s">
        <v>1038</v>
      </c>
      <c r="K124" s="26" t="s">
        <v>1039</v>
      </c>
      <c r="L124" s="26" t="s">
        <v>931</v>
      </c>
      <c r="M124" s="28" t="s">
        <v>1376</v>
      </c>
      <c r="N124" s="31"/>
      <c r="O124" s="31"/>
      <c r="P124" s="31"/>
      <c r="Q124" s="32"/>
      <c r="R124" s="31"/>
      <c r="S124" s="31"/>
      <c r="T124" s="31">
        <f>IF(Table2[[#This Row],[PMT]]="NA","NA",Table2[[#This Row],[PMT]]+1)</f>
        <v>1</v>
      </c>
      <c r="U124" s="31">
        <f>IF(Table2[[#This Row],[PMT]]="NA","NA",Table2[[#This Row],[PMT]]+2)</f>
        <v>2</v>
      </c>
      <c r="V124" s="26"/>
      <c r="W124" s="31">
        <f>IF(Table2[[#This Row],[PMT]]="NA","NA",Table2[[#This Row],[PMT]]+8)-Table2[[#This Row],[Const]]</f>
        <v>8</v>
      </c>
      <c r="X124" s="31" t="str">
        <f>IF(W124="NA","",CONCATENATE("0B 04 00 ",DEC2HEX($G124,2)," ",LEFT(DEC2HEX(W124,4),2)," ",RIGHT(DEC2HEX(W124,4),2)))</f>
        <v>0B 04 00 03 00 08</v>
      </c>
      <c r="Y124" s="31">
        <f>IF(Table2[[#This Row],[PMT]]="NA","NA",Table2[[#This Row],[PMT]]+14)-Table2[[#This Row],[Const]]</f>
        <v>14</v>
      </c>
      <c r="Z124" s="31" t="str">
        <f>IF(Y124="NA","",CONCATENATE("0B 04 00 ",DEC2HEX($G124,2)," ",LEFT(DEC2HEX(Y124,4),2)," ",RIGHT(DEC2HEX(Y124,4),2)))</f>
        <v>0B 04 00 03 00 0E</v>
      </c>
      <c r="AA124" s="26"/>
      <c r="AB124" s="26"/>
      <c r="AC124" s="31"/>
      <c r="AD124" s="31"/>
      <c r="AE124" s="26"/>
      <c r="AF124" s="26"/>
      <c r="AI124" s="26"/>
      <c r="AJ124" s="26"/>
      <c r="AL124" s="26"/>
      <c r="AW124" s="26"/>
      <c r="AX124" s="26"/>
      <c r="AY124" s="26"/>
    </row>
    <row r="125" spans="1:51" x14ac:dyDescent="0.25">
      <c r="A125" s="26">
        <v>67</v>
      </c>
      <c r="B125" s="26" t="s">
        <v>147</v>
      </c>
      <c r="C125" s="26">
        <v>5180</v>
      </c>
      <c r="D125" s="27" t="s">
        <v>395</v>
      </c>
      <c r="E125" s="26">
        <v>186</v>
      </c>
      <c r="F125" s="26">
        <v>6</v>
      </c>
      <c r="G125" s="26">
        <v>6</v>
      </c>
      <c r="H125" s="26" t="s">
        <v>1053</v>
      </c>
      <c r="I125" s="26" t="s">
        <v>443</v>
      </c>
      <c r="J125" s="26" t="s">
        <v>1040</v>
      </c>
      <c r="K125" s="26" t="s">
        <v>953</v>
      </c>
      <c r="L125" s="26" t="s">
        <v>931</v>
      </c>
      <c r="M125" s="28"/>
      <c r="Q125" s="27"/>
      <c r="R125" s="26">
        <v>5163</v>
      </c>
      <c r="S125" s="26">
        <v>320</v>
      </c>
      <c r="T125" s="26">
        <f>IF(Table2[[#This Row],[PMT]]="NA","NA",Table2[[#This Row],[PMT]]+1)</f>
        <v>321</v>
      </c>
      <c r="U125" s="26">
        <f>IF(Table2[[#This Row],[PMT]]="NA","NA",Table2[[#This Row],[PMT]]+2)</f>
        <v>322</v>
      </c>
      <c r="V125" s="26">
        <v>0</v>
      </c>
      <c r="W125" s="26">
        <f>IF(Table2[[#This Row],[PMT]]="NA","NA",Table2[[#This Row],[PMT]]+8)-Table2[[#This Row],[Const]]</f>
        <v>328</v>
      </c>
      <c r="X125" s="26" t="str">
        <f>IF(W125="NA","",CONCATENATE("0B 04 00 ",DEC2HEX($G125,2)," ",LEFT(DEC2HEX(W125,4),2)," ",RIGHT(DEC2HEX(W125,4),2)))</f>
        <v>0B 04 00 06 01 48</v>
      </c>
      <c r="Y125" s="26">
        <f>IF(Table2[[#This Row],[PMT]]="NA","NA",Table2[[#This Row],[PMT]]+14)-Table2[[#This Row],[Const]]</f>
        <v>334</v>
      </c>
      <c r="Z125" s="26" t="str">
        <f>IF(Y125="NA","",CONCATENATE("0B 04 00 ",DEC2HEX($G125,2)," ",LEFT(DEC2HEX(Y125,4),2)," ",RIGHT(DEC2HEX(Y125,4),2)))</f>
        <v>0B 04 00 06 01 4E</v>
      </c>
      <c r="AA125" s="26" t="s">
        <v>1053</v>
      </c>
      <c r="AB125" s="26" t="s">
        <v>443</v>
      </c>
      <c r="AC125" s="26"/>
      <c r="AD125" s="26" t="s">
        <v>814</v>
      </c>
      <c r="AE125" s="26"/>
      <c r="AF125" s="26"/>
      <c r="AI125" s="26"/>
      <c r="AJ125" s="26"/>
      <c r="AL125" s="26"/>
      <c r="AW125" s="26"/>
      <c r="AX125" s="26"/>
      <c r="AY125" s="26"/>
    </row>
    <row r="126" spans="1:51" hidden="1" x14ac:dyDescent="0.25">
      <c r="A126" s="26">
        <v>121</v>
      </c>
      <c r="B126" s="26" t="s">
        <v>346</v>
      </c>
      <c r="C126" s="26" t="s">
        <v>346</v>
      </c>
      <c r="D126" s="27" t="s">
        <v>1334</v>
      </c>
      <c r="E126" s="26">
        <v>285</v>
      </c>
      <c r="F126" s="26" t="s">
        <v>346</v>
      </c>
      <c r="G126" s="26">
        <v>11</v>
      </c>
      <c r="H126" s="26" t="s">
        <v>1057</v>
      </c>
      <c r="I126" s="26" t="s">
        <v>443</v>
      </c>
      <c r="J126" s="26" t="s">
        <v>1038</v>
      </c>
      <c r="K126" s="26" t="s">
        <v>1039</v>
      </c>
      <c r="L126" s="26" t="s">
        <v>931</v>
      </c>
      <c r="M126" s="26" t="s">
        <v>1377</v>
      </c>
      <c r="N126" s="31"/>
      <c r="O126" s="31"/>
      <c r="P126" s="31"/>
      <c r="Q126" s="27" t="s">
        <v>1044</v>
      </c>
      <c r="R126" s="31"/>
      <c r="S126" s="31"/>
      <c r="T126" s="31">
        <f>IF(Table2[[#This Row],[PMT]]="NA","NA",Table2[[#This Row],[PMT]]+1)</f>
        <v>1</v>
      </c>
      <c r="U126" s="31">
        <f>IF(Table2[[#This Row],[PMT]]="NA","NA",Table2[[#This Row],[PMT]]+2)</f>
        <v>2</v>
      </c>
      <c r="V126" s="26"/>
      <c r="W126" s="31">
        <f>IF(Table2[[#This Row],[PMT]]="NA","NA",Table2[[#This Row],[PMT]]+8)-Table2[[#This Row],[Const]]</f>
        <v>8</v>
      </c>
      <c r="X126" s="31" t="str">
        <f>IF(W126="NA","",CONCATENATE("0B 04 00 ",DEC2HEX($G126,2)," ",LEFT(DEC2HEX(W126,4),2)," ",RIGHT(DEC2HEX(W126,4),2)))</f>
        <v>0B 04 00 0B 00 08</v>
      </c>
      <c r="Y126" s="31">
        <f>IF(Table2[[#This Row],[PMT]]="NA","NA",Table2[[#This Row],[PMT]]+14)-Table2[[#This Row],[Const]]</f>
        <v>14</v>
      </c>
      <c r="Z126" s="31" t="str">
        <f>IF(Y126="NA","",CONCATENATE("0B 04 00 ",DEC2HEX($G126,2)," ",LEFT(DEC2HEX(Y126,4),2)," ",RIGHT(DEC2HEX(Y126,4),2)))</f>
        <v>0B 04 00 0B 00 0E</v>
      </c>
      <c r="AA126" s="26"/>
      <c r="AB126" s="26"/>
      <c r="AC126" s="31"/>
      <c r="AD126" s="31"/>
      <c r="AE126" s="26"/>
      <c r="AF126" s="26"/>
      <c r="AI126" s="26"/>
      <c r="AJ126" s="26"/>
      <c r="AL126" s="26"/>
      <c r="AW126" s="26"/>
      <c r="AX126" s="26"/>
      <c r="AY126" s="26"/>
    </row>
    <row r="127" spans="1:51" hidden="1" x14ac:dyDescent="0.25">
      <c r="A127" s="26">
        <v>122</v>
      </c>
      <c r="B127" s="26" t="s">
        <v>346</v>
      </c>
      <c r="C127" s="26" t="s">
        <v>346</v>
      </c>
      <c r="D127" s="27" t="s">
        <v>1335</v>
      </c>
      <c r="E127" s="26">
        <v>286</v>
      </c>
      <c r="F127" s="26" t="s">
        <v>346</v>
      </c>
      <c r="G127" s="26">
        <v>2</v>
      </c>
      <c r="H127" s="26" t="s">
        <v>1057</v>
      </c>
      <c r="I127" s="26" t="s">
        <v>443</v>
      </c>
      <c r="J127" s="26" t="s">
        <v>1038</v>
      </c>
      <c r="K127" s="26" t="s">
        <v>1039</v>
      </c>
      <c r="L127" s="26" t="s">
        <v>931</v>
      </c>
      <c r="M127" s="28" t="s">
        <v>1376</v>
      </c>
      <c r="Q127" s="27"/>
      <c r="S127" s="26"/>
      <c r="T127" s="26"/>
      <c r="U127" s="26"/>
      <c r="V127" s="26"/>
      <c r="W127" s="26"/>
      <c r="X127" s="26"/>
      <c r="Y127" s="26"/>
      <c r="Z127" s="26"/>
      <c r="AA127" s="26" t="s">
        <v>1057</v>
      </c>
      <c r="AB127" s="26" t="s">
        <v>443</v>
      </c>
      <c r="AC127" s="26"/>
      <c r="AD127" s="26" t="s">
        <v>346</v>
      </c>
      <c r="AE127" s="26"/>
      <c r="AF127" s="26"/>
      <c r="AI127" s="26"/>
      <c r="AJ127" s="26"/>
      <c r="AL127" s="26"/>
      <c r="AW127" s="26"/>
      <c r="AX127" s="26"/>
      <c r="AY127" s="26"/>
    </row>
    <row r="128" spans="1:51" hidden="1" x14ac:dyDescent="0.25">
      <c r="A128" s="26">
        <v>123</v>
      </c>
      <c r="B128" s="26" t="s">
        <v>346</v>
      </c>
      <c r="C128" s="26" t="s">
        <v>346</v>
      </c>
      <c r="D128" s="27" t="s">
        <v>450</v>
      </c>
      <c r="E128" s="26">
        <v>288</v>
      </c>
      <c r="F128" s="26" t="s">
        <v>346</v>
      </c>
      <c r="G128" s="26">
        <v>6</v>
      </c>
      <c r="H128" s="26" t="s">
        <v>1057</v>
      </c>
      <c r="I128" s="26" t="s">
        <v>443</v>
      </c>
      <c r="J128" s="26" t="s">
        <v>1038</v>
      </c>
      <c r="K128" s="26" t="s">
        <v>1039</v>
      </c>
      <c r="L128" s="26" t="s">
        <v>931</v>
      </c>
      <c r="M128" s="28" t="s">
        <v>1377</v>
      </c>
      <c r="Q128" s="27"/>
      <c r="R128" s="26">
        <v>12151</v>
      </c>
      <c r="S128" s="26">
        <v>760</v>
      </c>
      <c r="T128" s="26">
        <f>IF(Table2[[#This Row],[PMT]]="NA","NA",Table2[[#This Row],[PMT]]+1)</f>
        <v>761</v>
      </c>
      <c r="U128" s="26">
        <f>IF(Table2[[#This Row],[PMT]]="NA","NA",Table2[[#This Row],[PMT]]+2)</f>
        <v>762</v>
      </c>
      <c r="V128" s="26">
        <v>0</v>
      </c>
      <c r="W128" s="26">
        <f>IF(Table2[[#This Row],[PMT]]="NA","NA",Table2[[#This Row],[PMT]]+8)-Table2[[#This Row],[Const]]</f>
        <v>768</v>
      </c>
      <c r="X128" s="26" t="str">
        <f>IF(W128="NA","",CONCATENATE("0B 04 00 ",DEC2HEX($G128,2)," ",LEFT(DEC2HEX(W128,4),2)," ",RIGHT(DEC2HEX(W128,4),2)))</f>
        <v>0B 04 00 06 03 00</v>
      </c>
      <c r="Y128" s="26">
        <f>IF(Table2[[#This Row],[PMT]]="NA","NA",Table2[[#This Row],[PMT]]+14)-Table2[[#This Row],[Const]]</f>
        <v>774</v>
      </c>
      <c r="Z128" s="26" t="str">
        <f>IF(Y128="NA","",CONCATENATE("0B 04 00 ",DEC2HEX($G128,2)," ",LEFT(DEC2HEX(Y128,4),2)," ",RIGHT(DEC2HEX(Y128,4),2)))</f>
        <v>0B 04 00 06 03 06</v>
      </c>
      <c r="AA128" s="26" t="s">
        <v>1057</v>
      </c>
      <c r="AB128" s="26" t="s">
        <v>443</v>
      </c>
      <c r="AC128" s="26"/>
      <c r="AD128" s="26" t="s">
        <v>346</v>
      </c>
      <c r="AE128" s="26"/>
      <c r="AF128" s="26"/>
      <c r="AI128" s="26"/>
      <c r="AJ128" s="26"/>
      <c r="AL128" s="26"/>
      <c r="AW128" s="26"/>
      <c r="AX128" s="26"/>
      <c r="AY128" s="26"/>
    </row>
    <row r="129" spans="1:51" x14ac:dyDescent="0.25">
      <c r="A129" s="26">
        <v>108</v>
      </c>
      <c r="B129" s="26" t="s">
        <v>1358</v>
      </c>
      <c r="C129" s="26">
        <v>2000</v>
      </c>
      <c r="D129" s="27" t="s">
        <v>449</v>
      </c>
      <c r="E129" s="26">
        <v>262</v>
      </c>
      <c r="F129" s="26">
        <v>2</v>
      </c>
      <c r="G129" s="26">
        <v>2</v>
      </c>
      <c r="H129" s="26" t="s">
        <v>1057</v>
      </c>
      <c r="I129" s="26" t="s">
        <v>443</v>
      </c>
      <c r="J129" s="26" t="s">
        <v>931</v>
      </c>
      <c r="K129" s="26" t="s">
        <v>953</v>
      </c>
      <c r="L129" s="26" t="s">
        <v>931</v>
      </c>
      <c r="M129" s="28" t="s">
        <v>1376</v>
      </c>
      <c r="Q129" s="27"/>
      <c r="R129" s="26">
        <v>12142</v>
      </c>
      <c r="S129" s="26">
        <v>1820</v>
      </c>
      <c r="T129" s="26">
        <f>IF(Table2[[#This Row],[PMT]]="NA","NA",Table2[[#This Row],[PMT]]+1)</f>
        <v>1821</v>
      </c>
      <c r="U129" s="26">
        <f>IF(Table2[[#This Row],[PMT]]="NA","NA",Table2[[#This Row],[PMT]]+2)</f>
        <v>1822</v>
      </c>
      <c r="V129" s="26">
        <v>0</v>
      </c>
      <c r="W129" s="26">
        <f>IF(Table2[[#This Row],[PMT]]="NA","NA",Table2[[#This Row],[PMT]]+8)-Table2[[#This Row],[Const]]</f>
        <v>1828</v>
      </c>
      <c r="X129" s="26" t="str">
        <f>IF(W129="NA","",CONCATENATE("0B 04 00 ",DEC2HEX($G129,2)," ",LEFT(DEC2HEX(W129,4),2)," ",RIGHT(DEC2HEX(W129,4),2)))</f>
        <v>0B 04 00 02 07 24</v>
      </c>
      <c r="Y129" s="26">
        <f>IF(Table2[[#This Row],[PMT]]="NA","NA",Table2[[#This Row],[PMT]]+14)-Table2[[#This Row],[Const]]</f>
        <v>1834</v>
      </c>
      <c r="Z129" s="26" t="str">
        <f>IF(Y129="NA","",CONCATENATE("0B 04 00 ",DEC2HEX($G129,2)," ",LEFT(DEC2HEX(Y129,4),2)," ",RIGHT(DEC2HEX(Y129,4),2)))</f>
        <v>0B 04 00 02 07 2A</v>
      </c>
      <c r="AA129" s="26" t="s">
        <v>1057</v>
      </c>
      <c r="AB129" s="26" t="s">
        <v>443</v>
      </c>
      <c r="AC129" s="26"/>
      <c r="AD129" s="26" t="s">
        <v>346</v>
      </c>
      <c r="AE129" s="26"/>
      <c r="AF129" s="26"/>
      <c r="AI129" s="26"/>
      <c r="AJ129" s="26"/>
      <c r="AL129" s="26"/>
      <c r="AW129" s="26"/>
      <c r="AX129" s="26"/>
      <c r="AY129" s="26"/>
    </row>
    <row r="130" spans="1:51" x14ac:dyDescent="0.25">
      <c r="A130" s="26">
        <v>154</v>
      </c>
      <c r="B130" s="26" t="s">
        <v>170</v>
      </c>
      <c r="C130" s="26">
        <v>5180</v>
      </c>
      <c r="D130" s="27" t="s">
        <v>469</v>
      </c>
      <c r="E130" s="26">
        <v>342</v>
      </c>
      <c r="F130" s="26">
        <v>6</v>
      </c>
      <c r="G130" s="26">
        <v>6</v>
      </c>
      <c r="H130" s="26" t="s">
        <v>1063</v>
      </c>
      <c r="I130" s="26" t="s">
        <v>1084</v>
      </c>
      <c r="J130" s="26" t="s">
        <v>1040</v>
      </c>
      <c r="K130" s="26" t="s">
        <v>953</v>
      </c>
      <c r="L130" s="26" t="s">
        <v>1002</v>
      </c>
      <c r="M130" s="26" t="s">
        <v>1377</v>
      </c>
      <c r="N130" s="26" t="s">
        <v>1086</v>
      </c>
      <c r="O130" s="26" t="s">
        <v>1380</v>
      </c>
      <c r="P130" s="26">
        <v>4000</v>
      </c>
      <c r="Q130" s="27" t="s">
        <v>1043</v>
      </c>
      <c r="R130" s="26">
        <v>5342</v>
      </c>
      <c r="S130" s="26">
        <v>4800</v>
      </c>
      <c r="T130" s="26">
        <f>IF(Table2[[#This Row],[PMT]]="NA","NA",Table2[[#This Row],[PMT]]+1)</f>
        <v>4801</v>
      </c>
      <c r="U130" s="26">
        <f>IF(Table2[[#This Row],[PMT]]="NA","NA",Table2[[#This Row],[PMT]]+2)</f>
        <v>4802</v>
      </c>
      <c r="V130" s="26">
        <v>0</v>
      </c>
      <c r="W130" s="26">
        <f>IF(Table2[[#This Row],[PMT]]="NA","NA",Table2[[#This Row],[PMT]]+8)-Table2[[#This Row],[Const]]</f>
        <v>4808</v>
      </c>
      <c r="X130" s="26" t="str">
        <f>IF(W130="NA","",CONCATENATE("0B 04 00 ",DEC2HEX($G130,2)," ",LEFT(DEC2HEX(W130,4),2)," ",RIGHT(DEC2HEX(W130,4),2)))</f>
        <v>0B 04 00 06 12 C8</v>
      </c>
      <c r="Y130" s="26">
        <f>IF(Table2[[#This Row],[PMT]]="NA","NA",Table2[[#This Row],[PMT]]+14)-Table2[[#This Row],[Const]]</f>
        <v>4814</v>
      </c>
      <c r="Z130" s="26" t="str">
        <f>IF(Y130="NA","",CONCATENATE("0B 04 00 ",DEC2HEX($G130,2)," ",LEFT(DEC2HEX(Y130,4),2)," ",RIGHT(DEC2HEX(Y130,4),2)))</f>
        <v>0B 04 00 06 12 CE</v>
      </c>
      <c r="AA130" s="26" t="s">
        <v>1063</v>
      </c>
      <c r="AB130" s="26" t="s">
        <v>1084</v>
      </c>
      <c r="AC130" s="26">
        <v>28100</v>
      </c>
      <c r="AD130" s="26" t="s">
        <v>814</v>
      </c>
      <c r="AE130" s="26"/>
      <c r="AF130" s="26"/>
      <c r="AI130" s="26"/>
      <c r="AJ130" s="26"/>
      <c r="AL130" s="26"/>
      <c r="AW130" s="26"/>
      <c r="AX130" s="26"/>
      <c r="AY130" s="26"/>
    </row>
    <row r="131" spans="1:51" x14ac:dyDescent="0.25">
      <c r="A131" s="26">
        <v>134</v>
      </c>
      <c r="B131" s="26" t="s">
        <v>196</v>
      </c>
      <c r="C131" s="26">
        <v>5180</v>
      </c>
      <c r="D131" s="27" t="s">
        <v>454</v>
      </c>
      <c r="E131" s="26">
        <v>310</v>
      </c>
      <c r="F131" s="26">
        <v>5</v>
      </c>
      <c r="G131" s="26">
        <v>5</v>
      </c>
      <c r="H131" s="26" t="s">
        <v>1057</v>
      </c>
      <c r="I131" s="26" t="s">
        <v>1084</v>
      </c>
      <c r="J131" s="26" t="s">
        <v>1040</v>
      </c>
      <c r="K131" s="26" t="s">
        <v>953</v>
      </c>
      <c r="L131" s="26" t="s">
        <v>931</v>
      </c>
      <c r="M131" s="26" t="s">
        <v>1377</v>
      </c>
      <c r="N131" s="26" t="s">
        <v>1096</v>
      </c>
      <c r="O131" s="26" t="s">
        <v>1383</v>
      </c>
      <c r="P131" s="26">
        <v>3864</v>
      </c>
      <c r="Q131" s="27" t="s">
        <v>1387</v>
      </c>
      <c r="R131" s="26">
        <v>6303</v>
      </c>
      <c r="S131" s="26">
        <v>5500</v>
      </c>
      <c r="T131" s="26">
        <f>IF(Table2[[#This Row],[PMT]]="NA","NA",Table2[[#This Row],[PMT]]+1)</f>
        <v>5501</v>
      </c>
      <c r="U131" s="26">
        <f>IF(Table2[[#This Row],[PMT]]="NA","NA",Table2[[#This Row],[PMT]]+2)</f>
        <v>5502</v>
      </c>
      <c r="V131" s="26">
        <v>0</v>
      </c>
      <c r="W131" s="26">
        <f>IF(Table2[[#This Row],[PMT]]="NA","NA",Table2[[#This Row],[PMT]]+8)-Table2[[#This Row],[Const]]</f>
        <v>5508</v>
      </c>
      <c r="X131" s="26" t="str">
        <f>IF(W131="NA","",CONCATENATE("0B 04 00 ",DEC2HEX($G131,2)," ",LEFT(DEC2HEX(W131,4),2)," ",RIGHT(DEC2HEX(W131,4),2)))</f>
        <v>0B 04 00 05 15 84</v>
      </c>
      <c r="Y131" s="26">
        <f>IF(Table2[[#This Row],[PMT]]="NA","NA",Table2[[#This Row],[PMT]]+14)-Table2[[#This Row],[Const]]</f>
        <v>5514</v>
      </c>
      <c r="Z131" s="26" t="str">
        <f>IF(Y131="NA","",CONCATENATE("0B 04 00 ",DEC2HEX($G131,2)," ",LEFT(DEC2HEX(Y131,4),2)," ",RIGHT(DEC2HEX(Y131,4),2)))</f>
        <v>0B 04 00 05 15 8A</v>
      </c>
      <c r="AA131" s="26" t="s">
        <v>1057</v>
      </c>
      <c r="AB131" s="26" t="s">
        <v>1084</v>
      </c>
      <c r="AC131" s="26"/>
      <c r="AD131" s="26" t="s">
        <v>814</v>
      </c>
      <c r="AE131" s="26"/>
      <c r="AF131" s="26"/>
      <c r="AI131" s="26"/>
      <c r="AJ131" s="26"/>
      <c r="AL131" s="26"/>
      <c r="AW131" s="26"/>
      <c r="AX131" s="26"/>
      <c r="AY131" s="26"/>
    </row>
    <row r="132" spans="1:51" hidden="1" x14ac:dyDescent="0.25">
      <c r="A132" s="26">
        <v>127</v>
      </c>
      <c r="B132" s="26" t="s">
        <v>346</v>
      </c>
      <c r="C132" s="26" t="s">
        <v>346</v>
      </c>
      <c r="D132" s="27" t="s">
        <v>583</v>
      </c>
      <c r="E132" s="26">
        <v>296</v>
      </c>
      <c r="F132" s="26" t="s">
        <v>346</v>
      </c>
      <c r="G132" s="26">
        <v>1</v>
      </c>
      <c r="H132" s="26" t="s">
        <v>349</v>
      </c>
      <c r="I132" s="26" t="s">
        <v>443</v>
      </c>
      <c r="J132" s="26" t="s">
        <v>1038</v>
      </c>
      <c r="K132" s="26" t="s">
        <v>1039</v>
      </c>
      <c r="L132" s="26" t="s">
        <v>931</v>
      </c>
      <c r="M132" s="28" t="s">
        <v>1376</v>
      </c>
      <c r="Q132" s="27"/>
      <c r="R132" s="26">
        <v>12105</v>
      </c>
      <c r="S132" s="26">
        <v>520</v>
      </c>
      <c r="T132" s="26">
        <f>IF(Table2[[#This Row],[PMT]]="NA","NA",Table2[[#This Row],[PMT]]+1)</f>
        <v>521</v>
      </c>
      <c r="U132" s="26">
        <f>IF(Table2[[#This Row],[PMT]]="NA","NA",Table2[[#This Row],[PMT]]+2)</f>
        <v>522</v>
      </c>
      <c r="V132" s="26">
        <v>0</v>
      </c>
      <c r="W132" s="26">
        <f>IF(Table2[[#This Row],[PMT]]="NA","NA",Table2[[#This Row],[PMT]]+8)-Table2[[#This Row],[Const]]</f>
        <v>528</v>
      </c>
      <c r="X132" s="26" t="str">
        <f>IF(W132="NA","",CONCATENATE("0B 04 00 ",DEC2HEX($G132,2)," ",LEFT(DEC2HEX(W132,4),2)," ",RIGHT(DEC2HEX(W132,4),2)))</f>
        <v>0B 04 00 01 02 10</v>
      </c>
      <c r="Y132" s="26">
        <f>IF(Table2[[#This Row],[PMT]]="NA","NA",Table2[[#This Row],[PMT]]+14)-Table2[[#This Row],[Const]]</f>
        <v>534</v>
      </c>
      <c r="Z132" s="26" t="str">
        <f>IF(Y132="NA","",CONCATENATE("0B 04 00 ",DEC2HEX($G132,2)," ",LEFT(DEC2HEX(Y132,4),2)," ",RIGHT(DEC2HEX(Y132,4),2)))</f>
        <v>0B 04 00 01 02 16</v>
      </c>
      <c r="AA132" s="26" t="s">
        <v>349</v>
      </c>
      <c r="AB132" s="26" t="s">
        <v>443</v>
      </c>
      <c r="AC132" s="26"/>
      <c r="AD132" s="26" t="s">
        <v>346</v>
      </c>
      <c r="AE132" s="26"/>
      <c r="AF132" s="26"/>
      <c r="AI132" s="26"/>
      <c r="AJ132" s="26"/>
      <c r="AL132" s="26"/>
      <c r="AW132" s="26"/>
      <c r="AX132" s="26"/>
      <c r="AY132" s="26"/>
    </row>
    <row r="133" spans="1:51" hidden="1" x14ac:dyDescent="0.25">
      <c r="A133" s="26">
        <v>128</v>
      </c>
      <c r="B133" s="26" t="s">
        <v>346</v>
      </c>
      <c r="C133" s="26" t="s">
        <v>346</v>
      </c>
      <c r="D133" s="27" t="s">
        <v>448</v>
      </c>
      <c r="E133" s="26">
        <v>298</v>
      </c>
      <c r="F133" s="26" t="s">
        <v>346</v>
      </c>
      <c r="G133" s="26">
        <v>2</v>
      </c>
      <c r="H133" s="26" t="s">
        <v>349</v>
      </c>
      <c r="I133" s="26" t="s">
        <v>443</v>
      </c>
      <c r="J133" s="26" t="s">
        <v>1038</v>
      </c>
      <c r="K133" s="26" t="s">
        <v>1039</v>
      </c>
      <c r="L133" s="26" t="s">
        <v>931</v>
      </c>
      <c r="M133" s="28" t="s">
        <v>1376</v>
      </c>
      <c r="Q133" s="27"/>
      <c r="R133" s="26">
        <v>12107</v>
      </c>
      <c r="S133" s="26">
        <v>1480</v>
      </c>
      <c r="T133" s="26">
        <f>IF(Table2[[#This Row],[PMT]]="NA","NA",Table2[[#This Row],[PMT]]+1)</f>
        <v>1481</v>
      </c>
      <c r="U133" s="26">
        <f>IF(Table2[[#This Row],[PMT]]="NA","NA",Table2[[#This Row],[PMT]]+2)</f>
        <v>1482</v>
      </c>
      <c r="V133" s="26">
        <v>0</v>
      </c>
      <c r="W133" s="26">
        <f>IF(Table2[[#This Row],[PMT]]="NA","NA",Table2[[#This Row],[PMT]]+8)-Table2[[#This Row],[Const]]</f>
        <v>1488</v>
      </c>
      <c r="X133" s="26" t="str">
        <f>IF(W133="NA","",CONCATENATE("0B 04 00 ",DEC2HEX($G133,2)," ",LEFT(DEC2HEX(W133,4),2)," ",RIGHT(DEC2HEX(W133,4),2)))</f>
        <v>0B 04 00 02 05 D0</v>
      </c>
      <c r="Y133" s="26">
        <f>IF(Table2[[#This Row],[PMT]]="NA","NA",Table2[[#This Row],[PMT]]+14)-Table2[[#This Row],[Const]]</f>
        <v>1494</v>
      </c>
      <c r="Z133" s="26" t="str">
        <f>IF(Y133="NA","",CONCATENATE("0B 04 00 ",DEC2HEX($G133,2)," ",LEFT(DEC2HEX(Y133,4),2)," ",RIGHT(DEC2HEX(Y133,4),2)))</f>
        <v>0B 04 00 02 05 D6</v>
      </c>
      <c r="AA133" s="26" t="s">
        <v>349</v>
      </c>
      <c r="AB133" s="26" t="s">
        <v>443</v>
      </c>
      <c r="AC133" s="26"/>
      <c r="AD133" s="26" t="s">
        <v>346</v>
      </c>
      <c r="AE133" s="26"/>
      <c r="AF133" s="26"/>
      <c r="AI133" s="26"/>
      <c r="AJ133" s="26"/>
      <c r="AL133" s="26"/>
      <c r="AW133" s="26"/>
      <c r="AX133" s="26"/>
      <c r="AY133" s="26"/>
    </row>
    <row r="134" spans="1:51" hidden="1" x14ac:dyDescent="0.25">
      <c r="A134" s="26">
        <v>129</v>
      </c>
      <c r="B134" s="26" t="s">
        <v>346</v>
      </c>
      <c r="C134" s="26" t="s">
        <v>346</v>
      </c>
      <c r="D134" s="27" t="s">
        <v>581</v>
      </c>
      <c r="E134" s="26">
        <v>299</v>
      </c>
      <c r="F134" s="26" t="s">
        <v>346</v>
      </c>
      <c r="G134" s="26">
        <v>2</v>
      </c>
      <c r="H134" s="26" t="s">
        <v>349</v>
      </c>
      <c r="I134" s="26" t="s">
        <v>443</v>
      </c>
      <c r="J134" s="26" t="s">
        <v>1038</v>
      </c>
      <c r="K134" s="26" t="s">
        <v>1039</v>
      </c>
      <c r="L134" s="26" t="s">
        <v>931</v>
      </c>
      <c r="M134" s="28" t="s">
        <v>1376</v>
      </c>
      <c r="Q134" s="27"/>
      <c r="R134" s="26">
        <v>12106</v>
      </c>
      <c r="S134" s="26">
        <v>1440</v>
      </c>
      <c r="T134" s="26">
        <f>IF(Table2[[#This Row],[PMT]]="NA","NA",Table2[[#This Row],[PMT]]+1)</f>
        <v>1441</v>
      </c>
      <c r="U134" s="26">
        <f>IF(Table2[[#This Row],[PMT]]="NA","NA",Table2[[#This Row],[PMT]]+2)</f>
        <v>1442</v>
      </c>
      <c r="V134" s="26">
        <v>0</v>
      </c>
      <c r="W134" s="26">
        <f>IF(Table2[[#This Row],[PMT]]="NA","NA",Table2[[#This Row],[PMT]]+8)-Table2[[#This Row],[Const]]</f>
        <v>1448</v>
      </c>
      <c r="X134" s="26" t="str">
        <f>IF(W134="NA","",CONCATENATE("0B 04 00 ",DEC2HEX($G134,2)," ",LEFT(DEC2HEX(W134,4),2)," ",RIGHT(DEC2HEX(W134,4),2)))</f>
        <v>0B 04 00 02 05 A8</v>
      </c>
      <c r="Y134" s="26">
        <f>IF(Table2[[#This Row],[PMT]]="NA","NA",Table2[[#This Row],[PMT]]+14)-Table2[[#This Row],[Const]]</f>
        <v>1454</v>
      </c>
      <c r="Z134" s="26" t="str">
        <f>IF(Y134="NA","",CONCATENATE("0B 04 00 ",DEC2HEX($G134,2)," ",LEFT(DEC2HEX(Y134,4),2)," ",RIGHT(DEC2HEX(Y134,4),2)))</f>
        <v>0B 04 00 02 05 AE</v>
      </c>
      <c r="AA134" s="26" t="s">
        <v>349</v>
      </c>
      <c r="AB134" s="26" t="s">
        <v>443</v>
      </c>
      <c r="AC134" s="26"/>
      <c r="AD134" s="26" t="s">
        <v>346</v>
      </c>
      <c r="AE134" s="26"/>
      <c r="AF134" s="26"/>
      <c r="AI134" s="26"/>
      <c r="AJ134" s="26"/>
      <c r="AL134" s="26"/>
      <c r="AW134" s="26"/>
      <c r="AX134" s="26"/>
      <c r="AY134" s="26"/>
    </row>
    <row r="135" spans="1:51" hidden="1" x14ac:dyDescent="0.25">
      <c r="A135" s="26">
        <v>130</v>
      </c>
      <c r="B135" s="26" t="s">
        <v>346</v>
      </c>
      <c r="C135" s="26" t="s">
        <v>346</v>
      </c>
      <c r="D135" s="27" t="s">
        <v>447</v>
      </c>
      <c r="E135" s="26">
        <v>302</v>
      </c>
      <c r="F135" s="26" t="s">
        <v>346</v>
      </c>
      <c r="G135" s="26">
        <v>3</v>
      </c>
      <c r="H135" s="26" t="s">
        <v>349</v>
      </c>
      <c r="I135" s="26" t="s">
        <v>443</v>
      </c>
      <c r="J135" s="26" t="s">
        <v>1038</v>
      </c>
      <c r="K135" s="26" t="s">
        <v>1039</v>
      </c>
      <c r="L135" s="26" t="s">
        <v>931</v>
      </c>
      <c r="M135" s="28" t="s">
        <v>1376</v>
      </c>
      <c r="Q135" s="27"/>
      <c r="R135" s="26">
        <v>12104</v>
      </c>
      <c r="S135" s="26">
        <v>1160</v>
      </c>
      <c r="T135" s="26">
        <f>IF(Table2[[#This Row],[PMT]]="NA","NA",Table2[[#This Row],[PMT]]+1)</f>
        <v>1161</v>
      </c>
      <c r="U135" s="26">
        <f>IF(Table2[[#This Row],[PMT]]="NA","NA",Table2[[#This Row],[PMT]]+2)</f>
        <v>1162</v>
      </c>
      <c r="V135" s="26">
        <v>0</v>
      </c>
      <c r="W135" s="26">
        <f>IF(Table2[[#This Row],[PMT]]="NA","NA",Table2[[#This Row],[PMT]]+8)-Table2[[#This Row],[Const]]</f>
        <v>1168</v>
      </c>
      <c r="X135" s="26" t="str">
        <f>IF(W135="NA","",CONCATENATE("0B 04 00 ",DEC2HEX($G135,2)," ",LEFT(DEC2HEX(W135,4),2)," ",RIGHT(DEC2HEX(W135,4),2)))</f>
        <v>0B 04 00 03 04 90</v>
      </c>
      <c r="Y135" s="26">
        <f>IF(Table2[[#This Row],[PMT]]="NA","NA",Table2[[#This Row],[PMT]]+14)-Table2[[#This Row],[Const]]</f>
        <v>1174</v>
      </c>
      <c r="Z135" s="26" t="str">
        <f>IF(Y135="NA","",CONCATENATE("0B 04 00 ",DEC2HEX($G135,2)," ",LEFT(DEC2HEX(Y135,4),2)," ",RIGHT(DEC2HEX(Y135,4),2)))</f>
        <v>0B 04 00 03 04 96</v>
      </c>
      <c r="AA135" s="26" t="s">
        <v>349</v>
      </c>
      <c r="AB135" s="26" t="s">
        <v>443</v>
      </c>
      <c r="AC135" s="26"/>
      <c r="AD135" s="26" t="s">
        <v>346</v>
      </c>
      <c r="AE135" s="26"/>
      <c r="AF135" s="26"/>
      <c r="AI135" s="26"/>
      <c r="AJ135" s="26"/>
      <c r="AL135" s="26"/>
      <c r="AW135" s="26"/>
      <c r="AX135" s="26"/>
      <c r="AY135" s="26"/>
    </row>
    <row r="136" spans="1:51" x14ac:dyDescent="0.25">
      <c r="A136" s="26">
        <v>159</v>
      </c>
      <c r="B136" s="26" t="s">
        <v>318</v>
      </c>
      <c r="C136" s="26">
        <v>2000</v>
      </c>
      <c r="D136" s="27" t="s">
        <v>474</v>
      </c>
      <c r="E136" s="26">
        <v>348</v>
      </c>
      <c r="F136" s="26">
        <v>9</v>
      </c>
      <c r="G136" s="26">
        <v>9</v>
      </c>
      <c r="H136" s="26" t="s">
        <v>1063</v>
      </c>
      <c r="I136" s="26" t="s">
        <v>1084</v>
      </c>
      <c r="J136" s="26" t="s">
        <v>1002</v>
      </c>
      <c r="K136" s="26" t="s">
        <v>953</v>
      </c>
      <c r="L136" s="26" t="s">
        <v>931</v>
      </c>
      <c r="M136" s="28" t="s">
        <v>1377</v>
      </c>
      <c r="Q136" s="27"/>
      <c r="R136" s="26">
        <v>9348</v>
      </c>
      <c r="S136" s="26">
        <v>2900</v>
      </c>
      <c r="T136" s="26">
        <f>IF(Table2[[#This Row],[PMT]]="NA","NA",Table2[[#This Row],[PMT]]+1)</f>
        <v>2901</v>
      </c>
      <c r="U136" s="26">
        <f>IF(Table2[[#This Row],[PMT]]="NA","NA",Table2[[#This Row],[PMT]]+2)</f>
        <v>2902</v>
      </c>
      <c r="V136" s="26">
        <v>0</v>
      </c>
      <c r="W136" s="26">
        <f>IF(Table2[[#This Row],[PMT]]="NA","NA",Table2[[#This Row],[PMT]]+8)-Table2[[#This Row],[Const]]</f>
        <v>2908</v>
      </c>
      <c r="X136" s="26" t="str">
        <f>IF(W136="NA","",CONCATENATE("0B 04 00 ",DEC2HEX($G136,2)," ",LEFT(DEC2HEX(W136,4),2)," ",RIGHT(DEC2HEX(W136,4),2)))</f>
        <v>0B 04 00 09 0B 5C</v>
      </c>
      <c r="Y136" s="26">
        <f>IF(Table2[[#This Row],[PMT]]="NA","NA",Table2[[#This Row],[PMT]]+14)-Table2[[#This Row],[Const]]</f>
        <v>2914</v>
      </c>
      <c r="Z136" s="26" t="str">
        <f>IF(Y136="NA","",CONCATENATE("0B 04 00 ",DEC2HEX($G136,2)," ",LEFT(DEC2HEX(Y136,4),2)," ",RIGHT(DEC2HEX(Y136,4),2)))</f>
        <v>0B 04 00 09 0B 62</v>
      </c>
      <c r="AA136" s="26" t="s">
        <v>1063</v>
      </c>
      <c r="AB136" s="26" t="s">
        <v>1084</v>
      </c>
      <c r="AC136" s="26"/>
      <c r="AD136" s="26" t="s">
        <v>814</v>
      </c>
      <c r="AE136" s="26"/>
      <c r="AF136" s="26"/>
      <c r="AI136" s="26"/>
      <c r="AJ136" s="26"/>
      <c r="AL136" s="26"/>
      <c r="AW136" s="26"/>
      <c r="AX136" s="26"/>
      <c r="AY136" s="26"/>
    </row>
    <row r="137" spans="1:51" hidden="1" x14ac:dyDescent="0.25">
      <c r="A137" s="26">
        <v>132</v>
      </c>
      <c r="B137" s="26" t="s">
        <v>346</v>
      </c>
      <c r="C137" s="26" t="s">
        <v>346</v>
      </c>
      <c r="D137" s="27" t="s">
        <v>452</v>
      </c>
      <c r="E137" s="26">
        <v>306</v>
      </c>
      <c r="F137" s="26" t="s">
        <v>346</v>
      </c>
      <c r="G137" s="26">
        <v>7</v>
      </c>
      <c r="H137" s="26" t="s">
        <v>1057</v>
      </c>
      <c r="I137" s="26" t="s">
        <v>1084</v>
      </c>
      <c r="J137" s="26" t="s">
        <v>1038</v>
      </c>
      <c r="K137" s="26" t="s">
        <v>1039</v>
      </c>
      <c r="L137" s="26" t="s">
        <v>931</v>
      </c>
      <c r="M137" s="28" t="s">
        <v>1377</v>
      </c>
      <c r="Q137" s="27"/>
      <c r="R137" s="26">
        <v>6301</v>
      </c>
      <c r="S137" s="26">
        <v>340</v>
      </c>
      <c r="T137" s="26">
        <f>IF(Table2[[#This Row],[PMT]]="NA","NA",Table2[[#This Row],[PMT]]+1)</f>
        <v>341</v>
      </c>
      <c r="U137" s="26">
        <f>IF(Table2[[#This Row],[PMT]]="NA","NA",Table2[[#This Row],[PMT]]+2)</f>
        <v>342</v>
      </c>
      <c r="V137" s="26">
        <v>0</v>
      </c>
      <c r="W137" s="26">
        <f>IF(Table2[[#This Row],[PMT]]="NA","NA",Table2[[#This Row],[PMT]]+8)-Table2[[#This Row],[Const]]</f>
        <v>348</v>
      </c>
      <c r="X137" s="26" t="str">
        <f>IF(W137="NA","",CONCATENATE("0B 04 00 ",DEC2HEX($G137,2)," ",LEFT(DEC2HEX(W137,4),2)," ",RIGHT(DEC2HEX(W137,4),2)))</f>
        <v>0B 04 00 07 01 5C</v>
      </c>
      <c r="Y137" s="26">
        <f>IF(Table2[[#This Row],[PMT]]="NA","NA",Table2[[#This Row],[PMT]]+14)-Table2[[#This Row],[Const]]</f>
        <v>354</v>
      </c>
      <c r="Z137" s="26" t="str">
        <f>IF(Y137="NA","",CONCATENATE("0B 04 00 ",DEC2HEX($G137,2)," ",LEFT(DEC2HEX(Y137,4),2)," ",RIGHT(DEC2HEX(Y137,4),2)))</f>
        <v>0B 04 00 07 01 62</v>
      </c>
      <c r="AA137" s="26" t="s">
        <v>1057</v>
      </c>
      <c r="AB137" s="26" t="s">
        <v>1084</v>
      </c>
      <c r="AC137" s="26"/>
      <c r="AD137" s="26" t="s">
        <v>346</v>
      </c>
      <c r="AE137" s="26"/>
      <c r="AF137" s="26"/>
      <c r="AI137" s="26"/>
      <c r="AJ137" s="26"/>
      <c r="AL137" s="26"/>
      <c r="AW137" s="26"/>
      <c r="AX137" s="26"/>
      <c r="AY137" s="26"/>
    </row>
    <row r="138" spans="1:51" x14ac:dyDescent="0.25">
      <c r="A138" s="26">
        <v>14</v>
      </c>
      <c r="B138" s="26" t="s">
        <v>145</v>
      </c>
      <c r="C138" s="26">
        <v>5180</v>
      </c>
      <c r="D138" s="27" t="s">
        <v>1371</v>
      </c>
      <c r="E138" s="26">
        <v>112</v>
      </c>
      <c r="F138" s="26">
        <v>1</v>
      </c>
      <c r="G138" s="26">
        <v>1</v>
      </c>
      <c r="H138" s="26" t="s">
        <v>349</v>
      </c>
      <c r="I138" s="26" t="s">
        <v>443</v>
      </c>
      <c r="J138" s="26" t="s">
        <v>1038</v>
      </c>
      <c r="K138" s="26" t="s">
        <v>1039</v>
      </c>
      <c r="L138" s="26" t="s">
        <v>931</v>
      </c>
      <c r="M138" s="28"/>
      <c r="Q138" s="27" t="s">
        <v>1047</v>
      </c>
      <c r="R138" s="26">
        <v>2124</v>
      </c>
      <c r="S138" s="26">
        <v>660</v>
      </c>
      <c r="T138" s="26">
        <f>IF(Table2[[#This Row],[PMT]]="NA","NA",Table2[[#This Row],[PMT]]+1)</f>
        <v>661</v>
      </c>
      <c r="U138" s="26">
        <f>IF(Table2[[#This Row],[PMT]]="NA","NA",Table2[[#This Row],[PMT]]+2)</f>
        <v>662</v>
      </c>
      <c r="V138" s="26">
        <v>0</v>
      </c>
      <c r="W138" s="26">
        <f>IF(Table2[[#This Row],[PMT]]="NA","NA",Table2[[#This Row],[PMT]]+8)-Table2[[#This Row],[Const]]</f>
        <v>668</v>
      </c>
      <c r="X138" s="26" t="str">
        <f>IF(W138="NA","",CONCATENATE("0B 04 00 ",DEC2HEX($G138,2)," ",LEFT(DEC2HEX(W138,4),2)," ",RIGHT(DEC2HEX(W138,4),2)))</f>
        <v>0B 04 00 01 02 9C</v>
      </c>
      <c r="Y138" s="26">
        <f>IF(Table2[[#This Row],[PMT]]="NA","NA",Table2[[#This Row],[PMT]]+14)-Table2[[#This Row],[Const]]</f>
        <v>674</v>
      </c>
      <c r="Z138" s="26" t="str">
        <f>IF(Y138="NA","",CONCATENATE("0B 04 00 ",DEC2HEX($G138,2)," ",LEFT(DEC2HEX(Y138,4),2)," ",RIGHT(DEC2HEX(Y138,4),2)))</f>
        <v>0B 04 00 01 02 A2</v>
      </c>
      <c r="AA138" s="26" t="s">
        <v>349</v>
      </c>
      <c r="AB138" s="26" t="s">
        <v>443</v>
      </c>
      <c r="AC138" s="26"/>
      <c r="AD138" s="26" t="s">
        <v>346</v>
      </c>
      <c r="AE138" s="26"/>
      <c r="AF138" s="26"/>
      <c r="AI138" s="26"/>
      <c r="AJ138" s="26"/>
      <c r="AL138" s="26"/>
      <c r="AW138" s="26"/>
      <c r="AX138" s="26"/>
      <c r="AY138" s="26"/>
    </row>
    <row r="139" spans="1:51" x14ac:dyDescent="0.25">
      <c r="A139" s="26">
        <v>165</v>
      </c>
      <c r="B139" s="26" t="s">
        <v>213</v>
      </c>
      <c r="C139" s="26">
        <v>5180</v>
      </c>
      <c r="D139" s="27" t="s">
        <v>480</v>
      </c>
      <c r="E139" s="26">
        <v>357</v>
      </c>
      <c r="F139" s="26">
        <v>2</v>
      </c>
      <c r="G139" s="26">
        <v>2</v>
      </c>
      <c r="H139" s="26" t="s">
        <v>1061</v>
      </c>
      <c r="I139" s="26" t="s">
        <v>1084</v>
      </c>
      <c r="J139" s="26" t="s">
        <v>1038</v>
      </c>
      <c r="K139" s="26" t="s">
        <v>1039</v>
      </c>
      <c r="L139" s="26" t="s">
        <v>931</v>
      </c>
      <c r="M139" s="26" t="s">
        <v>1377</v>
      </c>
      <c r="N139" s="26" t="s">
        <v>1096</v>
      </c>
      <c r="O139" s="26" t="s">
        <v>1097</v>
      </c>
      <c r="P139" s="26">
        <v>3714</v>
      </c>
      <c r="Q139" s="27"/>
      <c r="R139" s="26">
        <v>2357</v>
      </c>
      <c r="S139" s="26">
        <v>520</v>
      </c>
      <c r="T139" s="26">
        <f>IF(Table2[[#This Row],[PMT]]="NA","NA",Table2[[#This Row],[PMT]]+1)</f>
        <v>521</v>
      </c>
      <c r="U139" s="26">
        <f>IF(Table2[[#This Row],[PMT]]="NA","NA",Table2[[#This Row],[PMT]]+2)</f>
        <v>522</v>
      </c>
      <c r="V139" s="26">
        <v>0</v>
      </c>
      <c r="W139" s="26">
        <f>IF(Table2[[#This Row],[PMT]]="NA","NA",Table2[[#This Row],[PMT]]+8)-Table2[[#This Row],[Const]]</f>
        <v>528</v>
      </c>
      <c r="X139" s="26" t="str">
        <f>IF(W139="NA","",CONCATENATE("0B 04 00 ",DEC2HEX($G139,2)," ",LEFT(DEC2HEX(W139,4),2)," ",RIGHT(DEC2HEX(W139,4),2)))</f>
        <v>0B 04 00 02 02 10</v>
      </c>
      <c r="Y139" s="26">
        <f>IF(Table2[[#This Row],[PMT]]="NA","NA",Table2[[#This Row],[PMT]]+14)-Table2[[#This Row],[Const]]</f>
        <v>534</v>
      </c>
      <c r="Z139" s="26" t="str">
        <f>IF(Y139="NA","",CONCATENATE("0B 04 00 ",DEC2HEX($G139,2)," ",LEFT(DEC2HEX(Y139,4),2)," ",RIGHT(DEC2HEX(Y139,4),2)))</f>
        <v>0B 04 00 02 02 16</v>
      </c>
      <c r="AA139" s="26" t="s">
        <v>1061</v>
      </c>
      <c r="AB139" s="26" t="s">
        <v>1084</v>
      </c>
      <c r="AC139" s="26">
        <v>3000</v>
      </c>
      <c r="AD139" s="26" t="s">
        <v>346</v>
      </c>
      <c r="AE139" s="26"/>
      <c r="AF139" s="26"/>
      <c r="AI139" s="26"/>
      <c r="AJ139" s="26"/>
      <c r="AL139" s="26"/>
      <c r="AW139" s="26"/>
      <c r="AX139" s="26"/>
      <c r="AY139" s="26"/>
    </row>
    <row r="140" spans="1:51" x14ac:dyDescent="0.25">
      <c r="A140" s="26">
        <v>120</v>
      </c>
      <c r="B140" s="26" t="s">
        <v>305</v>
      </c>
      <c r="C140" s="26">
        <v>2000</v>
      </c>
      <c r="D140" s="27" t="s">
        <v>445</v>
      </c>
      <c r="E140" s="26">
        <v>284</v>
      </c>
      <c r="F140" s="26">
        <v>7</v>
      </c>
      <c r="G140" s="26">
        <v>7</v>
      </c>
      <c r="H140" s="26" t="s">
        <v>1057</v>
      </c>
      <c r="I140" s="26" t="s">
        <v>443</v>
      </c>
      <c r="J140" s="26" t="s">
        <v>931</v>
      </c>
      <c r="K140" s="26" t="s">
        <v>953</v>
      </c>
      <c r="L140" s="26" t="s">
        <v>931</v>
      </c>
      <c r="M140" s="28" t="s">
        <v>1376</v>
      </c>
      <c r="N140" s="26" t="s">
        <v>1076</v>
      </c>
      <c r="O140" s="26" t="s">
        <v>1088</v>
      </c>
      <c r="P140" s="26">
        <v>3752</v>
      </c>
      <c r="Q140" s="27"/>
      <c r="R140" s="26">
        <v>8293</v>
      </c>
      <c r="S140" s="26">
        <v>260</v>
      </c>
      <c r="T140" s="26">
        <f>IF(Table2[[#This Row],[PMT]]="NA","NA",Table2[[#This Row],[PMT]]+1)</f>
        <v>261</v>
      </c>
      <c r="U140" s="26">
        <f>IF(Table2[[#This Row],[PMT]]="NA","NA",Table2[[#This Row],[PMT]]+2)</f>
        <v>262</v>
      </c>
      <c r="V140" s="26">
        <v>0</v>
      </c>
      <c r="W140" s="26">
        <f>IF(Table2[[#This Row],[PMT]]="NA","NA",Table2[[#This Row],[PMT]]+8)-Table2[[#This Row],[Const]]</f>
        <v>268</v>
      </c>
      <c r="X140" s="26" t="str">
        <f>IF(W140="NA","",CONCATENATE("0B 04 00 ",DEC2HEX($G140,2)," ",LEFT(DEC2HEX(W140,4),2)," ",RIGHT(DEC2HEX(W140,4),2)))</f>
        <v>0B 04 00 07 01 0C</v>
      </c>
      <c r="Y140" s="26">
        <f>IF(Table2[[#This Row],[PMT]]="NA","NA",Table2[[#This Row],[PMT]]+14)-Table2[[#This Row],[Const]]</f>
        <v>274</v>
      </c>
      <c r="Z140" s="26" t="str">
        <f>IF(Y140="NA","",CONCATENATE("0B 04 00 ",DEC2HEX($G140,2)," ",LEFT(DEC2HEX(Y140,4),2)," ",RIGHT(DEC2HEX(Y140,4),2)))</f>
        <v>0B 04 00 07 01 12</v>
      </c>
      <c r="AA140" s="26" t="s">
        <v>1057</v>
      </c>
      <c r="AB140" s="26" t="s">
        <v>443</v>
      </c>
      <c r="AC140" s="26">
        <v>9300</v>
      </c>
      <c r="AD140" s="26" t="s">
        <v>814</v>
      </c>
      <c r="AE140" s="26"/>
      <c r="AF140" s="26"/>
      <c r="AI140" s="26"/>
      <c r="AJ140" s="26"/>
      <c r="AL140" s="26"/>
      <c r="AW140" s="26"/>
      <c r="AX140" s="26"/>
      <c r="AY140" s="26"/>
    </row>
    <row r="141" spans="1:51" x14ac:dyDescent="0.25">
      <c r="A141" s="26">
        <v>105</v>
      </c>
      <c r="B141" s="26" t="s">
        <v>184</v>
      </c>
      <c r="C141" s="26">
        <v>5180</v>
      </c>
      <c r="D141" s="27" t="s">
        <v>433</v>
      </c>
      <c r="E141" s="26">
        <v>257</v>
      </c>
      <c r="F141" s="26">
        <v>1</v>
      </c>
      <c r="G141" s="26">
        <v>1</v>
      </c>
      <c r="H141" s="26" t="s">
        <v>1057</v>
      </c>
      <c r="I141" s="26" t="s">
        <v>443</v>
      </c>
      <c r="J141" s="26" t="s">
        <v>1040</v>
      </c>
      <c r="K141" s="26" t="s">
        <v>953</v>
      </c>
      <c r="L141" s="26" t="s">
        <v>931</v>
      </c>
      <c r="M141" s="28" t="s">
        <v>1377</v>
      </c>
      <c r="Q141" s="27"/>
      <c r="R141" s="26">
        <v>3281</v>
      </c>
      <c r="S141" s="26">
        <v>760</v>
      </c>
      <c r="T141" s="26">
        <f>IF(Table2[[#This Row],[PMT]]="NA","NA",Table2[[#This Row],[PMT]]+1)</f>
        <v>761</v>
      </c>
      <c r="U141" s="26">
        <f>IF(Table2[[#This Row],[PMT]]="NA","NA",Table2[[#This Row],[PMT]]+2)</f>
        <v>762</v>
      </c>
      <c r="V141" s="26">
        <v>1</v>
      </c>
      <c r="W141" s="26">
        <f>IF(Table2[[#This Row],[PMT]]="NA","NA",Table2[[#This Row],[PMT]]+8)-Table2[[#This Row],[Const]]</f>
        <v>767</v>
      </c>
      <c r="X141" s="26" t="str">
        <f>IF(W141="NA","",CONCATENATE("0B 04 00 ",DEC2HEX($G141,2)," ",LEFT(DEC2HEX(W141,4),2)," ",RIGHT(DEC2HEX(W141,4),2)))</f>
        <v>0B 04 00 01 02 FF</v>
      </c>
      <c r="Y141" s="26">
        <f>IF(Table2[[#This Row],[PMT]]="NA","NA",Table2[[#This Row],[PMT]]+14)-Table2[[#This Row],[Const]]</f>
        <v>773</v>
      </c>
      <c r="Z141" s="26" t="str">
        <f>IF(Y141="NA","",CONCATENATE("0B 04 00 ",DEC2HEX($G141,2)," ",LEFT(DEC2HEX(Y141,4),2)," ",RIGHT(DEC2HEX(Y141,4),2)))</f>
        <v>0B 04 00 01 03 05</v>
      </c>
      <c r="AA141" s="26" t="s">
        <v>1057</v>
      </c>
      <c r="AB141" s="26" t="s">
        <v>443</v>
      </c>
      <c r="AC141" s="26"/>
      <c r="AD141" s="26" t="s">
        <v>1079</v>
      </c>
      <c r="AE141" s="26"/>
      <c r="AF141" s="26"/>
      <c r="AI141" s="26"/>
      <c r="AJ141" s="26"/>
      <c r="AL141" s="26"/>
      <c r="AW141" s="26"/>
      <c r="AX141" s="26"/>
      <c r="AY141" s="26"/>
    </row>
    <row r="142" spans="1:51" x14ac:dyDescent="0.25">
      <c r="A142" s="26">
        <v>103</v>
      </c>
      <c r="B142" s="26" t="s">
        <v>145</v>
      </c>
      <c r="C142" s="26">
        <v>5180</v>
      </c>
      <c r="D142" s="27" t="s">
        <v>430</v>
      </c>
      <c r="E142" s="26">
        <v>255</v>
      </c>
      <c r="F142" s="26" t="s">
        <v>346</v>
      </c>
      <c r="G142" s="26">
        <v>6</v>
      </c>
      <c r="H142" s="26" t="s">
        <v>1057</v>
      </c>
      <c r="I142" s="26" t="s">
        <v>443</v>
      </c>
      <c r="J142" s="26" t="s">
        <v>1040</v>
      </c>
      <c r="K142" s="26" t="s">
        <v>953</v>
      </c>
      <c r="L142" s="26" t="s">
        <v>931</v>
      </c>
      <c r="M142" s="28" t="s">
        <v>1377</v>
      </c>
      <c r="Q142" s="27"/>
      <c r="R142" s="26">
        <v>3278</v>
      </c>
      <c r="S142" s="26">
        <v>140</v>
      </c>
      <c r="T142" s="26">
        <f>IF(Table2[[#This Row],[PMT]]="NA","NA",Table2[[#This Row],[PMT]]+1)</f>
        <v>141</v>
      </c>
      <c r="U142" s="26">
        <f>IF(Table2[[#This Row],[PMT]]="NA","NA",Table2[[#This Row],[PMT]]+2)</f>
        <v>142</v>
      </c>
      <c r="V142" s="26">
        <v>0</v>
      </c>
      <c r="W142" s="26">
        <f>IF(Table2[[#This Row],[PMT]]="NA","NA",Table2[[#This Row],[PMT]]+8)-Table2[[#This Row],[Const]]</f>
        <v>148</v>
      </c>
      <c r="X142" s="26" t="str">
        <f>IF(W142="NA","",CONCATENATE("0B 04 00 ",DEC2HEX($G142,2)," ",LEFT(DEC2HEX(W142,4),2)," ",RIGHT(DEC2HEX(W142,4),2)))</f>
        <v>0B 04 00 06 00 94</v>
      </c>
      <c r="Y142" s="26">
        <f>IF(Table2[[#This Row],[PMT]]="NA","NA",Table2[[#This Row],[PMT]]+14)-Table2[[#This Row],[Const]]</f>
        <v>154</v>
      </c>
      <c r="Z142" s="26" t="str">
        <f>IF(Y142="NA","",CONCATENATE("0B 04 00 ",DEC2HEX($G142,2)," ",LEFT(DEC2HEX(Y142,4),2)," ",RIGHT(DEC2HEX(Y142,4),2)))</f>
        <v>0B 04 00 06 00 9A</v>
      </c>
      <c r="AA142" s="26" t="s">
        <v>1057</v>
      </c>
      <c r="AB142" s="26" t="s">
        <v>443</v>
      </c>
      <c r="AC142" s="26"/>
      <c r="AD142" s="26" t="s">
        <v>814</v>
      </c>
      <c r="AE142" s="26"/>
      <c r="AF142" s="26"/>
      <c r="AI142" s="26"/>
      <c r="AJ142" s="26"/>
      <c r="AL142" s="26"/>
      <c r="AW142" s="26"/>
      <c r="AX142" s="26"/>
      <c r="AY142" s="26"/>
    </row>
    <row r="143" spans="1:51" hidden="1" x14ac:dyDescent="0.25">
      <c r="A143" s="26">
        <v>138</v>
      </c>
      <c r="B143" s="26" t="s">
        <v>346</v>
      </c>
      <c r="C143" s="26" t="s">
        <v>346</v>
      </c>
      <c r="D143" s="27" t="s">
        <v>457</v>
      </c>
      <c r="E143" s="26">
        <v>316</v>
      </c>
      <c r="F143" s="26" t="s">
        <v>346</v>
      </c>
      <c r="G143" s="26">
        <v>2</v>
      </c>
      <c r="H143" s="26" t="s">
        <v>1057</v>
      </c>
      <c r="I143" s="26" t="s">
        <v>1084</v>
      </c>
      <c r="J143" s="26" t="s">
        <v>1038</v>
      </c>
      <c r="K143" s="26" t="s">
        <v>1039</v>
      </c>
      <c r="L143" s="26" t="s">
        <v>931</v>
      </c>
      <c r="M143" s="28" t="s">
        <v>1377</v>
      </c>
      <c r="Q143" s="27"/>
      <c r="R143" s="26">
        <v>6305</v>
      </c>
      <c r="S143" s="26">
        <v>360</v>
      </c>
      <c r="T143" s="26">
        <f>IF(Table2[[#This Row],[PMT]]="NA","NA",Table2[[#This Row],[PMT]]+1)</f>
        <v>361</v>
      </c>
      <c r="U143" s="26">
        <f>IF(Table2[[#This Row],[PMT]]="NA","NA",Table2[[#This Row],[PMT]]+2)</f>
        <v>362</v>
      </c>
      <c r="V143" s="26">
        <v>0</v>
      </c>
      <c r="W143" s="26">
        <f>IF(Table2[[#This Row],[PMT]]="NA","NA",Table2[[#This Row],[PMT]]+8)-Table2[[#This Row],[Const]]</f>
        <v>368</v>
      </c>
      <c r="X143" s="26" t="str">
        <f>IF(W143="NA","",CONCATENATE("0B 04 00 ",DEC2HEX($G143,2)," ",LEFT(DEC2HEX(W143,4),2)," ",RIGHT(DEC2HEX(W143,4),2)))</f>
        <v>0B 04 00 02 01 70</v>
      </c>
      <c r="Y143" s="26">
        <f>IF(Table2[[#This Row],[PMT]]="NA","NA",Table2[[#This Row],[PMT]]+14)-Table2[[#This Row],[Const]]</f>
        <v>374</v>
      </c>
      <c r="Z143" s="26" t="str">
        <f>IF(Y143="NA","",CONCATENATE("0B 04 00 ",DEC2HEX($G143,2)," ",LEFT(DEC2HEX(Y143,4),2)," ",RIGHT(DEC2HEX(Y143,4),2)))</f>
        <v>0B 04 00 02 01 76</v>
      </c>
      <c r="AA143" s="26" t="s">
        <v>1057</v>
      </c>
      <c r="AB143" s="26" t="s">
        <v>1084</v>
      </c>
      <c r="AC143" s="26"/>
      <c r="AD143" s="26" t="s">
        <v>346</v>
      </c>
      <c r="AE143" s="26"/>
      <c r="AF143" s="26"/>
      <c r="AI143" s="26"/>
      <c r="AJ143" s="26"/>
      <c r="AL143" s="26"/>
      <c r="AW143" s="26"/>
      <c r="AX143" s="26"/>
      <c r="AY143" s="26"/>
    </row>
    <row r="144" spans="1:51" x14ac:dyDescent="0.25">
      <c r="A144" s="26">
        <v>280</v>
      </c>
      <c r="B144" s="26" t="s">
        <v>233</v>
      </c>
      <c r="C144" s="26">
        <v>5180</v>
      </c>
      <c r="D144" s="27" t="s">
        <v>1278</v>
      </c>
      <c r="E144" s="26">
        <v>608</v>
      </c>
      <c r="F144" s="26">
        <v>3</v>
      </c>
      <c r="G144" s="26">
        <v>3</v>
      </c>
      <c r="H144" s="26" t="s">
        <v>361</v>
      </c>
      <c r="I144" s="26" t="s">
        <v>1350</v>
      </c>
      <c r="J144" s="26" t="s">
        <v>1040</v>
      </c>
      <c r="K144" s="26" t="s">
        <v>953</v>
      </c>
      <c r="L144" s="26" t="s">
        <v>931</v>
      </c>
      <c r="M144" s="26" t="s">
        <v>1376</v>
      </c>
      <c r="N144" s="26" t="s">
        <v>1080</v>
      </c>
      <c r="O144" s="26" t="s">
        <v>1090</v>
      </c>
      <c r="P144" s="26">
        <v>3845</v>
      </c>
      <c r="Q144" s="27" t="s">
        <v>1382</v>
      </c>
      <c r="R144" s="26">
        <v>1510</v>
      </c>
      <c r="S144" s="26">
        <v>2200</v>
      </c>
      <c r="T144" s="26">
        <f>IF(Table2[[#This Row],[PMT]]="NA","NA",Table2[[#This Row],[PMT]]+1)</f>
        <v>2201</v>
      </c>
      <c r="U144" s="26">
        <f>IF(Table2[[#This Row],[PMT]]="NA","NA",Table2[[#This Row],[PMT]]+2)</f>
        <v>2202</v>
      </c>
      <c r="V144" s="26">
        <v>-1</v>
      </c>
      <c r="W144" s="26">
        <f>IF(Table2[[#This Row],[PMT]]="NA","NA",Table2[[#This Row],[PMT]]+8)-Table2[[#This Row],[Const]]</f>
        <v>2209</v>
      </c>
      <c r="X144" s="26" t="str">
        <f>IF(W144="NA","",CONCATENATE("0B 04 00 ",DEC2HEX($G144,2)," ",LEFT(DEC2HEX(W144,4),2)," ",RIGHT(DEC2HEX(W144,4),2)))</f>
        <v>0B 04 00 03 08 A1</v>
      </c>
      <c r="Y144" s="26">
        <f>IF(Table2[[#This Row],[PMT]]="NA","NA",Table2[[#This Row],[PMT]]+14)-Table2[[#This Row],[Const]]</f>
        <v>2215</v>
      </c>
      <c r="Z144" s="26" t="str">
        <f>IF(Y144="NA","",CONCATENATE("0B 04 00 ",DEC2HEX($G144,2)," ",LEFT(DEC2HEX(Y144,4),2)," ",RIGHT(DEC2HEX(Y144,4),2)))</f>
        <v>0B 04 00 03 08 A7</v>
      </c>
      <c r="AA144" s="26"/>
      <c r="AB144" s="26"/>
      <c r="AC144" s="26"/>
      <c r="AD144" s="26" t="s">
        <v>817</v>
      </c>
      <c r="AE144" s="26"/>
      <c r="AF144" s="26"/>
      <c r="AI144" s="26"/>
      <c r="AJ144" s="26"/>
      <c r="AL144" s="26"/>
      <c r="AW144" s="26"/>
      <c r="AX144" s="26"/>
      <c r="AY144" s="26"/>
    </row>
    <row r="145" spans="1:51" x14ac:dyDescent="0.25">
      <c r="A145" s="26">
        <v>336</v>
      </c>
      <c r="B145" s="26" t="s">
        <v>652</v>
      </c>
      <c r="C145" s="26">
        <v>5001</v>
      </c>
      <c r="D145" s="27" t="s">
        <v>614</v>
      </c>
      <c r="E145" s="26">
        <v>808</v>
      </c>
      <c r="F145" s="26">
        <v>6</v>
      </c>
      <c r="G145" s="26">
        <v>6</v>
      </c>
      <c r="H145" s="26" t="s">
        <v>1057</v>
      </c>
      <c r="I145" s="26" t="s">
        <v>1356</v>
      </c>
      <c r="J145" s="26" t="s">
        <v>931</v>
      </c>
      <c r="K145" s="26" t="s">
        <v>1042</v>
      </c>
      <c r="L145" s="26" t="s">
        <v>931</v>
      </c>
      <c r="M145" s="26" t="s">
        <v>1376</v>
      </c>
      <c r="N145" s="26" t="s">
        <v>1080</v>
      </c>
      <c r="O145" s="26" t="s">
        <v>1383</v>
      </c>
      <c r="P145" s="26">
        <v>4024</v>
      </c>
      <c r="Q145" s="27" t="s">
        <v>1386</v>
      </c>
      <c r="R145" s="26">
        <v>12006</v>
      </c>
      <c r="S145" s="26">
        <v>7900</v>
      </c>
      <c r="T145" s="26">
        <f>IF(Table2[[#This Row],[PMT]]="NA","NA",Table2[[#This Row],[PMT]]+1)</f>
        <v>7901</v>
      </c>
      <c r="U145" s="26">
        <f>IF(Table2[[#This Row],[PMT]]="NA","NA",Table2[[#This Row],[PMT]]+2)</f>
        <v>7902</v>
      </c>
      <c r="V145" s="26">
        <v>0</v>
      </c>
      <c r="W145" s="26">
        <f>IF(Table2[[#This Row],[PMT]]="NA","NA",Table2[[#This Row],[PMT]]+8)-Table2[[#This Row],[Const]]</f>
        <v>7908</v>
      </c>
      <c r="X145" s="26" t="str">
        <f>IF(W145="NA","",CONCATENATE("0B 04 00 ",DEC2HEX($G145,2)," ",LEFT(DEC2HEX(W145,4),2)," ",RIGHT(DEC2HEX(W145,4),2)))</f>
        <v>0B 04 00 06 1E E4</v>
      </c>
      <c r="Y145" s="26">
        <f>IF(Table2[[#This Row],[PMT]]="NA","NA",Table2[[#This Row],[PMT]]+14)-Table2[[#This Row],[Const]]</f>
        <v>7914</v>
      </c>
      <c r="Z145" s="26" t="str">
        <f>IF(Y145="NA","",CONCATENATE("0B 04 00 ",DEC2HEX($G145,2)," ",LEFT(DEC2HEX(Y145,4),2)," ",RIGHT(DEC2HEX(Y145,4),2)))</f>
        <v>0B 04 00 06 1E EA</v>
      </c>
      <c r="AA145" s="26" t="s">
        <v>1057</v>
      </c>
      <c r="AB145" s="26"/>
      <c r="AC145" s="26"/>
      <c r="AD145" s="26" t="s">
        <v>814</v>
      </c>
      <c r="AE145" s="26"/>
      <c r="AF145" s="26"/>
      <c r="AI145" s="26"/>
      <c r="AJ145" s="26"/>
      <c r="AL145" s="26"/>
      <c r="AW145" s="26"/>
      <c r="AX145" s="26"/>
      <c r="AY145" s="26"/>
    </row>
    <row r="146" spans="1:51" x14ac:dyDescent="0.25">
      <c r="A146" s="26">
        <v>205</v>
      </c>
      <c r="B146" s="26" t="s">
        <v>198</v>
      </c>
      <c r="C146" s="26">
        <v>5180</v>
      </c>
      <c r="D146" s="27" t="s">
        <v>508</v>
      </c>
      <c r="E146" s="26">
        <v>504</v>
      </c>
      <c r="F146" s="26">
        <v>2</v>
      </c>
      <c r="G146" s="26">
        <v>2</v>
      </c>
      <c r="H146" s="26" t="s">
        <v>349</v>
      </c>
      <c r="I146" s="26" t="s">
        <v>1350</v>
      </c>
      <c r="J146" s="26" t="s">
        <v>1040</v>
      </c>
      <c r="K146" s="26" t="s">
        <v>953</v>
      </c>
      <c r="L146" s="26" t="s">
        <v>931</v>
      </c>
      <c r="M146" s="26" t="s">
        <v>1377</v>
      </c>
      <c r="Q146" s="27"/>
      <c r="R146" s="26">
        <v>3504</v>
      </c>
      <c r="S146" s="26">
        <v>720</v>
      </c>
      <c r="T146" s="26">
        <f>IF(Table2[[#This Row],[PMT]]="NA","NA",Table2[[#This Row],[PMT]]+1)</f>
        <v>721</v>
      </c>
      <c r="U146" s="26">
        <f>IF(Table2[[#This Row],[PMT]]="NA","NA",Table2[[#This Row],[PMT]]+2)</f>
        <v>722</v>
      </c>
      <c r="V146" s="26">
        <v>0</v>
      </c>
      <c r="W146" s="26">
        <f>IF(Table2[[#This Row],[PMT]]="NA","NA",Table2[[#This Row],[PMT]]+8)-Table2[[#This Row],[Const]]</f>
        <v>728</v>
      </c>
      <c r="X146" s="26" t="str">
        <f>IF(W146="NA","",CONCATENATE("0B 04 00 ",DEC2HEX($G146,2)," ",LEFT(DEC2HEX(W146,4),2)," ",RIGHT(DEC2HEX(W146,4),2)))</f>
        <v>0B 04 00 02 02 D8</v>
      </c>
      <c r="Y146" s="26">
        <f>IF(Table2[[#This Row],[PMT]]="NA","NA",Table2[[#This Row],[PMT]]+14)-Table2[[#This Row],[Const]]</f>
        <v>734</v>
      </c>
      <c r="Z146" s="26" t="str">
        <f>IF(Y146="NA","",CONCATENATE("0B 04 00 ",DEC2HEX($G146,2)," ",LEFT(DEC2HEX(Y146,4),2)," ",RIGHT(DEC2HEX(Y146,4),2)))</f>
        <v>0B 04 00 02 02 DE</v>
      </c>
      <c r="AA146" s="26" t="s">
        <v>349</v>
      </c>
      <c r="AB146" s="26"/>
      <c r="AC146" s="26"/>
      <c r="AD146" s="26" t="s">
        <v>816</v>
      </c>
      <c r="AE146" s="26"/>
      <c r="AF146" s="26"/>
      <c r="AI146" s="26"/>
      <c r="AJ146" s="26"/>
      <c r="AL146" s="26"/>
      <c r="AW146" s="26"/>
      <c r="AX146" s="26"/>
      <c r="AY146" s="26"/>
    </row>
    <row r="147" spans="1:51" hidden="1" x14ac:dyDescent="0.25">
      <c r="A147" s="26">
        <v>142</v>
      </c>
      <c r="B147" s="26" t="s">
        <v>346</v>
      </c>
      <c r="C147" s="26" t="s">
        <v>346</v>
      </c>
      <c r="D147" s="27" t="s">
        <v>1378</v>
      </c>
      <c r="E147" s="26">
        <v>321</v>
      </c>
      <c r="F147" s="26" t="s">
        <v>346</v>
      </c>
      <c r="G147" s="26">
        <v>4</v>
      </c>
      <c r="H147" s="26" t="s">
        <v>1057</v>
      </c>
      <c r="I147" s="26" t="s">
        <v>1084</v>
      </c>
      <c r="J147" s="26" t="s">
        <v>1038</v>
      </c>
      <c r="K147" s="26" t="s">
        <v>1039</v>
      </c>
      <c r="L147" s="26" t="s">
        <v>931</v>
      </c>
      <c r="M147" s="31" t="s">
        <v>1376</v>
      </c>
      <c r="N147" s="31"/>
      <c r="O147" s="31"/>
      <c r="P147" s="31"/>
      <c r="Q147" s="27"/>
      <c r="R147" s="31"/>
      <c r="S147" s="31"/>
      <c r="T147" s="31">
        <f>IF(Table2[[#This Row],[PMT]]="NA","NA",Table2[[#This Row],[PMT]]+1)</f>
        <v>1</v>
      </c>
      <c r="U147" s="31">
        <f>IF(Table2[[#This Row],[PMT]]="NA","NA",Table2[[#This Row],[PMT]]+2)</f>
        <v>2</v>
      </c>
      <c r="V147" s="26"/>
      <c r="W147" s="31">
        <f>IF(Table2[[#This Row],[PMT]]="NA","NA",Table2[[#This Row],[PMT]]+8)-Table2[[#This Row],[Const]]</f>
        <v>8</v>
      </c>
      <c r="X147" s="31" t="str">
        <f>IF(W147="NA","",CONCATENATE("0B 04 00 ",DEC2HEX($G147,2)," ",LEFT(DEC2HEX(W147,4),2)," ",RIGHT(DEC2HEX(W147,4),2)))</f>
        <v>0B 04 00 04 00 08</v>
      </c>
      <c r="Y147" s="31">
        <f>IF(Table2[[#This Row],[PMT]]="NA","NA",Table2[[#This Row],[PMT]]+14)-Table2[[#This Row],[Const]]</f>
        <v>14</v>
      </c>
      <c r="Z147" s="31" t="str">
        <f>IF(Y147="NA","",CONCATENATE("0B 04 00 ",DEC2HEX($G147,2)," ",LEFT(DEC2HEX(Y147,4),2)," ",RIGHT(DEC2HEX(Y147,4),2)))</f>
        <v>0B 04 00 04 00 0E</v>
      </c>
      <c r="AA147" s="26"/>
      <c r="AB147" s="26"/>
      <c r="AC147" s="31"/>
      <c r="AD147" s="31"/>
      <c r="AE147" s="26"/>
      <c r="AF147" s="26"/>
      <c r="AI147" s="26"/>
      <c r="AJ147" s="26"/>
      <c r="AL147" s="26"/>
      <c r="AW147" s="26"/>
      <c r="AX147" s="26"/>
      <c r="AY147" s="26"/>
    </row>
    <row r="148" spans="1:51" x14ac:dyDescent="0.25">
      <c r="A148" s="26">
        <v>303</v>
      </c>
      <c r="B148" s="26" t="s">
        <v>305</v>
      </c>
      <c r="C148" s="26">
        <v>2000</v>
      </c>
      <c r="D148" s="27" t="s">
        <v>587</v>
      </c>
      <c r="E148" s="26">
        <v>684</v>
      </c>
      <c r="F148" s="26">
        <v>2</v>
      </c>
      <c r="G148" s="26">
        <v>2</v>
      </c>
      <c r="H148" s="26" t="s">
        <v>1352</v>
      </c>
      <c r="I148" s="26" t="s">
        <v>443</v>
      </c>
      <c r="J148" s="26" t="s">
        <v>931</v>
      </c>
      <c r="K148" s="26" t="s">
        <v>953</v>
      </c>
      <c r="L148" s="26" t="s">
        <v>931</v>
      </c>
      <c r="M148" s="26" t="s">
        <v>1376</v>
      </c>
      <c r="N148" s="26" t="s">
        <v>1096</v>
      </c>
      <c r="O148" s="26" t="s">
        <v>1088</v>
      </c>
      <c r="P148" s="26">
        <v>3752</v>
      </c>
      <c r="Q148" s="27"/>
      <c r="R148" s="26">
        <v>12113</v>
      </c>
      <c r="S148" s="26">
        <v>1520</v>
      </c>
      <c r="T148" s="26">
        <f>IF(Table2[[#This Row],[PMT]]="NA","NA",Table2[[#This Row],[PMT]]+1)</f>
        <v>1521</v>
      </c>
      <c r="U148" s="26">
        <f>IF(Table2[[#This Row],[PMT]]="NA","NA",Table2[[#This Row],[PMT]]+2)</f>
        <v>1522</v>
      </c>
      <c r="V148" s="26">
        <v>0</v>
      </c>
      <c r="W148" s="26">
        <f>IF(Table2[[#This Row],[PMT]]="NA","NA",Table2[[#This Row],[PMT]]+8)-Table2[[#This Row],[Const]]</f>
        <v>1528</v>
      </c>
      <c r="X148" s="26" t="str">
        <f>IF(W148="NA","",CONCATENATE("0B 04 00 ",DEC2HEX($G148,2)," ",LEFT(DEC2HEX(W148,4),2)," ",RIGHT(DEC2HEX(W148,4),2)))</f>
        <v>0B 04 00 02 05 F8</v>
      </c>
      <c r="Y148" s="26">
        <f>IF(Table2[[#This Row],[PMT]]="NA","NA",Table2[[#This Row],[PMT]]+14)-Table2[[#This Row],[Const]]</f>
        <v>1534</v>
      </c>
      <c r="Z148" s="26" t="str">
        <f>IF(Y148="NA","",CONCATENATE("0B 04 00 ",DEC2HEX($G148,2)," ",LEFT(DEC2HEX(Y148,4),2)," ",RIGHT(DEC2HEX(Y148,4),2)))</f>
        <v>0B 04 00 02 05 FE</v>
      </c>
      <c r="AA148" s="26"/>
      <c r="AB148" s="26"/>
      <c r="AC148" s="26">
        <v>9300</v>
      </c>
      <c r="AD148" s="26" t="s">
        <v>814</v>
      </c>
      <c r="AE148" s="26"/>
      <c r="AF148" s="26"/>
      <c r="AI148" s="26"/>
      <c r="AJ148" s="26"/>
      <c r="AL148" s="26"/>
      <c r="AW148" s="26"/>
      <c r="AX148" s="26"/>
      <c r="AY148" s="26"/>
    </row>
    <row r="149" spans="1:51" hidden="1" x14ac:dyDescent="0.25">
      <c r="A149" s="26">
        <v>144</v>
      </c>
      <c r="B149" s="26" t="s">
        <v>346</v>
      </c>
      <c r="C149" s="26" t="s">
        <v>346</v>
      </c>
      <c r="D149" s="27" t="s">
        <v>1337</v>
      </c>
      <c r="E149" s="26">
        <v>323</v>
      </c>
      <c r="F149" s="26" t="s">
        <v>346</v>
      </c>
      <c r="G149" s="26">
        <v>7</v>
      </c>
      <c r="H149" s="26" t="s">
        <v>1057</v>
      </c>
      <c r="I149" s="26" t="s">
        <v>1084</v>
      </c>
      <c r="J149" s="26" t="s">
        <v>1038</v>
      </c>
      <c r="K149" s="26" t="s">
        <v>1039</v>
      </c>
      <c r="L149" s="26" t="s">
        <v>931</v>
      </c>
      <c r="M149" s="28"/>
      <c r="N149" s="31"/>
      <c r="O149" s="31"/>
      <c r="P149" s="31"/>
      <c r="Q149" s="32"/>
      <c r="R149" s="31"/>
      <c r="S149" s="31"/>
      <c r="T149" s="31">
        <f>IF(Table2[[#This Row],[PMT]]="NA","NA",Table2[[#This Row],[PMT]]+1)</f>
        <v>1</v>
      </c>
      <c r="U149" s="31">
        <f>IF(Table2[[#This Row],[PMT]]="NA","NA",Table2[[#This Row],[PMT]]+2)</f>
        <v>2</v>
      </c>
      <c r="V149" s="26"/>
      <c r="W149" s="31">
        <f>IF(Table2[[#This Row],[PMT]]="NA","NA",Table2[[#This Row],[PMT]]+8)-Table2[[#This Row],[Const]]</f>
        <v>8</v>
      </c>
      <c r="X149" s="31" t="str">
        <f>IF(W149="NA","",CONCATENATE("0B 04 00 ",DEC2HEX($G149,2)," ",LEFT(DEC2HEX(W149,4),2)," ",RIGHT(DEC2HEX(W149,4),2)))</f>
        <v>0B 04 00 07 00 08</v>
      </c>
      <c r="Y149" s="31">
        <f>IF(Table2[[#This Row],[PMT]]="NA","NA",Table2[[#This Row],[PMT]]+14)-Table2[[#This Row],[Const]]</f>
        <v>14</v>
      </c>
      <c r="Z149" s="31" t="str">
        <f>IF(Y149="NA","",CONCATENATE("0B 04 00 ",DEC2HEX($G149,2)," ",LEFT(DEC2HEX(Y149,4),2)," ",RIGHT(DEC2HEX(Y149,4),2)))</f>
        <v>0B 04 00 07 00 0E</v>
      </c>
      <c r="AA149" s="26"/>
      <c r="AB149" s="26"/>
      <c r="AC149" s="31"/>
      <c r="AD149" s="31"/>
      <c r="AE149" s="26"/>
      <c r="AF149" s="26"/>
      <c r="AI149" s="26"/>
      <c r="AJ149" s="26"/>
      <c r="AL149" s="26"/>
      <c r="AW149" s="26"/>
      <c r="AX149" s="26"/>
      <c r="AY149" s="26"/>
    </row>
    <row r="150" spans="1:51" x14ac:dyDescent="0.25">
      <c r="A150" s="26">
        <v>335</v>
      </c>
      <c r="B150" s="26" t="s">
        <v>645</v>
      </c>
      <c r="C150" s="26">
        <v>5001</v>
      </c>
      <c r="D150" s="27" t="s">
        <v>613</v>
      </c>
      <c r="E150" s="26">
        <v>806</v>
      </c>
      <c r="F150" s="26">
        <v>7</v>
      </c>
      <c r="G150" s="26">
        <v>7</v>
      </c>
      <c r="H150" s="26" t="s">
        <v>349</v>
      </c>
      <c r="I150" s="26" t="s">
        <v>1356</v>
      </c>
      <c r="J150" s="26" t="s">
        <v>931</v>
      </c>
      <c r="K150" s="26" t="s">
        <v>953</v>
      </c>
      <c r="L150" s="26" t="s">
        <v>931</v>
      </c>
      <c r="M150" s="26" t="s">
        <v>1377</v>
      </c>
      <c r="N150" s="26" t="s">
        <v>1080</v>
      </c>
      <c r="O150" s="26" t="s">
        <v>1384</v>
      </c>
      <c r="P150" s="26">
        <v>4015</v>
      </c>
      <c r="Q150" s="27" t="s">
        <v>1382</v>
      </c>
      <c r="R150" s="26">
        <v>5574</v>
      </c>
      <c r="S150" s="26">
        <v>360</v>
      </c>
      <c r="T150" s="26">
        <f>IF(Table2[[#This Row],[PMT]]="NA","NA",Table2[[#This Row],[PMT]]+1)</f>
        <v>361</v>
      </c>
      <c r="U150" s="26">
        <f>IF(Table2[[#This Row],[PMT]]="NA","NA",Table2[[#This Row],[PMT]]+2)</f>
        <v>362</v>
      </c>
      <c r="V150" s="26">
        <v>0</v>
      </c>
      <c r="W150" s="26">
        <f>IF(Table2[[#This Row],[PMT]]="NA","NA",Table2[[#This Row],[PMT]]+8)-Table2[[#This Row],[Const]]</f>
        <v>368</v>
      </c>
      <c r="X150" s="26" t="str">
        <f>IF(W150="NA","",CONCATENATE("0B 04 00 ",DEC2HEX($G150,2)," ",LEFT(DEC2HEX(W150,4),2)," ",RIGHT(DEC2HEX(W150,4),2)))</f>
        <v>0B 04 00 07 01 70</v>
      </c>
      <c r="Y150" s="26">
        <f>IF(Table2[[#This Row],[PMT]]="NA","NA",Table2[[#This Row],[PMT]]+14)-Table2[[#This Row],[Const]]</f>
        <v>374</v>
      </c>
      <c r="Z150" s="26" t="str">
        <f>IF(Y150="NA","",CONCATENATE("0B 04 00 ",DEC2HEX($G150,2)," ",LEFT(DEC2HEX(Y150,4),2)," ",RIGHT(DEC2HEX(Y150,4),2)))</f>
        <v>0B 04 00 07 01 76</v>
      </c>
      <c r="AA150" s="26" t="s">
        <v>349</v>
      </c>
      <c r="AB150" s="26"/>
      <c r="AC150" s="26"/>
      <c r="AD150" s="26" t="s">
        <v>814</v>
      </c>
      <c r="AE150" s="26"/>
      <c r="AF150" s="26"/>
      <c r="AI150" s="26"/>
      <c r="AJ150" s="26"/>
      <c r="AL150" s="26"/>
      <c r="AW150" s="26"/>
      <c r="AX150" s="26"/>
      <c r="AY150" s="26"/>
    </row>
    <row r="151" spans="1:51" hidden="1" x14ac:dyDescent="0.25">
      <c r="A151" s="26">
        <v>146</v>
      </c>
      <c r="B151" s="26" t="s">
        <v>346</v>
      </c>
      <c r="C151" s="26" t="s">
        <v>346</v>
      </c>
      <c r="D151" s="27" t="s">
        <v>462</v>
      </c>
      <c r="E151" s="26">
        <v>326</v>
      </c>
      <c r="F151" s="26" t="s">
        <v>346</v>
      </c>
      <c r="G151" s="26">
        <v>1</v>
      </c>
      <c r="H151" s="26" t="s">
        <v>1363</v>
      </c>
      <c r="I151" s="26" t="s">
        <v>1084</v>
      </c>
      <c r="J151" s="26" t="s">
        <v>1038</v>
      </c>
      <c r="K151" s="26" t="s">
        <v>1039</v>
      </c>
      <c r="L151" s="26" t="s">
        <v>931</v>
      </c>
      <c r="M151" s="28" t="s">
        <v>1377</v>
      </c>
      <c r="Q151" s="27"/>
      <c r="R151" s="26">
        <v>3326</v>
      </c>
      <c r="S151" s="26">
        <v>380</v>
      </c>
      <c r="T151" s="26">
        <f>IF(Table2[[#This Row],[PMT]]="NA","NA",Table2[[#This Row],[PMT]]+1)</f>
        <v>381</v>
      </c>
      <c r="U151" s="26">
        <f>IF(Table2[[#This Row],[PMT]]="NA","NA",Table2[[#This Row],[PMT]]+2)</f>
        <v>382</v>
      </c>
      <c r="V151" s="26">
        <v>1</v>
      </c>
      <c r="W151" s="26">
        <f>IF(Table2[[#This Row],[PMT]]="NA","NA",Table2[[#This Row],[PMT]]+8)-Table2[[#This Row],[Const]]</f>
        <v>387</v>
      </c>
      <c r="X151" s="26" t="str">
        <f>IF(W151="NA","",CONCATENATE("0B 04 00 ",DEC2HEX($G151,2)," ",LEFT(DEC2HEX(W151,4),2)," ",RIGHT(DEC2HEX(W151,4),2)))</f>
        <v>0B 04 00 01 01 83</v>
      </c>
      <c r="Y151" s="26">
        <f>IF(Table2[[#This Row],[PMT]]="NA","NA",Table2[[#This Row],[PMT]]+14)-Table2[[#This Row],[Const]]</f>
        <v>393</v>
      </c>
      <c r="Z151" s="26" t="str">
        <f>IF(Y151="NA","",CONCATENATE("0B 04 00 ",DEC2HEX($G151,2)," ",LEFT(DEC2HEX(Y151,4),2)," ",RIGHT(DEC2HEX(Y151,4),2)))</f>
        <v>0B 04 00 01 01 89</v>
      </c>
      <c r="AA151" s="26" t="s">
        <v>1068</v>
      </c>
      <c r="AB151" s="26" t="s">
        <v>1084</v>
      </c>
      <c r="AC151" s="26"/>
      <c r="AD151" s="26" t="s">
        <v>813</v>
      </c>
      <c r="AE151" s="26"/>
      <c r="AF151" s="26"/>
      <c r="AI151" s="26"/>
      <c r="AJ151" s="26"/>
      <c r="AL151" s="26"/>
      <c r="AW151" s="26"/>
      <c r="AX151" s="26"/>
      <c r="AY151" s="26"/>
    </row>
    <row r="152" spans="1:51" hidden="1" x14ac:dyDescent="0.25">
      <c r="A152" s="26">
        <v>147</v>
      </c>
      <c r="B152" s="26" t="s">
        <v>346</v>
      </c>
      <c r="C152" s="26" t="s">
        <v>346</v>
      </c>
      <c r="D152" s="27" t="s">
        <v>1370</v>
      </c>
      <c r="E152" s="26">
        <v>327</v>
      </c>
      <c r="F152" s="26" t="s">
        <v>346</v>
      </c>
      <c r="G152" s="26">
        <v>3</v>
      </c>
      <c r="H152" s="26" t="s">
        <v>1363</v>
      </c>
      <c r="I152" s="26" t="s">
        <v>443</v>
      </c>
      <c r="J152" s="26" t="s">
        <v>1038</v>
      </c>
      <c r="K152" s="26" t="s">
        <v>1039</v>
      </c>
      <c r="L152" s="26" t="s">
        <v>931</v>
      </c>
      <c r="M152" s="28" t="s">
        <v>1377</v>
      </c>
      <c r="Q152" s="27"/>
      <c r="R152" s="26">
        <v>4327</v>
      </c>
      <c r="S152" s="26">
        <v>280</v>
      </c>
      <c r="T152" s="26">
        <f>IF(Table2[[#This Row],[PMT]]="NA","NA",Table2[[#This Row],[PMT]]+1)</f>
        <v>281</v>
      </c>
      <c r="U152" s="26">
        <f>IF(Table2[[#This Row],[PMT]]="NA","NA",Table2[[#This Row],[PMT]]+2)</f>
        <v>282</v>
      </c>
      <c r="V152" s="26">
        <v>0</v>
      </c>
      <c r="W152" s="26">
        <f>IF(Table2[[#This Row],[PMT]]="NA","NA",Table2[[#This Row],[PMT]]+8)-Table2[[#This Row],[Const]]</f>
        <v>288</v>
      </c>
      <c r="X152" s="26" t="str">
        <f>IF(W152="NA","",CONCATENATE("0B 04 00 ",DEC2HEX($G152,2)," ",LEFT(DEC2HEX(W152,4),2)," ",RIGHT(DEC2HEX(W152,4),2)))</f>
        <v>0B 04 00 03 01 20</v>
      </c>
      <c r="Y152" s="26">
        <f>IF(Table2[[#This Row],[PMT]]="NA","NA",Table2[[#This Row],[PMT]]+14)-Table2[[#This Row],[Const]]</f>
        <v>294</v>
      </c>
      <c r="Z152" s="26" t="str">
        <f>IF(Y152="NA","",CONCATENATE("0B 04 00 ",DEC2HEX($G152,2)," ",LEFT(DEC2HEX(Y152,4),2)," ",RIGHT(DEC2HEX(Y152,4),2)))</f>
        <v>0B 04 00 03 01 26</v>
      </c>
      <c r="AA152" s="26" t="s">
        <v>1068</v>
      </c>
      <c r="AB152" s="26" t="s">
        <v>443</v>
      </c>
      <c r="AC152" s="26"/>
      <c r="AD152" s="26" t="s">
        <v>346</v>
      </c>
      <c r="AE152" s="26"/>
      <c r="AF152" s="26"/>
      <c r="AI152" s="26"/>
      <c r="AJ152" s="26"/>
      <c r="AL152" s="26"/>
      <c r="AW152" s="26"/>
      <c r="AX152" s="26"/>
      <c r="AY152" s="26"/>
    </row>
    <row r="153" spans="1:51" x14ac:dyDescent="0.25">
      <c r="A153" s="26">
        <v>342</v>
      </c>
      <c r="B153" s="26" t="s">
        <v>645</v>
      </c>
      <c r="C153" s="26">
        <v>5001</v>
      </c>
      <c r="D153" s="27" t="s">
        <v>619</v>
      </c>
      <c r="E153" s="26">
        <v>818</v>
      </c>
      <c r="F153" s="26">
        <v>2</v>
      </c>
      <c r="G153" s="26">
        <v>2</v>
      </c>
      <c r="H153" s="26" t="s">
        <v>349</v>
      </c>
      <c r="I153" s="26" t="s">
        <v>1356</v>
      </c>
      <c r="J153" s="26" t="s">
        <v>931</v>
      </c>
      <c r="K153" s="26" t="s">
        <v>1042</v>
      </c>
      <c r="L153" s="26" t="s">
        <v>931</v>
      </c>
      <c r="M153" s="26" t="s">
        <v>1376</v>
      </c>
      <c r="N153" s="26" t="s">
        <v>1080</v>
      </c>
      <c r="O153" s="26" t="s">
        <v>1384</v>
      </c>
      <c r="P153" s="26">
        <v>4015</v>
      </c>
      <c r="Q153" s="27" t="s">
        <v>1382</v>
      </c>
      <c r="R153" s="26">
        <v>6579</v>
      </c>
      <c r="S153" s="26">
        <v>1380</v>
      </c>
      <c r="T153" s="26">
        <f>IF(Table2[[#This Row],[PMT]]="NA","NA",Table2[[#This Row],[PMT]]+1)</f>
        <v>1381</v>
      </c>
      <c r="U153" s="26">
        <f>IF(Table2[[#This Row],[PMT]]="NA","NA",Table2[[#This Row],[PMT]]+2)</f>
        <v>1382</v>
      </c>
      <c r="V153" s="26">
        <v>0</v>
      </c>
      <c r="W153" s="26">
        <f>IF(Table2[[#This Row],[PMT]]="NA","NA",Table2[[#This Row],[PMT]]+8)-Table2[[#This Row],[Const]]</f>
        <v>1388</v>
      </c>
      <c r="X153" s="26" t="str">
        <f>IF(W153="NA","",CONCATENATE("0B 04 00 ",DEC2HEX($G153,2)," ",LEFT(DEC2HEX(W153,4),2)," ",RIGHT(DEC2HEX(W153,4),2)))</f>
        <v>0B 04 00 02 05 6C</v>
      </c>
      <c r="Y153" s="26">
        <f>IF(Table2[[#This Row],[PMT]]="NA","NA",Table2[[#This Row],[PMT]]+14)-Table2[[#This Row],[Const]]</f>
        <v>1394</v>
      </c>
      <c r="Z153" s="26" t="str">
        <f>IF(Y153="NA","",CONCATENATE("0B 04 00 ",DEC2HEX($G153,2)," ",LEFT(DEC2HEX(Y153,4),2)," ",RIGHT(DEC2HEX(Y153,4),2)))</f>
        <v>0B 04 00 02 05 72</v>
      </c>
      <c r="AA153" s="26" t="s">
        <v>349</v>
      </c>
      <c r="AB153" s="26"/>
      <c r="AC153" s="26"/>
      <c r="AD153" s="26" t="s">
        <v>814</v>
      </c>
      <c r="AE153" s="26"/>
      <c r="AF153" s="26"/>
      <c r="AI153" s="26"/>
      <c r="AJ153" s="26"/>
      <c r="AL153" s="26"/>
      <c r="AW153" s="26"/>
      <c r="AX153" s="26"/>
      <c r="AY153" s="26"/>
    </row>
    <row r="154" spans="1:51" hidden="1" x14ac:dyDescent="0.25">
      <c r="A154" s="26">
        <v>149</v>
      </c>
      <c r="B154" s="26" t="s">
        <v>346</v>
      </c>
      <c r="C154" s="26" t="s">
        <v>346</v>
      </c>
      <c r="D154" s="27" t="s">
        <v>464</v>
      </c>
      <c r="E154" s="26">
        <v>337</v>
      </c>
      <c r="F154" s="26" t="s">
        <v>346</v>
      </c>
      <c r="G154" s="26">
        <v>9</v>
      </c>
      <c r="H154" s="26" t="s">
        <v>1063</v>
      </c>
      <c r="I154" s="26" t="s">
        <v>1084</v>
      </c>
      <c r="J154" s="26" t="s">
        <v>1038</v>
      </c>
      <c r="K154" s="26" t="s">
        <v>1039</v>
      </c>
      <c r="L154" s="26" t="s">
        <v>931</v>
      </c>
      <c r="M154" s="28" t="s">
        <v>1377</v>
      </c>
      <c r="Q154" s="27"/>
      <c r="R154" s="26">
        <v>2137</v>
      </c>
      <c r="S154" s="26">
        <v>5100</v>
      </c>
      <c r="T154" s="26">
        <f>IF(Table2[[#This Row],[PMT]]="NA","NA",Table2[[#This Row],[PMT]]+1)</f>
        <v>5101</v>
      </c>
      <c r="U154" s="26">
        <f>IF(Table2[[#This Row],[PMT]]="NA","NA",Table2[[#This Row],[PMT]]+2)</f>
        <v>5102</v>
      </c>
      <c r="V154" s="26">
        <v>0</v>
      </c>
      <c r="W154" s="26">
        <f>IF(Table2[[#This Row],[PMT]]="NA","NA",Table2[[#This Row],[PMT]]+8)-Table2[[#This Row],[Const]]</f>
        <v>5108</v>
      </c>
      <c r="X154" s="26" t="str">
        <f>IF(W154="NA","",CONCATENATE("0B 04 00 ",DEC2HEX($G154,2)," ",LEFT(DEC2HEX(W154,4),2)," ",RIGHT(DEC2HEX(W154,4),2)))</f>
        <v>0B 04 00 09 13 F4</v>
      </c>
      <c r="Y154" s="26">
        <f>IF(Table2[[#This Row],[PMT]]="NA","NA",Table2[[#This Row],[PMT]]+14)-Table2[[#This Row],[Const]]</f>
        <v>5114</v>
      </c>
      <c r="Z154" s="26" t="str">
        <f>IF(Y154="NA","",CONCATENATE("0B 04 00 ",DEC2HEX($G154,2)," ",LEFT(DEC2HEX(Y154,4),2)," ",RIGHT(DEC2HEX(Y154,4),2)))</f>
        <v>0B 04 00 09 13 FA</v>
      </c>
      <c r="AA154" s="26" t="s">
        <v>1063</v>
      </c>
      <c r="AB154" s="26" t="s">
        <v>1084</v>
      </c>
      <c r="AC154" s="26"/>
      <c r="AD154" s="26" t="s">
        <v>346</v>
      </c>
      <c r="AE154" s="26"/>
      <c r="AF154" s="26"/>
      <c r="AI154" s="26"/>
      <c r="AJ154" s="26"/>
      <c r="AL154" s="26"/>
      <c r="AW154" s="26"/>
      <c r="AX154" s="26"/>
      <c r="AY154" s="26"/>
    </row>
    <row r="155" spans="1:51" hidden="1" x14ac:dyDescent="0.25">
      <c r="A155" s="26">
        <v>150</v>
      </c>
      <c r="B155" s="26" t="s">
        <v>346</v>
      </c>
      <c r="C155" s="26" t="s">
        <v>346</v>
      </c>
      <c r="D155" s="27" t="s">
        <v>465</v>
      </c>
      <c r="E155" s="26">
        <v>338</v>
      </c>
      <c r="F155" s="26" t="s">
        <v>346</v>
      </c>
      <c r="G155" s="26">
        <v>8</v>
      </c>
      <c r="H155" s="26" t="s">
        <v>1063</v>
      </c>
      <c r="I155" s="26" t="s">
        <v>1084</v>
      </c>
      <c r="J155" s="26" t="s">
        <v>1038</v>
      </c>
      <c r="K155" s="26" t="s">
        <v>1039</v>
      </c>
      <c r="L155" s="26" t="s">
        <v>931</v>
      </c>
      <c r="M155" s="28" t="s">
        <v>1377</v>
      </c>
      <c r="Q155" s="27"/>
      <c r="R155" s="26">
        <v>9338</v>
      </c>
      <c r="S155" s="26">
        <v>350</v>
      </c>
      <c r="T155" s="26">
        <f>IF(Table2[[#This Row],[PMT]]="NA","NA",Table2[[#This Row],[PMT]]+1)</f>
        <v>351</v>
      </c>
      <c r="U155" s="26">
        <f>IF(Table2[[#This Row],[PMT]]="NA","NA",Table2[[#This Row],[PMT]]+2)</f>
        <v>352</v>
      </c>
      <c r="V155" s="26">
        <v>0</v>
      </c>
      <c r="W155" s="26">
        <f>IF(Table2[[#This Row],[PMT]]="NA","NA",Table2[[#This Row],[PMT]]+8)-Table2[[#This Row],[Const]]</f>
        <v>358</v>
      </c>
      <c r="X155" s="26" t="str">
        <f>IF(W155="NA","",CONCATENATE("0B 04 00 ",DEC2HEX($G155,2)," ",LEFT(DEC2HEX(W155,4),2)," ",RIGHT(DEC2HEX(W155,4),2)))</f>
        <v>0B 04 00 08 01 66</v>
      </c>
      <c r="Y155" s="26">
        <f>IF(Table2[[#This Row],[PMT]]="NA","NA",Table2[[#This Row],[PMT]]+14)-Table2[[#This Row],[Const]]</f>
        <v>364</v>
      </c>
      <c r="Z155" s="26" t="str">
        <f>IF(Y155="NA","",CONCATENATE("0B 04 00 ",DEC2HEX($G155,2)," ",LEFT(DEC2HEX(Y155,4),2)," ",RIGHT(DEC2HEX(Y155,4),2)))</f>
        <v>0B 04 00 08 01 6C</v>
      </c>
      <c r="AA155" s="26" t="s">
        <v>1063</v>
      </c>
      <c r="AB155" s="26" t="s">
        <v>1084</v>
      </c>
      <c r="AC155" s="26"/>
      <c r="AD155" s="26" t="s">
        <v>346</v>
      </c>
      <c r="AE155" s="26"/>
      <c r="AF155" s="26"/>
      <c r="AI155" s="26"/>
      <c r="AJ155" s="26"/>
      <c r="AL155" s="26"/>
      <c r="AW155" s="26"/>
      <c r="AX155" s="26"/>
      <c r="AY155" s="26"/>
    </row>
    <row r="156" spans="1:51" x14ac:dyDescent="0.25">
      <c r="A156" s="26">
        <v>204</v>
      </c>
      <c r="B156" s="26" t="s">
        <v>230</v>
      </c>
      <c r="C156" s="26">
        <v>5180</v>
      </c>
      <c r="D156" s="27" t="s">
        <v>1051</v>
      </c>
      <c r="E156" s="26">
        <v>503</v>
      </c>
      <c r="F156" s="26">
        <v>2</v>
      </c>
      <c r="G156" s="26">
        <v>2</v>
      </c>
      <c r="H156" s="26" t="s">
        <v>349</v>
      </c>
      <c r="I156" s="26" t="s">
        <v>1350</v>
      </c>
      <c r="J156" s="26" t="s">
        <v>1040</v>
      </c>
      <c r="K156" s="26" t="s">
        <v>953</v>
      </c>
      <c r="L156" s="26" t="s">
        <v>931</v>
      </c>
      <c r="M156" s="26" t="s">
        <v>1376</v>
      </c>
      <c r="N156" s="26" t="s">
        <v>1080</v>
      </c>
      <c r="O156" s="26" t="s">
        <v>1384</v>
      </c>
      <c r="P156" s="26">
        <v>3845</v>
      </c>
      <c r="Q156" s="27" t="s">
        <v>1382</v>
      </c>
      <c r="R156" s="26">
        <v>5503</v>
      </c>
      <c r="S156" s="26">
        <v>1320</v>
      </c>
      <c r="T156" s="26">
        <f>IF(Table2[[#This Row],[PMT]]="NA","NA",Table2[[#This Row],[PMT]]+1)</f>
        <v>1321</v>
      </c>
      <c r="U156" s="26">
        <f>IF(Table2[[#This Row],[PMT]]="NA","NA",Table2[[#This Row],[PMT]]+2)</f>
        <v>1322</v>
      </c>
      <c r="V156" s="26">
        <v>0</v>
      </c>
      <c r="W156" s="26">
        <f>IF(Table2[[#This Row],[PMT]]="NA","NA",Table2[[#This Row],[PMT]]+8)-Table2[[#This Row],[Const]]</f>
        <v>1328</v>
      </c>
      <c r="X156" s="26" t="str">
        <f>IF(W156="NA","",CONCATENATE("0B 04 00 ",DEC2HEX($G156,2)," ",LEFT(DEC2HEX(W156,4),2)," ",RIGHT(DEC2HEX(W156,4),2)))</f>
        <v>0B 04 00 02 05 30</v>
      </c>
      <c r="Y156" s="26">
        <f>IF(Table2[[#This Row],[PMT]]="NA","NA",Table2[[#This Row],[PMT]]+14)-Table2[[#This Row],[Const]]</f>
        <v>1334</v>
      </c>
      <c r="Z156" s="26" t="str">
        <f>IF(Y156="NA","",CONCATENATE("0B 04 00 ",DEC2HEX($G156,2)," ",LEFT(DEC2HEX(Y156,4),2)," ",RIGHT(DEC2HEX(Y156,4),2)))</f>
        <v>0B 04 00 02 05 36</v>
      </c>
      <c r="AA156" s="26" t="s">
        <v>349</v>
      </c>
      <c r="AB156" s="26"/>
      <c r="AC156" s="26"/>
      <c r="AD156" s="26" t="s">
        <v>814</v>
      </c>
      <c r="AE156" s="26"/>
      <c r="AF156" s="26"/>
      <c r="AI156" s="26"/>
      <c r="AJ156" s="26"/>
      <c r="AL156" s="26"/>
      <c r="AW156" s="26"/>
      <c r="AX156" s="26"/>
      <c r="AY156" s="26"/>
    </row>
    <row r="157" spans="1:51" x14ac:dyDescent="0.25">
      <c r="A157" s="26">
        <v>357</v>
      </c>
      <c r="B157" s="26" t="s">
        <v>164</v>
      </c>
      <c r="C157" s="26">
        <v>5180</v>
      </c>
      <c r="D157" s="27" t="s">
        <v>630</v>
      </c>
      <c r="E157" s="26">
        <v>850</v>
      </c>
      <c r="F157" s="26">
        <v>2</v>
      </c>
      <c r="G157" s="26">
        <v>2</v>
      </c>
      <c r="H157" s="26" t="s">
        <v>349</v>
      </c>
      <c r="I157" s="26" t="s">
        <v>1357</v>
      </c>
      <c r="J157" s="26" t="s">
        <v>1040</v>
      </c>
      <c r="K157" s="26" t="s">
        <v>953</v>
      </c>
      <c r="L157" s="26" t="s">
        <v>931</v>
      </c>
      <c r="M157" s="28"/>
      <c r="Q157" s="27"/>
      <c r="R157" s="26">
        <v>2568</v>
      </c>
      <c r="S157" s="26">
        <v>1080</v>
      </c>
      <c r="T157" s="26">
        <f>IF(Table2[[#This Row],[PMT]]="NA","NA",Table2[[#This Row],[PMT]]+1)</f>
        <v>1081</v>
      </c>
      <c r="U157" s="26">
        <f>IF(Table2[[#This Row],[PMT]]="NA","NA",Table2[[#This Row],[PMT]]+2)</f>
        <v>1082</v>
      </c>
      <c r="V157" s="26">
        <v>0</v>
      </c>
      <c r="W157" s="26">
        <f>IF(Table2[[#This Row],[PMT]]="NA","NA",Table2[[#This Row],[PMT]]+8)-Table2[[#This Row],[Const]]</f>
        <v>1088</v>
      </c>
      <c r="X157" s="26" t="str">
        <f>IF(W157="NA","",CONCATENATE("0B 04 00 ",DEC2HEX($G157,2)," ",LEFT(DEC2HEX(W157,4),2)," ",RIGHT(DEC2HEX(W157,4),2)))</f>
        <v>0B 04 00 02 04 40</v>
      </c>
      <c r="Y157" s="26">
        <f>IF(Table2[[#This Row],[PMT]]="NA","NA",Table2[[#This Row],[PMT]]+14)-Table2[[#This Row],[Const]]</f>
        <v>1094</v>
      </c>
      <c r="Z157" s="26" t="str">
        <f>IF(Y157="NA","",CONCATENATE("0B 04 00 ",DEC2HEX($G157,2)," ",LEFT(DEC2HEX(Y157,4),2)," ",RIGHT(DEC2HEX(Y157,4),2)))</f>
        <v>0B 04 00 02 04 46</v>
      </c>
      <c r="AA157" s="26"/>
      <c r="AB157" s="26"/>
      <c r="AC157" s="26"/>
      <c r="AD157" s="26" t="s">
        <v>815</v>
      </c>
      <c r="AE157" s="26"/>
      <c r="AF157" s="26"/>
      <c r="AI157" s="26"/>
      <c r="AJ157" s="26"/>
      <c r="AL157" s="26"/>
      <c r="AW157" s="26"/>
      <c r="AX157" s="26"/>
      <c r="AY157" s="26"/>
    </row>
    <row r="158" spans="1:51" x14ac:dyDescent="0.25">
      <c r="A158" s="26">
        <v>10</v>
      </c>
      <c r="B158" s="26" t="s">
        <v>162</v>
      </c>
      <c r="C158" s="26">
        <v>5180</v>
      </c>
      <c r="D158" s="27" t="s">
        <v>355</v>
      </c>
      <c r="E158" s="26">
        <v>108</v>
      </c>
      <c r="F158" s="26">
        <v>2</v>
      </c>
      <c r="G158" s="26">
        <v>2</v>
      </c>
      <c r="H158" s="26" t="s">
        <v>349</v>
      </c>
      <c r="I158" s="26" t="s">
        <v>443</v>
      </c>
      <c r="J158" s="26" t="s">
        <v>1040</v>
      </c>
      <c r="K158" s="26" t="s">
        <v>953</v>
      </c>
      <c r="L158" s="26" t="s">
        <v>931</v>
      </c>
      <c r="M158" s="28" t="s">
        <v>1377</v>
      </c>
      <c r="N158" s="26" t="s">
        <v>1086</v>
      </c>
      <c r="O158" s="26" t="s">
        <v>1091</v>
      </c>
      <c r="P158" s="26">
        <v>3940</v>
      </c>
      <c r="Q158" s="27"/>
      <c r="R158" s="26">
        <v>1104</v>
      </c>
      <c r="S158" s="26">
        <v>480</v>
      </c>
      <c r="T158" s="26">
        <f>IF(Table2[[#This Row],[PMT]]="NA","NA",Table2[[#This Row],[PMT]]+1)</f>
        <v>481</v>
      </c>
      <c r="U158" s="26">
        <f>IF(Table2[[#This Row],[PMT]]="NA","NA",Table2[[#This Row],[PMT]]+2)</f>
        <v>482</v>
      </c>
      <c r="V158" s="26">
        <v>0</v>
      </c>
      <c r="W158" s="26">
        <f>IF(Table2[[#This Row],[PMT]]="NA","NA",Table2[[#This Row],[PMT]]+8)-Table2[[#This Row],[Const]]</f>
        <v>488</v>
      </c>
      <c r="X158" s="26" t="str">
        <f>IF(W158="NA","",CONCATENATE("0B 04 00 ",DEC2HEX($G158,2)," ",LEFT(DEC2HEX(W158,4),2)," ",RIGHT(DEC2HEX(W158,4),2)))</f>
        <v>0B 04 00 02 01 E8</v>
      </c>
      <c r="Y158" s="26">
        <f>IF(Table2[[#This Row],[PMT]]="NA","NA",Table2[[#This Row],[PMT]]+14)-Table2[[#This Row],[Const]]</f>
        <v>494</v>
      </c>
      <c r="Z158" s="26" t="str">
        <f>IF(Y158="NA","",CONCATENATE("0B 04 00 ",DEC2HEX($G158,2)," ",LEFT(DEC2HEX(Y158,4),2)," ",RIGHT(DEC2HEX(Y158,4),2)))</f>
        <v>0B 04 00 02 01 EE</v>
      </c>
      <c r="AA158" s="26" t="s">
        <v>349</v>
      </c>
      <c r="AB158" s="26" t="s">
        <v>443</v>
      </c>
      <c r="AC158" s="26">
        <v>28100</v>
      </c>
      <c r="AD158" s="26" t="s">
        <v>1075</v>
      </c>
      <c r="AE158" s="26"/>
      <c r="AF158" s="26"/>
      <c r="AI158" s="26"/>
      <c r="AJ158" s="26"/>
      <c r="AL158" s="26"/>
      <c r="AW158" s="26"/>
      <c r="AX158" s="26"/>
      <c r="AY158" s="26"/>
    </row>
    <row r="159" spans="1:51" x14ac:dyDescent="0.25">
      <c r="A159" s="26">
        <v>110</v>
      </c>
      <c r="B159" s="26" t="s">
        <v>1361</v>
      </c>
      <c r="C159" s="26">
        <v>5180</v>
      </c>
      <c r="D159" s="27" t="s">
        <v>1108</v>
      </c>
      <c r="E159" s="26">
        <v>267</v>
      </c>
      <c r="F159" s="26">
        <v>4</v>
      </c>
      <c r="G159" s="26">
        <v>4</v>
      </c>
      <c r="H159" s="26" t="s">
        <v>1057</v>
      </c>
      <c r="I159" s="26" t="s">
        <v>443</v>
      </c>
      <c r="J159" s="26" t="s">
        <v>1040</v>
      </c>
      <c r="K159" s="26" t="s">
        <v>953</v>
      </c>
      <c r="L159" s="26" t="s">
        <v>931</v>
      </c>
      <c r="M159" s="28" t="s">
        <v>1376</v>
      </c>
      <c r="N159" s="31"/>
      <c r="O159" s="31"/>
      <c r="P159" s="31"/>
      <c r="Q159" s="32"/>
      <c r="R159" s="26">
        <v>4297</v>
      </c>
      <c r="S159" s="26">
        <v>760</v>
      </c>
      <c r="T159" s="26">
        <f>IF(Table2[[#This Row],[PMT]]="NA","NA",Table2[[#This Row],[PMT]]+1)</f>
        <v>761</v>
      </c>
      <c r="U159" s="26">
        <f>IF(Table2[[#This Row],[PMT]]="NA","NA",Table2[[#This Row],[PMT]]+2)</f>
        <v>762</v>
      </c>
      <c r="V159" s="26">
        <v>0</v>
      </c>
      <c r="W159" s="26">
        <f>IF(Table2[[#This Row],[PMT]]="NA","NA",Table2[[#This Row],[PMT]]+8)-Table2[[#This Row],[Const]]</f>
        <v>768</v>
      </c>
      <c r="X159" s="31" t="str">
        <f>IF(W159="NA","",CONCATENATE("0B 04 00 ",DEC2HEX($G159,2)," ",LEFT(DEC2HEX(W159,4),2)," ",RIGHT(DEC2HEX(W159,4),2)))</f>
        <v>0B 04 00 04 03 00</v>
      </c>
      <c r="Y159" s="26">
        <f>IF(Table2[[#This Row],[PMT]]="NA","NA",Table2[[#This Row],[PMT]]+14)-Table2[[#This Row],[Const]]</f>
        <v>774</v>
      </c>
      <c r="Z159" s="31" t="str">
        <f>IF(Y159="NA","",CONCATENATE("0B 04 00 ",DEC2HEX($G159,2)," ",LEFT(DEC2HEX(Y159,4),2)," ",RIGHT(DEC2HEX(Y159,4),2)))</f>
        <v>0B 04 00 04 03 06</v>
      </c>
      <c r="AA159" s="26"/>
      <c r="AB159" s="26"/>
      <c r="AC159" s="31"/>
      <c r="AD159" s="31"/>
      <c r="AE159" s="26"/>
      <c r="AF159" s="26"/>
      <c r="AI159" s="26"/>
      <c r="AJ159" s="26"/>
      <c r="AL159" s="26"/>
      <c r="AW159" s="26"/>
      <c r="AX159" s="26"/>
      <c r="AY159" s="26"/>
    </row>
    <row r="160" spans="1:51" x14ac:dyDescent="0.25">
      <c r="A160" s="26">
        <v>125</v>
      </c>
      <c r="B160" s="26" t="s">
        <v>142</v>
      </c>
      <c r="C160" s="26">
        <v>5180</v>
      </c>
      <c r="D160" s="27" t="s">
        <v>435</v>
      </c>
      <c r="E160" s="26">
        <v>292</v>
      </c>
      <c r="F160" s="26">
        <v>6</v>
      </c>
      <c r="G160" s="26">
        <v>6</v>
      </c>
      <c r="H160" s="26" t="s">
        <v>1057</v>
      </c>
      <c r="I160" s="26" t="s">
        <v>443</v>
      </c>
      <c r="J160" s="26" t="s">
        <v>1040</v>
      </c>
      <c r="K160" s="26" t="s">
        <v>953</v>
      </c>
      <c r="L160" s="26" t="s">
        <v>931</v>
      </c>
      <c r="M160" s="28" t="s">
        <v>1376</v>
      </c>
      <c r="Q160" s="27"/>
      <c r="R160" s="26">
        <v>3283</v>
      </c>
      <c r="S160" s="26">
        <v>420</v>
      </c>
      <c r="T160" s="26">
        <f>IF(Table2[[#This Row],[PMT]]="NA","NA",Table2[[#This Row],[PMT]]+1)</f>
        <v>421</v>
      </c>
      <c r="U160" s="26">
        <f>IF(Table2[[#This Row],[PMT]]="NA","NA",Table2[[#This Row],[PMT]]+2)</f>
        <v>422</v>
      </c>
      <c r="V160" s="26">
        <v>0</v>
      </c>
      <c r="W160" s="26">
        <f>IF(Table2[[#This Row],[PMT]]="NA","NA",Table2[[#This Row],[PMT]]+8)-Table2[[#This Row],[Const]]</f>
        <v>428</v>
      </c>
      <c r="X160" s="26" t="str">
        <f>IF(W160="NA","",CONCATENATE("0B 04 00 ",DEC2HEX($G160,2)," ",LEFT(DEC2HEX(W160,4),2)," ",RIGHT(DEC2HEX(W160,4),2)))</f>
        <v>0B 04 00 06 01 AC</v>
      </c>
      <c r="Y160" s="26">
        <f>IF(Table2[[#This Row],[PMT]]="NA","NA",Table2[[#This Row],[PMT]]+14)-Table2[[#This Row],[Const]]</f>
        <v>434</v>
      </c>
      <c r="Z160" s="26" t="str">
        <f>IF(Y160="NA","",CONCATENATE("0B 04 00 ",DEC2HEX($G160,2)," ",LEFT(DEC2HEX(Y160,4),2)," ",RIGHT(DEC2HEX(Y160,4),2)))</f>
        <v>0B 04 00 06 01 B2</v>
      </c>
      <c r="AA160" s="26" t="s">
        <v>1057</v>
      </c>
      <c r="AB160" s="26" t="s">
        <v>443</v>
      </c>
      <c r="AC160" s="26"/>
      <c r="AD160" s="26" t="s">
        <v>814</v>
      </c>
      <c r="AE160" s="26"/>
      <c r="AF160" s="26"/>
      <c r="AI160" s="26"/>
      <c r="AJ160" s="26"/>
      <c r="AL160" s="26"/>
      <c r="AW160" s="26"/>
      <c r="AX160" s="26"/>
      <c r="AY160" s="26"/>
    </row>
    <row r="161" spans="1:51" hidden="1" x14ac:dyDescent="0.25">
      <c r="A161" s="26">
        <v>156</v>
      </c>
      <c r="B161" s="26" t="s">
        <v>346</v>
      </c>
      <c r="C161" s="26" t="s">
        <v>346</v>
      </c>
      <c r="D161" s="27" t="s">
        <v>471</v>
      </c>
      <c r="E161" s="26">
        <v>345</v>
      </c>
      <c r="F161" s="26" t="s">
        <v>346</v>
      </c>
      <c r="G161" s="26">
        <v>7</v>
      </c>
      <c r="H161" s="26" t="s">
        <v>1063</v>
      </c>
      <c r="I161" s="26" t="s">
        <v>1084</v>
      </c>
      <c r="J161" s="26" t="s">
        <v>1038</v>
      </c>
      <c r="K161" s="26" t="s">
        <v>1039</v>
      </c>
      <c r="L161" s="26" t="s">
        <v>931</v>
      </c>
      <c r="M161" s="28" t="s">
        <v>1377</v>
      </c>
      <c r="Q161" s="27"/>
      <c r="R161" s="26">
        <v>6345</v>
      </c>
      <c r="S161" s="26">
        <v>780</v>
      </c>
      <c r="T161" s="26">
        <f>IF(Table2[[#This Row],[PMT]]="NA","NA",Table2[[#This Row],[PMT]]+1)</f>
        <v>781</v>
      </c>
      <c r="U161" s="26">
        <f>IF(Table2[[#This Row],[PMT]]="NA","NA",Table2[[#This Row],[PMT]]+2)</f>
        <v>782</v>
      </c>
      <c r="V161" s="26">
        <v>0</v>
      </c>
      <c r="W161" s="26">
        <f>IF(Table2[[#This Row],[PMT]]="NA","NA",Table2[[#This Row],[PMT]]+8)-Table2[[#This Row],[Const]]</f>
        <v>788</v>
      </c>
      <c r="X161" s="26" t="str">
        <f>IF(W161="NA","",CONCATENATE("0B 04 00 ",DEC2HEX($G161,2)," ",LEFT(DEC2HEX(W161,4),2)," ",RIGHT(DEC2HEX(W161,4),2)))</f>
        <v>0B 04 00 07 03 14</v>
      </c>
      <c r="Y161" s="26">
        <f>IF(Table2[[#This Row],[PMT]]="NA","NA",Table2[[#This Row],[PMT]]+14)-Table2[[#This Row],[Const]]</f>
        <v>794</v>
      </c>
      <c r="Z161" s="26" t="str">
        <f>IF(Y161="NA","",CONCATENATE("0B 04 00 ",DEC2HEX($G161,2)," ",LEFT(DEC2HEX(Y161,4),2)," ",RIGHT(DEC2HEX(Y161,4),2)))</f>
        <v>0B 04 00 07 03 1A</v>
      </c>
      <c r="AA161" s="26" t="s">
        <v>1063</v>
      </c>
      <c r="AB161" s="26" t="s">
        <v>1084</v>
      </c>
      <c r="AC161" s="26"/>
      <c r="AD161" s="26" t="s">
        <v>346</v>
      </c>
      <c r="AE161" s="26"/>
      <c r="AF161" s="26"/>
      <c r="AI161" s="26"/>
      <c r="AJ161" s="26"/>
      <c r="AL161" s="26"/>
      <c r="AW161" s="26"/>
      <c r="AX161" s="26"/>
      <c r="AY161" s="26"/>
    </row>
    <row r="162" spans="1:51" x14ac:dyDescent="0.25">
      <c r="A162" s="26">
        <v>239</v>
      </c>
      <c r="B162" s="26" t="s">
        <v>646</v>
      </c>
      <c r="C162" s="26">
        <v>5001</v>
      </c>
      <c r="D162" s="27" t="s">
        <v>539</v>
      </c>
      <c r="E162" s="26">
        <v>538</v>
      </c>
      <c r="F162" s="26">
        <v>6</v>
      </c>
      <c r="G162" s="26">
        <v>6</v>
      </c>
      <c r="H162" s="26" t="s">
        <v>1053</v>
      </c>
      <c r="I162" s="26" t="s">
        <v>523</v>
      </c>
      <c r="J162" s="26" t="s">
        <v>931</v>
      </c>
      <c r="K162" s="26" t="s">
        <v>1042</v>
      </c>
      <c r="L162" s="26" t="s">
        <v>931</v>
      </c>
      <c r="M162" s="26" t="s">
        <v>1377</v>
      </c>
      <c r="N162" s="26" t="s">
        <v>1080</v>
      </c>
      <c r="O162" s="26" t="s">
        <v>1090</v>
      </c>
      <c r="P162" s="26">
        <v>3845</v>
      </c>
      <c r="Q162" s="27" t="s">
        <v>1382</v>
      </c>
      <c r="R162" s="26">
        <v>12089</v>
      </c>
      <c r="S162" s="26">
        <v>460</v>
      </c>
      <c r="T162" s="26">
        <f>IF(Table2[[#This Row],[PMT]]="NA","NA",Table2[[#This Row],[PMT]]+1)</f>
        <v>461</v>
      </c>
      <c r="U162" s="26">
        <f>IF(Table2[[#This Row],[PMT]]="NA","NA",Table2[[#This Row],[PMT]]+2)</f>
        <v>462</v>
      </c>
      <c r="V162" s="26">
        <v>0</v>
      </c>
      <c r="W162" s="26">
        <f>IF(Table2[[#This Row],[PMT]]="NA","NA",Table2[[#This Row],[PMT]]+8)-Table2[[#This Row],[Const]]</f>
        <v>468</v>
      </c>
      <c r="X162" s="26" t="str">
        <f>IF(W162="NA","",CONCATENATE("0B 04 00 ",DEC2HEX($G162,2)," ",LEFT(DEC2HEX(W162,4),2)," ",RIGHT(DEC2HEX(W162,4),2)))</f>
        <v>0B 04 00 06 01 D4</v>
      </c>
      <c r="Y162" s="26">
        <f>IF(Table2[[#This Row],[PMT]]="NA","NA",Table2[[#This Row],[PMT]]+14)-Table2[[#This Row],[Const]]</f>
        <v>474</v>
      </c>
      <c r="Z162" s="26" t="str">
        <f>IF(Y162="NA","",CONCATENATE("0B 04 00 ",DEC2HEX($G162,2)," ",LEFT(DEC2HEX(Y162,4),2)," ",RIGHT(DEC2HEX(Y162,4),2)))</f>
        <v>0B 04 00 06 01 DA</v>
      </c>
      <c r="AA162" s="26"/>
      <c r="AB162" s="26"/>
      <c r="AC162" s="26"/>
      <c r="AD162" s="26" t="s">
        <v>346</v>
      </c>
      <c r="AE162" s="26"/>
      <c r="AF162" s="26"/>
      <c r="AI162" s="26"/>
      <c r="AJ162" s="26"/>
      <c r="AL162" s="26"/>
      <c r="AW162" s="26"/>
      <c r="AX162" s="26"/>
      <c r="AY162" s="26"/>
    </row>
    <row r="163" spans="1:51" x14ac:dyDescent="0.25">
      <c r="A163" s="26">
        <v>238</v>
      </c>
      <c r="B163" s="26" t="s">
        <v>646</v>
      </c>
      <c r="C163" s="26">
        <v>5001</v>
      </c>
      <c r="D163" s="27" t="s">
        <v>538</v>
      </c>
      <c r="E163" s="26">
        <v>537</v>
      </c>
      <c r="F163" s="26">
        <v>1</v>
      </c>
      <c r="G163" s="26">
        <v>1</v>
      </c>
      <c r="H163" s="26" t="s">
        <v>1053</v>
      </c>
      <c r="I163" s="26" t="s">
        <v>523</v>
      </c>
      <c r="J163" s="26" t="s">
        <v>931</v>
      </c>
      <c r="K163" s="26" t="s">
        <v>1042</v>
      </c>
      <c r="L163" s="26" t="s">
        <v>931</v>
      </c>
      <c r="M163" s="26" t="s">
        <v>1377</v>
      </c>
      <c r="N163" s="26" t="s">
        <v>1080</v>
      </c>
      <c r="O163" s="26" t="s">
        <v>1090</v>
      </c>
      <c r="P163" s="26">
        <v>3845</v>
      </c>
      <c r="Q163" s="27" t="s">
        <v>1382</v>
      </c>
      <c r="R163" s="26">
        <v>9537</v>
      </c>
      <c r="S163" s="26">
        <v>560</v>
      </c>
      <c r="T163" s="26">
        <f>IF(Table2[[#This Row],[PMT]]="NA","NA",Table2[[#This Row],[PMT]]+1)</f>
        <v>561</v>
      </c>
      <c r="U163" s="26">
        <f>IF(Table2[[#This Row],[PMT]]="NA","NA",Table2[[#This Row],[PMT]]+2)</f>
        <v>562</v>
      </c>
      <c r="V163" s="26">
        <v>1</v>
      </c>
      <c r="W163" s="26">
        <f>IF(Table2[[#This Row],[PMT]]="NA","NA",Table2[[#This Row],[PMT]]+8)-Table2[[#This Row],[Const]]</f>
        <v>567</v>
      </c>
      <c r="X163" s="26" t="str">
        <f>IF(W163="NA","",CONCATENATE("0B 04 00 ",DEC2HEX($G163,2)," ",LEFT(DEC2HEX(W163,4),2)," ",RIGHT(DEC2HEX(W163,4),2)))</f>
        <v>0B 04 00 01 02 37</v>
      </c>
      <c r="Y163" s="26">
        <f>IF(Table2[[#This Row],[PMT]]="NA","NA",Table2[[#This Row],[PMT]]+14)-Table2[[#This Row],[Const]]</f>
        <v>573</v>
      </c>
      <c r="Z163" s="26" t="str">
        <f>IF(Y163="NA","",CONCATENATE("0B 04 00 ",DEC2HEX($G163,2)," ",LEFT(DEC2HEX(Y163,4),2)," ",RIGHT(DEC2HEX(Y163,4),2)))</f>
        <v>0B 04 00 01 02 3D</v>
      </c>
      <c r="AA163" s="26" t="s">
        <v>1053</v>
      </c>
      <c r="AB163" s="26"/>
      <c r="AC163" s="26">
        <v>27692</v>
      </c>
      <c r="AD163" s="26" t="s">
        <v>1075</v>
      </c>
      <c r="AE163" s="26"/>
      <c r="AF163" s="26"/>
      <c r="AI163" s="26"/>
      <c r="AJ163" s="26"/>
      <c r="AL163" s="26"/>
      <c r="AW163" s="26"/>
      <c r="AX163" s="26"/>
      <c r="AY163" s="26"/>
    </row>
    <row r="164" spans="1:51" x14ac:dyDescent="0.25">
      <c r="A164" s="26">
        <v>233</v>
      </c>
      <c r="B164" s="26" t="s">
        <v>646</v>
      </c>
      <c r="C164" s="26">
        <v>5001</v>
      </c>
      <c r="D164" s="27" t="s">
        <v>533</v>
      </c>
      <c r="E164" s="26">
        <v>532</v>
      </c>
      <c r="F164" s="26">
        <v>2</v>
      </c>
      <c r="G164" s="26">
        <v>2</v>
      </c>
      <c r="H164" s="26" t="s">
        <v>361</v>
      </c>
      <c r="I164" s="26" t="s">
        <v>523</v>
      </c>
      <c r="J164" s="26" t="s">
        <v>931</v>
      </c>
      <c r="K164" s="26" t="s">
        <v>1042</v>
      </c>
      <c r="L164" s="26" t="s">
        <v>931</v>
      </c>
      <c r="M164" s="26" t="s">
        <v>1377</v>
      </c>
      <c r="N164" s="26" t="s">
        <v>1080</v>
      </c>
      <c r="O164" s="26" t="s">
        <v>1090</v>
      </c>
      <c r="P164" s="26">
        <v>3845</v>
      </c>
      <c r="Q164" s="27" t="s">
        <v>1382</v>
      </c>
      <c r="R164" s="26">
        <v>9538</v>
      </c>
      <c r="S164" s="26">
        <v>840</v>
      </c>
      <c r="T164" s="26">
        <f>IF(Table2[[#This Row],[PMT]]="NA","NA",Table2[[#This Row],[PMT]]+1)</f>
        <v>841</v>
      </c>
      <c r="U164" s="26">
        <f>IF(Table2[[#This Row],[PMT]]="NA","NA",Table2[[#This Row],[PMT]]+2)</f>
        <v>842</v>
      </c>
      <c r="V164" s="26">
        <v>0</v>
      </c>
      <c r="W164" s="26">
        <f>IF(Table2[[#This Row],[PMT]]="NA","NA",Table2[[#This Row],[PMT]]+8)-Table2[[#This Row],[Const]]</f>
        <v>848</v>
      </c>
      <c r="X164" s="26" t="str">
        <f>IF(W164="NA","",CONCATENATE("0B 04 00 ",DEC2HEX($G164,2)," ",LEFT(DEC2HEX(W164,4),2)," ",RIGHT(DEC2HEX(W164,4),2)))</f>
        <v>0B 04 00 02 03 50</v>
      </c>
      <c r="Y164" s="26">
        <f>IF(Table2[[#This Row],[PMT]]="NA","NA",Table2[[#This Row],[PMT]]+14)-Table2[[#This Row],[Const]]</f>
        <v>854</v>
      </c>
      <c r="Z164" s="26" t="str">
        <f>IF(Y164="NA","",CONCATENATE("0B 04 00 ",DEC2HEX($G164,2)," ",LEFT(DEC2HEX(Y164,4),2)," ",RIGHT(DEC2HEX(Y164,4),2)))</f>
        <v>0B 04 00 02 03 56</v>
      </c>
      <c r="AA164" s="26" t="s">
        <v>361</v>
      </c>
      <c r="AB164" s="26"/>
      <c r="AC164" s="26"/>
      <c r="AD164" s="26" t="s">
        <v>1081</v>
      </c>
      <c r="AE164" s="26"/>
      <c r="AF164" s="26"/>
      <c r="AI164" s="26"/>
      <c r="AJ164" s="26"/>
      <c r="AL164" s="26"/>
      <c r="AW164" s="26"/>
      <c r="AX164" s="26"/>
      <c r="AY164" s="26"/>
    </row>
    <row r="165" spans="1:51" hidden="1" x14ac:dyDescent="0.25">
      <c r="A165" s="26">
        <v>160</v>
      </c>
      <c r="B165" s="26" t="s">
        <v>346</v>
      </c>
      <c r="C165" s="26" t="s">
        <v>346</v>
      </c>
      <c r="D165" s="27" t="s">
        <v>475</v>
      </c>
      <c r="E165" s="26">
        <v>349</v>
      </c>
      <c r="F165" s="26" t="s">
        <v>346</v>
      </c>
      <c r="G165" s="26">
        <v>1</v>
      </c>
      <c r="H165" s="26" t="s">
        <v>1063</v>
      </c>
      <c r="I165" s="26" t="s">
        <v>1084</v>
      </c>
      <c r="J165" s="26" t="s">
        <v>1038</v>
      </c>
      <c r="K165" s="26" t="s">
        <v>1039</v>
      </c>
      <c r="L165" s="26" t="s">
        <v>931</v>
      </c>
      <c r="M165" s="26" t="s">
        <v>1377</v>
      </c>
      <c r="N165" s="26" t="s">
        <v>1086</v>
      </c>
      <c r="O165" s="26" t="s">
        <v>1380</v>
      </c>
      <c r="P165" s="26">
        <v>4000</v>
      </c>
      <c r="Q165" s="27" t="s">
        <v>1043</v>
      </c>
      <c r="R165" s="26">
        <v>12033</v>
      </c>
      <c r="S165" s="26">
        <v>2100</v>
      </c>
      <c r="T165" s="26">
        <f>IF(Table2[[#This Row],[PMT]]="NA","NA",Table2[[#This Row],[PMT]]+1)</f>
        <v>2101</v>
      </c>
      <c r="U165" s="26">
        <f>IF(Table2[[#This Row],[PMT]]="NA","NA",Table2[[#This Row],[PMT]]+2)</f>
        <v>2102</v>
      </c>
      <c r="V165" s="26">
        <v>0</v>
      </c>
      <c r="W165" s="26">
        <f>IF(Table2[[#This Row],[PMT]]="NA","NA",Table2[[#This Row],[PMT]]+8)-Table2[[#This Row],[Const]]</f>
        <v>2108</v>
      </c>
      <c r="X165" s="26" t="str">
        <f>IF(W165="NA","",CONCATENATE("0B 04 00 ",DEC2HEX($G165,2)," ",LEFT(DEC2HEX(W165,4),2)," ",RIGHT(DEC2HEX(W165,4),2)))</f>
        <v>0B 04 00 01 08 3C</v>
      </c>
      <c r="Y165" s="26">
        <f>IF(Table2[[#This Row],[PMT]]="NA","NA",Table2[[#This Row],[PMT]]+14)-Table2[[#This Row],[Const]]</f>
        <v>2114</v>
      </c>
      <c r="Z165" s="26" t="str">
        <f>IF(Y165="NA","",CONCATENATE("0B 04 00 ",DEC2HEX($G165,2)," ",LEFT(DEC2HEX(Y165,4),2)," ",RIGHT(DEC2HEX(Y165,4),2)))</f>
        <v>0B 04 00 01 08 42</v>
      </c>
      <c r="AA165" s="26" t="s">
        <v>1063</v>
      </c>
      <c r="AB165" s="26" t="s">
        <v>1084</v>
      </c>
      <c r="AC165" s="26">
        <v>28100</v>
      </c>
      <c r="AD165" s="26" t="s">
        <v>346</v>
      </c>
      <c r="AE165" s="26"/>
      <c r="AF165" s="26"/>
      <c r="AI165" s="26"/>
      <c r="AJ165" s="26"/>
      <c r="AL165" s="26"/>
      <c r="AW165" s="26"/>
      <c r="AX165" s="26"/>
      <c r="AY165" s="26"/>
    </row>
    <row r="166" spans="1:51" hidden="1" x14ac:dyDescent="0.25">
      <c r="A166" s="26">
        <v>161</v>
      </c>
      <c r="B166" s="26" t="s">
        <v>346</v>
      </c>
      <c r="C166" s="26" t="s">
        <v>346</v>
      </c>
      <c r="D166" s="27" t="s">
        <v>476</v>
      </c>
      <c r="E166" s="26">
        <v>351</v>
      </c>
      <c r="F166" s="26" t="s">
        <v>346</v>
      </c>
      <c r="G166" s="26">
        <v>1</v>
      </c>
      <c r="H166" s="26" t="s">
        <v>1063</v>
      </c>
      <c r="I166" s="26" t="s">
        <v>1084</v>
      </c>
      <c r="J166" s="26" t="s">
        <v>1038</v>
      </c>
      <c r="K166" s="26" t="s">
        <v>1039</v>
      </c>
      <c r="L166" s="26" t="s">
        <v>931</v>
      </c>
      <c r="M166" s="26" t="s">
        <v>1377</v>
      </c>
      <c r="N166" s="26" t="s">
        <v>1086</v>
      </c>
      <c r="O166" s="26" t="s">
        <v>1380</v>
      </c>
      <c r="P166" s="26">
        <v>4000</v>
      </c>
      <c r="Q166" s="27" t="s">
        <v>1043</v>
      </c>
      <c r="R166" s="26">
        <v>12048</v>
      </c>
      <c r="S166" s="26">
        <v>2700</v>
      </c>
      <c r="T166" s="26">
        <f>IF(Table2[[#This Row],[PMT]]="NA","NA",Table2[[#This Row],[PMT]]+1)</f>
        <v>2701</v>
      </c>
      <c r="U166" s="26">
        <f>IF(Table2[[#This Row],[PMT]]="NA","NA",Table2[[#This Row],[PMT]]+2)</f>
        <v>2702</v>
      </c>
      <c r="V166" s="26">
        <v>0</v>
      </c>
      <c r="W166" s="26">
        <f>IF(Table2[[#This Row],[PMT]]="NA","NA",Table2[[#This Row],[PMT]]+8)-Table2[[#This Row],[Const]]</f>
        <v>2708</v>
      </c>
      <c r="X166" s="26" t="str">
        <f>IF(W166="NA","",CONCATENATE("0B 04 00 ",DEC2HEX($G166,2)," ",LEFT(DEC2HEX(W166,4),2)," ",RIGHT(DEC2HEX(W166,4),2)))</f>
        <v>0B 04 00 01 0A 94</v>
      </c>
      <c r="Y166" s="26">
        <f>IF(Table2[[#This Row],[PMT]]="NA","NA",Table2[[#This Row],[PMT]]+14)-Table2[[#This Row],[Const]]</f>
        <v>2714</v>
      </c>
      <c r="Z166" s="26" t="str">
        <f>IF(Y166="NA","",CONCATENATE("0B 04 00 ",DEC2HEX($G166,2)," ",LEFT(DEC2HEX(Y166,4),2)," ",RIGHT(DEC2HEX(Y166,4),2)))</f>
        <v>0B 04 00 01 0A 9A</v>
      </c>
      <c r="AA166" s="26" t="s">
        <v>1063</v>
      </c>
      <c r="AB166" s="26" t="s">
        <v>1084</v>
      </c>
      <c r="AC166" s="26">
        <v>28100</v>
      </c>
      <c r="AD166" s="26" t="s">
        <v>346</v>
      </c>
      <c r="AE166" s="26"/>
      <c r="AF166" s="26"/>
      <c r="AI166" s="26"/>
      <c r="AJ166" s="26"/>
      <c r="AL166" s="26"/>
      <c r="AW166" s="26"/>
      <c r="AX166" s="26"/>
      <c r="AY166" s="26"/>
    </row>
    <row r="167" spans="1:51" x14ac:dyDescent="0.25">
      <c r="A167" s="26">
        <v>224</v>
      </c>
      <c r="B167" s="26" t="s">
        <v>646</v>
      </c>
      <c r="C167" s="26">
        <v>5001</v>
      </c>
      <c r="D167" s="27" t="s">
        <v>525</v>
      </c>
      <c r="E167" s="26">
        <v>523</v>
      </c>
      <c r="F167" s="26">
        <v>6</v>
      </c>
      <c r="G167" s="26">
        <v>6</v>
      </c>
      <c r="H167" s="26" t="s">
        <v>349</v>
      </c>
      <c r="I167" s="26" t="s">
        <v>523</v>
      </c>
      <c r="J167" s="26" t="s">
        <v>931</v>
      </c>
      <c r="K167" s="26" t="s">
        <v>1042</v>
      </c>
      <c r="L167" s="26" t="s">
        <v>931</v>
      </c>
      <c r="M167" s="26" t="s">
        <v>1377</v>
      </c>
      <c r="N167" s="26" t="s">
        <v>1080</v>
      </c>
      <c r="O167" s="26" t="s">
        <v>1090</v>
      </c>
      <c r="P167" s="26">
        <v>3845</v>
      </c>
      <c r="Q167" s="27" t="s">
        <v>1382</v>
      </c>
      <c r="R167" s="26">
        <v>5523</v>
      </c>
      <c r="S167" s="26">
        <v>280</v>
      </c>
      <c r="T167" s="26">
        <f>IF(Table2[[#This Row],[PMT]]="NA","NA",Table2[[#This Row],[PMT]]+1)</f>
        <v>281</v>
      </c>
      <c r="U167" s="26">
        <f>IF(Table2[[#This Row],[PMT]]="NA","NA",Table2[[#This Row],[PMT]]+2)</f>
        <v>282</v>
      </c>
      <c r="V167" s="26">
        <v>0</v>
      </c>
      <c r="W167" s="26">
        <f>IF(Table2[[#This Row],[PMT]]="NA","NA",Table2[[#This Row],[PMT]]+8)-Table2[[#This Row],[Const]]</f>
        <v>288</v>
      </c>
      <c r="X167" s="26" t="str">
        <f>IF(W167="NA","",CONCATENATE("0B 04 00 ",DEC2HEX($G167,2)," ",LEFT(DEC2HEX(W167,4),2)," ",RIGHT(DEC2HEX(W167,4),2)))</f>
        <v>0B 04 00 06 01 20</v>
      </c>
      <c r="Y167" s="26">
        <f>IF(Table2[[#This Row],[PMT]]="NA","NA",Table2[[#This Row],[PMT]]+14)-Table2[[#This Row],[Const]]</f>
        <v>294</v>
      </c>
      <c r="Z167" s="26" t="str">
        <f>IF(Y167="NA","",CONCATENATE("0B 04 00 ",DEC2HEX($G167,2)," ",LEFT(DEC2HEX(Y167,4),2)," ",RIGHT(DEC2HEX(Y167,4),2)))</f>
        <v>0B 04 00 06 01 26</v>
      </c>
      <c r="AA167" s="26" t="s">
        <v>349</v>
      </c>
      <c r="AB167" s="26"/>
      <c r="AC167" s="26"/>
      <c r="AD167" s="26" t="s">
        <v>814</v>
      </c>
      <c r="AE167" s="26"/>
      <c r="AF167" s="26"/>
      <c r="AI167" s="26"/>
      <c r="AJ167" s="26"/>
      <c r="AL167" s="26"/>
      <c r="AW167" s="26"/>
      <c r="AX167" s="26"/>
      <c r="AY167" s="26"/>
    </row>
    <row r="168" spans="1:51" hidden="1" x14ac:dyDescent="0.25">
      <c r="A168" s="26">
        <v>163</v>
      </c>
      <c r="B168" s="26" t="s">
        <v>346</v>
      </c>
      <c r="C168" s="26" t="s">
        <v>346</v>
      </c>
      <c r="D168" s="27" t="s">
        <v>478</v>
      </c>
      <c r="E168" s="26">
        <v>355</v>
      </c>
      <c r="F168" s="26" t="s">
        <v>346</v>
      </c>
      <c r="G168" s="26">
        <v>3</v>
      </c>
      <c r="H168" s="26" t="s">
        <v>1061</v>
      </c>
      <c r="I168" s="26" t="s">
        <v>1084</v>
      </c>
      <c r="J168" s="26" t="s">
        <v>1040</v>
      </c>
      <c r="K168" s="26" t="s">
        <v>953</v>
      </c>
      <c r="L168" s="26" t="s">
        <v>931</v>
      </c>
      <c r="M168" s="28" t="s">
        <v>1377</v>
      </c>
      <c r="Q168" s="27"/>
      <c r="R168" s="26">
        <v>2355</v>
      </c>
      <c r="S168" s="26">
        <v>1080</v>
      </c>
      <c r="T168" s="26">
        <f>IF(Table2[[#This Row],[PMT]]="NA","NA",Table2[[#This Row],[PMT]]+1)</f>
        <v>1081</v>
      </c>
      <c r="U168" s="26">
        <f>IF(Table2[[#This Row],[PMT]]="NA","NA",Table2[[#This Row],[PMT]]+2)</f>
        <v>1082</v>
      </c>
      <c r="V168" s="26">
        <v>-1</v>
      </c>
      <c r="W168" s="26">
        <f>IF(Table2[[#This Row],[PMT]]="NA","NA",Table2[[#This Row],[PMT]]+8)-Table2[[#This Row],[Const]]</f>
        <v>1089</v>
      </c>
      <c r="X168" s="26" t="str">
        <f>IF(W168="NA","",CONCATENATE("0B 04 00 ",DEC2HEX($G168,2)," ",LEFT(DEC2HEX(W168,4),2)," ",RIGHT(DEC2HEX(W168,4),2)))</f>
        <v>0B 04 00 03 04 41</v>
      </c>
      <c r="Y168" s="26">
        <f>IF(Table2[[#This Row],[PMT]]="NA","NA",Table2[[#This Row],[PMT]]+14)-Table2[[#This Row],[Const]]</f>
        <v>1095</v>
      </c>
      <c r="Z168" s="26" t="str">
        <f>IF(Y168="NA","",CONCATENATE("0B 04 00 ",DEC2HEX($G168,2)," ",LEFT(DEC2HEX(Y168,4),2)," ",RIGHT(DEC2HEX(Y168,4),2)))</f>
        <v>0B 04 00 03 04 47</v>
      </c>
      <c r="AA168" s="26" t="s">
        <v>1061</v>
      </c>
      <c r="AB168" s="26" t="s">
        <v>1084</v>
      </c>
      <c r="AC168" s="26"/>
      <c r="AD168" s="26" t="s">
        <v>817</v>
      </c>
      <c r="AE168" s="26"/>
      <c r="AF168" s="26"/>
      <c r="AI168" s="26"/>
      <c r="AJ168" s="26"/>
      <c r="AL168" s="26"/>
      <c r="AW168" s="26"/>
      <c r="AX168" s="26"/>
      <c r="AY168" s="26"/>
    </row>
    <row r="169" spans="1:51" x14ac:dyDescent="0.25">
      <c r="A169" s="26">
        <v>214</v>
      </c>
      <c r="B169" s="26" t="s">
        <v>647</v>
      </c>
      <c r="C169" s="26">
        <v>5001</v>
      </c>
      <c r="D169" s="27" t="s">
        <v>516</v>
      </c>
      <c r="E169" s="26">
        <v>513</v>
      </c>
      <c r="F169" s="26">
        <v>6</v>
      </c>
      <c r="G169" s="26">
        <v>6</v>
      </c>
      <c r="H169" s="26" t="s">
        <v>1063</v>
      </c>
      <c r="I169" s="26" t="s">
        <v>1350</v>
      </c>
      <c r="J169" s="26" t="s">
        <v>931</v>
      </c>
      <c r="K169" s="26" t="s">
        <v>1042</v>
      </c>
      <c r="L169" s="26" t="s">
        <v>931</v>
      </c>
      <c r="M169" s="26" t="s">
        <v>1376</v>
      </c>
      <c r="N169" s="26" t="s">
        <v>1080</v>
      </c>
      <c r="O169" s="26" t="s">
        <v>1384</v>
      </c>
      <c r="P169" s="26">
        <v>4015</v>
      </c>
      <c r="Q169" s="27" t="s">
        <v>1382</v>
      </c>
      <c r="R169" s="26">
        <v>7513</v>
      </c>
      <c r="S169" s="26">
        <v>660</v>
      </c>
      <c r="T169" s="26">
        <f>IF(Table2[[#This Row],[PMT]]="NA","NA",Table2[[#This Row],[PMT]]+1)</f>
        <v>661</v>
      </c>
      <c r="U169" s="26">
        <f>IF(Table2[[#This Row],[PMT]]="NA","NA",Table2[[#This Row],[PMT]]+2)</f>
        <v>662</v>
      </c>
      <c r="V169" s="26">
        <v>0</v>
      </c>
      <c r="W169" s="26">
        <f>IF(Table2[[#This Row],[PMT]]="NA","NA",Table2[[#This Row],[PMT]]+8)-Table2[[#This Row],[Const]]</f>
        <v>668</v>
      </c>
      <c r="X169" s="26" t="str">
        <f>IF(W169="NA","",CONCATENATE("0B 04 00 ",DEC2HEX($G169,2)," ",LEFT(DEC2HEX(W169,4),2)," ",RIGHT(DEC2HEX(W169,4),2)))</f>
        <v>0B 04 00 06 02 9C</v>
      </c>
      <c r="Y169" s="26">
        <f>IF(Table2[[#This Row],[PMT]]="NA","NA",Table2[[#This Row],[PMT]]+14)-Table2[[#This Row],[Const]]</f>
        <v>674</v>
      </c>
      <c r="Z169" s="26" t="str">
        <f>IF(Y169="NA","",CONCATENATE("0B 04 00 ",DEC2HEX($G169,2)," ",LEFT(DEC2HEX(Y169,4),2)," ",RIGHT(DEC2HEX(Y169,4),2)))</f>
        <v>0B 04 00 06 02 A2</v>
      </c>
      <c r="AA169" s="26"/>
      <c r="AB169" s="26"/>
      <c r="AC169" s="26"/>
      <c r="AD169" s="26" t="s">
        <v>814</v>
      </c>
      <c r="AE169" s="26"/>
      <c r="AF169" s="26"/>
      <c r="AI169" s="26"/>
      <c r="AJ169" s="26"/>
      <c r="AL169" s="26"/>
      <c r="AW169" s="26"/>
      <c r="AX169" s="26"/>
      <c r="AY169" s="26"/>
    </row>
    <row r="170" spans="1:51" x14ac:dyDescent="0.25">
      <c r="A170" s="26">
        <v>346</v>
      </c>
      <c r="B170" s="26" t="s">
        <v>224</v>
      </c>
      <c r="C170" s="26">
        <v>5180</v>
      </c>
      <c r="D170" s="27" t="s">
        <v>1283</v>
      </c>
      <c r="E170" s="26">
        <v>822</v>
      </c>
      <c r="F170" s="26">
        <v>5</v>
      </c>
      <c r="G170" s="26">
        <v>5</v>
      </c>
      <c r="H170" s="26" t="s">
        <v>1057</v>
      </c>
      <c r="I170" s="26" t="s">
        <v>1356</v>
      </c>
      <c r="J170" s="26" t="s">
        <v>1040</v>
      </c>
      <c r="K170" s="26" t="s">
        <v>953</v>
      </c>
      <c r="L170" s="26" t="s">
        <v>931</v>
      </c>
      <c r="M170" s="26" t="s">
        <v>1376</v>
      </c>
      <c r="N170" s="26" t="s">
        <v>1080</v>
      </c>
      <c r="O170" s="26" t="s">
        <v>1383</v>
      </c>
      <c r="P170" s="26">
        <v>4024</v>
      </c>
      <c r="Q170" s="27" t="s">
        <v>1386</v>
      </c>
      <c r="R170" s="26">
        <v>5573</v>
      </c>
      <c r="S170" s="26">
        <v>500</v>
      </c>
      <c r="T170" s="26">
        <f>IF(Table2[[#This Row],[PMT]]="NA","NA",Table2[[#This Row],[PMT]]+1)</f>
        <v>501</v>
      </c>
      <c r="U170" s="26">
        <f>IF(Table2[[#This Row],[PMT]]="NA","NA",Table2[[#This Row],[PMT]]+2)</f>
        <v>502</v>
      </c>
      <c r="V170" s="26">
        <v>0</v>
      </c>
      <c r="W170" s="26">
        <f>IF(Table2[[#This Row],[PMT]]="NA","NA",Table2[[#This Row],[PMT]]+8)-Table2[[#This Row],[Const]]</f>
        <v>508</v>
      </c>
      <c r="X170" s="26" t="str">
        <f>IF(W170="NA","",CONCATENATE("0B 04 00 ",DEC2HEX($G170,2)," ",LEFT(DEC2HEX(W170,4),2)," ",RIGHT(DEC2HEX(W170,4),2)))</f>
        <v>0B 04 00 05 01 FC</v>
      </c>
      <c r="Y170" s="26">
        <f>IF(Table2[[#This Row],[PMT]]="NA","NA",Table2[[#This Row],[PMT]]+14)-Table2[[#This Row],[Const]]</f>
        <v>514</v>
      </c>
      <c r="Z170" s="26" t="str">
        <f>IF(Y170="NA","",CONCATENATE("0B 04 00 ",DEC2HEX($G170,2)," ",LEFT(DEC2HEX(Y170,4),2)," ",RIGHT(DEC2HEX(Y170,4),2)))</f>
        <v>0B 04 00 05 02 02</v>
      </c>
      <c r="AA170" s="26" t="s">
        <v>1057</v>
      </c>
      <c r="AB170" s="26"/>
      <c r="AC170" s="26"/>
      <c r="AD170" s="26" t="s">
        <v>814</v>
      </c>
      <c r="AE170" s="26"/>
      <c r="AF170" s="26"/>
      <c r="AI170" s="26"/>
      <c r="AJ170" s="26"/>
      <c r="AL170" s="26"/>
      <c r="AW170" s="26"/>
      <c r="AX170" s="26"/>
      <c r="AY170" s="26"/>
    </row>
    <row r="171" spans="1:51" x14ac:dyDescent="0.25">
      <c r="A171" s="26">
        <v>181</v>
      </c>
      <c r="B171" s="26" t="s">
        <v>151</v>
      </c>
      <c r="C171" s="26">
        <v>5180</v>
      </c>
      <c r="D171" s="33" t="s">
        <v>495</v>
      </c>
      <c r="E171" s="34">
        <v>385</v>
      </c>
      <c r="F171" s="26">
        <v>4</v>
      </c>
      <c r="G171" s="26">
        <v>4</v>
      </c>
      <c r="H171" s="26" t="s">
        <v>361</v>
      </c>
      <c r="I171" s="34" t="s">
        <v>443</v>
      </c>
      <c r="J171" s="26" t="s">
        <v>1040</v>
      </c>
      <c r="K171" s="26" t="s">
        <v>953</v>
      </c>
      <c r="L171" s="26" t="s">
        <v>931</v>
      </c>
      <c r="M171" s="28" t="s">
        <v>1376</v>
      </c>
      <c r="Q171" s="27"/>
      <c r="R171" s="26">
        <v>4385</v>
      </c>
      <c r="S171" s="26">
        <v>6500</v>
      </c>
      <c r="T171" s="26">
        <f>IF(Table2[[#This Row],[PMT]]="NA","NA",Table2[[#This Row],[PMT]]+1)</f>
        <v>6501</v>
      </c>
      <c r="U171" s="26">
        <f>IF(Table2[[#This Row],[PMT]]="NA","NA",Table2[[#This Row],[PMT]]+2)</f>
        <v>6502</v>
      </c>
      <c r="V171" s="26">
        <v>0</v>
      </c>
      <c r="W171" s="26">
        <f>IF(Table2[[#This Row],[PMT]]="NA","NA",Table2[[#This Row],[PMT]]+8)-Table2[[#This Row],[Const]]</f>
        <v>6508</v>
      </c>
      <c r="X171" s="26" t="str">
        <f>IF(W171="NA","",CONCATENATE("0B 04 00 ",DEC2HEX($G171,2)," ",LEFT(DEC2HEX(W171,4),2)," ",RIGHT(DEC2HEX(W171,4),2)))</f>
        <v>0B 04 00 04 19 6C</v>
      </c>
      <c r="Y171" s="26">
        <f>IF(Table2[[#This Row],[PMT]]="NA","NA",Table2[[#This Row],[PMT]]+14)-Table2[[#This Row],[Const]]</f>
        <v>6514</v>
      </c>
      <c r="Z171" s="26" t="str">
        <f>IF(Y171="NA","",CONCATENATE("0B 04 00 ",DEC2HEX($G171,2)," ",LEFT(DEC2HEX(Y171,4),2)," ",RIGHT(DEC2HEX(Y171,4),2)))</f>
        <v>0B 04 00 04 19 72</v>
      </c>
      <c r="AA171" s="26" t="s">
        <v>361</v>
      </c>
      <c r="AB171" s="26" t="s">
        <v>443</v>
      </c>
      <c r="AC171" s="26"/>
      <c r="AD171" s="26" t="s">
        <v>346</v>
      </c>
      <c r="AE171" s="26"/>
      <c r="AF171" s="26"/>
      <c r="AI171" s="26"/>
      <c r="AJ171" s="26"/>
      <c r="AL171" s="26"/>
      <c r="AW171" s="26"/>
      <c r="AX171" s="26"/>
      <c r="AY171" s="26"/>
    </row>
    <row r="172" spans="1:51" x14ac:dyDescent="0.25">
      <c r="A172" s="26">
        <v>349</v>
      </c>
      <c r="B172" s="26" t="s">
        <v>653</v>
      </c>
      <c r="C172" s="26">
        <v>5001</v>
      </c>
      <c r="D172" s="27" t="s">
        <v>624</v>
      </c>
      <c r="E172" s="26">
        <v>828</v>
      </c>
      <c r="F172" s="26">
        <v>4</v>
      </c>
      <c r="G172" s="26">
        <v>4</v>
      </c>
      <c r="H172" s="26" t="s">
        <v>1057</v>
      </c>
      <c r="I172" s="26" t="s">
        <v>1356</v>
      </c>
      <c r="J172" s="26" t="s">
        <v>931</v>
      </c>
      <c r="K172" s="26" t="s">
        <v>1042</v>
      </c>
      <c r="L172" s="26" t="s">
        <v>931</v>
      </c>
      <c r="M172" s="26" t="s">
        <v>1376</v>
      </c>
      <c r="N172" s="26" t="s">
        <v>1080</v>
      </c>
      <c r="O172" s="26" t="s">
        <v>1383</v>
      </c>
      <c r="P172" s="26">
        <v>4006</v>
      </c>
      <c r="Q172" s="27" t="s">
        <v>1386</v>
      </c>
      <c r="R172" s="26">
        <v>12060</v>
      </c>
      <c r="S172" s="26">
        <v>7700</v>
      </c>
      <c r="T172" s="26">
        <f>IF(Table2[[#This Row],[PMT]]="NA","NA",Table2[[#This Row],[PMT]]+1)</f>
        <v>7701</v>
      </c>
      <c r="U172" s="26">
        <f>IF(Table2[[#This Row],[PMT]]="NA","NA",Table2[[#This Row],[PMT]]+2)</f>
        <v>7702</v>
      </c>
      <c r="V172" s="26">
        <v>0</v>
      </c>
      <c r="W172" s="26">
        <f>IF(Table2[[#This Row],[PMT]]="NA","NA",Table2[[#This Row],[PMT]]+8)-Table2[[#This Row],[Const]]</f>
        <v>7708</v>
      </c>
      <c r="X172" s="26" t="str">
        <f>IF(W172="NA","",CONCATENATE("0B 04 00 ",DEC2HEX($G172,2)," ",LEFT(DEC2HEX(W172,4),2)," ",RIGHT(DEC2HEX(W172,4),2)))</f>
        <v>0B 04 00 04 1E 1C</v>
      </c>
      <c r="Y172" s="26">
        <f>IF(Table2[[#This Row],[PMT]]="NA","NA",Table2[[#This Row],[PMT]]+14)-Table2[[#This Row],[Const]]</f>
        <v>7714</v>
      </c>
      <c r="Z172" s="26" t="str">
        <f>IF(Y172="NA","",CONCATENATE("0B 04 00 ",DEC2HEX($G172,2)," ",LEFT(DEC2HEX(Y172,4),2)," ",RIGHT(DEC2HEX(Y172,4),2)))</f>
        <v>0B 04 00 04 1E 22</v>
      </c>
      <c r="AA172" s="26" t="s">
        <v>1057</v>
      </c>
      <c r="AB172" s="26"/>
      <c r="AC172" s="26"/>
      <c r="AD172" s="26" t="s">
        <v>814</v>
      </c>
      <c r="AE172" s="26"/>
      <c r="AF172" s="26"/>
      <c r="AI172" s="26"/>
      <c r="AJ172" s="26"/>
      <c r="AL172" s="26"/>
      <c r="AW172" s="26"/>
      <c r="AX172" s="26"/>
      <c r="AY172" s="26"/>
    </row>
    <row r="173" spans="1:51" x14ac:dyDescent="0.25">
      <c r="A173" s="26">
        <v>258</v>
      </c>
      <c r="B173" s="26" t="s">
        <v>650</v>
      </c>
      <c r="C173" s="26">
        <v>5001</v>
      </c>
      <c r="D173" s="27" t="s">
        <v>552</v>
      </c>
      <c r="E173" s="26">
        <v>581</v>
      </c>
      <c r="F173" s="26">
        <v>7</v>
      </c>
      <c r="G173" s="26">
        <v>7</v>
      </c>
      <c r="H173" s="26" t="s">
        <v>361</v>
      </c>
      <c r="I173" s="26" t="s">
        <v>1353</v>
      </c>
      <c r="J173" s="26" t="s">
        <v>931</v>
      </c>
      <c r="K173" s="26" t="s">
        <v>1042</v>
      </c>
      <c r="L173" s="26" t="s">
        <v>931</v>
      </c>
      <c r="M173" s="28"/>
      <c r="Q173" s="27"/>
      <c r="R173" s="26">
        <v>5581</v>
      </c>
      <c r="S173" s="26">
        <v>900</v>
      </c>
      <c r="T173" s="26">
        <f>IF(Table2[[#This Row],[PMT]]="NA","NA",Table2[[#This Row],[PMT]]+1)</f>
        <v>901</v>
      </c>
      <c r="U173" s="26">
        <f>IF(Table2[[#This Row],[PMT]]="NA","NA",Table2[[#This Row],[PMT]]+2)</f>
        <v>902</v>
      </c>
      <c r="V173" s="26">
        <v>0</v>
      </c>
      <c r="W173" s="26">
        <f>IF(Table2[[#This Row],[PMT]]="NA","NA",Table2[[#This Row],[PMT]]+8)-Table2[[#This Row],[Const]]</f>
        <v>908</v>
      </c>
      <c r="X173" s="26" t="str">
        <f>IF(W173="NA","",CONCATENATE("0B 04 00 ",DEC2HEX($G173,2)," ",LEFT(DEC2HEX(W173,4),2)," ",RIGHT(DEC2HEX(W173,4),2)))</f>
        <v>0B 04 00 07 03 8C</v>
      </c>
      <c r="Y173" s="26">
        <f>IF(Table2[[#This Row],[PMT]]="NA","NA",Table2[[#This Row],[PMT]]+14)-Table2[[#This Row],[Const]]</f>
        <v>914</v>
      </c>
      <c r="Z173" s="26" t="str">
        <f>IF(Y173="NA","",CONCATENATE("0B 04 00 ",DEC2HEX($G173,2)," ",LEFT(DEC2HEX(Y173,4),2)," ",RIGHT(DEC2HEX(Y173,4),2)))</f>
        <v>0B 04 00 07 03 92</v>
      </c>
      <c r="AA173" s="26"/>
      <c r="AB173" s="26"/>
      <c r="AC173" s="26"/>
      <c r="AD173" s="26" t="s">
        <v>814</v>
      </c>
      <c r="AE173" s="26"/>
      <c r="AF173" s="26"/>
      <c r="AI173" s="26"/>
      <c r="AJ173" s="26"/>
      <c r="AL173" s="26"/>
      <c r="AW173" s="26"/>
      <c r="AX173" s="26"/>
      <c r="AY173" s="26"/>
    </row>
    <row r="174" spans="1:51" hidden="1" x14ac:dyDescent="0.25">
      <c r="A174" s="26">
        <v>169</v>
      </c>
      <c r="B174" s="26" t="s">
        <v>346</v>
      </c>
      <c r="C174" s="26" t="s">
        <v>346</v>
      </c>
      <c r="D174" s="27" t="s">
        <v>484</v>
      </c>
      <c r="E174" s="26">
        <v>361</v>
      </c>
      <c r="F174" s="26" t="s">
        <v>346</v>
      </c>
      <c r="G174" s="26">
        <v>8</v>
      </c>
      <c r="H174" s="26" t="s">
        <v>1061</v>
      </c>
      <c r="I174" s="26" t="s">
        <v>1084</v>
      </c>
      <c r="J174" s="26" t="s">
        <v>1038</v>
      </c>
      <c r="K174" s="26" t="s">
        <v>1039</v>
      </c>
      <c r="L174" s="26" t="s">
        <v>931</v>
      </c>
      <c r="M174" s="28" t="s">
        <v>1375</v>
      </c>
      <c r="Q174" s="27"/>
      <c r="R174" s="26">
        <v>11701</v>
      </c>
      <c r="S174" s="26">
        <v>350</v>
      </c>
      <c r="T174" s="26">
        <f>IF(Table2[[#This Row],[PMT]]="NA","NA",Table2[[#This Row],[PMT]]+1)</f>
        <v>351</v>
      </c>
      <c r="U174" s="26">
        <f>IF(Table2[[#This Row],[PMT]]="NA","NA",Table2[[#This Row],[PMT]]+2)</f>
        <v>352</v>
      </c>
      <c r="V174" s="26">
        <v>0</v>
      </c>
      <c r="W174" s="26">
        <f>IF(Table2[[#This Row],[PMT]]="NA","NA",Table2[[#This Row],[PMT]]+8)-Table2[[#This Row],[Const]]</f>
        <v>358</v>
      </c>
      <c r="X174" s="26" t="str">
        <f>IF(W174="NA","",CONCATENATE("0B 04 00 ",DEC2HEX($G174,2)," ",LEFT(DEC2HEX(W174,4),2)," ",RIGHT(DEC2HEX(W174,4),2)))</f>
        <v>0B 04 00 08 01 66</v>
      </c>
      <c r="Y174" s="26">
        <f>IF(Table2[[#This Row],[PMT]]="NA","NA",Table2[[#This Row],[PMT]]+14)-Table2[[#This Row],[Const]]</f>
        <v>364</v>
      </c>
      <c r="Z174" s="26" t="str">
        <f>IF(Y174="NA","",CONCATENATE("0B 04 00 ",DEC2HEX($G174,2)," ",LEFT(DEC2HEX(Y174,4),2)," ",RIGHT(DEC2HEX(Y174,4),2)))</f>
        <v>0B 04 00 08 01 6C</v>
      </c>
      <c r="AA174" s="26" t="s">
        <v>1061</v>
      </c>
      <c r="AB174" s="26" t="s">
        <v>1084</v>
      </c>
      <c r="AC174" s="26"/>
      <c r="AD174" s="26" t="s">
        <v>346</v>
      </c>
      <c r="AE174" s="26"/>
      <c r="AF174" s="26"/>
      <c r="AI174" s="26"/>
      <c r="AJ174" s="26"/>
      <c r="AL174" s="26"/>
      <c r="AW174" s="26"/>
      <c r="AX174" s="26"/>
      <c r="AY174" s="26"/>
    </row>
    <row r="175" spans="1:51" x14ac:dyDescent="0.25">
      <c r="A175" s="26">
        <v>311</v>
      </c>
      <c r="B175" s="26" t="s">
        <v>650</v>
      </c>
      <c r="C175" s="26">
        <v>5001</v>
      </c>
      <c r="D175" s="27" t="s">
        <v>593</v>
      </c>
      <c r="E175" s="26">
        <v>693</v>
      </c>
      <c r="F175" s="26">
        <v>1</v>
      </c>
      <c r="G175" s="26">
        <v>1</v>
      </c>
      <c r="H175" s="26" t="s">
        <v>1352</v>
      </c>
      <c r="I175" s="26" t="s">
        <v>1353</v>
      </c>
      <c r="J175" s="26" t="s">
        <v>931</v>
      </c>
      <c r="K175" s="26" t="s">
        <v>1042</v>
      </c>
      <c r="L175" s="26" t="s">
        <v>931</v>
      </c>
      <c r="M175" s="26" t="s">
        <v>1376</v>
      </c>
      <c r="Q175" s="27" t="s">
        <v>1102</v>
      </c>
      <c r="R175" s="26">
        <v>2693</v>
      </c>
      <c r="S175" s="26">
        <v>620</v>
      </c>
      <c r="T175" s="26">
        <f>IF(Table2[[#This Row],[PMT]]="NA","NA",Table2[[#This Row],[PMT]]+1)</f>
        <v>621</v>
      </c>
      <c r="U175" s="26">
        <f>IF(Table2[[#This Row],[PMT]]="NA","NA",Table2[[#This Row],[PMT]]+2)</f>
        <v>622</v>
      </c>
      <c r="V175" s="26">
        <v>1</v>
      </c>
      <c r="W175" s="26">
        <f>IF(Table2[[#This Row],[PMT]]="NA","NA",Table2[[#This Row],[PMT]]+8)-Table2[[#This Row],[Const]]</f>
        <v>627</v>
      </c>
      <c r="X175" s="26" t="str">
        <f>IF(W175="NA","",CONCATENATE("0B 04 00 ",DEC2HEX($G175,2)," ",LEFT(DEC2HEX(W175,4),2)," ",RIGHT(DEC2HEX(W175,4),2)))</f>
        <v>0B 04 00 01 02 73</v>
      </c>
      <c r="Y175" s="26">
        <f>IF(Table2[[#This Row],[PMT]]="NA","NA",Table2[[#This Row],[PMT]]+14)-Table2[[#This Row],[Const]]</f>
        <v>633</v>
      </c>
      <c r="Z175" s="26" t="str">
        <f>IF(Y175="NA","",CONCATENATE("0B 04 00 ",DEC2HEX($G175,2)," ",LEFT(DEC2HEX(Y175,4),2)," ",RIGHT(DEC2HEX(Y175,4),2)))</f>
        <v>0B 04 00 01 02 79</v>
      </c>
      <c r="AA175" s="26"/>
      <c r="AB175" s="26"/>
      <c r="AC175" s="26"/>
      <c r="AD175" s="26" t="s">
        <v>1075</v>
      </c>
      <c r="AE175" s="26"/>
      <c r="AF175" s="26"/>
      <c r="AI175" s="26"/>
      <c r="AJ175" s="26"/>
      <c r="AL175" s="26"/>
      <c r="AW175" s="26"/>
      <c r="AX175" s="26"/>
      <c r="AY175" s="26"/>
    </row>
    <row r="176" spans="1:51" x14ac:dyDescent="0.25">
      <c r="A176" s="26">
        <v>73</v>
      </c>
      <c r="B176" s="26" t="s">
        <v>308</v>
      </c>
      <c r="C176" s="26">
        <v>2000</v>
      </c>
      <c r="D176" s="27" t="s">
        <v>401</v>
      </c>
      <c r="E176" s="26">
        <v>198</v>
      </c>
      <c r="F176" s="26">
        <v>4</v>
      </c>
      <c r="G176" s="26">
        <v>4</v>
      </c>
      <c r="H176" s="26" t="s">
        <v>1053</v>
      </c>
      <c r="I176" s="26" t="s">
        <v>1084</v>
      </c>
      <c r="J176" s="26" t="s">
        <v>1002</v>
      </c>
      <c r="K176" s="26" t="s">
        <v>953</v>
      </c>
      <c r="L176" s="26" t="s">
        <v>1002</v>
      </c>
      <c r="M176" s="28" t="s">
        <v>1377</v>
      </c>
      <c r="Q176" s="27"/>
      <c r="R176" s="26">
        <v>4197</v>
      </c>
      <c r="S176" s="26">
        <v>2600</v>
      </c>
      <c r="T176" s="26">
        <f>IF(Table2[[#This Row],[PMT]]="NA","NA",Table2[[#This Row],[PMT]]+1)</f>
        <v>2601</v>
      </c>
      <c r="U176" s="26">
        <f>IF(Table2[[#This Row],[PMT]]="NA","NA",Table2[[#This Row],[PMT]]+2)</f>
        <v>2602</v>
      </c>
      <c r="V176" s="26">
        <v>0</v>
      </c>
      <c r="W176" s="26">
        <f>IF(Table2[[#This Row],[PMT]]="NA","NA",Table2[[#This Row],[PMT]]+8)-Table2[[#This Row],[Const]]</f>
        <v>2608</v>
      </c>
      <c r="X176" s="26" t="str">
        <f>IF(W176="NA","",CONCATENATE("0B 04 00 ",DEC2HEX($G176,2)," ",LEFT(DEC2HEX(W176,4),2)," ",RIGHT(DEC2HEX(W176,4),2)))</f>
        <v>0B 04 00 04 0A 30</v>
      </c>
      <c r="Y176" s="26">
        <f>IF(Table2[[#This Row],[PMT]]="NA","NA",Table2[[#This Row],[PMT]]+14)-Table2[[#This Row],[Const]]</f>
        <v>2614</v>
      </c>
      <c r="Z176" s="26" t="str">
        <f>IF(Y176="NA","",CONCATENATE("0B 04 00 ",DEC2HEX($G176,2)," ",LEFT(DEC2HEX(Y176,4),2)," ",RIGHT(DEC2HEX(Y176,4),2)))</f>
        <v>0B 04 00 04 0A 36</v>
      </c>
      <c r="AA176" s="26" t="s">
        <v>1053</v>
      </c>
      <c r="AB176" s="26" t="s">
        <v>1084</v>
      </c>
      <c r="AC176" s="26"/>
      <c r="AD176" s="26" t="s">
        <v>814</v>
      </c>
      <c r="AE176" s="26"/>
      <c r="AF176" s="26"/>
      <c r="AI176" s="26"/>
      <c r="AJ176" s="26"/>
      <c r="AL176" s="26"/>
      <c r="AW176" s="26"/>
      <c r="AX176" s="26"/>
      <c r="AY176" s="26"/>
    </row>
    <row r="177" spans="1:51" hidden="1" x14ac:dyDescent="0.25">
      <c r="A177" s="26">
        <v>172</v>
      </c>
      <c r="B177" s="26" t="s">
        <v>346</v>
      </c>
      <c r="C177" s="26" t="s">
        <v>346</v>
      </c>
      <c r="D177" s="27" t="s">
        <v>487</v>
      </c>
      <c r="E177" s="26">
        <v>364</v>
      </c>
      <c r="F177" s="26" t="s">
        <v>346</v>
      </c>
      <c r="G177" s="26">
        <v>11</v>
      </c>
      <c r="H177" s="26" t="s">
        <v>1326</v>
      </c>
      <c r="I177" s="26" t="s">
        <v>1084</v>
      </c>
      <c r="J177" s="26" t="s">
        <v>1038</v>
      </c>
      <c r="K177" s="26" t="s">
        <v>1039</v>
      </c>
      <c r="L177" s="26" t="s">
        <v>931</v>
      </c>
      <c r="M177" s="28" t="s">
        <v>1377</v>
      </c>
      <c r="Q177" s="27"/>
      <c r="R177" s="26">
        <v>12144</v>
      </c>
      <c r="S177" s="26">
        <v>5300</v>
      </c>
      <c r="T177" s="26">
        <f>IF(Table2[[#This Row],[PMT]]="NA","NA",Table2[[#This Row],[PMT]]+1)</f>
        <v>5301</v>
      </c>
      <c r="U177" s="26">
        <f>IF(Table2[[#This Row],[PMT]]="NA","NA",Table2[[#This Row],[PMT]]+2)</f>
        <v>5302</v>
      </c>
      <c r="V177" s="26">
        <v>0</v>
      </c>
      <c r="W177" s="26">
        <f>IF(Table2[[#This Row],[PMT]]="NA","NA",Table2[[#This Row],[PMT]]+8)-Table2[[#This Row],[Const]]</f>
        <v>5308</v>
      </c>
      <c r="X177" s="26" t="str">
        <f>IF(W177="NA","",CONCATENATE("0B 04 00 ",DEC2HEX($G177,2)," ",LEFT(DEC2HEX(W177,4),2)," ",RIGHT(DEC2HEX(W177,4),2)))</f>
        <v>0B 04 00 0B 14 BC</v>
      </c>
      <c r="Y177" s="26">
        <f>IF(Table2[[#This Row],[PMT]]="NA","NA",Table2[[#This Row],[PMT]]+14)-Table2[[#This Row],[Const]]</f>
        <v>5314</v>
      </c>
      <c r="Z177" s="26" t="str">
        <f>IF(Y177="NA","",CONCATENATE("0B 04 00 ",DEC2HEX($G177,2)," ",LEFT(DEC2HEX(Y177,4),2)," ",RIGHT(DEC2HEX(Y177,4),2)))</f>
        <v>0B 04 00 0B 14 C2</v>
      </c>
      <c r="AA177" s="26" t="s">
        <v>1061</v>
      </c>
      <c r="AB177" s="26" t="s">
        <v>1084</v>
      </c>
      <c r="AC177" s="26"/>
      <c r="AD177" s="26" t="s">
        <v>346</v>
      </c>
      <c r="AE177" s="26"/>
      <c r="AF177" s="26"/>
      <c r="AI177" s="26"/>
      <c r="AJ177" s="26"/>
      <c r="AL177" s="26"/>
      <c r="AW177" s="26"/>
      <c r="AX177" s="26"/>
      <c r="AY177" s="26"/>
    </row>
    <row r="178" spans="1:51" hidden="1" x14ac:dyDescent="0.25">
      <c r="A178" s="26">
        <v>173</v>
      </c>
      <c r="B178" s="26" t="s">
        <v>346</v>
      </c>
      <c r="C178" s="26" t="s">
        <v>346</v>
      </c>
      <c r="D178" s="27" t="s">
        <v>488</v>
      </c>
      <c r="E178" s="26">
        <v>365</v>
      </c>
      <c r="F178" s="26" t="s">
        <v>346</v>
      </c>
      <c r="G178" s="26">
        <v>11</v>
      </c>
      <c r="H178" s="26" t="s">
        <v>1326</v>
      </c>
      <c r="I178" s="26" t="s">
        <v>1084</v>
      </c>
      <c r="J178" s="26" t="s">
        <v>1038</v>
      </c>
      <c r="K178" s="26" t="s">
        <v>1039</v>
      </c>
      <c r="L178" s="26" t="s">
        <v>931</v>
      </c>
      <c r="M178" s="28" t="s">
        <v>1377</v>
      </c>
      <c r="Q178" s="27"/>
      <c r="R178" s="26">
        <v>12147</v>
      </c>
      <c r="S178" s="26">
        <v>5400</v>
      </c>
      <c r="T178" s="26">
        <f>IF(Table2[[#This Row],[PMT]]="NA","NA",Table2[[#This Row],[PMT]]+1)</f>
        <v>5401</v>
      </c>
      <c r="U178" s="26">
        <f>IF(Table2[[#This Row],[PMT]]="NA","NA",Table2[[#This Row],[PMT]]+2)</f>
        <v>5402</v>
      </c>
      <c r="V178" s="26">
        <v>0</v>
      </c>
      <c r="W178" s="26">
        <f>IF(Table2[[#This Row],[PMT]]="NA","NA",Table2[[#This Row],[PMT]]+8)-Table2[[#This Row],[Const]]</f>
        <v>5408</v>
      </c>
      <c r="X178" s="26" t="str">
        <f>IF(W178="NA","",CONCATENATE("0B 04 00 ",DEC2HEX($G178,2)," ",LEFT(DEC2HEX(W178,4),2)," ",RIGHT(DEC2HEX(W178,4),2)))</f>
        <v>0B 04 00 0B 15 20</v>
      </c>
      <c r="Y178" s="26">
        <f>IF(Table2[[#This Row],[PMT]]="NA","NA",Table2[[#This Row],[PMT]]+14)-Table2[[#This Row],[Const]]</f>
        <v>5414</v>
      </c>
      <c r="Z178" s="26" t="str">
        <f>IF(Y178="NA","",CONCATENATE("0B 04 00 ",DEC2HEX($G178,2)," ",LEFT(DEC2HEX(Y178,4),2)," ",RIGHT(DEC2HEX(Y178,4),2)))</f>
        <v>0B 04 00 0B 15 26</v>
      </c>
      <c r="AA178" s="26" t="s">
        <v>1061</v>
      </c>
      <c r="AB178" s="26" t="s">
        <v>1084</v>
      </c>
      <c r="AC178" s="26"/>
      <c r="AD178" s="26" t="s">
        <v>346</v>
      </c>
      <c r="AE178" s="26"/>
      <c r="AF178" s="26"/>
      <c r="AI178" s="26"/>
      <c r="AJ178" s="26"/>
      <c r="AL178" s="26"/>
      <c r="AW178" s="26"/>
      <c r="AX178" s="26"/>
      <c r="AY178" s="26"/>
    </row>
    <row r="179" spans="1:51" hidden="1" x14ac:dyDescent="0.25">
      <c r="A179" s="26">
        <v>174</v>
      </c>
      <c r="B179" s="26" t="s">
        <v>346</v>
      </c>
      <c r="C179" s="26" t="s">
        <v>346</v>
      </c>
      <c r="D179" s="27" t="s">
        <v>489</v>
      </c>
      <c r="E179" s="26">
        <v>366</v>
      </c>
      <c r="F179" s="26" t="s">
        <v>346</v>
      </c>
      <c r="G179" s="26">
        <v>11</v>
      </c>
      <c r="H179" s="26" t="s">
        <v>1326</v>
      </c>
      <c r="I179" s="26" t="s">
        <v>1084</v>
      </c>
      <c r="J179" s="26" t="s">
        <v>1038</v>
      </c>
      <c r="K179" s="26" t="s">
        <v>1039</v>
      </c>
      <c r="L179" s="26" t="s">
        <v>931</v>
      </c>
      <c r="M179" s="26" t="s">
        <v>1377</v>
      </c>
      <c r="N179" s="26" t="s">
        <v>1096</v>
      </c>
      <c r="O179" s="26" t="s">
        <v>1097</v>
      </c>
      <c r="P179" s="26">
        <v>4155</v>
      </c>
      <c r="Q179" s="27" t="s">
        <v>1044</v>
      </c>
      <c r="R179" s="26">
        <v>12153</v>
      </c>
      <c r="S179" s="26">
        <v>7100</v>
      </c>
      <c r="T179" s="26">
        <f>IF(Table2[[#This Row],[PMT]]="NA","NA",Table2[[#This Row],[PMT]]+1)</f>
        <v>7101</v>
      </c>
      <c r="U179" s="26">
        <f>IF(Table2[[#This Row],[PMT]]="NA","NA",Table2[[#This Row],[PMT]]+2)</f>
        <v>7102</v>
      </c>
      <c r="V179" s="26">
        <v>0</v>
      </c>
      <c r="W179" s="26">
        <f>IF(Table2[[#This Row],[PMT]]="NA","NA",Table2[[#This Row],[PMT]]+8)-Table2[[#This Row],[Const]]</f>
        <v>7108</v>
      </c>
      <c r="X179" s="26" t="str">
        <f>IF(W179="NA","",CONCATENATE("0B 04 00 ",DEC2HEX($G179,2)," ",LEFT(DEC2HEX(W179,4),2)," ",RIGHT(DEC2HEX(W179,4),2)))</f>
        <v>0B 04 00 0B 1B C4</v>
      </c>
      <c r="Y179" s="26">
        <f>IF(Table2[[#This Row],[PMT]]="NA","NA",Table2[[#This Row],[PMT]]+14)-Table2[[#This Row],[Const]]</f>
        <v>7114</v>
      </c>
      <c r="Z179" s="26" t="str">
        <f>IF(Y179="NA","",CONCATENATE("0B 04 00 ",DEC2HEX($G179,2)," ",LEFT(DEC2HEX(Y179,4),2)," ",RIGHT(DEC2HEX(Y179,4),2)))</f>
        <v>0B 04 00 0B 1B CA</v>
      </c>
      <c r="AA179" s="26" t="s">
        <v>1061</v>
      </c>
      <c r="AB179" s="26" t="s">
        <v>1084</v>
      </c>
      <c r="AC179" s="26">
        <v>22500</v>
      </c>
      <c r="AD179" s="26" t="s">
        <v>346</v>
      </c>
      <c r="AE179" s="26"/>
      <c r="AF179" s="26"/>
      <c r="AI179" s="26"/>
      <c r="AJ179" s="26"/>
      <c r="AL179" s="26"/>
      <c r="AW179" s="26"/>
      <c r="AX179" s="26"/>
      <c r="AY179" s="26"/>
    </row>
    <row r="180" spans="1:51" hidden="1" x14ac:dyDescent="0.25">
      <c r="A180" s="26">
        <v>175</v>
      </c>
      <c r="B180" s="26" t="s">
        <v>346</v>
      </c>
      <c r="C180" s="26" t="s">
        <v>346</v>
      </c>
      <c r="D180" s="27" t="s">
        <v>1271</v>
      </c>
      <c r="E180" s="26">
        <v>379</v>
      </c>
      <c r="F180" s="26" t="s">
        <v>346</v>
      </c>
      <c r="G180" s="26">
        <v>4</v>
      </c>
      <c r="H180" s="26" t="s">
        <v>361</v>
      </c>
      <c r="I180" s="26" t="s">
        <v>1084</v>
      </c>
      <c r="J180" s="26" t="s">
        <v>1038</v>
      </c>
      <c r="K180" s="26" t="s">
        <v>1039</v>
      </c>
      <c r="L180" s="26" t="s">
        <v>931</v>
      </c>
      <c r="M180" s="28" t="s">
        <v>1375</v>
      </c>
      <c r="N180" s="31"/>
      <c r="O180" s="31"/>
      <c r="P180" s="31"/>
      <c r="Q180" s="32"/>
      <c r="R180" s="31"/>
      <c r="S180" s="31"/>
      <c r="T180" s="31">
        <f>IF(Table2[[#This Row],[PMT]]="NA","NA",Table2[[#This Row],[PMT]]+1)</f>
        <v>1</v>
      </c>
      <c r="U180" s="31">
        <f>IF(Table2[[#This Row],[PMT]]="NA","NA",Table2[[#This Row],[PMT]]+2)</f>
        <v>2</v>
      </c>
      <c r="V180" s="26"/>
      <c r="W180" s="31">
        <f>IF(Table2[[#This Row],[PMT]]="NA","NA",Table2[[#This Row],[PMT]]+8)-Table2[[#This Row],[Const]]</f>
        <v>8</v>
      </c>
      <c r="X180" s="31" t="str">
        <f>IF(W180="NA","",CONCATENATE("0B 04 00 ",DEC2HEX($G180,2)," ",LEFT(DEC2HEX(W180,4),2)," ",RIGHT(DEC2HEX(W180,4),2)))</f>
        <v>0B 04 00 04 00 08</v>
      </c>
      <c r="Y180" s="31">
        <f>IF(Table2[[#This Row],[PMT]]="NA","NA",Table2[[#This Row],[PMT]]+14)-Table2[[#This Row],[Const]]</f>
        <v>14</v>
      </c>
      <c r="Z180" s="31" t="str">
        <f>IF(Y180="NA","",CONCATENATE("0B 04 00 ",DEC2HEX($G180,2)," ",LEFT(DEC2HEX(Y180,4),2)," ",RIGHT(DEC2HEX(Y180,4),2)))</f>
        <v>0B 04 00 04 00 0E</v>
      </c>
      <c r="AA180" s="26"/>
      <c r="AB180" s="26"/>
      <c r="AC180" s="31"/>
      <c r="AD180" s="31"/>
      <c r="AE180" s="26"/>
      <c r="AF180" s="26"/>
      <c r="AI180" s="26"/>
      <c r="AJ180" s="26"/>
      <c r="AL180" s="26"/>
      <c r="AW180" s="26"/>
      <c r="AX180" s="26"/>
      <c r="AY180" s="26"/>
    </row>
    <row r="181" spans="1:51" x14ac:dyDescent="0.25">
      <c r="A181" s="26">
        <v>74</v>
      </c>
      <c r="B181" s="26" t="s">
        <v>641</v>
      </c>
      <c r="C181" s="26">
        <v>5001</v>
      </c>
      <c r="D181" s="27" t="s">
        <v>402</v>
      </c>
      <c r="E181" s="26">
        <v>199</v>
      </c>
      <c r="F181" s="26">
        <v>10</v>
      </c>
      <c r="G181" s="26">
        <v>10</v>
      </c>
      <c r="H181" s="26" t="s">
        <v>1053</v>
      </c>
      <c r="I181" s="26" t="s">
        <v>1084</v>
      </c>
      <c r="J181" s="26" t="s">
        <v>931</v>
      </c>
      <c r="K181" s="26" t="s">
        <v>1042</v>
      </c>
      <c r="L181" s="26" t="s">
        <v>931</v>
      </c>
      <c r="M181" s="28"/>
      <c r="Q181" s="27"/>
      <c r="R181" s="26">
        <v>9198</v>
      </c>
      <c r="S181" s="26">
        <v>2200</v>
      </c>
      <c r="T181" s="26">
        <f>IF(Table2[[#This Row],[PMT]]="NA","NA",Table2[[#This Row],[PMT]]+1)</f>
        <v>2201</v>
      </c>
      <c r="U181" s="26">
        <f>IF(Table2[[#This Row],[PMT]]="NA","NA",Table2[[#This Row],[PMT]]+2)</f>
        <v>2202</v>
      </c>
      <c r="V181" s="26">
        <v>0</v>
      </c>
      <c r="W181" s="26">
        <f>IF(Table2[[#This Row],[PMT]]="NA","NA",Table2[[#This Row],[PMT]]+8)-Table2[[#This Row],[Const]]</f>
        <v>2208</v>
      </c>
      <c r="X181" s="26" t="str">
        <f>IF(W181="NA","",CONCATENATE("0B 04 00 ",DEC2HEX($G181,2)," ",LEFT(DEC2HEX(W181,4),2)," ",RIGHT(DEC2HEX(W181,4),2)))</f>
        <v>0B 04 00 0A 08 A0</v>
      </c>
      <c r="Y181" s="26">
        <f>IF(Table2[[#This Row],[PMT]]="NA","NA",Table2[[#This Row],[PMT]]+14)-Table2[[#This Row],[Const]]</f>
        <v>2214</v>
      </c>
      <c r="Z181" s="26" t="str">
        <f>IF(Y181="NA","",CONCATENATE("0B 04 00 ",DEC2HEX($G181,2)," ",LEFT(DEC2HEX(Y181,4),2)," ",RIGHT(DEC2HEX(Y181,4),2)))</f>
        <v>0B 04 00 0A 08 A6</v>
      </c>
      <c r="AA181" s="26" t="s">
        <v>1053</v>
      </c>
      <c r="AB181" s="26" t="s">
        <v>1084</v>
      </c>
      <c r="AC181" s="26"/>
      <c r="AD181" s="26" t="s">
        <v>814</v>
      </c>
      <c r="AE181" s="26"/>
      <c r="AF181" s="26"/>
      <c r="AI181" s="26"/>
      <c r="AJ181" s="26"/>
      <c r="AL181" s="26"/>
      <c r="AW181" s="26"/>
      <c r="AX181" s="26"/>
      <c r="AY181" s="26"/>
    </row>
    <row r="182" spans="1:51" hidden="1" x14ac:dyDescent="0.25">
      <c r="A182" s="26">
        <v>177</v>
      </c>
      <c r="B182" s="26" t="s">
        <v>346</v>
      </c>
      <c r="C182" s="26" t="s">
        <v>346</v>
      </c>
      <c r="D182" s="33" t="s">
        <v>491</v>
      </c>
      <c r="E182" s="26">
        <v>381</v>
      </c>
      <c r="F182" s="26" t="s">
        <v>346</v>
      </c>
      <c r="G182" s="26">
        <v>4</v>
      </c>
      <c r="H182" s="26" t="s">
        <v>361</v>
      </c>
      <c r="I182" s="26" t="s">
        <v>443</v>
      </c>
      <c r="J182" s="26" t="s">
        <v>1038</v>
      </c>
      <c r="K182" s="26" t="s">
        <v>1039</v>
      </c>
      <c r="L182" s="26" t="s">
        <v>931</v>
      </c>
      <c r="M182" s="28" t="s">
        <v>1377</v>
      </c>
      <c r="Q182" s="27"/>
      <c r="R182" s="26">
        <v>12148</v>
      </c>
      <c r="S182" s="26">
        <v>840</v>
      </c>
      <c r="T182" s="26">
        <f>IF(Table2[[#This Row],[PMT]]="NA","NA",Table2[[#This Row],[PMT]]+1)</f>
        <v>841</v>
      </c>
      <c r="U182" s="26">
        <f>IF(Table2[[#This Row],[PMT]]="NA","NA",Table2[[#This Row],[PMT]]+2)</f>
        <v>842</v>
      </c>
      <c r="V182" s="26">
        <v>0</v>
      </c>
      <c r="W182" s="26">
        <f>IF(Table2[[#This Row],[PMT]]="NA","NA",Table2[[#This Row],[PMT]]+8)-Table2[[#This Row],[Const]]</f>
        <v>848</v>
      </c>
      <c r="X182" s="26" t="str">
        <f>IF(W182="NA","",CONCATENATE("0B 04 00 ",DEC2HEX($G182,2)," ",LEFT(DEC2HEX(W182,4),2)," ",RIGHT(DEC2HEX(W182,4),2)))</f>
        <v>0B 04 00 04 03 50</v>
      </c>
      <c r="Y182" s="26">
        <f>IF(Table2[[#This Row],[PMT]]="NA","NA",Table2[[#This Row],[PMT]]+14)-Table2[[#This Row],[Const]]</f>
        <v>854</v>
      </c>
      <c r="Z182" s="26" t="str">
        <f>IF(Y182="NA","",CONCATENATE("0B 04 00 ",DEC2HEX($G182,2)," ",LEFT(DEC2HEX(Y182,4),2)," ",RIGHT(DEC2HEX(Y182,4),2)))</f>
        <v>0B 04 00 04 03 56</v>
      </c>
      <c r="AA182" s="26" t="s">
        <v>361</v>
      </c>
      <c r="AB182" s="26" t="s">
        <v>443</v>
      </c>
      <c r="AC182" s="26"/>
      <c r="AD182" s="26" t="s">
        <v>346</v>
      </c>
      <c r="AE182" s="26"/>
      <c r="AF182" s="26"/>
      <c r="AI182" s="26"/>
      <c r="AJ182" s="26"/>
      <c r="AL182" s="26"/>
      <c r="AW182" s="26"/>
      <c r="AX182" s="26"/>
      <c r="AY182" s="26"/>
    </row>
    <row r="183" spans="1:51" hidden="1" x14ac:dyDescent="0.25">
      <c r="A183" s="26">
        <v>178</v>
      </c>
      <c r="B183" s="26" t="s">
        <v>346</v>
      </c>
      <c r="C183" s="26" t="s">
        <v>346</v>
      </c>
      <c r="D183" s="27" t="s">
        <v>492</v>
      </c>
      <c r="E183" s="26">
        <v>382</v>
      </c>
      <c r="F183" s="26" t="s">
        <v>346</v>
      </c>
      <c r="G183" s="26">
        <v>2</v>
      </c>
      <c r="H183" s="26" t="s">
        <v>361</v>
      </c>
      <c r="I183" s="26" t="s">
        <v>443</v>
      </c>
      <c r="J183" s="26" t="s">
        <v>1038</v>
      </c>
      <c r="K183" s="26" t="s">
        <v>1039</v>
      </c>
      <c r="L183" s="26" t="s">
        <v>931</v>
      </c>
      <c r="M183" s="28" t="s">
        <v>1377</v>
      </c>
      <c r="Q183" s="27"/>
      <c r="R183" s="26">
        <v>6382</v>
      </c>
      <c r="S183" s="26">
        <v>1360</v>
      </c>
      <c r="T183" s="26">
        <f>IF(Table2[[#This Row],[PMT]]="NA","NA",Table2[[#This Row],[PMT]]+1)</f>
        <v>1361</v>
      </c>
      <c r="U183" s="26">
        <f>IF(Table2[[#This Row],[PMT]]="NA","NA",Table2[[#This Row],[PMT]]+2)</f>
        <v>1362</v>
      </c>
      <c r="V183" s="26">
        <v>0</v>
      </c>
      <c r="W183" s="26">
        <f>IF(Table2[[#This Row],[PMT]]="NA","NA",Table2[[#This Row],[PMT]]+8)-Table2[[#This Row],[Const]]</f>
        <v>1368</v>
      </c>
      <c r="X183" s="26" t="str">
        <f>IF(W183="NA","",CONCATENATE("0B 04 00 ",DEC2HEX($G183,2)," ",LEFT(DEC2HEX(W183,4),2)," ",RIGHT(DEC2HEX(W183,4),2)))</f>
        <v>0B 04 00 02 05 58</v>
      </c>
      <c r="Y183" s="26">
        <f>IF(Table2[[#This Row],[PMT]]="NA","NA",Table2[[#This Row],[PMT]]+14)-Table2[[#This Row],[Const]]</f>
        <v>1374</v>
      </c>
      <c r="Z183" s="26" t="str">
        <f>IF(Y183="NA","",CONCATENATE("0B 04 00 ",DEC2HEX($G183,2)," ",LEFT(DEC2HEX(Y183,4),2)," ",RIGHT(DEC2HEX(Y183,4),2)))</f>
        <v>0B 04 00 02 05 5E</v>
      </c>
      <c r="AA183" s="26" t="s">
        <v>361</v>
      </c>
      <c r="AB183" s="26" t="s">
        <v>443</v>
      </c>
      <c r="AC183" s="26"/>
      <c r="AD183" s="26" t="s">
        <v>346</v>
      </c>
      <c r="AE183" s="26"/>
      <c r="AF183" s="26"/>
      <c r="AI183" s="26"/>
      <c r="AJ183" s="26"/>
      <c r="AL183" s="26"/>
      <c r="AW183" s="26"/>
      <c r="AX183" s="26"/>
      <c r="AY183" s="26"/>
    </row>
    <row r="184" spans="1:51" x14ac:dyDescent="0.25">
      <c r="A184" s="26">
        <v>176</v>
      </c>
      <c r="B184" s="26" t="s">
        <v>153</v>
      </c>
      <c r="C184" s="26">
        <v>5180</v>
      </c>
      <c r="D184" s="27" t="s">
        <v>490</v>
      </c>
      <c r="E184" s="26">
        <v>380</v>
      </c>
      <c r="F184" s="26">
        <v>3</v>
      </c>
      <c r="G184" s="26">
        <v>3</v>
      </c>
      <c r="H184" s="26" t="s">
        <v>361</v>
      </c>
      <c r="I184" s="26" t="s">
        <v>443</v>
      </c>
      <c r="J184" s="26" t="s">
        <v>1040</v>
      </c>
      <c r="K184" s="26" t="s">
        <v>953</v>
      </c>
      <c r="L184" s="26" t="s">
        <v>931</v>
      </c>
      <c r="M184" s="28" t="s">
        <v>1377</v>
      </c>
      <c r="Q184" s="27"/>
      <c r="R184" s="26">
        <v>6380</v>
      </c>
      <c r="S184" s="26">
        <v>5500</v>
      </c>
      <c r="T184" s="26">
        <f>IF(Table2[[#This Row],[PMT]]="NA","NA",Table2[[#This Row],[PMT]]+1)</f>
        <v>5501</v>
      </c>
      <c r="U184" s="26">
        <f>IF(Table2[[#This Row],[PMT]]="NA","NA",Table2[[#This Row],[PMT]]+2)</f>
        <v>5502</v>
      </c>
      <c r="V184" s="26">
        <v>0</v>
      </c>
      <c r="W184" s="26">
        <f>IF(Table2[[#This Row],[PMT]]="NA","NA",Table2[[#This Row],[PMT]]+8)-Table2[[#This Row],[Const]]</f>
        <v>5508</v>
      </c>
      <c r="X184" s="26" t="str">
        <f>IF(W184="NA","",CONCATENATE("0B 04 00 ",DEC2HEX($G184,2)," ",LEFT(DEC2HEX(W184,4),2)," ",RIGHT(DEC2HEX(W184,4),2)))</f>
        <v>0B 04 00 03 15 84</v>
      </c>
      <c r="Y184" s="26">
        <f>IF(Table2[[#This Row],[PMT]]="NA","NA",Table2[[#This Row],[PMT]]+14)-Table2[[#This Row],[Const]]</f>
        <v>5514</v>
      </c>
      <c r="Z184" s="26" t="str">
        <f>IF(Y184="NA","",CONCATENATE("0B 04 00 ",DEC2HEX($G184,2)," ",LEFT(DEC2HEX(Y184,4),2)," ",RIGHT(DEC2HEX(Y184,4),2)))</f>
        <v>0B 04 00 03 15 8A</v>
      </c>
      <c r="AA184" s="26" t="s">
        <v>361</v>
      </c>
      <c r="AB184" s="26" t="s">
        <v>443</v>
      </c>
      <c r="AC184" s="26"/>
      <c r="AD184" s="26" t="s">
        <v>814</v>
      </c>
      <c r="AE184" s="26"/>
      <c r="AF184" s="26"/>
      <c r="AI184" s="26"/>
      <c r="AJ184" s="26"/>
      <c r="AL184" s="26"/>
      <c r="AW184" s="26"/>
      <c r="AX184" s="26"/>
      <c r="AY184" s="26"/>
    </row>
    <row r="185" spans="1:51" x14ac:dyDescent="0.25">
      <c r="A185" s="26">
        <v>195</v>
      </c>
      <c r="B185" s="26" t="s">
        <v>646</v>
      </c>
      <c r="C185" s="26">
        <v>5001</v>
      </c>
      <c r="D185" s="27" t="s">
        <v>1062</v>
      </c>
      <c r="E185" s="26">
        <v>494</v>
      </c>
      <c r="F185" s="26">
        <v>11</v>
      </c>
      <c r="G185" s="26">
        <v>11</v>
      </c>
      <c r="H185" s="26" t="s">
        <v>361</v>
      </c>
      <c r="I185" s="26" t="s">
        <v>1350</v>
      </c>
      <c r="J185" s="26" t="s">
        <v>931</v>
      </c>
      <c r="K185" s="26" t="s">
        <v>1042</v>
      </c>
      <c r="L185" s="26" t="s">
        <v>931</v>
      </c>
      <c r="M185" s="26" t="s">
        <v>1376</v>
      </c>
      <c r="N185" s="26" t="s">
        <v>1080</v>
      </c>
      <c r="O185" s="26" t="s">
        <v>1090</v>
      </c>
      <c r="P185" s="26">
        <v>3845</v>
      </c>
      <c r="Q185" s="27" t="s">
        <v>1382</v>
      </c>
      <c r="R185" s="26">
        <v>12056</v>
      </c>
      <c r="S185" s="26">
        <v>7300</v>
      </c>
      <c r="T185" s="26">
        <f>IF(Table2[[#This Row],[PMT]]="NA","NA",Table2[[#This Row],[PMT]]+1)</f>
        <v>7301</v>
      </c>
      <c r="U185" s="26">
        <f>IF(Table2[[#This Row],[PMT]]="NA","NA",Table2[[#This Row],[PMT]]+2)</f>
        <v>7302</v>
      </c>
      <c r="V185" s="26">
        <v>0</v>
      </c>
      <c r="W185" s="26">
        <f>IF(Table2[[#This Row],[PMT]]="NA","NA",Table2[[#This Row],[PMT]]+8)-Table2[[#This Row],[Const]]</f>
        <v>7308</v>
      </c>
      <c r="X185" s="26" t="str">
        <f>IF(W185="NA","",CONCATENATE("0B 04 00 ",DEC2HEX($G185,2)," ",LEFT(DEC2HEX(W185,4),2)," ",RIGHT(DEC2HEX(W185,4),2)))</f>
        <v>0B 04 00 0B 1C 8C</v>
      </c>
      <c r="Y185" s="26">
        <f>IF(Table2[[#This Row],[PMT]]="NA","NA",Table2[[#This Row],[PMT]]+14)-Table2[[#This Row],[Const]]</f>
        <v>7314</v>
      </c>
      <c r="Z185" s="26" t="str">
        <f>IF(Y185="NA","",CONCATENATE("0B 04 00 ",DEC2HEX($G185,2)," ",LEFT(DEC2HEX(Y185,4),2)," ",RIGHT(DEC2HEX(Y185,4),2)))</f>
        <v>0B 04 00 0B 1C 92</v>
      </c>
      <c r="AA185" s="26" t="s">
        <v>361</v>
      </c>
      <c r="AB185" s="26"/>
      <c r="AC185" s="26"/>
      <c r="AD185" s="26" t="s">
        <v>814</v>
      </c>
      <c r="AE185" s="26"/>
      <c r="AF185" s="26"/>
      <c r="AI185" s="26"/>
      <c r="AJ185" s="26"/>
      <c r="AL185" s="26"/>
      <c r="AW185" s="26"/>
      <c r="AX185" s="26"/>
      <c r="AY185" s="26"/>
    </row>
    <row r="186" spans="1:51" x14ac:dyDescent="0.25">
      <c r="A186" s="26">
        <v>153</v>
      </c>
      <c r="B186" s="26" t="s">
        <v>207</v>
      </c>
      <c r="C186" s="26">
        <v>5180</v>
      </c>
      <c r="D186" s="27" t="s">
        <v>468</v>
      </c>
      <c r="E186" s="26">
        <v>341</v>
      </c>
      <c r="F186" s="26">
        <v>1</v>
      </c>
      <c r="G186" s="26">
        <v>1</v>
      </c>
      <c r="H186" s="26" t="s">
        <v>1063</v>
      </c>
      <c r="I186" s="26" t="s">
        <v>1084</v>
      </c>
      <c r="J186" s="26" t="s">
        <v>1040</v>
      </c>
      <c r="K186" s="26" t="s">
        <v>953</v>
      </c>
      <c r="L186" s="26" t="s">
        <v>931</v>
      </c>
      <c r="M186" s="26" t="s">
        <v>1377</v>
      </c>
      <c r="N186" s="26" t="s">
        <v>1086</v>
      </c>
      <c r="O186" s="26" t="s">
        <v>1380</v>
      </c>
      <c r="P186" s="26">
        <v>4000</v>
      </c>
      <c r="Q186" s="27" t="s">
        <v>1043</v>
      </c>
      <c r="R186" s="26">
        <v>5341</v>
      </c>
      <c r="S186" s="26">
        <v>5800</v>
      </c>
      <c r="T186" s="26">
        <f>IF(Table2[[#This Row],[PMT]]="NA","NA",Table2[[#This Row],[PMT]]+1)</f>
        <v>5801</v>
      </c>
      <c r="U186" s="26">
        <f>IF(Table2[[#This Row],[PMT]]="NA","NA",Table2[[#This Row],[PMT]]+2)</f>
        <v>5802</v>
      </c>
      <c r="V186" s="26">
        <v>1</v>
      </c>
      <c r="W186" s="26">
        <f>IF(Table2[[#This Row],[PMT]]="NA","NA",Table2[[#This Row],[PMT]]+8)-Table2[[#This Row],[Const]]</f>
        <v>5807</v>
      </c>
      <c r="X186" s="26" t="str">
        <f>IF(W186="NA","",CONCATENATE("0B 04 00 ",DEC2HEX($G186,2)," ",LEFT(DEC2HEX(W186,4),2)," ",RIGHT(DEC2HEX(W186,4),2)))</f>
        <v>0B 04 00 01 16 AF</v>
      </c>
      <c r="Y186" s="26">
        <f>IF(Table2[[#This Row],[PMT]]="NA","NA",Table2[[#This Row],[PMT]]+14)-Table2[[#This Row],[Const]]</f>
        <v>5813</v>
      </c>
      <c r="Z186" s="26" t="str">
        <f>IF(Y186="NA","",CONCATENATE("0B 04 00 ",DEC2HEX($G186,2)," ",LEFT(DEC2HEX(Y186,4),2)," ",RIGHT(DEC2HEX(Y186,4),2)))</f>
        <v>0B 04 00 01 16 B5</v>
      </c>
      <c r="AA186" s="26" t="s">
        <v>1063</v>
      </c>
      <c r="AB186" s="26" t="s">
        <v>1084</v>
      </c>
      <c r="AC186" s="26">
        <v>28100</v>
      </c>
      <c r="AD186" s="26" t="s">
        <v>815</v>
      </c>
      <c r="AE186" s="26"/>
      <c r="AF186" s="26"/>
      <c r="AI186" s="26"/>
      <c r="AJ186" s="26"/>
      <c r="AL186" s="26"/>
      <c r="AW186" s="26"/>
      <c r="AX186" s="26"/>
      <c r="AY186" s="26"/>
    </row>
    <row r="187" spans="1:51" x14ac:dyDescent="0.25">
      <c r="A187" s="26">
        <v>151</v>
      </c>
      <c r="B187" s="26" t="s">
        <v>643</v>
      </c>
      <c r="C187" s="26">
        <v>5001</v>
      </c>
      <c r="D187" s="27" t="s">
        <v>466</v>
      </c>
      <c r="E187" s="26">
        <v>339</v>
      </c>
      <c r="F187" s="26">
        <v>10</v>
      </c>
      <c r="G187" s="26">
        <v>10</v>
      </c>
      <c r="H187" s="26" t="s">
        <v>1063</v>
      </c>
      <c r="I187" s="26" t="s">
        <v>1084</v>
      </c>
      <c r="J187" s="26" t="s">
        <v>931</v>
      </c>
      <c r="K187" s="26" t="s">
        <v>1042</v>
      </c>
      <c r="L187" s="26" t="s">
        <v>931</v>
      </c>
      <c r="M187" s="26" t="s">
        <v>1377</v>
      </c>
      <c r="N187" s="26" t="s">
        <v>1381</v>
      </c>
      <c r="Q187" s="27" t="s">
        <v>1043</v>
      </c>
      <c r="R187" s="26">
        <v>1339</v>
      </c>
      <c r="S187" s="26">
        <v>2500</v>
      </c>
      <c r="T187" s="26">
        <f>IF(Table2[[#This Row],[PMT]]="NA","NA",Table2[[#This Row],[PMT]]+1)</f>
        <v>2501</v>
      </c>
      <c r="U187" s="26">
        <f>IF(Table2[[#This Row],[PMT]]="NA","NA",Table2[[#This Row],[PMT]]+2)</f>
        <v>2502</v>
      </c>
      <c r="V187" s="26">
        <v>0</v>
      </c>
      <c r="W187" s="26">
        <f>IF(Table2[[#This Row],[PMT]]="NA","NA",Table2[[#This Row],[PMT]]+8)-Table2[[#This Row],[Const]]</f>
        <v>2508</v>
      </c>
      <c r="X187" s="26" t="str">
        <f>IF(W187="NA","",CONCATENATE("0B 04 00 ",DEC2HEX($G187,2)," ",LEFT(DEC2HEX(W187,4),2)," ",RIGHT(DEC2HEX(W187,4),2)))</f>
        <v>0B 04 00 0A 09 CC</v>
      </c>
      <c r="Y187" s="26">
        <f>IF(Table2[[#This Row],[PMT]]="NA","NA",Table2[[#This Row],[PMT]]+14)-Table2[[#This Row],[Const]]</f>
        <v>2514</v>
      </c>
      <c r="Z187" s="26" t="str">
        <f>IF(Y187="NA","",CONCATENATE("0B 04 00 ",DEC2HEX($G187,2)," ",LEFT(DEC2HEX(Y187,4),2)," ",RIGHT(DEC2HEX(Y187,4),2)))</f>
        <v>0B 04 00 0A 09 D2</v>
      </c>
      <c r="AA187" s="26" t="s">
        <v>1063</v>
      </c>
      <c r="AB187" s="26" t="s">
        <v>1084</v>
      </c>
      <c r="AC187" s="26"/>
      <c r="AD187" s="26" t="s">
        <v>814</v>
      </c>
      <c r="AE187" s="26"/>
      <c r="AF187" s="26"/>
      <c r="AI187" s="26"/>
      <c r="AJ187" s="26"/>
      <c r="AL187" s="26"/>
      <c r="AW187" s="26"/>
      <c r="AX187" s="26"/>
      <c r="AY187" s="26"/>
    </row>
    <row r="188" spans="1:51" hidden="1" x14ac:dyDescent="0.25">
      <c r="A188" s="26">
        <v>183</v>
      </c>
      <c r="B188" s="26" t="s">
        <v>346</v>
      </c>
      <c r="C188" s="26" t="s">
        <v>346</v>
      </c>
      <c r="D188" s="27" t="s">
        <v>1270</v>
      </c>
      <c r="E188" s="26">
        <v>387</v>
      </c>
      <c r="F188" s="26" t="s">
        <v>346</v>
      </c>
      <c r="G188" s="26">
        <v>4</v>
      </c>
      <c r="H188" s="26" t="s">
        <v>361</v>
      </c>
      <c r="I188" s="26" t="s">
        <v>443</v>
      </c>
      <c r="J188" s="26" t="s">
        <v>1038</v>
      </c>
      <c r="K188" s="26" t="s">
        <v>1039</v>
      </c>
      <c r="L188" s="26" t="s">
        <v>931</v>
      </c>
      <c r="M188" s="28" t="s">
        <v>1377</v>
      </c>
      <c r="Q188" s="27"/>
      <c r="R188" s="26">
        <v>4387</v>
      </c>
      <c r="S188" s="26">
        <v>400</v>
      </c>
      <c r="T188" s="26">
        <f>IF(Table2[[#This Row],[PMT]]="NA","NA",Table2[[#This Row],[PMT]]+1)</f>
        <v>401</v>
      </c>
      <c r="U188" s="26">
        <f>IF(Table2[[#This Row],[PMT]]="NA","NA",Table2[[#This Row],[PMT]]+2)</f>
        <v>402</v>
      </c>
      <c r="V188" s="26">
        <v>0</v>
      </c>
      <c r="W188" s="26">
        <f>IF(Table2[[#This Row],[PMT]]="NA","NA",Table2[[#This Row],[PMT]]+8)-Table2[[#This Row],[Const]]</f>
        <v>408</v>
      </c>
      <c r="X188" s="26" t="str">
        <f>IF(W188="NA","",CONCATENATE("0B 04 00 ",DEC2HEX($G188,2)," ",LEFT(DEC2HEX(W188,4),2)," ",RIGHT(DEC2HEX(W188,4),2)))</f>
        <v>0B 04 00 04 01 98</v>
      </c>
      <c r="Y188" s="26">
        <f>IF(Table2[[#This Row],[PMT]]="NA","NA",Table2[[#This Row],[PMT]]+14)-Table2[[#This Row],[Const]]</f>
        <v>414</v>
      </c>
      <c r="Z188" s="26" t="str">
        <f>IF(Y188="NA","",CONCATENATE("0B 04 00 ",DEC2HEX($G188,2)," ",LEFT(DEC2HEX(Y188,4),2)," ",RIGHT(DEC2HEX(Y188,4),2)))</f>
        <v>0B 04 00 04 01 9E</v>
      </c>
      <c r="AA188" s="26" t="s">
        <v>361</v>
      </c>
      <c r="AB188" s="26" t="s">
        <v>1084</v>
      </c>
      <c r="AC188" s="26"/>
      <c r="AD188" s="26" t="s">
        <v>346</v>
      </c>
      <c r="AE188" s="26"/>
      <c r="AF188" s="26"/>
      <c r="AI188" s="26"/>
      <c r="AJ188" s="26"/>
      <c r="AL188" s="26"/>
      <c r="AW188" s="26"/>
      <c r="AX188" s="26"/>
      <c r="AY188" s="26"/>
    </row>
    <row r="189" spans="1:51" x14ac:dyDescent="0.25">
      <c r="A189" s="26">
        <v>98</v>
      </c>
      <c r="B189" s="26" t="s">
        <v>168</v>
      </c>
      <c r="C189" s="26">
        <v>5180</v>
      </c>
      <c r="D189" s="27" t="s">
        <v>425</v>
      </c>
      <c r="E189" s="26">
        <v>240</v>
      </c>
      <c r="F189" s="26">
        <v>4</v>
      </c>
      <c r="G189" s="26">
        <v>4</v>
      </c>
      <c r="H189" s="26" t="s">
        <v>1058</v>
      </c>
      <c r="I189" s="26" t="s">
        <v>1084</v>
      </c>
      <c r="J189" s="26" t="s">
        <v>1040</v>
      </c>
      <c r="K189" s="26" t="s">
        <v>953</v>
      </c>
      <c r="L189" s="26" t="s">
        <v>931</v>
      </c>
      <c r="M189" s="28" t="s">
        <v>1377</v>
      </c>
      <c r="Q189" s="27"/>
      <c r="R189" s="26">
        <v>2229</v>
      </c>
      <c r="S189" s="26">
        <v>7600</v>
      </c>
      <c r="T189" s="26">
        <f>IF(Table2[[#This Row],[PMT]]="NA","NA",Table2[[#This Row],[PMT]]+1)</f>
        <v>7601</v>
      </c>
      <c r="U189" s="26">
        <f>IF(Table2[[#This Row],[PMT]]="NA","NA",Table2[[#This Row],[PMT]]+2)</f>
        <v>7602</v>
      </c>
      <c r="V189" s="26">
        <v>0</v>
      </c>
      <c r="W189" s="26">
        <f>IF(Table2[[#This Row],[PMT]]="NA","NA",Table2[[#This Row],[PMT]]+8)-Table2[[#This Row],[Const]]</f>
        <v>7608</v>
      </c>
      <c r="X189" s="26" t="str">
        <f>IF(W189="NA","",CONCATENATE("0B 04 00 ",DEC2HEX($G189,2)," ",LEFT(DEC2HEX(W189,4),2)," ",RIGHT(DEC2HEX(W189,4),2)))</f>
        <v>0B 04 00 04 1D B8</v>
      </c>
      <c r="Y189" s="26">
        <f>IF(Table2[[#This Row],[PMT]]="NA","NA",Table2[[#This Row],[PMT]]+14)-Table2[[#This Row],[Const]]</f>
        <v>7614</v>
      </c>
      <c r="Z189" s="26" t="str">
        <f>IF(Y189="NA","",CONCATENATE("0B 04 00 ",DEC2HEX($G189,2)," ",LEFT(DEC2HEX(Y189,4),2)," ",RIGHT(DEC2HEX(Y189,4),2)))</f>
        <v>0B 04 00 04 1D BE</v>
      </c>
      <c r="AA189" s="26" t="s">
        <v>1058</v>
      </c>
      <c r="AB189" s="26" t="s">
        <v>1084</v>
      </c>
      <c r="AC189" s="26"/>
      <c r="AD189" s="26" t="s">
        <v>814</v>
      </c>
      <c r="AE189" s="26"/>
      <c r="AF189" s="26"/>
      <c r="AI189" s="26"/>
      <c r="AJ189" s="26"/>
      <c r="AL189" s="26"/>
      <c r="AW189" s="26"/>
      <c r="AX189" s="26"/>
      <c r="AY189" s="26"/>
    </row>
    <row r="190" spans="1:51" hidden="1" x14ac:dyDescent="0.25">
      <c r="A190" s="26">
        <v>185</v>
      </c>
      <c r="B190" s="26" t="s">
        <v>346</v>
      </c>
      <c r="C190" s="26" t="s">
        <v>346</v>
      </c>
      <c r="D190" s="27" t="s">
        <v>498</v>
      </c>
      <c r="E190" s="26">
        <v>389</v>
      </c>
      <c r="F190" s="26" t="s">
        <v>346</v>
      </c>
      <c r="G190" s="26">
        <v>3</v>
      </c>
      <c r="H190" s="26" t="s">
        <v>361</v>
      </c>
      <c r="I190" s="26" t="s">
        <v>443</v>
      </c>
      <c r="J190" s="26" t="s">
        <v>1038</v>
      </c>
      <c r="K190" s="26" t="s">
        <v>1039</v>
      </c>
      <c r="L190" s="26" t="s">
        <v>931</v>
      </c>
      <c r="M190" s="28" t="s">
        <v>1377</v>
      </c>
      <c r="Q190" s="27"/>
      <c r="R190" s="26">
        <v>12075</v>
      </c>
      <c r="S190" s="26">
        <v>980</v>
      </c>
      <c r="T190" s="26">
        <f>IF(Table2[[#This Row],[PMT]]="NA","NA",Table2[[#This Row],[PMT]]+1)</f>
        <v>981</v>
      </c>
      <c r="U190" s="26">
        <f>IF(Table2[[#This Row],[PMT]]="NA","NA",Table2[[#This Row],[PMT]]+2)</f>
        <v>982</v>
      </c>
      <c r="V190" s="26">
        <v>0</v>
      </c>
      <c r="W190" s="26">
        <f>IF(Table2[[#This Row],[PMT]]="NA","NA",Table2[[#This Row],[PMT]]+8)-Table2[[#This Row],[Const]]</f>
        <v>988</v>
      </c>
      <c r="X190" s="26" t="str">
        <f>IF(W190="NA","",CONCATENATE("0B 04 00 ",DEC2HEX($G190,2)," ",LEFT(DEC2HEX(W190,4),2)," ",RIGHT(DEC2HEX(W190,4),2)))</f>
        <v>0B 04 00 03 03 DC</v>
      </c>
      <c r="Y190" s="26">
        <f>IF(Table2[[#This Row],[PMT]]="NA","NA",Table2[[#This Row],[PMT]]+14)-Table2[[#This Row],[Const]]</f>
        <v>994</v>
      </c>
      <c r="Z190" s="26" t="str">
        <f>IF(Y190="NA","",CONCATENATE("0B 04 00 ",DEC2HEX($G190,2)," ",LEFT(DEC2HEX(Y190,4),2)," ",RIGHT(DEC2HEX(Y190,4),2)))</f>
        <v>0B 04 00 03 03 E2</v>
      </c>
      <c r="AA190" s="26" t="s">
        <v>361</v>
      </c>
      <c r="AB190" s="26" t="s">
        <v>443</v>
      </c>
      <c r="AC190" s="26"/>
      <c r="AD190" s="26" t="s">
        <v>346</v>
      </c>
      <c r="AE190" s="26"/>
      <c r="AF190" s="26"/>
      <c r="AI190" s="26"/>
      <c r="AJ190" s="26"/>
      <c r="AL190" s="26"/>
      <c r="AW190" s="26"/>
      <c r="AX190" s="26"/>
      <c r="AY190" s="26"/>
    </row>
    <row r="191" spans="1:51" hidden="1" x14ac:dyDescent="0.25">
      <c r="A191" s="26">
        <v>186</v>
      </c>
      <c r="B191" s="26" t="s">
        <v>346</v>
      </c>
      <c r="C191" s="26" t="s">
        <v>346</v>
      </c>
      <c r="D191" s="27" t="s">
        <v>499</v>
      </c>
      <c r="E191" s="26">
        <v>391</v>
      </c>
      <c r="F191" s="26" t="s">
        <v>346</v>
      </c>
      <c r="G191" s="26">
        <v>9</v>
      </c>
      <c r="H191" s="26" t="s">
        <v>361</v>
      </c>
      <c r="I191" s="26" t="s">
        <v>443</v>
      </c>
      <c r="J191" s="26" t="s">
        <v>1038</v>
      </c>
      <c r="K191" s="26" t="s">
        <v>1039</v>
      </c>
      <c r="L191" s="26" t="s">
        <v>931</v>
      </c>
      <c r="M191" s="26" t="s">
        <v>1376</v>
      </c>
      <c r="N191" s="26" t="s">
        <v>1096</v>
      </c>
      <c r="O191" s="26" t="s">
        <v>1383</v>
      </c>
      <c r="P191" s="26">
        <v>3864</v>
      </c>
      <c r="Q191" s="27" t="s">
        <v>1387</v>
      </c>
      <c r="R191" s="26">
        <v>12120</v>
      </c>
      <c r="S191" s="26">
        <v>5700</v>
      </c>
      <c r="T191" s="26">
        <f>IF(Table2[[#This Row],[PMT]]="NA","NA",Table2[[#This Row],[PMT]]+1)</f>
        <v>5701</v>
      </c>
      <c r="U191" s="26">
        <f>IF(Table2[[#This Row],[PMT]]="NA","NA",Table2[[#This Row],[PMT]]+2)</f>
        <v>5702</v>
      </c>
      <c r="V191" s="26">
        <v>0</v>
      </c>
      <c r="W191" s="26">
        <f>IF(Table2[[#This Row],[PMT]]="NA","NA",Table2[[#This Row],[PMT]]+8)-Table2[[#This Row],[Const]]</f>
        <v>5708</v>
      </c>
      <c r="X191" s="26" t="str">
        <f>IF(W191="NA","",CONCATENATE("0B 04 00 ",DEC2HEX($G191,2)," ",LEFT(DEC2HEX(W191,4),2)," ",RIGHT(DEC2HEX(W191,4),2)))</f>
        <v>0B 04 00 09 16 4C</v>
      </c>
      <c r="Y191" s="26">
        <f>IF(Table2[[#This Row],[PMT]]="NA","NA",Table2[[#This Row],[PMT]]+14)-Table2[[#This Row],[Const]]</f>
        <v>5714</v>
      </c>
      <c r="Z191" s="26" t="str">
        <f>IF(Y191="NA","",CONCATENATE("0B 04 00 ",DEC2HEX($G191,2)," ",LEFT(DEC2HEX(Y191,4),2)," ",RIGHT(DEC2HEX(Y191,4),2)))</f>
        <v>0B 04 00 09 16 52</v>
      </c>
      <c r="AA191" s="26" t="s">
        <v>361</v>
      </c>
      <c r="AB191" s="26" t="s">
        <v>1084</v>
      </c>
      <c r="AC191" s="26"/>
      <c r="AD191" s="26" t="s">
        <v>346</v>
      </c>
      <c r="AE191" s="26"/>
      <c r="AF191" s="26"/>
      <c r="AI191" s="26"/>
      <c r="AJ191" s="26"/>
      <c r="AL191" s="26"/>
      <c r="AW191" s="26"/>
      <c r="AX191" s="26"/>
      <c r="AY191" s="26"/>
    </row>
    <row r="192" spans="1:51" hidden="1" x14ac:dyDescent="0.25">
      <c r="A192" s="26">
        <v>187</v>
      </c>
      <c r="B192" s="26" t="s">
        <v>346</v>
      </c>
      <c r="C192" s="26" t="s">
        <v>346</v>
      </c>
      <c r="D192" s="27" t="s">
        <v>1338</v>
      </c>
      <c r="E192" s="26">
        <v>393</v>
      </c>
      <c r="F192" s="26" t="s">
        <v>346</v>
      </c>
      <c r="G192" s="26">
        <v>4</v>
      </c>
      <c r="H192" s="26" t="s">
        <v>361</v>
      </c>
      <c r="I192" s="26" t="s">
        <v>1084</v>
      </c>
      <c r="J192" s="26" t="s">
        <v>1038</v>
      </c>
      <c r="K192" s="26" t="s">
        <v>1039</v>
      </c>
      <c r="L192" s="26" t="s">
        <v>931</v>
      </c>
      <c r="M192" s="28" t="s">
        <v>1377</v>
      </c>
      <c r="N192" s="31"/>
      <c r="O192" s="31"/>
      <c r="P192" s="31"/>
      <c r="Q192" s="32"/>
      <c r="R192" s="31"/>
      <c r="S192" s="31"/>
      <c r="T192" s="31">
        <f>IF(Table2[[#This Row],[PMT]]="NA","NA",Table2[[#This Row],[PMT]]+1)</f>
        <v>1</v>
      </c>
      <c r="U192" s="31">
        <f>IF(Table2[[#This Row],[PMT]]="NA","NA",Table2[[#This Row],[PMT]]+2)</f>
        <v>2</v>
      </c>
      <c r="V192" s="26"/>
      <c r="W192" s="31">
        <f>IF(Table2[[#This Row],[PMT]]="NA","NA",Table2[[#This Row],[PMT]]+8)-Table2[[#This Row],[Const]]</f>
        <v>8</v>
      </c>
      <c r="X192" s="31" t="str">
        <f>IF(W192="NA","",CONCATENATE("0B 04 00 ",DEC2HEX($G192,2)," ",LEFT(DEC2HEX(W192,4),2)," ",RIGHT(DEC2HEX(W192,4),2)))</f>
        <v>0B 04 00 04 00 08</v>
      </c>
      <c r="Y192" s="31">
        <f>IF(Table2[[#This Row],[PMT]]="NA","NA",Table2[[#This Row],[PMT]]+14)-Table2[[#This Row],[Const]]</f>
        <v>14</v>
      </c>
      <c r="Z192" s="31" t="str">
        <f>IF(Y192="NA","",CONCATENATE("0B 04 00 ",DEC2HEX($G192,2)," ",LEFT(DEC2HEX(Y192,4),2)," ",RIGHT(DEC2HEX(Y192,4),2)))</f>
        <v>0B 04 00 04 00 0E</v>
      </c>
      <c r="AA192" s="26"/>
      <c r="AB192" s="26"/>
      <c r="AC192" s="31"/>
      <c r="AD192" s="31"/>
      <c r="AE192" s="26"/>
      <c r="AF192" s="26"/>
      <c r="AI192" s="26"/>
      <c r="AJ192" s="26"/>
      <c r="AL192" s="26"/>
      <c r="AW192" s="26"/>
      <c r="AX192" s="26"/>
      <c r="AY192" s="26"/>
    </row>
    <row r="193" spans="1:51" hidden="1" x14ac:dyDescent="0.25">
      <c r="A193" s="26">
        <v>188</v>
      </c>
      <c r="B193" s="26" t="s">
        <v>346</v>
      </c>
      <c r="C193" s="26" t="s">
        <v>346</v>
      </c>
      <c r="D193" s="27" t="s">
        <v>1339</v>
      </c>
      <c r="E193" s="26">
        <v>486</v>
      </c>
      <c r="F193" s="26" t="s">
        <v>346</v>
      </c>
      <c r="G193" s="26">
        <v>9</v>
      </c>
      <c r="H193" s="26" t="s">
        <v>349</v>
      </c>
      <c r="I193" s="26" t="s">
        <v>1350</v>
      </c>
      <c r="J193" s="26" t="s">
        <v>1038</v>
      </c>
      <c r="K193" s="26" t="s">
        <v>1039</v>
      </c>
      <c r="L193" s="26" t="s">
        <v>931</v>
      </c>
      <c r="M193" s="28" t="s">
        <v>1375</v>
      </c>
      <c r="N193" s="31"/>
      <c r="O193" s="31"/>
      <c r="P193" s="31"/>
      <c r="Q193" s="32"/>
      <c r="R193" s="31"/>
      <c r="S193" s="31"/>
      <c r="T193" s="31">
        <f>IF(Table2[[#This Row],[PMT]]="NA","NA",Table2[[#This Row],[PMT]]+1)</f>
        <v>1</v>
      </c>
      <c r="U193" s="31">
        <f>IF(Table2[[#This Row],[PMT]]="NA","NA",Table2[[#This Row],[PMT]]+2)</f>
        <v>2</v>
      </c>
      <c r="V193" s="26"/>
      <c r="W193" s="31">
        <f>IF(Table2[[#This Row],[PMT]]="NA","NA",Table2[[#This Row],[PMT]]+8)-Table2[[#This Row],[Const]]</f>
        <v>8</v>
      </c>
      <c r="X193" s="31" t="str">
        <f>IF(W193="NA","",CONCATENATE("0B 04 00 ",DEC2HEX($G193,2)," ",LEFT(DEC2HEX(W193,4),2)," ",RIGHT(DEC2HEX(W193,4),2)))</f>
        <v>0B 04 00 09 00 08</v>
      </c>
      <c r="Y193" s="31">
        <f>IF(Table2[[#This Row],[PMT]]="NA","NA",Table2[[#This Row],[PMT]]+14)-Table2[[#This Row],[Const]]</f>
        <v>14</v>
      </c>
      <c r="Z193" s="31" t="str">
        <f>IF(Y193="NA","",CONCATENATE("0B 04 00 ",DEC2HEX($G193,2)," ",LEFT(DEC2HEX(Y193,4),2)," ",RIGHT(DEC2HEX(Y193,4),2)))</f>
        <v>0B 04 00 09 00 0E</v>
      </c>
      <c r="AA193" s="26"/>
      <c r="AB193" s="26"/>
      <c r="AC193" s="31"/>
      <c r="AD193" s="31"/>
      <c r="AE193" s="26"/>
      <c r="AF193" s="26"/>
      <c r="AI193" s="26"/>
      <c r="AJ193" s="26"/>
      <c r="AL193" s="26"/>
      <c r="AW193" s="26"/>
      <c r="AX193" s="26"/>
      <c r="AY193" s="26"/>
    </row>
    <row r="194" spans="1:51" hidden="1" x14ac:dyDescent="0.25">
      <c r="A194" s="26">
        <v>189</v>
      </c>
      <c r="B194" s="26" t="s">
        <v>346</v>
      </c>
      <c r="C194" s="26" t="s">
        <v>346</v>
      </c>
      <c r="D194" s="27" t="s">
        <v>1340</v>
      </c>
      <c r="E194" s="26">
        <v>487</v>
      </c>
      <c r="F194" s="26" t="s">
        <v>346</v>
      </c>
      <c r="G194" s="26">
        <v>3</v>
      </c>
      <c r="H194" s="26" t="s">
        <v>349</v>
      </c>
      <c r="I194" s="26" t="s">
        <v>1350</v>
      </c>
      <c r="J194" s="26" t="s">
        <v>1038</v>
      </c>
      <c r="K194" s="26" t="s">
        <v>1039</v>
      </c>
      <c r="L194" s="26" t="s">
        <v>931</v>
      </c>
      <c r="M194" s="26" t="s">
        <v>1377</v>
      </c>
      <c r="N194" s="26" t="s">
        <v>1080</v>
      </c>
      <c r="O194" s="26" t="s">
        <v>1384</v>
      </c>
      <c r="P194" s="26">
        <v>3925</v>
      </c>
      <c r="Q194" s="27" t="s">
        <v>1385</v>
      </c>
      <c r="R194" s="31"/>
      <c r="S194" s="31"/>
      <c r="T194" s="31">
        <f>IF(Table2[[#This Row],[PMT]]="NA","NA",Table2[[#This Row],[PMT]]+1)</f>
        <v>1</v>
      </c>
      <c r="U194" s="31">
        <f>IF(Table2[[#This Row],[PMT]]="NA","NA",Table2[[#This Row],[PMT]]+2)</f>
        <v>2</v>
      </c>
      <c r="V194" s="26"/>
      <c r="W194" s="31">
        <f>IF(Table2[[#This Row],[PMT]]="NA","NA",Table2[[#This Row],[PMT]]+8)-Table2[[#This Row],[Const]]</f>
        <v>8</v>
      </c>
      <c r="X194" s="31" t="str">
        <f>IF(W194="NA","",CONCATENATE("0B 04 00 ",DEC2HEX($G194,2)," ",LEFT(DEC2HEX(W194,4),2)," ",RIGHT(DEC2HEX(W194,4),2)))</f>
        <v>0B 04 00 03 00 08</v>
      </c>
      <c r="Y194" s="31">
        <f>IF(Table2[[#This Row],[PMT]]="NA","NA",Table2[[#This Row],[PMT]]+14)-Table2[[#This Row],[Const]]</f>
        <v>14</v>
      </c>
      <c r="Z194" s="31" t="str">
        <f>IF(Y194="NA","",CONCATENATE("0B 04 00 ",DEC2HEX($G194,2)," ",LEFT(DEC2HEX(Y194,4),2)," ",RIGHT(DEC2HEX(Y194,4),2)))</f>
        <v>0B 04 00 03 00 0E</v>
      </c>
      <c r="AA194" s="26"/>
      <c r="AB194" s="26"/>
      <c r="AC194" s="31"/>
      <c r="AD194" s="31"/>
      <c r="AE194" s="26"/>
      <c r="AF194" s="26"/>
      <c r="AI194" s="26"/>
      <c r="AJ194" s="26"/>
      <c r="AL194" s="26"/>
      <c r="AW194" s="26"/>
      <c r="AX194" s="26"/>
      <c r="AY194" s="26"/>
    </row>
    <row r="195" spans="1:51" hidden="1" x14ac:dyDescent="0.25">
      <c r="A195" s="26">
        <v>190</v>
      </c>
      <c r="B195" s="26" t="s">
        <v>346</v>
      </c>
      <c r="C195" s="26" t="s">
        <v>346</v>
      </c>
      <c r="D195" s="27" t="s">
        <v>1341</v>
      </c>
      <c r="E195" s="26">
        <v>488</v>
      </c>
      <c r="F195" s="26" t="s">
        <v>346</v>
      </c>
      <c r="G195" s="26">
        <v>7</v>
      </c>
      <c r="H195" s="26" t="s">
        <v>349</v>
      </c>
      <c r="I195" s="26" t="s">
        <v>1350</v>
      </c>
      <c r="J195" s="26" t="s">
        <v>1038</v>
      </c>
      <c r="K195" s="26" t="s">
        <v>1039</v>
      </c>
      <c r="L195" s="26" t="s">
        <v>931</v>
      </c>
      <c r="M195" s="28"/>
      <c r="N195" s="31"/>
      <c r="O195" s="31"/>
      <c r="P195" s="31"/>
      <c r="Q195" s="32"/>
      <c r="R195" s="31"/>
      <c r="S195" s="31"/>
      <c r="T195" s="31">
        <f>IF(Table2[[#This Row],[PMT]]="NA","NA",Table2[[#This Row],[PMT]]+1)</f>
        <v>1</v>
      </c>
      <c r="U195" s="31">
        <f>IF(Table2[[#This Row],[PMT]]="NA","NA",Table2[[#This Row],[PMT]]+2)</f>
        <v>2</v>
      </c>
      <c r="V195" s="26"/>
      <c r="W195" s="31">
        <f>IF(Table2[[#This Row],[PMT]]="NA","NA",Table2[[#This Row],[PMT]]+8)-Table2[[#This Row],[Const]]</f>
        <v>8</v>
      </c>
      <c r="X195" s="31" t="str">
        <f>IF(W195="NA","",CONCATENATE("0B 04 00 ",DEC2HEX($G195,2)," ",LEFT(DEC2HEX(W195,4),2)," ",RIGHT(DEC2HEX(W195,4),2)))</f>
        <v>0B 04 00 07 00 08</v>
      </c>
      <c r="Y195" s="31">
        <f>IF(Table2[[#This Row],[PMT]]="NA","NA",Table2[[#This Row],[PMT]]+14)-Table2[[#This Row],[Const]]</f>
        <v>14</v>
      </c>
      <c r="Z195" s="31" t="str">
        <f>IF(Y195="NA","",CONCATENATE("0B 04 00 ",DEC2HEX($G195,2)," ",LEFT(DEC2HEX(Y195,4),2)," ",RIGHT(DEC2HEX(Y195,4),2)))</f>
        <v>0B 04 00 07 00 0E</v>
      </c>
      <c r="AA195" s="26"/>
      <c r="AB195" s="26"/>
      <c r="AC195" s="31"/>
      <c r="AD195" s="31"/>
      <c r="AE195" s="26"/>
      <c r="AF195" s="26"/>
      <c r="AI195" s="26"/>
      <c r="AJ195" s="26"/>
      <c r="AL195" s="26"/>
      <c r="AW195" s="26"/>
      <c r="AX195" s="26"/>
      <c r="AY195" s="26"/>
    </row>
    <row r="196" spans="1:51" hidden="1" x14ac:dyDescent="0.25">
      <c r="A196" s="26">
        <v>191</v>
      </c>
      <c r="B196" s="26" t="s">
        <v>346</v>
      </c>
      <c r="C196" s="26" t="s">
        <v>346</v>
      </c>
      <c r="D196" s="27" t="s">
        <v>1272</v>
      </c>
      <c r="E196" s="26">
        <v>490</v>
      </c>
      <c r="F196" s="26" t="s">
        <v>346</v>
      </c>
      <c r="G196" s="26">
        <v>5</v>
      </c>
      <c r="H196" s="26" t="s">
        <v>349</v>
      </c>
      <c r="I196" s="26" t="s">
        <v>1350</v>
      </c>
      <c r="J196" s="26" t="s">
        <v>1038</v>
      </c>
      <c r="K196" s="26" t="s">
        <v>1039</v>
      </c>
      <c r="L196" s="26" t="s">
        <v>931</v>
      </c>
      <c r="M196" s="28" t="s">
        <v>1377</v>
      </c>
      <c r="Q196" s="27"/>
      <c r="R196" s="26">
        <v>12157</v>
      </c>
      <c r="S196" s="26">
        <v>690</v>
      </c>
      <c r="T196" s="26">
        <f>IF(Table2[[#This Row],[PMT]]="NA","NA",Table2[[#This Row],[PMT]]+1)</f>
        <v>691</v>
      </c>
      <c r="U196" s="26">
        <f>IF(Table2[[#This Row],[PMT]]="NA","NA",Table2[[#This Row],[PMT]]+2)</f>
        <v>692</v>
      </c>
      <c r="V196" s="26">
        <v>0</v>
      </c>
      <c r="W196" s="26">
        <f>IF(Table2[[#This Row],[PMT]]="NA","NA",Table2[[#This Row],[PMT]]+8)-Table2[[#This Row],[Const]]</f>
        <v>698</v>
      </c>
      <c r="X196" s="26" t="str">
        <f>IF(W196="NA","",CONCATENATE("0B 04 00 ",DEC2HEX($G196,2)," ",LEFT(DEC2HEX(W196,4),2)," ",RIGHT(DEC2HEX(W196,4),2)))</f>
        <v>0B 04 00 05 02 BA</v>
      </c>
      <c r="Y196" s="26">
        <f>IF(Table2[[#This Row],[PMT]]="NA","NA",Table2[[#This Row],[PMT]]+14)-Table2[[#This Row],[Const]]</f>
        <v>704</v>
      </c>
      <c r="Z196" s="26" t="str">
        <f>IF(Y196="NA","",CONCATENATE("0B 04 00 ",DEC2HEX($G196,2)," ",LEFT(DEC2HEX(Y196,4),2)," ",RIGHT(DEC2HEX(Y196,4),2)))</f>
        <v>0B 04 00 05 02 C0</v>
      </c>
      <c r="AA196" s="26"/>
      <c r="AB196" s="26"/>
      <c r="AC196" s="26"/>
      <c r="AD196" s="26" t="s">
        <v>346</v>
      </c>
      <c r="AE196" s="26"/>
      <c r="AF196" s="26"/>
      <c r="AI196" s="26"/>
      <c r="AJ196" s="26"/>
      <c r="AL196" s="26"/>
      <c r="AW196" s="26"/>
      <c r="AX196" s="26"/>
      <c r="AY196" s="26"/>
    </row>
    <row r="197" spans="1:51" x14ac:dyDescent="0.25">
      <c r="A197" s="26">
        <v>97</v>
      </c>
      <c r="B197" s="26" t="s">
        <v>228</v>
      </c>
      <c r="C197" s="26">
        <v>5180</v>
      </c>
      <c r="D197" s="27" t="s">
        <v>424</v>
      </c>
      <c r="E197" s="26">
        <v>238</v>
      </c>
      <c r="F197" s="26">
        <v>5</v>
      </c>
      <c r="G197" s="26">
        <v>5</v>
      </c>
      <c r="H197" s="26" t="s">
        <v>1058</v>
      </c>
      <c r="I197" s="26" t="s">
        <v>1084</v>
      </c>
      <c r="J197" s="26" t="s">
        <v>1040</v>
      </c>
      <c r="K197" s="26" t="s">
        <v>953</v>
      </c>
      <c r="L197" s="26" t="s">
        <v>931</v>
      </c>
      <c r="M197" s="28" t="s">
        <v>1377</v>
      </c>
      <c r="Q197" s="27"/>
      <c r="R197" s="26">
        <v>2228</v>
      </c>
      <c r="S197" s="26">
        <v>5600</v>
      </c>
      <c r="T197" s="26">
        <f>IF(Table2[[#This Row],[PMT]]="NA","NA",Table2[[#This Row],[PMT]]+1)</f>
        <v>5601</v>
      </c>
      <c r="U197" s="26">
        <f>IF(Table2[[#This Row],[PMT]]="NA","NA",Table2[[#This Row],[PMT]]+2)</f>
        <v>5602</v>
      </c>
      <c r="V197" s="26">
        <v>0</v>
      </c>
      <c r="W197" s="26">
        <f>IF(Table2[[#This Row],[PMT]]="NA","NA",Table2[[#This Row],[PMT]]+8)-Table2[[#This Row],[Const]]</f>
        <v>5608</v>
      </c>
      <c r="X197" s="26" t="str">
        <f>IF(W197="NA","",CONCATENATE("0B 04 00 ",DEC2HEX($G197,2)," ",LEFT(DEC2HEX(W197,4),2)," ",RIGHT(DEC2HEX(W197,4),2)))</f>
        <v>0B 04 00 05 15 E8</v>
      </c>
      <c r="Y197" s="26">
        <f>IF(Table2[[#This Row],[PMT]]="NA","NA",Table2[[#This Row],[PMT]]+14)-Table2[[#This Row],[Const]]</f>
        <v>5614</v>
      </c>
      <c r="Z197" s="26" t="str">
        <f>IF(Y197="NA","",CONCATENATE("0B 04 00 ",DEC2HEX($G197,2)," ",LEFT(DEC2HEX(Y197,4),2)," ",RIGHT(DEC2HEX(Y197,4),2)))</f>
        <v>0B 04 00 05 15 EE</v>
      </c>
      <c r="AA197" s="26" t="s">
        <v>1058</v>
      </c>
      <c r="AB197" s="26" t="s">
        <v>1084</v>
      </c>
      <c r="AC197" s="26"/>
      <c r="AD197" s="26" t="s">
        <v>814</v>
      </c>
      <c r="AE197" s="26"/>
      <c r="AF197" s="26"/>
      <c r="AI197" s="26"/>
      <c r="AJ197" s="26"/>
      <c r="AL197" s="26"/>
      <c r="AW197" s="26"/>
      <c r="AX197" s="26"/>
      <c r="AY197" s="26"/>
    </row>
    <row r="198" spans="1:51" hidden="1" x14ac:dyDescent="0.25">
      <c r="A198" s="26">
        <v>193</v>
      </c>
      <c r="B198" s="26" t="s">
        <v>346</v>
      </c>
      <c r="C198" s="26" t="s">
        <v>346</v>
      </c>
      <c r="D198" s="27" t="s">
        <v>500</v>
      </c>
      <c r="E198" s="26">
        <v>492</v>
      </c>
      <c r="F198" s="26" t="s">
        <v>346</v>
      </c>
      <c r="G198" s="26">
        <v>5</v>
      </c>
      <c r="H198" s="26" t="s">
        <v>349</v>
      </c>
      <c r="I198" s="26" t="s">
        <v>1350</v>
      </c>
      <c r="J198" s="26" t="s">
        <v>1038</v>
      </c>
      <c r="K198" s="26" t="s">
        <v>1039</v>
      </c>
      <c r="L198" s="26" t="s">
        <v>931</v>
      </c>
      <c r="M198" s="28" t="s">
        <v>1377</v>
      </c>
      <c r="Q198" s="27"/>
      <c r="R198" s="26">
        <v>12084</v>
      </c>
      <c r="S198" s="26">
        <v>7400</v>
      </c>
      <c r="T198" s="26">
        <f>IF(Table2[[#This Row],[PMT]]="NA","NA",Table2[[#This Row],[PMT]]+1)</f>
        <v>7401</v>
      </c>
      <c r="U198" s="26">
        <f>IF(Table2[[#This Row],[PMT]]="NA","NA",Table2[[#This Row],[PMT]]+2)</f>
        <v>7402</v>
      </c>
      <c r="V198" s="26">
        <v>0</v>
      </c>
      <c r="W198" s="26">
        <f>IF(Table2[[#This Row],[PMT]]="NA","NA",Table2[[#This Row],[PMT]]+8)-Table2[[#This Row],[Const]]</f>
        <v>7408</v>
      </c>
      <c r="X198" s="26" t="str">
        <f>IF(W198="NA","",CONCATENATE("0B 04 00 ",DEC2HEX($G198,2)," ",LEFT(DEC2HEX(W198,4),2)," ",RIGHT(DEC2HEX(W198,4),2)))</f>
        <v>0B 04 00 05 1C F0</v>
      </c>
      <c r="Y198" s="26">
        <f>IF(Table2[[#This Row],[PMT]]="NA","NA",Table2[[#This Row],[PMT]]+14)-Table2[[#This Row],[Const]]</f>
        <v>7414</v>
      </c>
      <c r="Z198" s="26" t="str">
        <f>IF(Y198="NA","",CONCATENATE("0B 04 00 ",DEC2HEX($G198,2)," ",LEFT(DEC2HEX(Y198,4),2)," ",RIGHT(DEC2HEX(Y198,4),2)))</f>
        <v>0B 04 00 05 1C F6</v>
      </c>
      <c r="AA198" s="26"/>
      <c r="AB198" s="26"/>
      <c r="AC198" s="26"/>
      <c r="AD198" s="26" t="s">
        <v>346</v>
      </c>
      <c r="AE198" s="26"/>
      <c r="AF198" s="26"/>
      <c r="AI198" s="26"/>
      <c r="AJ198" s="26"/>
      <c r="AL198" s="26"/>
      <c r="AW198" s="26"/>
      <c r="AX198" s="26"/>
      <c r="AY198" s="26"/>
    </row>
    <row r="199" spans="1:51" hidden="1" x14ac:dyDescent="0.25">
      <c r="A199" s="26">
        <v>194</v>
      </c>
      <c r="B199" s="26" t="s">
        <v>346</v>
      </c>
      <c r="C199" s="26" t="s">
        <v>346</v>
      </c>
      <c r="D199" s="27" t="s">
        <v>1056</v>
      </c>
      <c r="E199" s="26">
        <v>493</v>
      </c>
      <c r="F199" s="26" t="s">
        <v>346</v>
      </c>
      <c r="G199" s="26">
        <v>3</v>
      </c>
      <c r="H199" s="26" t="s">
        <v>1053</v>
      </c>
      <c r="I199" s="26" t="s">
        <v>1350</v>
      </c>
      <c r="J199" s="26" t="s">
        <v>1038</v>
      </c>
      <c r="K199" s="26" t="s">
        <v>1039</v>
      </c>
      <c r="L199" s="26" t="s">
        <v>931</v>
      </c>
      <c r="M199" s="28" t="s">
        <v>1377</v>
      </c>
      <c r="Q199" s="27"/>
      <c r="R199" s="26">
        <v>12081</v>
      </c>
      <c r="S199" s="26">
        <v>960</v>
      </c>
      <c r="T199" s="26">
        <f>IF(Table2[[#This Row],[PMT]]="NA","NA",Table2[[#This Row],[PMT]]+1)</f>
        <v>961</v>
      </c>
      <c r="U199" s="26">
        <f>IF(Table2[[#This Row],[PMT]]="NA","NA",Table2[[#This Row],[PMT]]+2)</f>
        <v>962</v>
      </c>
      <c r="V199" s="26">
        <v>0</v>
      </c>
      <c r="W199" s="26">
        <f>IF(Table2[[#This Row],[PMT]]="NA","NA",Table2[[#This Row],[PMT]]+8)-Table2[[#This Row],[Const]]</f>
        <v>968</v>
      </c>
      <c r="X199" s="26" t="str">
        <f>IF(W199="NA","",CONCATENATE("0B 04 00 ",DEC2HEX($G199,2)," ",LEFT(DEC2HEX(W199,4),2)," ",RIGHT(DEC2HEX(W199,4),2)))</f>
        <v>0B 04 00 03 03 C8</v>
      </c>
      <c r="Y199" s="26">
        <f>IF(Table2[[#This Row],[PMT]]="NA","NA",Table2[[#This Row],[PMT]]+14)-Table2[[#This Row],[Const]]</f>
        <v>974</v>
      </c>
      <c r="Z199" s="26" t="str">
        <f>IF(Y199="NA","",CONCATENATE("0B 04 00 ",DEC2HEX($G199,2)," ",LEFT(DEC2HEX(Y199,4),2)," ",RIGHT(DEC2HEX(Y199,4),2)))</f>
        <v>0B 04 00 03 03 CE</v>
      </c>
      <c r="AA199" s="26" t="s">
        <v>1053</v>
      </c>
      <c r="AB199" s="26"/>
      <c r="AC199" s="26"/>
      <c r="AD199" s="26" t="s">
        <v>346</v>
      </c>
      <c r="AE199" s="26"/>
      <c r="AF199" s="26"/>
      <c r="AI199" s="26"/>
      <c r="AJ199" s="26"/>
      <c r="AL199" s="26"/>
      <c r="AW199" s="26"/>
      <c r="AX199" s="26"/>
      <c r="AY199" s="26"/>
    </row>
    <row r="200" spans="1:51" x14ac:dyDescent="0.25">
      <c r="A200" s="26">
        <v>109</v>
      </c>
      <c r="B200" s="26" t="s">
        <v>642</v>
      </c>
      <c r="C200" s="26">
        <v>5001</v>
      </c>
      <c r="D200" s="27" t="s">
        <v>446</v>
      </c>
      <c r="E200" s="26">
        <v>258</v>
      </c>
      <c r="F200" s="26">
        <v>2</v>
      </c>
      <c r="G200" s="26">
        <v>2</v>
      </c>
      <c r="H200" s="26" t="s">
        <v>1057</v>
      </c>
      <c r="I200" s="26" t="s">
        <v>443</v>
      </c>
      <c r="J200" s="26" t="s">
        <v>931</v>
      </c>
      <c r="K200" s="26" t="s">
        <v>1042</v>
      </c>
      <c r="L200" s="26" t="s">
        <v>931</v>
      </c>
      <c r="M200" s="28" t="s">
        <v>1376</v>
      </c>
      <c r="Q200" s="27"/>
      <c r="R200" s="26">
        <v>12065</v>
      </c>
      <c r="S200" s="26">
        <v>960</v>
      </c>
      <c r="T200" s="26">
        <f>IF(Table2[[#This Row],[PMT]]="NA","NA",Table2[[#This Row],[PMT]]+1)</f>
        <v>961</v>
      </c>
      <c r="U200" s="26">
        <f>IF(Table2[[#This Row],[PMT]]="NA","NA",Table2[[#This Row],[PMT]]+2)</f>
        <v>962</v>
      </c>
      <c r="V200" s="26">
        <v>0</v>
      </c>
      <c r="W200" s="26">
        <f>IF(Table2[[#This Row],[PMT]]="NA","NA",Table2[[#This Row],[PMT]]+8)-Table2[[#This Row],[Const]]</f>
        <v>968</v>
      </c>
      <c r="X200" s="26" t="str">
        <f>IF(W200="NA","",CONCATENATE("0B 04 00 ",DEC2HEX($G200,2)," ",LEFT(DEC2HEX(W200,4),2)," ",RIGHT(DEC2HEX(W200,4),2)))</f>
        <v>0B 04 00 02 03 C8</v>
      </c>
      <c r="Y200" s="26">
        <f>IF(Table2[[#This Row],[PMT]]="NA","NA",Table2[[#This Row],[PMT]]+14)-Table2[[#This Row],[Const]]</f>
        <v>974</v>
      </c>
      <c r="Z200" s="26" t="str">
        <f>IF(Y200="NA","",CONCATENATE("0B 04 00 ",DEC2HEX($G200,2)," ",LEFT(DEC2HEX(Y200,4),2)," ",RIGHT(DEC2HEX(Y200,4),2)))</f>
        <v>0B 04 00 02 03 CE</v>
      </c>
      <c r="AA200" s="26" t="s">
        <v>1057</v>
      </c>
      <c r="AB200" s="26" t="s">
        <v>443</v>
      </c>
      <c r="AC200" s="26"/>
      <c r="AD200" s="26" t="s">
        <v>1078</v>
      </c>
      <c r="AE200" s="26"/>
      <c r="AF200" s="26"/>
      <c r="AI200" s="26"/>
      <c r="AJ200" s="26"/>
      <c r="AL200" s="26"/>
      <c r="AW200" s="26"/>
      <c r="AX200" s="26"/>
      <c r="AY200" s="26"/>
    </row>
    <row r="201" spans="1:51" x14ac:dyDescent="0.25">
      <c r="A201" s="26">
        <v>331</v>
      </c>
      <c r="B201" s="26" t="s">
        <v>306</v>
      </c>
      <c r="C201" s="26">
        <v>2000</v>
      </c>
      <c r="D201" s="27" t="s">
        <v>610</v>
      </c>
      <c r="E201" s="26">
        <v>788</v>
      </c>
      <c r="F201" s="26">
        <v>3</v>
      </c>
      <c r="G201" s="26">
        <v>3</v>
      </c>
      <c r="H201" s="26" t="s">
        <v>1057</v>
      </c>
      <c r="I201" s="26" t="s">
        <v>1355</v>
      </c>
      <c r="J201" s="26" t="s">
        <v>931</v>
      </c>
      <c r="K201" s="26" t="s">
        <v>953</v>
      </c>
      <c r="L201" s="26" t="s">
        <v>931</v>
      </c>
      <c r="M201" s="28"/>
      <c r="Q201" s="27"/>
      <c r="R201" s="26">
        <v>12090</v>
      </c>
      <c r="S201" s="26">
        <v>1340</v>
      </c>
      <c r="T201" s="26">
        <f>IF(Table2[[#This Row],[PMT]]="NA","NA",Table2[[#This Row],[PMT]]+1)</f>
        <v>1341</v>
      </c>
      <c r="U201" s="26">
        <f>IF(Table2[[#This Row],[PMT]]="NA","NA",Table2[[#This Row],[PMT]]+2)</f>
        <v>1342</v>
      </c>
      <c r="V201" s="26">
        <v>0</v>
      </c>
      <c r="W201" s="26">
        <f>IF(Table2[[#This Row],[PMT]]="NA","NA",Table2[[#This Row],[PMT]]+8)-Table2[[#This Row],[Const]]</f>
        <v>1348</v>
      </c>
      <c r="X201" s="26" t="str">
        <f>IF(W201="NA","",CONCATENATE("0B 04 00 ",DEC2HEX($G201,2)," ",LEFT(DEC2HEX(W201,4),2)," ",RIGHT(DEC2HEX(W201,4),2)))</f>
        <v>0B 04 00 03 05 44</v>
      </c>
      <c r="Y201" s="26">
        <f>IF(Table2[[#This Row],[PMT]]="NA","NA",Table2[[#This Row],[PMT]]+14)-Table2[[#This Row],[Const]]</f>
        <v>1354</v>
      </c>
      <c r="Z201" s="26" t="str">
        <f>IF(Y201="NA","",CONCATENATE("0B 04 00 ",DEC2HEX($G201,2)," ",LEFT(DEC2HEX(Y201,4),2)," ",RIGHT(DEC2HEX(Y201,4),2)))</f>
        <v>0B 04 00 03 05 4A</v>
      </c>
      <c r="AA201" s="26" t="s">
        <v>1057</v>
      </c>
      <c r="AB201" s="26"/>
      <c r="AC201" s="26"/>
      <c r="AD201" s="26" t="s">
        <v>814</v>
      </c>
      <c r="AE201" s="26"/>
      <c r="AF201" s="26"/>
      <c r="AI201" s="26"/>
      <c r="AJ201" s="26"/>
      <c r="AL201" s="26"/>
      <c r="AW201" s="26"/>
      <c r="AX201" s="26"/>
      <c r="AY201" s="26"/>
    </row>
    <row r="202" spans="1:51" hidden="1" x14ac:dyDescent="0.25">
      <c r="A202" s="26">
        <v>197</v>
      </c>
      <c r="B202" s="26" t="s">
        <v>346</v>
      </c>
      <c r="C202" s="26" t="s">
        <v>346</v>
      </c>
      <c r="D202" s="27" t="s">
        <v>501</v>
      </c>
      <c r="E202" s="26">
        <v>496</v>
      </c>
      <c r="F202" s="26" t="s">
        <v>346</v>
      </c>
      <c r="G202" s="26">
        <v>9</v>
      </c>
      <c r="H202" s="26" t="s">
        <v>1053</v>
      </c>
      <c r="I202" s="26" t="s">
        <v>1350</v>
      </c>
      <c r="J202" s="26" t="s">
        <v>1038</v>
      </c>
      <c r="K202" s="26" t="s">
        <v>1039</v>
      </c>
      <c r="L202" s="26" t="s">
        <v>931</v>
      </c>
      <c r="M202" s="26" t="s">
        <v>1375</v>
      </c>
      <c r="Q202" s="27" t="s">
        <v>1379</v>
      </c>
      <c r="R202" s="26">
        <v>12059</v>
      </c>
      <c r="S202" s="26">
        <v>7500</v>
      </c>
      <c r="T202" s="26">
        <f>IF(Table2[[#This Row],[PMT]]="NA","NA",Table2[[#This Row],[PMT]]+1)</f>
        <v>7501</v>
      </c>
      <c r="U202" s="26">
        <f>IF(Table2[[#This Row],[PMT]]="NA","NA",Table2[[#This Row],[PMT]]+2)</f>
        <v>7502</v>
      </c>
      <c r="V202" s="26">
        <v>0</v>
      </c>
      <c r="W202" s="26">
        <f>IF(Table2[[#This Row],[PMT]]="NA","NA",Table2[[#This Row],[PMT]]+8)-Table2[[#This Row],[Const]]</f>
        <v>7508</v>
      </c>
      <c r="X202" s="26" t="str">
        <f>IF(W202="NA","",CONCATENATE("0B 04 00 ",DEC2HEX($G202,2)," ",LEFT(DEC2HEX(W202,4),2)," ",RIGHT(DEC2HEX(W202,4),2)))</f>
        <v>0B 04 00 09 1D 54</v>
      </c>
      <c r="Y202" s="26">
        <f>IF(Table2[[#This Row],[PMT]]="NA","NA",Table2[[#This Row],[PMT]]+14)-Table2[[#This Row],[Const]]</f>
        <v>7514</v>
      </c>
      <c r="Z202" s="26" t="str">
        <f>IF(Y202="NA","",CONCATENATE("0B 04 00 ",DEC2HEX($G202,2)," ",LEFT(DEC2HEX(Y202,4),2)," ",RIGHT(DEC2HEX(Y202,4),2)))</f>
        <v>0B 04 00 09 1D 5A</v>
      </c>
      <c r="AA202" s="26" t="s">
        <v>1053</v>
      </c>
      <c r="AB202" s="26"/>
      <c r="AC202" s="26"/>
      <c r="AD202" s="26" t="s">
        <v>346</v>
      </c>
      <c r="AE202" s="26"/>
      <c r="AF202" s="26"/>
      <c r="AI202" s="26"/>
      <c r="AJ202" s="26"/>
      <c r="AL202" s="26"/>
      <c r="AW202" s="26"/>
      <c r="AX202" s="26"/>
      <c r="AY202" s="26"/>
    </row>
    <row r="203" spans="1:51" hidden="1" x14ac:dyDescent="0.25">
      <c r="A203" s="26">
        <v>198</v>
      </c>
      <c r="B203" s="26" t="s">
        <v>346</v>
      </c>
      <c r="C203" s="26" t="s">
        <v>346</v>
      </c>
      <c r="D203" s="27" t="s">
        <v>502</v>
      </c>
      <c r="E203" s="26">
        <v>497</v>
      </c>
      <c r="F203" s="26" t="s">
        <v>346</v>
      </c>
      <c r="G203" s="26">
        <v>2</v>
      </c>
      <c r="H203" s="26" t="s">
        <v>1057</v>
      </c>
      <c r="I203" s="26" t="s">
        <v>1350</v>
      </c>
      <c r="J203" s="26" t="s">
        <v>1038</v>
      </c>
      <c r="K203" s="26" t="s">
        <v>1039</v>
      </c>
      <c r="L203" s="26" t="s">
        <v>931</v>
      </c>
      <c r="M203" s="26" t="s">
        <v>1376</v>
      </c>
      <c r="N203" s="26" t="s">
        <v>1080</v>
      </c>
      <c r="O203" s="26" t="s">
        <v>1383</v>
      </c>
      <c r="P203" s="26">
        <v>3966</v>
      </c>
      <c r="Q203" s="27" t="s">
        <v>1385</v>
      </c>
      <c r="R203" s="26">
        <v>12047</v>
      </c>
      <c r="S203" s="26">
        <v>1020</v>
      </c>
      <c r="T203" s="26">
        <f>IF(Table2[[#This Row],[PMT]]="NA","NA",Table2[[#This Row],[PMT]]+1)</f>
        <v>1021</v>
      </c>
      <c r="U203" s="26">
        <f>IF(Table2[[#This Row],[PMT]]="NA","NA",Table2[[#This Row],[PMT]]+2)</f>
        <v>1022</v>
      </c>
      <c r="V203" s="26">
        <v>0</v>
      </c>
      <c r="W203" s="26">
        <f>IF(Table2[[#This Row],[PMT]]="NA","NA",Table2[[#This Row],[PMT]]+8)-Table2[[#This Row],[Const]]</f>
        <v>1028</v>
      </c>
      <c r="X203" s="26" t="str">
        <f>IF(W203="NA","",CONCATENATE("0B 04 00 ",DEC2HEX($G203,2)," ",LEFT(DEC2HEX(W203,4),2)," ",RIGHT(DEC2HEX(W203,4),2)))</f>
        <v>0B 04 00 02 04 04</v>
      </c>
      <c r="Y203" s="26">
        <f>IF(Table2[[#This Row],[PMT]]="NA","NA",Table2[[#This Row],[PMT]]+14)-Table2[[#This Row],[Const]]</f>
        <v>1034</v>
      </c>
      <c r="Z203" s="26" t="str">
        <f>IF(Y203="NA","",CONCATENATE("0B 04 00 ",DEC2HEX($G203,2)," ",LEFT(DEC2HEX(Y203,4),2)," ",RIGHT(DEC2HEX(Y203,4),2)))</f>
        <v>0B 04 00 02 04 0A</v>
      </c>
      <c r="AA203" s="26" t="s">
        <v>1057</v>
      </c>
      <c r="AB203" s="26"/>
      <c r="AC203" s="26"/>
      <c r="AD203" s="26" t="s">
        <v>346</v>
      </c>
      <c r="AE203" s="26"/>
      <c r="AF203" s="26"/>
      <c r="AI203" s="26"/>
      <c r="AJ203" s="26"/>
      <c r="AL203" s="26"/>
      <c r="AW203" s="26"/>
      <c r="AX203" s="26"/>
      <c r="AY203" s="26"/>
    </row>
    <row r="204" spans="1:51" hidden="1" x14ac:dyDescent="0.25">
      <c r="A204" s="26">
        <v>199</v>
      </c>
      <c r="B204" s="26" t="s">
        <v>346</v>
      </c>
      <c r="C204" s="26" t="s">
        <v>346</v>
      </c>
      <c r="D204" s="27" t="s">
        <v>503</v>
      </c>
      <c r="E204" s="26">
        <v>498</v>
      </c>
      <c r="F204" s="26" t="s">
        <v>346</v>
      </c>
      <c r="G204" s="26">
        <v>11</v>
      </c>
      <c r="H204" s="26" t="s">
        <v>349</v>
      </c>
      <c r="I204" s="26" t="s">
        <v>1350</v>
      </c>
      <c r="J204" s="26" t="s">
        <v>1038</v>
      </c>
      <c r="K204" s="26" t="s">
        <v>1039</v>
      </c>
      <c r="L204" s="26" t="s">
        <v>1002</v>
      </c>
      <c r="M204" s="26" t="s">
        <v>1377</v>
      </c>
      <c r="N204" s="26" t="s">
        <v>1086</v>
      </c>
      <c r="O204" s="26" t="s">
        <v>1095</v>
      </c>
      <c r="P204" s="26">
        <v>4140</v>
      </c>
      <c r="Q204" s="27" t="s">
        <v>1044</v>
      </c>
      <c r="R204" s="26">
        <v>12008</v>
      </c>
      <c r="S204" s="26">
        <v>1300</v>
      </c>
      <c r="T204" s="26">
        <f>IF(Table2[[#This Row],[PMT]]="NA","NA",Table2[[#This Row],[PMT]]+1)</f>
        <v>1301</v>
      </c>
      <c r="U204" s="26">
        <f>IF(Table2[[#This Row],[PMT]]="NA","NA",Table2[[#This Row],[PMT]]+2)</f>
        <v>1302</v>
      </c>
      <c r="V204" s="26">
        <v>0</v>
      </c>
      <c r="W204" s="26">
        <f>IF(Table2[[#This Row],[PMT]]="NA","NA",Table2[[#This Row],[PMT]]+8)-Table2[[#This Row],[Const]]</f>
        <v>1308</v>
      </c>
      <c r="X204" s="26" t="str">
        <f>IF(W204="NA","",CONCATENATE("0B 04 00 ",DEC2HEX($G204,2)," ",LEFT(DEC2HEX(W204,4),2)," ",RIGHT(DEC2HEX(W204,4),2)))</f>
        <v>0B 04 00 0B 05 1C</v>
      </c>
      <c r="Y204" s="26">
        <f>IF(Table2[[#This Row],[PMT]]="NA","NA",Table2[[#This Row],[PMT]]+14)-Table2[[#This Row],[Const]]</f>
        <v>1314</v>
      </c>
      <c r="Z204" s="26" t="str">
        <f>IF(Y204="NA","",CONCATENATE("0B 04 00 ",DEC2HEX($G204,2)," ",LEFT(DEC2HEX(Y204,4),2)," ",RIGHT(DEC2HEX(Y204,4),2)))</f>
        <v>0B 04 00 0B 05 22</v>
      </c>
      <c r="AA204" s="26" t="s">
        <v>349</v>
      </c>
      <c r="AB204" s="26"/>
      <c r="AC204" s="26">
        <v>27500</v>
      </c>
      <c r="AD204" s="26" t="s">
        <v>346</v>
      </c>
      <c r="AE204" s="26"/>
      <c r="AF204" s="26"/>
      <c r="AI204" s="26"/>
      <c r="AJ204" s="26"/>
      <c r="AL204" s="26"/>
      <c r="AW204" s="26"/>
      <c r="AX204" s="26"/>
      <c r="AY204" s="26"/>
    </row>
    <row r="205" spans="1:51" x14ac:dyDescent="0.25">
      <c r="A205" s="26">
        <v>135</v>
      </c>
      <c r="B205" s="26" t="s">
        <v>1366</v>
      </c>
      <c r="C205" s="26">
        <v>0</v>
      </c>
      <c r="D205" s="27" t="s">
        <v>1336</v>
      </c>
      <c r="E205" s="26">
        <v>311</v>
      </c>
      <c r="F205" s="26">
        <v>8</v>
      </c>
      <c r="G205" s="26">
        <v>8</v>
      </c>
      <c r="H205" s="26" t="s">
        <v>1057</v>
      </c>
      <c r="I205" s="26" t="s">
        <v>1084</v>
      </c>
      <c r="J205" s="26" t="s">
        <v>1040</v>
      </c>
      <c r="K205" s="26" t="s">
        <v>953</v>
      </c>
      <c r="L205" s="26" t="s">
        <v>931</v>
      </c>
      <c r="M205" s="28"/>
      <c r="N205" s="31"/>
      <c r="O205" s="31"/>
      <c r="P205" s="31"/>
      <c r="Q205" s="32"/>
      <c r="R205" s="31"/>
      <c r="S205" s="31"/>
      <c r="T205" s="31">
        <f>IF(Table2[[#This Row],[PMT]]="NA","NA",Table2[[#This Row],[PMT]]+1)</f>
        <v>1</v>
      </c>
      <c r="U205" s="31">
        <f>IF(Table2[[#This Row],[PMT]]="NA","NA",Table2[[#This Row],[PMT]]+2)</f>
        <v>2</v>
      </c>
      <c r="V205" s="26"/>
      <c r="W205" s="31">
        <f>IF(Table2[[#This Row],[PMT]]="NA","NA",Table2[[#This Row],[PMT]]+8)-Table2[[#This Row],[Const]]</f>
        <v>8</v>
      </c>
      <c r="X205" s="31" t="str">
        <f>IF(W205="NA","",CONCATENATE("0B 04 00 ",DEC2HEX($G205,2)," ",LEFT(DEC2HEX(W205,4),2)," ",RIGHT(DEC2HEX(W205,4),2)))</f>
        <v>0B 04 00 08 00 08</v>
      </c>
      <c r="Y205" s="31">
        <f>IF(Table2[[#This Row],[PMT]]="NA","NA",Table2[[#This Row],[PMT]]+14)-Table2[[#This Row],[Const]]</f>
        <v>14</v>
      </c>
      <c r="Z205" s="31" t="str">
        <f>IF(Y205="NA","",CONCATENATE("0B 04 00 ",DEC2HEX($G205,2)," ",LEFT(DEC2HEX(Y205,4),2)," ",RIGHT(DEC2HEX(Y205,4),2)))</f>
        <v>0B 04 00 08 00 0E</v>
      </c>
      <c r="AA205" s="26"/>
      <c r="AB205" s="26"/>
      <c r="AC205" s="31"/>
      <c r="AD205" s="31"/>
      <c r="AE205" s="26"/>
      <c r="AF205" s="26"/>
      <c r="AI205" s="26"/>
      <c r="AJ205" s="26"/>
      <c r="AL205" s="26"/>
      <c r="AW205" s="26"/>
      <c r="AX205" s="26"/>
      <c r="AY205" s="26"/>
    </row>
    <row r="206" spans="1:51" hidden="1" x14ac:dyDescent="0.25">
      <c r="A206" s="26">
        <v>201</v>
      </c>
      <c r="B206" s="26" t="s">
        <v>346</v>
      </c>
      <c r="C206" s="26" t="s">
        <v>346</v>
      </c>
      <c r="D206" s="27" t="s">
        <v>505</v>
      </c>
      <c r="E206" s="26">
        <v>500</v>
      </c>
      <c r="F206" s="26" t="s">
        <v>346</v>
      </c>
      <c r="G206" s="26">
        <v>7</v>
      </c>
      <c r="H206" s="26" t="s">
        <v>349</v>
      </c>
      <c r="I206" s="26" t="s">
        <v>1350</v>
      </c>
      <c r="J206" s="26" t="s">
        <v>1038</v>
      </c>
      <c r="K206" s="26" t="s">
        <v>1039</v>
      </c>
      <c r="L206" s="26" t="s">
        <v>931</v>
      </c>
      <c r="M206" s="26" t="s">
        <v>1377</v>
      </c>
      <c r="N206" s="26" t="s">
        <v>1080</v>
      </c>
      <c r="O206" s="26" t="s">
        <v>1384</v>
      </c>
      <c r="P206" s="26">
        <v>3885</v>
      </c>
      <c r="Q206" s="27" t="s">
        <v>1385</v>
      </c>
      <c r="R206" s="26">
        <v>7500</v>
      </c>
      <c r="S206" s="26">
        <v>660</v>
      </c>
      <c r="T206" s="26">
        <f>IF(Table2[[#This Row],[PMT]]="NA","NA",Table2[[#This Row],[PMT]]+1)</f>
        <v>661</v>
      </c>
      <c r="U206" s="26">
        <f>IF(Table2[[#This Row],[PMT]]="NA","NA",Table2[[#This Row],[PMT]]+2)</f>
        <v>662</v>
      </c>
      <c r="V206" s="26">
        <v>0</v>
      </c>
      <c r="W206" s="26">
        <f>IF(Table2[[#This Row],[PMT]]="NA","NA",Table2[[#This Row],[PMT]]+8)-Table2[[#This Row],[Const]]</f>
        <v>668</v>
      </c>
      <c r="X206" s="26" t="str">
        <f>IF(W206="NA","",CONCATENATE("0B 04 00 ",DEC2HEX($G206,2)," ",LEFT(DEC2HEX(W206,4),2)," ",RIGHT(DEC2HEX(W206,4),2)))</f>
        <v>0B 04 00 07 02 9C</v>
      </c>
      <c r="Y206" s="26">
        <f>IF(Table2[[#This Row],[PMT]]="NA","NA",Table2[[#This Row],[PMT]]+14)-Table2[[#This Row],[Const]]</f>
        <v>674</v>
      </c>
      <c r="Z206" s="26" t="str">
        <f>IF(Y206="NA","",CONCATENATE("0B 04 00 ",DEC2HEX($G206,2)," ",LEFT(DEC2HEX(Y206,4),2)," ",RIGHT(DEC2HEX(Y206,4),2)))</f>
        <v>0B 04 00 07 02 A2</v>
      </c>
      <c r="AA206" s="26" t="s">
        <v>349</v>
      </c>
      <c r="AB206" s="26"/>
      <c r="AC206" s="26"/>
      <c r="AD206" s="26" t="s">
        <v>346</v>
      </c>
      <c r="AE206" s="26"/>
      <c r="AF206" s="26"/>
      <c r="AI206" s="26"/>
      <c r="AJ206" s="26"/>
      <c r="AL206" s="26"/>
      <c r="AW206" s="26"/>
      <c r="AX206" s="26"/>
      <c r="AY206" s="26"/>
    </row>
    <row r="207" spans="1:51" hidden="1" x14ac:dyDescent="0.25">
      <c r="A207" s="26">
        <v>202</v>
      </c>
      <c r="B207" s="26" t="s">
        <v>346</v>
      </c>
      <c r="C207" s="26" t="s">
        <v>346</v>
      </c>
      <c r="D207" s="27" t="s">
        <v>506</v>
      </c>
      <c r="E207" s="26">
        <v>501</v>
      </c>
      <c r="F207" s="26" t="s">
        <v>346</v>
      </c>
      <c r="G207" s="26">
        <v>5</v>
      </c>
      <c r="H207" s="26" t="s">
        <v>1053</v>
      </c>
      <c r="I207" s="26" t="s">
        <v>1350</v>
      </c>
      <c r="J207" s="26" t="s">
        <v>1038</v>
      </c>
      <c r="K207" s="26" t="s">
        <v>1039</v>
      </c>
      <c r="L207" s="26" t="s">
        <v>931</v>
      </c>
      <c r="M207" s="26" t="s">
        <v>1377</v>
      </c>
      <c r="N207" s="26" t="s">
        <v>1080</v>
      </c>
      <c r="O207" s="26" t="s">
        <v>1384</v>
      </c>
      <c r="P207" s="26">
        <v>3925</v>
      </c>
      <c r="Q207" s="27" t="s">
        <v>1385</v>
      </c>
      <c r="R207" s="26">
        <v>7501</v>
      </c>
      <c r="S207" s="26">
        <v>6900</v>
      </c>
      <c r="T207" s="26">
        <f>IF(Table2[[#This Row],[PMT]]="NA","NA",Table2[[#This Row],[PMT]]+1)</f>
        <v>6901</v>
      </c>
      <c r="U207" s="26">
        <f>IF(Table2[[#This Row],[PMT]]="NA","NA",Table2[[#This Row],[PMT]]+2)</f>
        <v>6902</v>
      </c>
      <c r="V207" s="26">
        <v>0</v>
      </c>
      <c r="W207" s="26">
        <f>IF(Table2[[#This Row],[PMT]]="NA","NA",Table2[[#This Row],[PMT]]+8)-Table2[[#This Row],[Const]]</f>
        <v>6908</v>
      </c>
      <c r="X207" s="26" t="str">
        <f>IF(W207="NA","",CONCATENATE("0B 04 00 ",DEC2HEX($G207,2)," ",LEFT(DEC2HEX(W207,4),2)," ",RIGHT(DEC2HEX(W207,4),2)))</f>
        <v>0B 04 00 05 1A FC</v>
      </c>
      <c r="Y207" s="26">
        <f>IF(Table2[[#This Row],[PMT]]="NA","NA",Table2[[#This Row],[PMT]]+14)-Table2[[#This Row],[Const]]</f>
        <v>6914</v>
      </c>
      <c r="Z207" s="26" t="str">
        <f>IF(Y207="NA","",CONCATENATE("0B 04 00 ",DEC2HEX($G207,2)," ",LEFT(DEC2HEX(Y207,4),2)," ",RIGHT(DEC2HEX(Y207,4),2)))</f>
        <v>0B 04 00 05 1B 02</v>
      </c>
      <c r="AA207" s="26" t="s">
        <v>1053</v>
      </c>
      <c r="AB207" s="26"/>
      <c r="AC207" s="26"/>
      <c r="AD207" s="26" t="s">
        <v>346</v>
      </c>
      <c r="AE207" s="26"/>
      <c r="AF207" s="26"/>
      <c r="AI207" s="26"/>
      <c r="AJ207" s="26"/>
      <c r="AL207" s="26"/>
      <c r="AW207" s="26"/>
      <c r="AX207" s="26"/>
      <c r="AY207" s="26"/>
    </row>
    <row r="208" spans="1:51" hidden="1" x14ac:dyDescent="0.25">
      <c r="A208" s="26">
        <v>203</v>
      </c>
      <c r="B208" s="26" t="s">
        <v>346</v>
      </c>
      <c r="C208" s="26" t="s">
        <v>346</v>
      </c>
      <c r="D208" s="27" t="s">
        <v>507</v>
      </c>
      <c r="E208" s="26">
        <v>502</v>
      </c>
      <c r="F208" s="26" t="s">
        <v>346</v>
      </c>
      <c r="G208" s="26">
        <v>11</v>
      </c>
      <c r="H208" s="26" t="s">
        <v>349</v>
      </c>
      <c r="I208" s="26" t="s">
        <v>1350</v>
      </c>
      <c r="J208" s="26" t="s">
        <v>1038</v>
      </c>
      <c r="K208" s="26" t="s">
        <v>1039</v>
      </c>
      <c r="L208" s="26" t="s">
        <v>1002</v>
      </c>
      <c r="M208" s="26" t="s">
        <v>1377</v>
      </c>
      <c r="N208" s="26" t="s">
        <v>1080</v>
      </c>
      <c r="O208" s="26" t="s">
        <v>1383</v>
      </c>
      <c r="P208" s="26">
        <v>4024</v>
      </c>
      <c r="Q208" s="27" t="s">
        <v>1386</v>
      </c>
      <c r="R208" s="26">
        <v>5502</v>
      </c>
      <c r="S208" s="26">
        <v>6100</v>
      </c>
      <c r="T208" s="26">
        <f>IF(Table2[[#This Row],[PMT]]="NA","NA",Table2[[#This Row],[PMT]]+1)</f>
        <v>6101</v>
      </c>
      <c r="U208" s="26">
        <f>IF(Table2[[#This Row],[PMT]]="NA","NA",Table2[[#This Row],[PMT]]+2)</f>
        <v>6102</v>
      </c>
      <c r="V208" s="26">
        <v>0</v>
      </c>
      <c r="W208" s="26">
        <f>IF(Table2[[#This Row],[PMT]]="NA","NA",Table2[[#This Row],[PMT]]+8)-Table2[[#This Row],[Const]]</f>
        <v>6108</v>
      </c>
      <c r="X208" s="26" t="str">
        <f>IF(W208="NA","",CONCATENATE("0B 04 00 ",DEC2HEX($G208,2)," ",LEFT(DEC2HEX(W208,4),2)," ",RIGHT(DEC2HEX(W208,4),2)))</f>
        <v>0B 04 00 0B 17 DC</v>
      </c>
      <c r="Y208" s="26">
        <f>IF(Table2[[#This Row],[PMT]]="NA","NA",Table2[[#This Row],[PMT]]+14)-Table2[[#This Row],[Const]]</f>
        <v>6114</v>
      </c>
      <c r="Z208" s="26" t="str">
        <f>IF(Y208="NA","",CONCATENATE("0B 04 00 ",DEC2HEX($G208,2)," ",LEFT(DEC2HEX(Y208,4),2)," ",RIGHT(DEC2HEX(Y208,4),2)))</f>
        <v>0B 04 00 0B 17 E2</v>
      </c>
      <c r="AA208" s="26" t="s">
        <v>349</v>
      </c>
      <c r="AB208" s="26"/>
      <c r="AC208" s="26"/>
      <c r="AD208" s="26" t="s">
        <v>346</v>
      </c>
      <c r="AE208" s="26"/>
      <c r="AF208" s="26"/>
      <c r="AI208" s="26"/>
      <c r="AJ208" s="26"/>
      <c r="AL208" s="26"/>
      <c r="AW208" s="26"/>
      <c r="AX208" s="26"/>
      <c r="AY208" s="26"/>
    </row>
    <row r="209" spans="1:51" x14ac:dyDescent="0.25">
      <c r="A209" s="26">
        <v>166</v>
      </c>
      <c r="B209" s="26" t="s">
        <v>167</v>
      </c>
      <c r="C209" s="26">
        <v>5180</v>
      </c>
      <c r="D209" s="27" t="s">
        <v>481</v>
      </c>
      <c r="E209" s="26">
        <v>358</v>
      </c>
      <c r="F209" s="26">
        <v>3</v>
      </c>
      <c r="G209" s="26">
        <v>3</v>
      </c>
      <c r="H209" s="26" t="s">
        <v>1061</v>
      </c>
      <c r="I209" s="26" t="s">
        <v>1084</v>
      </c>
      <c r="J209" s="26" t="s">
        <v>1040</v>
      </c>
      <c r="K209" s="26" t="s">
        <v>953</v>
      </c>
      <c r="L209" s="26" t="s">
        <v>931</v>
      </c>
      <c r="M209" s="28" t="s">
        <v>1377</v>
      </c>
      <c r="Q209" s="27"/>
      <c r="R209" s="26">
        <v>2359</v>
      </c>
      <c r="S209" s="26">
        <v>1800</v>
      </c>
      <c r="T209" s="26">
        <f>IF(Table2[[#This Row],[PMT]]="NA","NA",Table2[[#This Row],[PMT]]+1)</f>
        <v>1801</v>
      </c>
      <c r="U209" s="26">
        <f>IF(Table2[[#This Row],[PMT]]="NA","NA",Table2[[#This Row],[PMT]]+2)</f>
        <v>1802</v>
      </c>
      <c r="V209" s="26">
        <v>-1</v>
      </c>
      <c r="W209" s="26">
        <f>IF(Table2[[#This Row],[PMT]]="NA","NA",Table2[[#This Row],[PMT]]+8)-Table2[[#This Row],[Const]]</f>
        <v>1809</v>
      </c>
      <c r="X209" s="26" t="str">
        <f>IF(W209="NA","",CONCATENATE("0B 04 00 ",DEC2HEX($G209,2)," ",LEFT(DEC2HEX(W209,4),2)," ",RIGHT(DEC2HEX(W209,4),2)))</f>
        <v>0B 04 00 03 07 11</v>
      </c>
      <c r="Y209" s="26">
        <f>IF(Table2[[#This Row],[PMT]]="NA","NA",Table2[[#This Row],[PMT]]+14)-Table2[[#This Row],[Const]]</f>
        <v>1815</v>
      </c>
      <c r="Z209" s="26" t="str">
        <f>IF(Y209="NA","",CONCATENATE("0B 04 00 ",DEC2HEX($G209,2)," ",LEFT(DEC2HEX(Y209,4),2)," ",RIGHT(DEC2HEX(Y209,4),2)))</f>
        <v>0B 04 00 03 07 17</v>
      </c>
      <c r="AA209" s="26" t="s">
        <v>1061</v>
      </c>
      <c r="AB209" s="26" t="s">
        <v>1084</v>
      </c>
      <c r="AC209" s="26"/>
      <c r="AD209" s="26" t="s">
        <v>1078</v>
      </c>
      <c r="AE209" s="26"/>
      <c r="AF209" s="26"/>
      <c r="AI209" s="26"/>
      <c r="AJ209" s="26"/>
      <c r="AL209" s="26"/>
      <c r="AW209" s="26"/>
      <c r="AX209" s="26"/>
      <c r="AY209" s="26"/>
    </row>
    <row r="210" spans="1:51" x14ac:dyDescent="0.25">
      <c r="A210" s="26">
        <v>162</v>
      </c>
      <c r="B210" s="26" t="s">
        <v>319</v>
      </c>
      <c r="C210" s="26">
        <v>2000</v>
      </c>
      <c r="D210" s="27" t="s">
        <v>477</v>
      </c>
      <c r="E210" s="26">
        <v>354</v>
      </c>
      <c r="F210" s="26">
        <v>7</v>
      </c>
      <c r="G210" s="26">
        <v>7</v>
      </c>
      <c r="H210" s="26" t="s">
        <v>1061</v>
      </c>
      <c r="I210" s="26" t="s">
        <v>1084</v>
      </c>
      <c r="J210" s="26" t="s">
        <v>1002</v>
      </c>
      <c r="K210" s="26" t="s">
        <v>953</v>
      </c>
      <c r="L210" s="26" t="s">
        <v>931</v>
      </c>
      <c r="M210" s="28" t="s">
        <v>1377</v>
      </c>
      <c r="Q210" s="27"/>
      <c r="R210" s="26">
        <v>12052</v>
      </c>
      <c r="S210" s="26">
        <v>620</v>
      </c>
      <c r="T210" s="26">
        <f>IF(Table2[[#This Row],[PMT]]="NA","NA",Table2[[#This Row],[PMT]]+1)</f>
        <v>621</v>
      </c>
      <c r="U210" s="26">
        <f>IF(Table2[[#This Row],[PMT]]="NA","NA",Table2[[#This Row],[PMT]]+2)</f>
        <v>622</v>
      </c>
      <c r="V210" s="26">
        <v>0</v>
      </c>
      <c r="W210" s="26">
        <f>IF(Table2[[#This Row],[PMT]]="NA","NA",Table2[[#This Row],[PMT]]+8)-Table2[[#This Row],[Const]]</f>
        <v>628</v>
      </c>
      <c r="X210" s="26" t="str">
        <f>IF(W210="NA","",CONCATENATE("0B 04 00 ",DEC2HEX($G210,2)," ",LEFT(DEC2HEX(W210,4),2)," ",RIGHT(DEC2HEX(W210,4),2)))</f>
        <v>0B 04 00 07 02 74</v>
      </c>
      <c r="Y210" s="26">
        <f>IF(Table2[[#This Row],[PMT]]="NA","NA",Table2[[#This Row],[PMT]]+14)-Table2[[#This Row],[Const]]</f>
        <v>634</v>
      </c>
      <c r="Z210" s="26" t="str">
        <f>IF(Y210="NA","",CONCATENATE("0B 04 00 ",DEC2HEX($G210,2)," ",LEFT(DEC2HEX(Y210,4),2)," ",RIGHT(DEC2HEX(Y210,4),2)))</f>
        <v>0B 04 00 07 02 7A</v>
      </c>
      <c r="AA210" s="26" t="s">
        <v>1061</v>
      </c>
      <c r="AB210" s="26" t="s">
        <v>1084</v>
      </c>
      <c r="AC210" s="26"/>
      <c r="AD210" s="26" t="s">
        <v>346</v>
      </c>
      <c r="AE210" s="26"/>
      <c r="AF210" s="26"/>
      <c r="AI210" s="26"/>
      <c r="AJ210" s="26"/>
      <c r="AL210" s="26"/>
      <c r="AW210" s="26"/>
      <c r="AX210" s="26"/>
      <c r="AY210" s="26"/>
    </row>
    <row r="211" spans="1:51" hidden="1" x14ac:dyDescent="0.25">
      <c r="A211" s="26">
        <v>206</v>
      </c>
      <c r="B211" s="26" t="s">
        <v>346</v>
      </c>
      <c r="C211" s="26" t="s">
        <v>346</v>
      </c>
      <c r="D211" s="27" t="s">
        <v>509</v>
      </c>
      <c r="E211" s="26">
        <v>505</v>
      </c>
      <c r="F211" s="26" t="s">
        <v>346</v>
      </c>
      <c r="G211" s="26">
        <v>7</v>
      </c>
      <c r="H211" s="26" t="s">
        <v>361</v>
      </c>
      <c r="I211" s="26" t="s">
        <v>1350</v>
      </c>
      <c r="J211" s="26" t="s">
        <v>1038</v>
      </c>
      <c r="K211" s="26" t="s">
        <v>1039</v>
      </c>
      <c r="L211" s="26" t="s">
        <v>931</v>
      </c>
      <c r="M211" s="26" t="s">
        <v>1377</v>
      </c>
      <c r="N211" s="26" t="s">
        <v>1080</v>
      </c>
      <c r="O211" s="26" t="s">
        <v>1384</v>
      </c>
      <c r="P211" s="26">
        <v>3885</v>
      </c>
      <c r="Q211" s="27" t="s">
        <v>1385</v>
      </c>
      <c r="R211" s="26">
        <v>7505</v>
      </c>
      <c r="S211" s="26">
        <v>700</v>
      </c>
      <c r="T211" s="26">
        <f>IF(Table2[[#This Row],[PMT]]="NA","NA",Table2[[#This Row],[PMT]]+1)</f>
        <v>701</v>
      </c>
      <c r="U211" s="26">
        <f>IF(Table2[[#This Row],[PMT]]="NA","NA",Table2[[#This Row],[PMT]]+2)</f>
        <v>702</v>
      </c>
      <c r="V211" s="26">
        <v>0</v>
      </c>
      <c r="W211" s="26">
        <f>IF(Table2[[#This Row],[PMT]]="NA","NA",Table2[[#This Row],[PMT]]+8)-Table2[[#This Row],[Const]]</f>
        <v>708</v>
      </c>
      <c r="X211" s="26" t="str">
        <f>IF(W211="NA","",CONCATENATE("0B 04 00 ",DEC2HEX($G211,2)," ",LEFT(DEC2HEX(W211,4),2)," ",RIGHT(DEC2HEX(W211,4),2)))</f>
        <v>0B 04 00 07 02 C4</v>
      </c>
      <c r="Y211" s="26">
        <f>IF(Table2[[#This Row],[PMT]]="NA","NA",Table2[[#This Row],[PMT]]+14)-Table2[[#This Row],[Const]]</f>
        <v>714</v>
      </c>
      <c r="Z211" s="26" t="str">
        <f>IF(Y211="NA","",CONCATENATE("0B 04 00 ",DEC2HEX($G211,2)," ",LEFT(DEC2HEX(Y211,4),2)," ",RIGHT(DEC2HEX(Y211,4),2)))</f>
        <v>0B 04 00 07 02 CA</v>
      </c>
      <c r="AA211" s="26" t="s">
        <v>361</v>
      </c>
      <c r="AB211" s="26"/>
      <c r="AC211" s="26"/>
      <c r="AD211" s="26" t="s">
        <v>346</v>
      </c>
      <c r="AE211" s="26"/>
      <c r="AF211" s="26"/>
      <c r="AI211" s="26"/>
      <c r="AJ211" s="26"/>
      <c r="AL211" s="26"/>
      <c r="AW211" s="26"/>
      <c r="AX211" s="26"/>
      <c r="AY211" s="26"/>
    </row>
    <row r="212" spans="1:51" hidden="1" x14ac:dyDescent="0.25">
      <c r="A212" s="26">
        <v>207</v>
      </c>
      <c r="B212" s="26" t="s">
        <v>346</v>
      </c>
      <c r="C212" s="26" t="s">
        <v>346</v>
      </c>
      <c r="D212" s="27" t="s">
        <v>510</v>
      </c>
      <c r="E212" s="26">
        <v>506</v>
      </c>
      <c r="F212" s="26" t="s">
        <v>346</v>
      </c>
      <c r="G212" s="26">
        <v>1</v>
      </c>
      <c r="H212" s="26" t="s">
        <v>1061</v>
      </c>
      <c r="I212" s="26" t="s">
        <v>1350</v>
      </c>
      <c r="J212" s="26" t="s">
        <v>1038</v>
      </c>
      <c r="K212" s="26" t="s">
        <v>1039</v>
      </c>
      <c r="L212" s="26" t="s">
        <v>931</v>
      </c>
      <c r="M212" s="26" t="s">
        <v>1377</v>
      </c>
      <c r="N212" s="26" t="s">
        <v>1080</v>
      </c>
      <c r="O212" s="26" t="s">
        <v>1384</v>
      </c>
      <c r="P212" s="26">
        <v>3885</v>
      </c>
      <c r="Q212" s="27" t="s">
        <v>1385</v>
      </c>
      <c r="R212" s="26">
        <v>1506</v>
      </c>
      <c r="S212" s="26">
        <v>160</v>
      </c>
      <c r="T212" s="26">
        <f>IF(Table2[[#This Row],[PMT]]="NA","NA",Table2[[#This Row],[PMT]]+1)</f>
        <v>161</v>
      </c>
      <c r="U212" s="26">
        <f>IF(Table2[[#This Row],[PMT]]="NA","NA",Table2[[#This Row],[PMT]]+2)</f>
        <v>162</v>
      </c>
      <c r="V212" s="26">
        <v>0</v>
      </c>
      <c r="W212" s="26">
        <f>IF(Table2[[#This Row],[PMT]]="NA","NA",Table2[[#This Row],[PMT]]+8)-Table2[[#This Row],[Const]]</f>
        <v>168</v>
      </c>
      <c r="X212" s="26" t="str">
        <f>IF(W212="NA","",CONCATENATE("0B 04 00 ",DEC2HEX($G212,2)," ",LEFT(DEC2HEX(W212,4),2)," ",RIGHT(DEC2HEX(W212,4),2)))</f>
        <v>0B 04 00 01 00 A8</v>
      </c>
      <c r="Y212" s="26">
        <f>IF(Table2[[#This Row],[PMT]]="NA","NA",Table2[[#This Row],[PMT]]+14)-Table2[[#This Row],[Const]]</f>
        <v>174</v>
      </c>
      <c r="Z212" s="26" t="str">
        <f>IF(Y212="NA","",CONCATENATE("0B 04 00 ",DEC2HEX($G212,2)," ",LEFT(DEC2HEX(Y212,4),2)," ",RIGHT(DEC2HEX(Y212,4),2)))</f>
        <v>0B 04 00 01 00 AE</v>
      </c>
      <c r="AA212" s="26" t="s">
        <v>1061</v>
      </c>
      <c r="AB212" s="26"/>
      <c r="AC212" s="26"/>
      <c r="AD212" s="26" t="s">
        <v>346</v>
      </c>
      <c r="AE212" s="26"/>
      <c r="AF212" s="26"/>
      <c r="AI212" s="26"/>
      <c r="AJ212" s="26"/>
      <c r="AL212" s="26"/>
      <c r="AW212" s="26"/>
      <c r="AX212" s="26"/>
      <c r="AY212" s="26"/>
    </row>
    <row r="213" spans="1:51" hidden="1" x14ac:dyDescent="0.25">
      <c r="A213" s="26">
        <v>208</v>
      </c>
      <c r="B213" s="26" t="s">
        <v>346</v>
      </c>
      <c r="C213" s="26" t="s">
        <v>346</v>
      </c>
      <c r="D213" s="27" t="s">
        <v>511</v>
      </c>
      <c r="E213" s="26">
        <v>507</v>
      </c>
      <c r="F213" s="26" t="s">
        <v>346</v>
      </c>
      <c r="G213" s="26">
        <v>2</v>
      </c>
      <c r="H213" s="26" t="s">
        <v>349</v>
      </c>
      <c r="I213" s="26" t="s">
        <v>1350</v>
      </c>
      <c r="J213" s="26" t="s">
        <v>1038</v>
      </c>
      <c r="K213" s="26" t="s">
        <v>1039</v>
      </c>
      <c r="L213" s="26" t="s">
        <v>931</v>
      </c>
      <c r="M213" s="28" t="s">
        <v>1377</v>
      </c>
      <c r="Q213" s="27"/>
      <c r="R213" s="26">
        <v>3507</v>
      </c>
      <c r="S213" s="26">
        <v>6400</v>
      </c>
      <c r="T213" s="26">
        <f>IF(Table2[[#This Row],[PMT]]="NA","NA",Table2[[#This Row],[PMT]]+1)</f>
        <v>6401</v>
      </c>
      <c r="U213" s="26">
        <f>IF(Table2[[#This Row],[PMT]]="NA","NA",Table2[[#This Row],[PMT]]+2)</f>
        <v>6402</v>
      </c>
      <c r="V213" s="26">
        <v>0</v>
      </c>
      <c r="W213" s="26">
        <f>IF(Table2[[#This Row],[PMT]]="NA","NA",Table2[[#This Row],[PMT]]+8)-Table2[[#This Row],[Const]]</f>
        <v>6408</v>
      </c>
      <c r="X213" s="26" t="str">
        <f>IF(W213="NA","",CONCATENATE("0B 04 00 ",DEC2HEX($G213,2)," ",LEFT(DEC2HEX(W213,4),2)," ",RIGHT(DEC2HEX(W213,4),2)))</f>
        <v>0B 04 00 02 19 08</v>
      </c>
      <c r="Y213" s="26">
        <f>IF(Table2[[#This Row],[PMT]]="NA","NA",Table2[[#This Row],[PMT]]+14)-Table2[[#This Row],[Const]]</f>
        <v>6414</v>
      </c>
      <c r="Z213" s="26" t="str">
        <f>IF(Y213="NA","",CONCATENATE("0B 04 00 ",DEC2HEX($G213,2)," ",LEFT(DEC2HEX(Y213,4),2)," ",RIGHT(DEC2HEX(Y213,4),2)))</f>
        <v>0B 04 00 02 19 0E</v>
      </c>
      <c r="AA213" s="26" t="s">
        <v>349</v>
      </c>
      <c r="AB213" s="26"/>
      <c r="AC213" s="26"/>
      <c r="AD213" s="26" t="s">
        <v>346</v>
      </c>
      <c r="AE213" s="26"/>
      <c r="AF213" s="26"/>
      <c r="AI213" s="26"/>
      <c r="AJ213" s="26"/>
      <c r="AL213" s="26"/>
      <c r="AW213" s="26"/>
      <c r="AX213" s="26"/>
      <c r="AY213" s="26"/>
    </row>
    <row r="214" spans="1:51" hidden="1" x14ac:dyDescent="0.25">
      <c r="A214" s="26">
        <v>209</v>
      </c>
      <c r="B214" s="26" t="s">
        <v>346</v>
      </c>
      <c r="C214" s="26" t="s">
        <v>346</v>
      </c>
      <c r="D214" s="27" t="s">
        <v>512</v>
      </c>
      <c r="E214" s="26">
        <v>508</v>
      </c>
      <c r="F214" s="26" t="s">
        <v>346</v>
      </c>
      <c r="G214" s="26">
        <v>2</v>
      </c>
      <c r="H214" s="26" t="s">
        <v>1057</v>
      </c>
      <c r="I214" s="26" t="s">
        <v>1350</v>
      </c>
      <c r="J214" s="26" t="s">
        <v>1038</v>
      </c>
      <c r="K214" s="26" t="s">
        <v>1039</v>
      </c>
      <c r="L214" s="26" t="s">
        <v>931</v>
      </c>
      <c r="M214" s="26" t="s">
        <v>1377</v>
      </c>
      <c r="N214" s="26" t="s">
        <v>1080</v>
      </c>
      <c r="O214" s="26" t="s">
        <v>1384</v>
      </c>
      <c r="P214" s="26">
        <v>3885</v>
      </c>
      <c r="Q214" s="27" t="s">
        <v>1385</v>
      </c>
      <c r="R214" s="26">
        <v>7508</v>
      </c>
      <c r="S214" s="26">
        <v>1660</v>
      </c>
      <c r="T214" s="26">
        <f>IF(Table2[[#This Row],[PMT]]="NA","NA",Table2[[#This Row],[PMT]]+1)</f>
        <v>1661</v>
      </c>
      <c r="U214" s="26">
        <f>IF(Table2[[#This Row],[PMT]]="NA","NA",Table2[[#This Row],[PMT]]+2)</f>
        <v>1662</v>
      </c>
      <c r="V214" s="26">
        <v>0</v>
      </c>
      <c r="W214" s="26">
        <f>IF(Table2[[#This Row],[PMT]]="NA","NA",Table2[[#This Row],[PMT]]+8)-Table2[[#This Row],[Const]]</f>
        <v>1668</v>
      </c>
      <c r="X214" s="26" t="str">
        <f>IF(W214="NA","",CONCATENATE("0B 04 00 ",DEC2HEX($G214,2)," ",LEFT(DEC2HEX(W214,4),2)," ",RIGHT(DEC2HEX(W214,4),2)))</f>
        <v>0B 04 00 02 06 84</v>
      </c>
      <c r="Y214" s="26">
        <f>IF(Table2[[#This Row],[PMT]]="NA","NA",Table2[[#This Row],[PMT]]+14)-Table2[[#This Row],[Const]]</f>
        <v>1674</v>
      </c>
      <c r="Z214" s="26" t="str">
        <f>IF(Y214="NA","",CONCATENATE("0B 04 00 ",DEC2HEX($G214,2)," ",LEFT(DEC2HEX(Y214,4),2)," ",RIGHT(DEC2HEX(Y214,4),2)))</f>
        <v>0B 04 00 02 06 8A</v>
      </c>
      <c r="AA214" s="26" t="s">
        <v>1057</v>
      </c>
      <c r="AB214" s="26"/>
      <c r="AC214" s="26"/>
      <c r="AD214" s="26" t="s">
        <v>346</v>
      </c>
      <c r="AE214" s="26"/>
      <c r="AF214" s="26"/>
      <c r="AI214" s="26"/>
      <c r="AJ214" s="26"/>
      <c r="AL214" s="26"/>
      <c r="AW214" s="26"/>
      <c r="AX214" s="26"/>
      <c r="AY214" s="26"/>
    </row>
    <row r="215" spans="1:51" hidden="1" x14ac:dyDescent="0.25">
      <c r="A215" s="26">
        <v>210</v>
      </c>
      <c r="B215" s="26" t="s">
        <v>346</v>
      </c>
      <c r="C215" s="26" t="s">
        <v>346</v>
      </c>
      <c r="D215" s="27" t="s">
        <v>513</v>
      </c>
      <c r="E215" s="26">
        <v>509</v>
      </c>
      <c r="F215" s="26" t="s">
        <v>346</v>
      </c>
      <c r="G215" s="26">
        <v>2</v>
      </c>
      <c r="H215" s="26" t="s">
        <v>1057</v>
      </c>
      <c r="I215" s="26" t="s">
        <v>1350</v>
      </c>
      <c r="J215" s="26" t="s">
        <v>1038</v>
      </c>
      <c r="K215" s="26" t="s">
        <v>1039</v>
      </c>
      <c r="L215" s="26" t="s">
        <v>931</v>
      </c>
      <c r="M215" s="26" t="s">
        <v>1377</v>
      </c>
      <c r="Q215" s="27"/>
      <c r="R215" s="26">
        <v>3509</v>
      </c>
      <c r="S215" s="26">
        <v>1720</v>
      </c>
      <c r="T215" s="26">
        <f>IF(Table2[[#This Row],[PMT]]="NA","NA",Table2[[#This Row],[PMT]]+1)</f>
        <v>1721</v>
      </c>
      <c r="U215" s="26">
        <f>IF(Table2[[#This Row],[PMT]]="NA","NA",Table2[[#This Row],[PMT]]+2)</f>
        <v>1722</v>
      </c>
      <c r="V215" s="26">
        <v>0</v>
      </c>
      <c r="W215" s="26">
        <f>IF(Table2[[#This Row],[PMT]]="NA","NA",Table2[[#This Row],[PMT]]+8)-Table2[[#This Row],[Const]]</f>
        <v>1728</v>
      </c>
      <c r="X215" s="26" t="str">
        <f>IF(W215="NA","",CONCATENATE("0B 04 00 ",DEC2HEX($G215,2)," ",LEFT(DEC2HEX(W215,4),2)," ",RIGHT(DEC2HEX(W215,4),2)))</f>
        <v>0B 04 00 02 06 C0</v>
      </c>
      <c r="Y215" s="26">
        <f>IF(Table2[[#This Row],[PMT]]="NA","NA",Table2[[#This Row],[PMT]]+14)-Table2[[#This Row],[Const]]</f>
        <v>1734</v>
      </c>
      <c r="Z215" s="26" t="str">
        <f>IF(Y215="NA","",CONCATENATE("0B 04 00 ",DEC2HEX($G215,2)," ",LEFT(DEC2HEX(Y215,4),2)," ",RIGHT(DEC2HEX(Y215,4),2)))</f>
        <v>0B 04 00 02 06 C6</v>
      </c>
      <c r="AA215" s="26" t="s">
        <v>1057</v>
      </c>
      <c r="AB215" s="26"/>
      <c r="AC215" s="26"/>
      <c r="AD215" s="26" t="s">
        <v>346</v>
      </c>
      <c r="AE215" s="26"/>
      <c r="AF215" s="26"/>
      <c r="AI215" s="26"/>
      <c r="AJ215" s="26"/>
      <c r="AL215" s="26"/>
      <c r="AW215" s="26"/>
      <c r="AX215" s="26"/>
      <c r="AY215" s="26"/>
    </row>
    <row r="216" spans="1:51" x14ac:dyDescent="0.25">
      <c r="A216" s="26">
        <v>273</v>
      </c>
      <c r="B216" s="26" t="s">
        <v>232</v>
      </c>
      <c r="C216" s="26">
        <v>5180</v>
      </c>
      <c r="D216" s="27" t="s">
        <v>563</v>
      </c>
      <c r="E216" s="26">
        <v>601</v>
      </c>
      <c r="F216" s="26">
        <v>5</v>
      </c>
      <c r="G216" s="26">
        <v>7</v>
      </c>
      <c r="H216" s="26" t="s">
        <v>349</v>
      </c>
      <c r="I216" s="26" t="s">
        <v>1354</v>
      </c>
      <c r="J216" s="26" t="s">
        <v>1040</v>
      </c>
      <c r="K216" s="26" t="s">
        <v>953</v>
      </c>
      <c r="L216" s="26" t="s">
        <v>931</v>
      </c>
      <c r="M216" s="28" t="s">
        <v>1376</v>
      </c>
      <c r="Q216" s="27"/>
      <c r="R216" s="26">
        <v>5601</v>
      </c>
      <c r="S216" s="26">
        <v>5700</v>
      </c>
      <c r="T216" s="26">
        <f>IF(Table2[[#This Row],[PMT]]="NA","NA",Table2[[#This Row],[PMT]]+1)</f>
        <v>5701</v>
      </c>
      <c r="U216" s="26">
        <f>IF(Table2[[#This Row],[PMT]]="NA","NA",Table2[[#This Row],[PMT]]+2)</f>
        <v>5702</v>
      </c>
      <c r="V216" s="26">
        <v>0</v>
      </c>
      <c r="W216" s="26">
        <f>IF(Table2[[#This Row],[PMT]]="NA","NA",Table2[[#This Row],[PMT]]+8)-Table2[[#This Row],[Const]]</f>
        <v>5708</v>
      </c>
      <c r="X216" s="26" t="str">
        <f>IF(W216="NA","",CONCATENATE("0B 04 00 ",DEC2HEX($G216,2)," ",LEFT(DEC2HEX(W216,4),2)," ",RIGHT(DEC2HEX(W216,4),2)))</f>
        <v>0B 04 00 07 16 4C</v>
      </c>
      <c r="Y216" s="26">
        <f>IF(Table2[[#This Row],[PMT]]="NA","NA",Table2[[#This Row],[PMT]]+14)-Table2[[#This Row],[Const]]</f>
        <v>5714</v>
      </c>
      <c r="Z216" s="26" t="str">
        <f>IF(Y216="NA","",CONCATENATE("0B 04 00 ",DEC2HEX($G216,2)," ",LEFT(DEC2HEX(Y216,4),2)," ",RIGHT(DEC2HEX(Y216,4),2)))</f>
        <v>0B 04 00 07 16 52</v>
      </c>
      <c r="AA216" s="26" t="s">
        <v>349</v>
      </c>
      <c r="AB216" s="26"/>
      <c r="AC216" s="26"/>
      <c r="AD216" s="26" t="s">
        <v>814</v>
      </c>
      <c r="AE216" s="26"/>
      <c r="AF216" s="26"/>
      <c r="AI216" s="26"/>
      <c r="AJ216" s="26"/>
      <c r="AL216" s="26"/>
      <c r="AW216" s="26"/>
      <c r="AX216" s="26"/>
      <c r="AY216" s="26"/>
    </row>
    <row r="217" spans="1:51" x14ac:dyDescent="0.25">
      <c r="A217" s="26">
        <v>164</v>
      </c>
      <c r="B217" s="26" t="s">
        <v>214</v>
      </c>
      <c r="C217" s="26">
        <v>5180</v>
      </c>
      <c r="D217" s="27" t="s">
        <v>479</v>
      </c>
      <c r="E217" s="26">
        <v>356</v>
      </c>
      <c r="F217" s="26">
        <v>4</v>
      </c>
      <c r="G217" s="26">
        <v>4</v>
      </c>
      <c r="H217" s="26" t="s">
        <v>1061</v>
      </c>
      <c r="I217" s="26" t="s">
        <v>1084</v>
      </c>
      <c r="J217" s="26" t="s">
        <v>1040</v>
      </c>
      <c r="K217" s="26" t="s">
        <v>953</v>
      </c>
      <c r="L217" s="26" t="s">
        <v>931</v>
      </c>
      <c r="M217" s="28" t="s">
        <v>1377</v>
      </c>
      <c r="Q217" s="27"/>
      <c r="R217" s="26">
        <v>2356</v>
      </c>
      <c r="S217" s="26">
        <v>5100</v>
      </c>
      <c r="T217" s="26">
        <f>IF(Table2[[#This Row],[PMT]]="NA","NA",Table2[[#This Row],[PMT]]+1)</f>
        <v>5101</v>
      </c>
      <c r="U217" s="26">
        <f>IF(Table2[[#This Row],[PMT]]="NA","NA",Table2[[#This Row],[PMT]]+2)</f>
        <v>5102</v>
      </c>
      <c r="V217" s="26">
        <v>0</v>
      </c>
      <c r="W217" s="26">
        <f>IF(Table2[[#This Row],[PMT]]="NA","NA",Table2[[#This Row],[PMT]]+8)-Table2[[#This Row],[Const]]</f>
        <v>5108</v>
      </c>
      <c r="X217" s="26" t="str">
        <f>IF(W217="NA","",CONCATENATE("0B 04 00 ",DEC2HEX($G217,2)," ",LEFT(DEC2HEX(W217,4),2)," ",RIGHT(DEC2HEX(W217,4),2)))</f>
        <v>0B 04 00 04 13 F4</v>
      </c>
      <c r="Y217" s="26">
        <f>IF(Table2[[#This Row],[PMT]]="NA","NA",Table2[[#This Row],[PMT]]+14)-Table2[[#This Row],[Const]]</f>
        <v>5114</v>
      </c>
      <c r="Z217" s="26" t="str">
        <f>IF(Y217="NA","",CONCATENATE("0B 04 00 ",DEC2HEX($G217,2)," ",LEFT(DEC2HEX(Y217,4),2)," ",RIGHT(DEC2HEX(Y217,4),2)))</f>
        <v>0B 04 00 04 13 FA</v>
      </c>
      <c r="AA217" s="26" t="s">
        <v>1061</v>
      </c>
      <c r="AB217" s="26" t="s">
        <v>1084</v>
      </c>
      <c r="AC217" s="26"/>
      <c r="AD217" s="26" t="s">
        <v>814</v>
      </c>
      <c r="AE217" s="26"/>
      <c r="AF217" s="26"/>
      <c r="AI217" s="26"/>
      <c r="AJ217" s="26"/>
      <c r="AL217" s="26"/>
      <c r="AW217" s="26"/>
      <c r="AX217" s="26"/>
      <c r="AY217" s="26"/>
    </row>
    <row r="218" spans="1:51" x14ac:dyDescent="0.25">
      <c r="A218" s="26">
        <v>212</v>
      </c>
      <c r="B218" s="26" t="s">
        <v>647</v>
      </c>
      <c r="C218" s="26">
        <v>5001</v>
      </c>
      <c r="D218" s="27" t="s">
        <v>515</v>
      </c>
      <c r="E218" s="26">
        <v>511</v>
      </c>
      <c r="F218" s="26">
        <v>1</v>
      </c>
      <c r="G218" s="26">
        <v>1</v>
      </c>
      <c r="H218" s="26" t="s">
        <v>349</v>
      </c>
      <c r="I218" s="26" t="s">
        <v>1350</v>
      </c>
      <c r="J218" s="26" t="s">
        <v>931</v>
      </c>
      <c r="K218" s="26" t="s">
        <v>1042</v>
      </c>
      <c r="L218" s="26" t="s">
        <v>931</v>
      </c>
      <c r="M218" s="26" t="s">
        <v>1376</v>
      </c>
      <c r="N218" s="26" t="s">
        <v>1080</v>
      </c>
      <c r="O218" s="26" t="s">
        <v>1383</v>
      </c>
      <c r="P218" s="26">
        <v>3966</v>
      </c>
      <c r="Q218" s="27" t="s">
        <v>1385</v>
      </c>
      <c r="R218" s="26">
        <v>2516</v>
      </c>
      <c r="S218" s="26">
        <v>740</v>
      </c>
      <c r="T218" s="26">
        <f>IF(Table2[[#This Row],[PMT]]="NA","NA",Table2[[#This Row],[PMT]]+1)</f>
        <v>741</v>
      </c>
      <c r="U218" s="26">
        <f>IF(Table2[[#This Row],[PMT]]="NA","NA",Table2[[#This Row],[PMT]]+2)</f>
        <v>742</v>
      </c>
      <c r="V218" s="26">
        <v>1</v>
      </c>
      <c r="W218" s="26">
        <f>IF(Table2[[#This Row],[PMT]]="NA","NA",Table2[[#This Row],[PMT]]+8)-Table2[[#This Row],[Const]]</f>
        <v>747</v>
      </c>
      <c r="X218" s="26" t="str">
        <f>IF(W218="NA","",CONCATENATE("0B 04 00 ",DEC2HEX($G218,2)," ",LEFT(DEC2HEX(W218,4),2)," ",RIGHT(DEC2HEX(W218,4),2)))</f>
        <v>0B 04 00 01 02 EB</v>
      </c>
      <c r="Y218" s="26">
        <f>IF(Table2[[#This Row],[PMT]]="NA","NA",Table2[[#This Row],[PMT]]+14)-Table2[[#This Row],[Const]]</f>
        <v>753</v>
      </c>
      <c r="Z218" s="26" t="str">
        <f>IF(Y218="NA","",CONCATENATE("0B 04 00 ",DEC2HEX($G218,2)," ",LEFT(DEC2HEX(Y218,4),2)," ",RIGHT(DEC2HEX(Y218,4),2)))</f>
        <v>0B 04 00 01 02 F1</v>
      </c>
      <c r="AA218" s="26" t="s">
        <v>349</v>
      </c>
      <c r="AB218" s="26"/>
      <c r="AC218" s="26">
        <v>30000</v>
      </c>
      <c r="AD218" s="26" t="s">
        <v>818</v>
      </c>
      <c r="AE218" s="26"/>
      <c r="AF218" s="26"/>
      <c r="AI218" s="26"/>
      <c r="AJ218" s="26"/>
      <c r="AL218" s="26"/>
      <c r="AW218" s="26"/>
      <c r="AX218" s="26"/>
      <c r="AY218" s="26"/>
    </row>
    <row r="219" spans="1:51" x14ac:dyDescent="0.25">
      <c r="A219" s="26">
        <v>287</v>
      </c>
      <c r="B219" s="26" t="s">
        <v>306</v>
      </c>
      <c r="C219" s="26">
        <v>2000</v>
      </c>
      <c r="D219" s="27" t="s">
        <v>1390</v>
      </c>
      <c r="E219" s="26">
        <v>619</v>
      </c>
      <c r="F219" s="26">
        <v>3</v>
      </c>
      <c r="G219" s="26">
        <v>3</v>
      </c>
      <c r="H219" s="26" t="s">
        <v>1057</v>
      </c>
      <c r="I219" s="26" t="s">
        <v>1360</v>
      </c>
      <c r="J219" s="26" t="s">
        <v>931</v>
      </c>
      <c r="K219" s="26" t="s">
        <v>953</v>
      </c>
      <c r="L219" s="26" t="s">
        <v>931</v>
      </c>
      <c r="M219" s="26" t="s">
        <v>1376</v>
      </c>
      <c r="Q219" s="27"/>
      <c r="R219" s="26">
        <v>12127</v>
      </c>
      <c r="S219" s="26">
        <v>1060</v>
      </c>
      <c r="T219" s="26">
        <f>IF(Table2[[#This Row],[PMT]]="NA","NA",Table2[[#This Row],[PMT]]+1)</f>
        <v>1061</v>
      </c>
      <c r="U219" s="26">
        <f>IF(Table2[[#This Row],[PMT]]="NA","NA",Table2[[#This Row],[PMT]]+2)</f>
        <v>1062</v>
      </c>
      <c r="V219" s="26">
        <v>0</v>
      </c>
      <c r="W219" s="26">
        <f>IF(Table2[[#This Row],[PMT]]="NA","NA",Table2[[#This Row],[PMT]]+8)-Table2[[#This Row],[Const]]</f>
        <v>1068</v>
      </c>
      <c r="X219" s="26" t="str">
        <f>IF(W219="NA","",CONCATENATE("0B 04 00 ",DEC2HEX($G219,2)," ",LEFT(DEC2HEX(W219,4),2)," ",RIGHT(DEC2HEX(W219,4),2)))</f>
        <v>0B 04 00 03 04 2C</v>
      </c>
      <c r="Y219" s="26">
        <f>IF(Table2[[#This Row],[PMT]]="NA","NA",Table2[[#This Row],[PMT]]+14)-Table2[[#This Row],[Const]]</f>
        <v>1074</v>
      </c>
      <c r="Z219" s="26" t="str">
        <f>IF(Y219="NA","",CONCATENATE("0B 04 00 ",DEC2HEX($G219,2)," ",LEFT(DEC2HEX(Y219,4),2)," ",RIGHT(DEC2HEX(Y219,4),2)))</f>
        <v>0B 04 00 03 04 32</v>
      </c>
      <c r="AA219" s="26" t="s">
        <v>1057</v>
      </c>
      <c r="AB219" s="26"/>
      <c r="AC219" s="26"/>
      <c r="AD219" s="26" t="s">
        <v>346</v>
      </c>
      <c r="AE219" s="26"/>
      <c r="AF219" s="26"/>
      <c r="AI219" s="26"/>
      <c r="AJ219" s="26"/>
      <c r="AL219" s="26"/>
      <c r="AW219" s="26"/>
      <c r="AX219" s="26"/>
      <c r="AY219" s="26"/>
    </row>
    <row r="220" spans="1:51" x14ac:dyDescent="0.25">
      <c r="A220" s="26">
        <v>263</v>
      </c>
      <c r="B220" s="26" t="s">
        <v>642</v>
      </c>
      <c r="C220" s="26">
        <v>5001</v>
      </c>
      <c r="D220" s="27" t="s">
        <v>557</v>
      </c>
      <c r="E220" s="26">
        <v>587</v>
      </c>
      <c r="F220" s="26">
        <v>2</v>
      </c>
      <c r="G220" s="26">
        <v>2</v>
      </c>
      <c r="H220" s="26" t="s">
        <v>361</v>
      </c>
      <c r="I220" s="26" t="s">
        <v>1353</v>
      </c>
      <c r="J220" s="26" t="s">
        <v>931</v>
      </c>
      <c r="K220" s="26" t="s">
        <v>1042</v>
      </c>
      <c r="L220" s="26" t="s">
        <v>931</v>
      </c>
      <c r="M220" s="28"/>
      <c r="Q220" s="29"/>
      <c r="R220" s="26">
        <v>7587</v>
      </c>
      <c r="S220" s="26">
        <v>1420</v>
      </c>
      <c r="T220" s="26">
        <f>IF(Table2[[#This Row],[PMT]]="NA","NA",Table2[[#This Row],[PMT]]+1)</f>
        <v>1421</v>
      </c>
      <c r="U220" s="26">
        <f>IF(Table2[[#This Row],[PMT]]="NA","NA",Table2[[#This Row],[PMT]]+2)</f>
        <v>1422</v>
      </c>
      <c r="V220" s="26">
        <v>0</v>
      </c>
      <c r="W220" s="26">
        <f>IF(Table2[[#This Row],[PMT]]="NA","NA",Table2[[#This Row],[PMT]]+8)-Table2[[#This Row],[Const]]</f>
        <v>1428</v>
      </c>
      <c r="X220" s="26" t="str">
        <f>IF(W220="NA","",CONCATENATE("0B 04 00 ",DEC2HEX($G220,2)," ",LEFT(DEC2HEX(W220,4),2)," ",RIGHT(DEC2HEX(W220,4),2)))</f>
        <v>0B 04 00 02 05 94</v>
      </c>
      <c r="Y220" s="26">
        <f>IF(Table2[[#This Row],[PMT]]="NA","NA",Table2[[#This Row],[PMT]]+14)-Table2[[#This Row],[Const]]</f>
        <v>1434</v>
      </c>
      <c r="Z220" s="26" t="str">
        <f>IF(Y220="NA","",CONCATENATE("0B 04 00 ",DEC2HEX($G220,2)," ",LEFT(DEC2HEX(Y220,4),2)," ",RIGHT(DEC2HEX(Y220,4),2)))</f>
        <v>0B 04 00 02 05 9A</v>
      </c>
      <c r="AA220" s="26" t="s">
        <v>361</v>
      </c>
      <c r="AB220" s="26"/>
      <c r="AC220" s="26"/>
      <c r="AD220" s="26" t="s">
        <v>814</v>
      </c>
      <c r="AE220" s="26"/>
      <c r="AF220" s="26"/>
      <c r="AI220" s="26"/>
      <c r="AJ220" s="26"/>
      <c r="AL220" s="26"/>
      <c r="AW220" s="26"/>
      <c r="AX220" s="26"/>
      <c r="AY220" s="26"/>
    </row>
    <row r="221" spans="1:51" hidden="1" x14ac:dyDescent="0.25">
      <c r="A221" s="26">
        <v>216</v>
      </c>
      <c r="B221" s="26" t="s">
        <v>346</v>
      </c>
      <c r="C221" s="26" t="s">
        <v>346</v>
      </c>
      <c r="D221" s="27" t="s">
        <v>518</v>
      </c>
      <c r="E221" s="26">
        <v>515</v>
      </c>
      <c r="F221" s="26" t="s">
        <v>346</v>
      </c>
      <c r="G221" s="26">
        <v>5</v>
      </c>
      <c r="H221" s="26" t="s">
        <v>361</v>
      </c>
      <c r="I221" s="26" t="s">
        <v>1350</v>
      </c>
      <c r="J221" s="26" t="s">
        <v>1038</v>
      </c>
      <c r="K221" s="26" t="s">
        <v>1039</v>
      </c>
      <c r="L221" s="26" t="s">
        <v>931</v>
      </c>
      <c r="M221" s="26" t="s">
        <v>1377</v>
      </c>
      <c r="Q221" s="27"/>
      <c r="R221" s="26">
        <v>3515</v>
      </c>
      <c r="S221" s="26">
        <v>5300</v>
      </c>
      <c r="T221" s="26">
        <f>IF(Table2[[#This Row],[PMT]]="NA","NA",Table2[[#This Row],[PMT]]+1)</f>
        <v>5301</v>
      </c>
      <c r="U221" s="26">
        <f>IF(Table2[[#This Row],[PMT]]="NA","NA",Table2[[#This Row],[PMT]]+2)</f>
        <v>5302</v>
      </c>
      <c r="V221" s="26">
        <v>0</v>
      </c>
      <c r="W221" s="26">
        <f>IF(Table2[[#This Row],[PMT]]="NA","NA",Table2[[#This Row],[PMT]]+8)-Table2[[#This Row],[Const]]</f>
        <v>5308</v>
      </c>
      <c r="X221" s="26" t="str">
        <f>IF(W221="NA","",CONCATENATE("0B 04 00 ",DEC2HEX($G221,2)," ",LEFT(DEC2HEX(W221,4),2)," ",RIGHT(DEC2HEX(W221,4),2)))</f>
        <v>0B 04 00 05 14 BC</v>
      </c>
      <c r="Y221" s="26">
        <f>IF(Table2[[#This Row],[PMT]]="NA","NA",Table2[[#This Row],[PMT]]+14)-Table2[[#This Row],[Const]]</f>
        <v>5314</v>
      </c>
      <c r="Z221" s="26" t="str">
        <f>IF(Y221="NA","",CONCATENATE("0B 04 00 ",DEC2HEX($G221,2)," ",LEFT(DEC2HEX(Y221,4),2)," ",RIGHT(DEC2HEX(Y221,4),2)))</f>
        <v>0B 04 00 05 14 C2</v>
      </c>
      <c r="AA221" s="26"/>
      <c r="AB221" s="26"/>
      <c r="AC221" s="26"/>
      <c r="AD221" s="26" t="s">
        <v>346</v>
      </c>
      <c r="AE221" s="26"/>
      <c r="AF221" s="26"/>
      <c r="AI221" s="26"/>
      <c r="AJ221" s="26"/>
      <c r="AL221" s="26"/>
      <c r="AW221" s="26"/>
      <c r="AX221" s="26"/>
      <c r="AY221" s="26"/>
    </row>
    <row r="222" spans="1:51" x14ac:dyDescent="0.25">
      <c r="A222" s="26">
        <v>261</v>
      </c>
      <c r="B222" s="26" t="s">
        <v>642</v>
      </c>
      <c r="C222" s="26">
        <v>5001</v>
      </c>
      <c r="D222" s="27" t="s">
        <v>555</v>
      </c>
      <c r="E222" s="26">
        <v>584</v>
      </c>
      <c r="F222" s="26">
        <v>3</v>
      </c>
      <c r="G222" s="26">
        <v>3</v>
      </c>
      <c r="H222" s="26" t="s">
        <v>1057</v>
      </c>
      <c r="I222" s="26" t="s">
        <v>1353</v>
      </c>
      <c r="J222" s="26" t="s">
        <v>931</v>
      </c>
      <c r="K222" s="26" t="s">
        <v>1042</v>
      </c>
      <c r="L222" s="26" t="s">
        <v>931</v>
      </c>
      <c r="M222" s="28" t="s">
        <v>1376</v>
      </c>
      <c r="Q222" s="27"/>
      <c r="R222" s="26">
        <v>2584</v>
      </c>
      <c r="S222" s="26">
        <v>7800</v>
      </c>
      <c r="T222" s="26">
        <f>IF(Table2[[#This Row],[PMT]]="NA","NA",Table2[[#This Row],[PMT]]+1)</f>
        <v>7801</v>
      </c>
      <c r="U222" s="26">
        <f>IF(Table2[[#This Row],[PMT]]="NA","NA",Table2[[#This Row],[PMT]]+2)</f>
        <v>7802</v>
      </c>
      <c r="V222" s="26">
        <v>-1</v>
      </c>
      <c r="W222" s="26">
        <f>IF(Table2[[#This Row],[PMT]]="NA","NA",Table2[[#This Row],[PMT]]+8)-Table2[[#This Row],[Const]]</f>
        <v>7809</v>
      </c>
      <c r="X222" s="26" t="str">
        <f>IF(W222="NA","",CONCATENATE("0B 04 00 ",DEC2HEX($G222,2)," ",LEFT(DEC2HEX(W222,4),2)," ",RIGHT(DEC2HEX(W222,4),2)))</f>
        <v>0B 04 00 03 1E 81</v>
      </c>
      <c r="Y222" s="26">
        <f>IF(Table2[[#This Row],[PMT]]="NA","NA",Table2[[#This Row],[PMT]]+14)-Table2[[#This Row],[Const]]</f>
        <v>7815</v>
      </c>
      <c r="Z222" s="26" t="str">
        <f>IF(Y222="NA","",CONCATENATE("0B 04 00 ",DEC2HEX($G222,2)," ",LEFT(DEC2HEX(Y222,4),2)," ",RIGHT(DEC2HEX(Y222,4),2)))</f>
        <v>0B 04 00 03 1E 87</v>
      </c>
      <c r="AA222" s="26" t="s">
        <v>1057</v>
      </c>
      <c r="AB222" s="26"/>
      <c r="AC222" s="26"/>
      <c r="AD222" s="26" t="s">
        <v>816</v>
      </c>
      <c r="AE222" s="26"/>
      <c r="AF222" s="26"/>
      <c r="AI222" s="26"/>
      <c r="AJ222" s="26"/>
      <c r="AL222" s="26"/>
      <c r="AW222" s="26"/>
      <c r="AX222" s="26"/>
      <c r="AY222" s="26"/>
    </row>
    <row r="223" spans="1:51" hidden="1" x14ac:dyDescent="0.25">
      <c r="A223" s="26">
        <v>218</v>
      </c>
      <c r="B223" s="26" t="s">
        <v>346</v>
      </c>
      <c r="C223" s="26" t="s">
        <v>346</v>
      </c>
      <c r="D223" s="27" t="s">
        <v>1274</v>
      </c>
      <c r="E223" s="26">
        <v>517</v>
      </c>
      <c r="F223" s="26" t="s">
        <v>346</v>
      </c>
      <c r="G223" s="26">
        <v>2</v>
      </c>
      <c r="H223" s="26" t="s">
        <v>349</v>
      </c>
      <c r="I223" s="26" t="s">
        <v>1350</v>
      </c>
      <c r="J223" s="26" t="s">
        <v>1038</v>
      </c>
      <c r="K223" s="26" t="s">
        <v>1039</v>
      </c>
      <c r="L223" s="26" t="s">
        <v>931</v>
      </c>
      <c r="M223" s="26" t="s">
        <v>1377</v>
      </c>
      <c r="N223" s="26" t="s">
        <v>1080</v>
      </c>
      <c r="O223" s="26" t="s">
        <v>1384</v>
      </c>
      <c r="P223" s="26">
        <v>3925</v>
      </c>
      <c r="Q223" s="27" t="s">
        <v>1385</v>
      </c>
      <c r="R223" s="26">
        <v>7517</v>
      </c>
      <c r="S223" s="26">
        <v>1680</v>
      </c>
      <c r="T223" s="26">
        <f>IF(Table2[[#This Row],[PMT]]="NA","NA",Table2[[#This Row],[PMT]]+1)</f>
        <v>1681</v>
      </c>
      <c r="U223" s="26">
        <f>IF(Table2[[#This Row],[PMT]]="NA","NA",Table2[[#This Row],[PMT]]+2)</f>
        <v>1682</v>
      </c>
      <c r="V223" s="26">
        <v>0</v>
      </c>
      <c r="W223" s="26">
        <f>IF(Table2[[#This Row],[PMT]]="NA","NA",Table2[[#This Row],[PMT]]+8)-Table2[[#This Row],[Const]]</f>
        <v>1688</v>
      </c>
      <c r="X223" s="26" t="str">
        <f>IF(W223="NA","",CONCATENATE("0B 04 00 ",DEC2HEX($G223,2)," ",LEFT(DEC2HEX(W223,4),2)," ",RIGHT(DEC2HEX(W223,4),2)))</f>
        <v>0B 04 00 02 06 98</v>
      </c>
      <c r="Y223" s="26">
        <f>IF(Table2[[#This Row],[PMT]]="NA","NA",Table2[[#This Row],[PMT]]+14)-Table2[[#This Row],[Const]]</f>
        <v>1694</v>
      </c>
      <c r="Z223" s="26" t="str">
        <f>IF(Y223="NA","",CONCATENATE("0B 04 00 ",DEC2HEX($G223,2)," ",LEFT(DEC2HEX(Y223,4),2)," ",RIGHT(DEC2HEX(Y223,4),2)))</f>
        <v>0B 04 00 02 06 9E</v>
      </c>
      <c r="AA223" s="26" t="s">
        <v>349</v>
      </c>
      <c r="AB223" s="26"/>
      <c r="AC223" s="26"/>
      <c r="AD223" s="26" t="s">
        <v>346</v>
      </c>
      <c r="AE223" s="26"/>
      <c r="AF223" s="26"/>
      <c r="AI223" s="26"/>
      <c r="AJ223" s="26"/>
      <c r="AL223" s="26"/>
      <c r="AW223" s="26"/>
      <c r="AX223" s="26"/>
      <c r="AY223" s="26"/>
    </row>
    <row r="224" spans="1:51" x14ac:dyDescent="0.25">
      <c r="A224" s="26">
        <v>260</v>
      </c>
      <c r="B224" s="26" t="s">
        <v>642</v>
      </c>
      <c r="C224" s="26">
        <v>5001</v>
      </c>
      <c r="D224" s="27" t="s">
        <v>554</v>
      </c>
      <c r="E224" s="26">
        <v>583</v>
      </c>
      <c r="F224" s="26">
        <v>5</v>
      </c>
      <c r="G224" s="26">
        <v>5</v>
      </c>
      <c r="H224" s="26" t="s">
        <v>361</v>
      </c>
      <c r="I224" s="26" t="s">
        <v>1353</v>
      </c>
      <c r="J224" s="26" t="s">
        <v>931</v>
      </c>
      <c r="K224" s="26" t="s">
        <v>1042</v>
      </c>
      <c r="L224" s="26" t="s">
        <v>931</v>
      </c>
      <c r="M224" s="28" t="s">
        <v>1376</v>
      </c>
      <c r="Q224" s="27"/>
      <c r="R224" s="26">
        <v>8583</v>
      </c>
      <c r="S224" s="26">
        <v>5100</v>
      </c>
      <c r="T224" s="26">
        <f>IF(Table2[[#This Row],[PMT]]="NA","NA",Table2[[#This Row],[PMT]]+1)</f>
        <v>5101</v>
      </c>
      <c r="U224" s="26">
        <f>IF(Table2[[#This Row],[PMT]]="NA","NA",Table2[[#This Row],[PMT]]+2)</f>
        <v>5102</v>
      </c>
      <c r="V224" s="26">
        <v>0</v>
      </c>
      <c r="W224" s="26">
        <f>IF(Table2[[#This Row],[PMT]]="NA","NA",Table2[[#This Row],[PMT]]+8)-Table2[[#This Row],[Const]]</f>
        <v>5108</v>
      </c>
      <c r="X224" s="26" t="str">
        <f>IF(W224="NA","",CONCATENATE("0B 04 00 ",DEC2HEX($G224,2)," ",LEFT(DEC2HEX(W224,4),2)," ",RIGHT(DEC2HEX(W224,4),2)))</f>
        <v>0B 04 00 05 13 F4</v>
      </c>
      <c r="Y224" s="26">
        <f>IF(Table2[[#This Row],[PMT]]="NA","NA",Table2[[#This Row],[PMT]]+14)-Table2[[#This Row],[Const]]</f>
        <v>5114</v>
      </c>
      <c r="Z224" s="26" t="str">
        <f>IF(Y224="NA","",CONCATENATE("0B 04 00 ",DEC2HEX($G224,2)," ",LEFT(DEC2HEX(Y224,4),2)," ",RIGHT(DEC2HEX(Y224,4),2)))</f>
        <v>0B 04 00 05 13 FA</v>
      </c>
      <c r="AA224" s="26"/>
      <c r="AB224" s="26"/>
      <c r="AC224" s="26"/>
      <c r="AD224" s="26" t="s">
        <v>814</v>
      </c>
      <c r="AE224" s="26"/>
      <c r="AF224" s="26"/>
      <c r="AI224" s="26"/>
      <c r="AJ224" s="26"/>
      <c r="AL224" s="26"/>
      <c r="AW224" s="26"/>
      <c r="AX224" s="26"/>
      <c r="AY224" s="26"/>
    </row>
    <row r="225" spans="1:51" x14ac:dyDescent="0.25">
      <c r="A225" s="26">
        <v>369</v>
      </c>
      <c r="B225" s="26" t="s">
        <v>645</v>
      </c>
      <c r="C225" s="26">
        <v>5001</v>
      </c>
      <c r="D225" s="27" t="s">
        <v>639</v>
      </c>
      <c r="E225" s="26">
        <v>866</v>
      </c>
      <c r="F225" s="26">
        <v>6</v>
      </c>
      <c r="G225" s="26">
        <v>6</v>
      </c>
      <c r="H225" s="26" t="s">
        <v>1057</v>
      </c>
      <c r="I225" s="26" t="s">
        <v>1357</v>
      </c>
      <c r="J225" s="26" t="s">
        <v>931</v>
      </c>
      <c r="K225" s="26" t="s">
        <v>1042</v>
      </c>
      <c r="L225" s="26" t="s">
        <v>931</v>
      </c>
      <c r="M225" s="26" t="s">
        <v>1376</v>
      </c>
      <c r="N225" s="26" t="s">
        <v>1080</v>
      </c>
      <c r="O225" s="26" t="s">
        <v>1384</v>
      </c>
      <c r="P225" s="26">
        <v>4015</v>
      </c>
      <c r="Q225" s="27" t="s">
        <v>1382</v>
      </c>
      <c r="R225" s="26">
        <v>12116</v>
      </c>
      <c r="S225" s="26">
        <v>520</v>
      </c>
      <c r="T225" s="26">
        <f>IF(Table2[[#This Row],[PMT]]="NA","NA",Table2[[#This Row],[PMT]]+1)</f>
        <v>521</v>
      </c>
      <c r="U225" s="26">
        <f>IF(Table2[[#This Row],[PMT]]="NA","NA",Table2[[#This Row],[PMT]]+2)</f>
        <v>522</v>
      </c>
      <c r="V225" s="26">
        <v>0</v>
      </c>
      <c r="W225" s="26">
        <f>IF(Table2[[#This Row],[PMT]]="NA","NA",Table2[[#This Row],[PMT]]+8)-Table2[[#This Row],[Const]]</f>
        <v>528</v>
      </c>
      <c r="X225" s="26" t="str">
        <f>IF(W225="NA","",CONCATENATE("0B 04 00 ",DEC2HEX($G225,2)," ",LEFT(DEC2HEX(W225,4),2)," ",RIGHT(DEC2HEX(W225,4),2)))</f>
        <v>0B 04 00 06 02 10</v>
      </c>
      <c r="Y225" s="26">
        <f>IF(Table2[[#This Row],[PMT]]="NA","NA",Table2[[#This Row],[PMT]]+14)-Table2[[#This Row],[Const]]</f>
        <v>534</v>
      </c>
      <c r="Z225" s="26" t="str">
        <f>IF(Y225="NA","",CONCATENATE("0B 04 00 ",DEC2HEX($G225,2)," ",LEFT(DEC2HEX(Y225,4),2)," ",RIGHT(DEC2HEX(Y225,4),2)))</f>
        <v>0B 04 00 06 02 16</v>
      </c>
      <c r="AA225" s="26"/>
      <c r="AB225" s="26"/>
      <c r="AC225" s="26"/>
      <c r="AD225" s="26" t="s">
        <v>814</v>
      </c>
      <c r="AE225" s="26"/>
      <c r="AF225" s="26"/>
      <c r="AI225" s="26"/>
      <c r="AJ225" s="26"/>
      <c r="AL225" s="26"/>
      <c r="AW225" s="26"/>
      <c r="AX225" s="26"/>
      <c r="AY225" s="26"/>
    </row>
    <row r="226" spans="1:51" hidden="1" x14ac:dyDescent="0.25">
      <c r="A226" s="26">
        <v>221</v>
      </c>
      <c r="B226" s="26" t="s">
        <v>346</v>
      </c>
      <c r="C226" s="26" t="s">
        <v>346</v>
      </c>
      <c r="D226" s="27" t="s">
        <v>1395</v>
      </c>
      <c r="E226" s="26">
        <v>520</v>
      </c>
      <c r="F226" s="26" t="s">
        <v>346</v>
      </c>
      <c r="G226" s="26">
        <v>4</v>
      </c>
      <c r="H226" s="26" t="s">
        <v>349</v>
      </c>
      <c r="I226" s="26" t="s">
        <v>523</v>
      </c>
      <c r="J226" s="26" t="s">
        <v>1038</v>
      </c>
      <c r="K226" s="26" t="s">
        <v>1039</v>
      </c>
      <c r="L226" s="26" t="s">
        <v>931</v>
      </c>
      <c r="M226" s="26" t="s">
        <v>1377</v>
      </c>
      <c r="N226" s="26" t="s">
        <v>1080</v>
      </c>
      <c r="O226" s="26" t="s">
        <v>1384</v>
      </c>
      <c r="P226" s="26">
        <v>3885</v>
      </c>
      <c r="Q226" s="27" t="s">
        <v>1385</v>
      </c>
      <c r="R226" s="26">
        <v>7520</v>
      </c>
      <c r="S226" s="26">
        <v>480</v>
      </c>
      <c r="T226" s="26">
        <f>IF(Table2[[#This Row],[PMT]]="NA","NA",Table2[[#This Row],[PMT]]+1)</f>
        <v>481</v>
      </c>
      <c r="U226" s="26">
        <f>IF(Table2[[#This Row],[PMT]]="NA","NA",Table2[[#This Row],[PMT]]+2)</f>
        <v>482</v>
      </c>
      <c r="V226" s="26">
        <v>0</v>
      </c>
      <c r="W226" s="26">
        <f>IF(Table2[[#This Row],[PMT]]="NA","NA",Table2[[#This Row],[PMT]]+8)-Table2[[#This Row],[Const]]</f>
        <v>488</v>
      </c>
      <c r="X226" s="26" t="str">
        <f>IF(W226="NA","",CONCATENATE("0B 04 00 ",DEC2HEX($G226,2)," ",LEFT(DEC2HEX(W226,4),2)," ",RIGHT(DEC2HEX(W226,4),2)))</f>
        <v>0B 04 00 04 01 E8</v>
      </c>
      <c r="Y226" s="26">
        <f>IF(Table2[[#This Row],[PMT]]="NA","NA",Table2[[#This Row],[PMT]]+14)-Table2[[#This Row],[Const]]</f>
        <v>494</v>
      </c>
      <c r="Z226" s="26" t="str">
        <f>IF(Y226="NA","",CONCATENATE("0B 04 00 ",DEC2HEX($G226,2)," ",LEFT(DEC2HEX(Y226,4),2)," ",RIGHT(DEC2HEX(Y226,4),2)))</f>
        <v>0B 04 00 04 01 EE</v>
      </c>
      <c r="AA226" s="26" t="s">
        <v>349</v>
      </c>
      <c r="AB226" s="26"/>
      <c r="AC226" s="26"/>
      <c r="AD226" s="26" t="s">
        <v>346</v>
      </c>
      <c r="AE226" s="26"/>
      <c r="AF226" s="26"/>
      <c r="AI226" s="26"/>
      <c r="AJ226" s="26"/>
      <c r="AL226" s="26"/>
      <c r="AW226" s="26"/>
      <c r="AX226" s="26"/>
      <c r="AY226" s="26"/>
    </row>
    <row r="227" spans="1:51" x14ac:dyDescent="0.25">
      <c r="A227" s="26">
        <v>192</v>
      </c>
      <c r="B227" s="26" t="s">
        <v>647</v>
      </c>
      <c r="C227" s="26">
        <v>5001</v>
      </c>
      <c r="D227" s="27" t="s">
        <v>504</v>
      </c>
      <c r="E227" s="26">
        <v>491</v>
      </c>
      <c r="F227" s="26">
        <v>7</v>
      </c>
      <c r="G227" s="26">
        <v>7</v>
      </c>
      <c r="H227" s="26" t="s">
        <v>1057</v>
      </c>
      <c r="I227" s="26" t="s">
        <v>1350</v>
      </c>
      <c r="J227" s="26" t="s">
        <v>931</v>
      </c>
      <c r="K227" s="26" t="s">
        <v>1042</v>
      </c>
      <c r="L227" s="26" t="s">
        <v>931</v>
      </c>
      <c r="M227" s="26" t="s">
        <v>1376</v>
      </c>
      <c r="N227" s="26" t="s">
        <v>1080</v>
      </c>
      <c r="O227" s="26" t="s">
        <v>1384</v>
      </c>
      <c r="P227" s="26">
        <v>4015</v>
      </c>
      <c r="Q227" s="27" t="s">
        <v>1382</v>
      </c>
      <c r="R227" s="26">
        <v>12117</v>
      </c>
      <c r="S227" s="26">
        <v>360</v>
      </c>
      <c r="T227" s="26">
        <f>IF(Table2[[#This Row],[PMT]]="NA","NA",Table2[[#This Row],[PMT]]+1)</f>
        <v>361</v>
      </c>
      <c r="U227" s="26">
        <f>IF(Table2[[#This Row],[PMT]]="NA","NA",Table2[[#This Row],[PMT]]+2)</f>
        <v>362</v>
      </c>
      <c r="V227" s="26">
        <v>0</v>
      </c>
      <c r="W227" s="26">
        <f>IF(Table2[[#This Row],[PMT]]="NA","NA",Table2[[#This Row],[PMT]]+8)-Table2[[#This Row],[Const]]</f>
        <v>368</v>
      </c>
      <c r="X227" s="26" t="str">
        <f>IF(W227="NA","",CONCATENATE("0B 04 00 ",DEC2HEX($G227,2)," ",LEFT(DEC2HEX(W227,4),2)," ",RIGHT(DEC2HEX(W227,4),2)))</f>
        <v>0B 04 00 07 01 70</v>
      </c>
      <c r="Y227" s="26">
        <f>IF(Table2[[#This Row],[PMT]]="NA","NA",Table2[[#This Row],[PMT]]+14)-Table2[[#This Row],[Const]]</f>
        <v>374</v>
      </c>
      <c r="Z227" s="26" t="str">
        <f>IF(Y227="NA","",CONCATENATE("0B 04 00 ",DEC2HEX($G227,2)," ",LEFT(DEC2HEX(Y227,4),2)," ",RIGHT(DEC2HEX(Y227,4),2)))</f>
        <v>0B 04 00 07 01 76</v>
      </c>
      <c r="AA227" s="26"/>
      <c r="AB227" s="26"/>
      <c r="AC227" s="26"/>
      <c r="AD227" s="26" t="s">
        <v>814</v>
      </c>
      <c r="AE227" s="26"/>
      <c r="AF227" s="26"/>
      <c r="AI227" s="26"/>
      <c r="AJ227" s="26"/>
      <c r="AL227" s="26"/>
      <c r="AW227" s="26"/>
      <c r="AX227" s="26"/>
      <c r="AY227" s="26"/>
    </row>
    <row r="228" spans="1:51" hidden="1" x14ac:dyDescent="0.25">
      <c r="A228" s="26">
        <v>223</v>
      </c>
      <c r="B228" s="26" t="s">
        <v>346</v>
      </c>
      <c r="C228" s="26" t="s">
        <v>346</v>
      </c>
      <c r="D228" s="27" t="s">
        <v>524</v>
      </c>
      <c r="E228" s="26">
        <v>522</v>
      </c>
      <c r="F228" s="26" t="s">
        <v>346</v>
      </c>
      <c r="G228" s="26">
        <v>7</v>
      </c>
      <c r="H228" s="26" t="s">
        <v>1053</v>
      </c>
      <c r="I228" s="26" t="s">
        <v>523</v>
      </c>
      <c r="J228" s="26" t="s">
        <v>1038</v>
      </c>
      <c r="K228" s="26" t="s">
        <v>1039</v>
      </c>
      <c r="L228" s="26" t="s">
        <v>931</v>
      </c>
      <c r="M228" s="26" t="s">
        <v>1377</v>
      </c>
      <c r="N228" s="26" t="s">
        <v>1080</v>
      </c>
      <c r="O228" s="26" t="s">
        <v>1384</v>
      </c>
      <c r="P228" s="26">
        <v>3885</v>
      </c>
      <c r="Q228" s="27" t="s">
        <v>1385</v>
      </c>
      <c r="R228" s="26">
        <v>7533</v>
      </c>
      <c r="S228" s="26">
        <v>2500</v>
      </c>
      <c r="T228" s="26">
        <f>IF(Table2[[#This Row],[PMT]]="NA","NA",Table2[[#This Row],[PMT]]+1)</f>
        <v>2501</v>
      </c>
      <c r="U228" s="26">
        <f>IF(Table2[[#This Row],[PMT]]="NA","NA",Table2[[#This Row],[PMT]]+2)</f>
        <v>2502</v>
      </c>
      <c r="V228" s="26">
        <v>0</v>
      </c>
      <c r="W228" s="26">
        <f>IF(Table2[[#This Row],[PMT]]="NA","NA",Table2[[#This Row],[PMT]]+8)-Table2[[#This Row],[Const]]</f>
        <v>2508</v>
      </c>
      <c r="X228" s="26" t="str">
        <f>IF(W228="NA","",CONCATENATE("0B 04 00 ",DEC2HEX($G228,2)," ",LEFT(DEC2HEX(W228,4),2)," ",RIGHT(DEC2HEX(W228,4),2)))</f>
        <v>0B 04 00 07 09 CC</v>
      </c>
      <c r="Y228" s="26">
        <f>IF(Table2[[#This Row],[PMT]]="NA","NA",Table2[[#This Row],[PMT]]+14)-Table2[[#This Row],[Const]]</f>
        <v>2514</v>
      </c>
      <c r="Z228" s="26" t="str">
        <f>IF(Y228="NA","",CONCATENATE("0B 04 00 ",DEC2HEX($G228,2)," ",LEFT(DEC2HEX(Y228,4),2)," ",RIGHT(DEC2HEX(Y228,4),2)))</f>
        <v>0B 04 00 07 09 D2</v>
      </c>
      <c r="AA228" s="26" t="s">
        <v>1053</v>
      </c>
      <c r="AB228" s="26"/>
      <c r="AC228" s="26"/>
      <c r="AD228" s="26" t="s">
        <v>346</v>
      </c>
      <c r="AE228" s="26"/>
      <c r="AF228" s="26"/>
      <c r="AI228" s="26"/>
      <c r="AJ228" s="26"/>
      <c r="AL228" s="26"/>
      <c r="AW228" s="26"/>
      <c r="AX228" s="26"/>
      <c r="AY228" s="26"/>
    </row>
    <row r="229" spans="1:51" x14ac:dyDescent="0.25">
      <c r="A229" s="26">
        <v>200</v>
      </c>
      <c r="B229" s="26" t="s">
        <v>645</v>
      </c>
      <c r="C229" s="26">
        <v>5001</v>
      </c>
      <c r="D229" s="27" t="s">
        <v>1273</v>
      </c>
      <c r="E229" s="26">
        <v>499</v>
      </c>
      <c r="F229" s="26">
        <v>4</v>
      </c>
      <c r="G229" s="26">
        <v>4</v>
      </c>
      <c r="H229" s="26" t="s">
        <v>1057</v>
      </c>
      <c r="I229" s="26" t="s">
        <v>1350</v>
      </c>
      <c r="J229" s="26" t="s">
        <v>931</v>
      </c>
      <c r="K229" s="26" t="s">
        <v>1042</v>
      </c>
      <c r="L229" s="26" t="s">
        <v>931</v>
      </c>
      <c r="M229" s="26" t="s">
        <v>1376</v>
      </c>
      <c r="N229" s="26" t="s">
        <v>1080</v>
      </c>
      <c r="O229" s="26" t="s">
        <v>1384</v>
      </c>
      <c r="P229" s="26">
        <v>4015</v>
      </c>
      <c r="Q229" s="27" t="s">
        <v>1382</v>
      </c>
      <c r="R229" s="26">
        <v>1499</v>
      </c>
      <c r="S229" s="26">
        <v>560</v>
      </c>
      <c r="T229" s="26">
        <f>IF(Table2[[#This Row],[PMT]]="NA","NA",Table2[[#This Row],[PMT]]+1)</f>
        <v>561</v>
      </c>
      <c r="U229" s="26">
        <f>IF(Table2[[#This Row],[PMT]]="NA","NA",Table2[[#This Row],[PMT]]+2)</f>
        <v>562</v>
      </c>
      <c r="V229" s="26">
        <v>0</v>
      </c>
      <c r="W229" s="26">
        <f>IF(Table2[[#This Row],[PMT]]="NA","NA",Table2[[#This Row],[PMT]]+8)-Table2[[#This Row],[Const]]</f>
        <v>568</v>
      </c>
      <c r="X229" s="26" t="str">
        <f>IF(W229="NA","",CONCATENATE("0B 04 00 ",DEC2HEX($G229,2)," ",LEFT(DEC2HEX(W229,4),2)," ",RIGHT(DEC2HEX(W229,4),2)))</f>
        <v>0B 04 00 04 02 38</v>
      </c>
      <c r="Y229" s="26">
        <f>IF(Table2[[#This Row],[PMT]]="NA","NA",Table2[[#This Row],[PMT]]+14)-Table2[[#This Row],[Const]]</f>
        <v>574</v>
      </c>
      <c r="Z229" s="26" t="str">
        <f>IF(Y229="NA","",CONCATENATE("0B 04 00 ",DEC2HEX($G229,2)," ",LEFT(DEC2HEX(Y229,4),2)," ",RIGHT(DEC2HEX(Y229,4),2)))</f>
        <v>0B 04 00 04 02 3E</v>
      </c>
      <c r="AA229" s="26" t="s">
        <v>1057</v>
      </c>
      <c r="AB229" s="26"/>
      <c r="AC229" s="26"/>
      <c r="AD229" s="26" t="s">
        <v>814</v>
      </c>
      <c r="AE229" s="26"/>
      <c r="AF229" s="26"/>
      <c r="AI229" s="26"/>
      <c r="AJ229" s="26"/>
      <c r="AL229" s="26"/>
      <c r="AW229" s="26"/>
      <c r="AX229" s="26"/>
      <c r="AY229" s="26"/>
    </row>
    <row r="230" spans="1:51" x14ac:dyDescent="0.25">
      <c r="A230" s="26">
        <v>126</v>
      </c>
      <c r="B230" s="26" t="s">
        <v>226</v>
      </c>
      <c r="C230" s="26">
        <v>5180</v>
      </c>
      <c r="D230" s="27" t="s">
        <v>1059</v>
      </c>
      <c r="E230" s="26">
        <v>294</v>
      </c>
      <c r="F230" s="26">
        <v>6</v>
      </c>
      <c r="G230" s="26">
        <v>6</v>
      </c>
      <c r="H230" s="26" t="s">
        <v>1057</v>
      </c>
      <c r="I230" s="26" t="s">
        <v>443</v>
      </c>
      <c r="J230" s="26" t="s">
        <v>1040</v>
      </c>
      <c r="K230" s="26" t="s">
        <v>953</v>
      </c>
      <c r="L230" s="26" t="s">
        <v>931</v>
      </c>
      <c r="M230" s="28" t="s">
        <v>1376</v>
      </c>
      <c r="Q230" s="27"/>
      <c r="R230" s="26">
        <v>12065</v>
      </c>
      <c r="S230" s="26">
        <v>960</v>
      </c>
      <c r="T230" s="26">
        <f>IF(Table2[[#This Row],[PMT]]="NA","NA",Table2[[#This Row],[PMT]]+1)</f>
        <v>961</v>
      </c>
      <c r="U230" s="26">
        <f>IF(Table2[[#This Row],[PMT]]="NA","NA",Table2[[#This Row],[PMT]]+2)</f>
        <v>962</v>
      </c>
      <c r="V230" s="26">
        <v>0</v>
      </c>
      <c r="W230" s="26">
        <f>IF(Table2[[#This Row],[PMT]]="NA","NA",Table2[[#This Row],[PMT]]+8)-Table2[[#This Row],[Const]]</f>
        <v>968</v>
      </c>
      <c r="X230" s="26" t="str">
        <f>IF(W230="NA","",CONCATENATE("0B 04 00 ",DEC2HEX($G230,2)," ",LEFT(DEC2HEX(W230,4),2)," ",RIGHT(DEC2HEX(W230,4),2)))</f>
        <v>0B 04 00 06 03 C8</v>
      </c>
      <c r="Y230" s="26">
        <f>IF(Table2[[#This Row],[PMT]]="NA","NA",Table2[[#This Row],[PMT]]+14)-Table2[[#This Row],[Const]]</f>
        <v>974</v>
      </c>
      <c r="Z230" s="26" t="str">
        <f>IF(Y230="NA","",CONCATENATE("0B 04 00 ",DEC2HEX($G230,2)," ",LEFT(DEC2HEX(Y230,4),2)," ",RIGHT(DEC2HEX(Y230,4),2)))</f>
        <v>0B 04 00 06 03 CE</v>
      </c>
      <c r="AA230" s="26" t="s">
        <v>1057</v>
      </c>
      <c r="AB230" s="26" t="s">
        <v>443</v>
      </c>
      <c r="AC230" s="26"/>
      <c r="AD230" s="26" t="s">
        <v>814</v>
      </c>
      <c r="AE230" s="26"/>
      <c r="AF230" s="26"/>
      <c r="AI230" s="26"/>
      <c r="AJ230" s="26"/>
      <c r="AL230" s="26"/>
      <c r="AW230" s="26"/>
      <c r="AX230" s="26"/>
      <c r="AY230" s="26"/>
    </row>
    <row r="231" spans="1:51" x14ac:dyDescent="0.25">
      <c r="A231" s="26">
        <v>20</v>
      </c>
      <c r="B231" s="26" t="s">
        <v>327</v>
      </c>
      <c r="C231" s="26">
        <v>2000</v>
      </c>
      <c r="D231" s="27" t="s">
        <v>362</v>
      </c>
      <c r="E231" s="26">
        <v>118</v>
      </c>
      <c r="F231" s="26">
        <v>6</v>
      </c>
      <c r="G231" s="26">
        <v>6</v>
      </c>
      <c r="H231" s="26" t="s">
        <v>349</v>
      </c>
      <c r="I231" s="26" t="s">
        <v>443</v>
      </c>
      <c r="J231" s="26" t="s">
        <v>1002</v>
      </c>
      <c r="K231" s="26" t="s">
        <v>953</v>
      </c>
      <c r="L231" s="26" t="s">
        <v>931</v>
      </c>
      <c r="M231" s="28" t="s">
        <v>1377</v>
      </c>
      <c r="Q231" s="27"/>
      <c r="R231" s="26">
        <v>12128</v>
      </c>
      <c r="S231" s="26">
        <v>4500</v>
      </c>
      <c r="T231" s="26">
        <f>IF(Table2[[#This Row],[PMT]]="NA","NA",Table2[[#This Row],[PMT]]+1)</f>
        <v>4501</v>
      </c>
      <c r="U231" s="26">
        <f>IF(Table2[[#This Row],[PMT]]="NA","NA",Table2[[#This Row],[PMT]]+2)</f>
        <v>4502</v>
      </c>
      <c r="V231" s="26">
        <v>0</v>
      </c>
      <c r="W231" s="26">
        <f>IF(Table2[[#This Row],[PMT]]="NA","NA",Table2[[#This Row],[PMT]]+8)-Table2[[#This Row],[Const]]</f>
        <v>4508</v>
      </c>
      <c r="X231" s="26" t="str">
        <f>IF(W231="NA","",CONCATENATE("0B 04 00 ",DEC2HEX($G231,2)," ",LEFT(DEC2HEX(W231,4),2)," ",RIGHT(DEC2HEX(W231,4),2)))</f>
        <v>0B 04 00 06 11 9C</v>
      </c>
      <c r="Y231" s="26">
        <f>IF(Table2[[#This Row],[PMT]]="NA","NA",Table2[[#This Row],[PMT]]+14)-Table2[[#This Row],[Const]]</f>
        <v>4514</v>
      </c>
      <c r="Z231" s="26" t="str">
        <f>IF(Y231="NA","",CONCATENATE("0B 04 00 ",DEC2HEX($G231,2)," ",LEFT(DEC2HEX(Y231,4),2)," ",RIGHT(DEC2HEX(Y231,4),2)))</f>
        <v>0B 04 00 06 11 A2</v>
      </c>
      <c r="AA231" s="26" t="s">
        <v>349</v>
      </c>
      <c r="AB231" s="26" t="s">
        <v>443</v>
      </c>
      <c r="AC231" s="26"/>
      <c r="AD231" s="26" t="s">
        <v>346</v>
      </c>
      <c r="AE231" s="26"/>
      <c r="AF231" s="26"/>
      <c r="AI231" s="26"/>
      <c r="AJ231" s="26"/>
      <c r="AL231" s="26"/>
      <c r="AW231" s="26"/>
      <c r="AX231" s="26"/>
      <c r="AY231" s="26"/>
    </row>
    <row r="232" spans="1:51" x14ac:dyDescent="0.25">
      <c r="A232" s="26">
        <v>77</v>
      </c>
      <c r="B232" s="26" t="s">
        <v>329</v>
      </c>
      <c r="C232" s="26">
        <v>2000</v>
      </c>
      <c r="D232" s="27" t="s">
        <v>405</v>
      </c>
      <c r="E232" s="26">
        <v>202</v>
      </c>
      <c r="F232" s="26">
        <v>2</v>
      </c>
      <c r="G232" s="26">
        <v>2</v>
      </c>
      <c r="H232" s="26" t="s">
        <v>1053</v>
      </c>
      <c r="I232" s="26" t="s">
        <v>1084</v>
      </c>
      <c r="J232" s="26" t="s">
        <v>1002</v>
      </c>
      <c r="K232" s="26" t="s">
        <v>953</v>
      </c>
      <c r="L232" s="26" t="s">
        <v>931</v>
      </c>
      <c r="M232" s="28"/>
      <c r="Q232" s="27"/>
      <c r="R232" s="26">
        <v>12126</v>
      </c>
      <c r="S232" s="26">
        <v>1780</v>
      </c>
      <c r="T232" s="26">
        <f>IF(Table2[[#This Row],[PMT]]="NA","NA",Table2[[#This Row],[PMT]]+1)</f>
        <v>1781</v>
      </c>
      <c r="U232" s="26">
        <f>IF(Table2[[#This Row],[PMT]]="NA","NA",Table2[[#This Row],[PMT]]+2)</f>
        <v>1782</v>
      </c>
      <c r="V232" s="26">
        <v>0</v>
      </c>
      <c r="W232" s="26">
        <f>IF(Table2[[#This Row],[PMT]]="NA","NA",Table2[[#This Row],[PMT]]+8)-Table2[[#This Row],[Const]]</f>
        <v>1788</v>
      </c>
      <c r="X232" s="26" t="str">
        <f>IF(W232="NA","",CONCATENATE("0B 04 00 ",DEC2HEX($G232,2)," ",LEFT(DEC2HEX(W232,4),2)," ",RIGHT(DEC2HEX(W232,4),2)))</f>
        <v>0B 04 00 02 06 FC</v>
      </c>
      <c r="Y232" s="26">
        <f>IF(Table2[[#This Row],[PMT]]="NA","NA",Table2[[#This Row],[PMT]]+14)-Table2[[#This Row],[Const]]</f>
        <v>1794</v>
      </c>
      <c r="Z232" s="26" t="str">
        <f>IF(Y232="NA","",CONCATENATE("0B 04 00 ",DEC2HEX($G232,2)," ",LEFT(DEC2HEX(Y232,4),2)," ",RIGHT(DEC2HEX(Y232,4),2)))</f>
        <v>0B 04 00 02 07 02</v>
      </c>
      <c r="AA232" s="26" t="s">
        <v>1053</v>
      </c>
      <c r="AB232" s="26" t="s">
        <v>1084</v>
      </c>
      <c r="AC232" s="26"/>
      <c r="AD232" s="26" t="s">
        <v>814</v>
      </c>
      <c r="AE232" s="26"/>
      <c r="AF232" s="26"/>
      <c r="AI232" s="26"/>
      <c r="AJ232" s="26"/>
      <c r="AL232" s="26"/>
      <c r="AW232" s="26"/>
      <c r="AX232" s="26"/>
      <c r="AY232" s="26"/>
    </row>
    <row r="233" spans="1:51" hidden="1" x14ac:dyDescent="0.25">
      <c r="A233" s="26">
        <v>228</v>
      </c>
      <c r="B233" s="26" t="s">
        <v>346</v>
      </c>
      <c r="C233" s="26" t="s">
        <v>346</v>
      </c>
      <c r="D233" s="27" t="s">
        <v>529</v>
      </c>
      <c r="E233" s="26">
        <v>527</v>
      </c>
      <c r="F233" s="26" t="s">
        <v>346</v>
      </c>
      <c r="G233" s="26">
        <v>6</v>
      </c>
      <c r="H233" s="26" t="s">
        <v>361</v>
      </c>
      <c r="I233" s="26" t="s">
        <v>523</v>
      </c>
      <c r="J233" s="26" t="s">
        <v>1038</v>
      </c>
      <c r="K233" s="26" t="s">
        <v>1039</v>
      </c>
      <c r="L233" s="26" t="s">
        <v>931</v>
      </c>
      <c r="M233" s="26" t="s">
        <v>1377</v>
      </c>
      <c r="N233" s="26" t="s">
        <v>1080</v>
      </c>
      <c r="O233" s="26" t="s">
        <v>1384</v>
      </c>
      <c r="P233" s="26">
        <v>3885</v>
      </c>
      <c r="Q233" s="27" t="s">
        <v>1385</v>
      </c>
      <c r="R233" s="26">
        <v>2527</v>
      </c>
      <c r="S233" s="26">
        <v>160</v>
      </c>
      <c r="T233" s="26">
        <f>IF(Table2[[#This Row],[PMT]]="NA","NA",Table2[[#This Row],[PMT]]+1)</f>
        <v>161</v>
      </c>
      <c r="U233" s="26">
        <f>IF(Table2[[#This Row],[PMT]]="NA","NA",Table2[[#This Row],[PMT]]+2)</f>
        <v>162</v>
      </c>
      <c r="V233" s="26">
        <v>0</v>
      </c>
      <c r="W233" s="26">
        <f>IF(Table2[[#This Row],[PMT]]="NA","NA",Table2[[#This Row],[PMT]]+8)-Table2[[#This Row],[Const]]</f>
        <v>168</v>
      </c>
      <c r="X233" s="26" t="str">
        <f>IF(W233="NA","",CONCATENATE("0B 04 00 ",DEC2HEX($G233,2)," ",LEFT(DEC2HEX(W233,4),2)," ",RIGHT(DEC2HEX(W233,4),2)))</f>
        <v>0B 04 00 06 00 A8</v>
      </c>
      <c r="Y233" s="26">
        <f>IF(Table2[[#This Row],[PMT]]="NA","NA",Table2[[#This Row],[PMT]]+14)-Table2[[#This Row],[Const]]</f>
        <v>174</v>
      </c>
      <c r="Z233" s="26" t="str">
        <f>IF(Y233="NA","",CONCATENATE("0B 04 00 ",DEC2HEX($G233,2)," ",LEFT(DEC2HEX(Y233,4),2)," ",RIGHT(DEC2HEX(Y233,4),2)))</f>
        <v>0B 04 00 06 00 AE</v>
      </c>
      <c r="AA233" s="26" t="s">
        <v>361</v>
      </c>
      <c r="AB233" s="26"/>
      <c r="AC233" s="26"/>
      <c r="AD233" s="26" t="s">
        <v>346</v>
      </c>
      <c r="AE233" s="26"/>
      <c r="AF233" s="26"/>
      <c r="AI233" s="26"/>
      <c r="AJ233" s="26"/>
      <c r="AL233" s="26"/>
      <c r="AW233" s="26"/>
      <c r="AX233" s="26"/>
      <c r="AY233" s="26"/>
    </row>
    <row r="234" spans="1:51" hidden="1" x14ac:dyDescent="0.25">
      <c r="A234" s="26">
        <v>229</v>
      </c>
      <c r="B234" s="26" t="s">
        <v>346</v>
      </c>
      <c r="C234" s="26" t="s">
        <v>346</v>
      </c>
      <c r="D234" s="27" t="s">
        <v>530</v>
      </c>
      <c r="E234" s="26">
        <v>528</v>
      </c>
      <c r="F234" s="26" t="s">
        <v>346</v>
      </c>
      <c r="G234" s="26">
        <v>7</v>
      </c>
      <c r="H234" s="26" t="s">
        <v>1057</v>
      </c>
      <c r="I234" s="26" t="s">
        <v>523</v>
      </c>
      <c r="J234" s="26" t="s">
        <v>1038</v>
      </c>
      <c r="K234" s="26" t="s">
        <v>1039</v>
      </c>
      <c r="L234" s="26" t="s">
        <v>931</v>
      </c>
      <c r="M234" s="28" t="s">
        <v>1376</v>
      </c>
      <c r="Q234" s="27"/>
      <c r="R234" s="26">
        <v>2528</v>
      </c>
      <c r="S234" s="26">
        <v>4000</v>
      </c>
      <c r="T234" s="26">
        <f>IF(Table2[[#This Row],[PMT]]="NA","NA",Table2[[#This Row],[PMT]]+1)</f>
        <v>4001</v>
      </c>
      <c r="U234" s="26">
        <f>IF(Table2[[#This Row],[PMT]]="NA","NA",Table2[[#This Row],[PMT]]+2)</f>
        <v>4002</v>
      </c>
      <c r="V234" s="26">
        <v>0</v>
      </c>
      <c r="W234" s="26">
        <f>IF(Table2[[#This Row],[PMT]]="NA","NA",Table2[[#This Row],[PMT]]+8)-Table2[[#This Row],[Const]]</f>
        <v>4008</v>
      </c>
      <c r="X234" s="26" t="str">
        <f>IF(W234="NA","",CONCATENATE("0B 04 00 ",DEC2HEX($G234,2)," ",LEFT(DEC2HEX(W234,4),2)," ",RIGHT(DEC2HEX(W234,4),2)))</f>
        <v>0B 04 00 07 0F A8</v>
      </c>
      <c r="Y234" s="26">
        <f>IF(Table2[[#This Row],[PMT]]="NA","NA",Table2[[#This Row],[PMT]]+14)-Table2[[#This Row],[Const]]</f>
        <v>4014</v>
      </c>
      <c r="Z234" s="26" t="str">
        <f>IF(Y234="NA","",CONCATENATE("0B 04 00 ",DEC2HEX($G234,2)," ",LEFT(DEC2HEX(Y234,4),2)," ",RIGHT(DEC2HEX(Y234,4),2)))</f>
        <v>0B 04 00 07 0F AE</v>
      </c>
      <c r="AA234" s="26" t="s">
        <v>1057</v>
      </c>
      <c r="AB234" s="26"/>
      <c r="AC234" s="26"/>
      <c r="AD234" s="26" t="s">
        <v>346</v>
      </c>
      <c r="AE234" s="26"/>
      <c r="AF234" s="26"/>
      <c r="AI234" s="26"/>
      <c r="AJ234" s="26"/>
      <c r="AL234" s="26"/>
      <c r="AW234" s="26"/>
      <c r="AX234" s="26"/>
      <c r="AY234" s="26"/>
    </row>
    <row r="235" spans="1:51" x14ac:dyDescent="0.25">
      <c r="A235" s="26">
        <v>319</v>
      </c>
      <c r="B235" s="26" t="s">
        <v>306</v>
      </c>
      <c r="C235" s="26">
        <v>2000</v>
      </c>
      <c r="D235" s="27" t="s">
        <v>600</v>
      </c>
      <c r="E235" s="26">
        <v>766</v>
      </c>
      <c r="F235" s="26">
        <v>5</v>
      </c>
      <c r="G235" s="26">
        <v>5</v>
      </c>
      <c r="H235" s="26" t="s">
        <v>349</v>
      </c>
      <c r="I235" s="26" t="s">
        <v>1355</v>
      </c>
      <c r="J235" s="26" t="s">
        <v>931</v>
      </c>
      <c r="K235" s="26" t="s">
        <v>953</v>
      </c>
      <c r="L235" s="26" t="s">
        <v>931</v>
      </c>
      <c r="M235" s="26" t="s">
        <v>1376</v>
      </c>
      <c r="Q235" s="27"/>
      <c r="R235" s="26">
        <v>7548</v>
      </c>
      <c r="S235" s="26">
        <v>6500</v>
      </c>
      <c r="T235" s="26">
        <f>IF(Table2[[#This Row],[PMT]]="NA","NA",Table2[[#This Row],[PMT]]+1)</f>
        <v>6501</v>
      </c>
      <c r="U235" s="26">
        <f>IF(Table2[[#This Row],[PMT]]="NA","NA",Table2[[#This Row],[PMT]]+2)</f>
        <v>6502</v>
      </c>
      <c r="V235" s="26">
        <v>0</v>
      </c>
      <c r="W235" s="26">
        <f>IF(Table2[[#This Row],[PMT]]="NA","NA",Table2[[#This Row],[PMT]]+8)-Table2[[#This Row],[Const]]</f>
        <v>6508</v>
      </c>
      <c r="X235" s="26" t="str">
        <f>IF(W235="NA","",CONCATENATE("0B 04 00 ",DEC2HEX($G235,2)," ",LEFT(DEC2HEX(W235,4),2)," ",RIGHT(DEC2HEX(W235,4),2)))</f>
        <v>0B 04 00 05 19 6C</v>
      </c>
      <c r="Y235" s="26">
        <f>IF(Table2[[#This Row],[PMT]]="NA","NA",Table2[[#This Row],[PMT]]+14)-Table2[[#This Row],[Const]]</f>
        <v>6514</v>
      </c>
      <c r="Z235" s="26" t="str">
        <f>IF(Y235="NA","",CONCATENATE("0B 04 00 ",DEC2HEX($G235,2)," ",LEFT(DEC2HEX(Y235,4),2)," ",RIGHT(DEC2HEX(Y235,4),2)))</f>
        <v>0B 04 00 05 19 72</v>
      </c>
      <c r="AA235" s="26" t="s">
        <v>349</v>
      </c>
      <c r="AB235" s="26"/>
      <c r="AC235" s="26"/>
      <c r="AD235" s="26" t="s">
        <v>814</v>
      </c>
      <c r="AE235" s="26"/>
      <c r="AF235" s="26"/>
      <c r="AI235" s="26"/>
      <c r="AJ235" s="26"/>
      <c r="AL235" s="26"/>
      <c r="AW235" s="26"/>
      <c r="AX235" s="26"/>
      <c r="AY235" s="26"/>
    </row>
    <row r="236" spans="1:51" hidden="1" x14ac:dyDescent="0.25">
      <c r="A236" s="26">
        <v>231</v>
      </c>
      <c r="B236" s="26" t="s">
        <v>346</v>
      </c>
      <c r="C236" s="26" t="s">
        <v>346</v>
      </c>
      <c r="D236" s="27" t="s">
        <v>531</v>
      </c>
      <c r="E236" s="26">
        <v>530</v>
      </c>
      <c r="F236" s="26" t="s">
        <v>346</v>
      </c>
      <c r="G236" s="26">
        <v>4</v>
      </c>
      <c r="H236" s="26" t="s">
        <v>1352</v>
      </c>
      <c r="I236" s="26" t="s">
        <v>523</v>
      </c>
      <c r="J236" s="26" t="s">
        <v>1038</v>
      </c>
      <c r="K236" s="26" t="s">
        <v>1039</v>
      </c>
      <c r="L236" s="26" t="s">
        <v>931</v>
      </c>
      <c r="M236" s="26" t="s">
        <v>1376</v>
      </c>
      <c r="N236" s="26" t="s">
        <v>1080</v>
      </c>
      <c r="O236" s="26" t="s">
        <v>1384</v>
      </c>
      <c r="P236" s="26">
        <v>4015</v>
      </c>
      <c r="Q236" s="27" t="s">
        <v>1382</v>
      </c>
      <c r="R236" s="26">
        <v>7530</v>
      </c>
      <c r="S236" s="26">
        <v>640</v>
      </c>
      <c r="T236" s="26">
        <f>IF(Table2[[#This Row],[PMT]]="NA","NA",Table2[[#This Row],[PMT]]+1)</f>
        <v>641</v>
      </c>
      <c r="U236" s="26">
        <f>IF(Table2[[#This Row],[PMT]]="NA","NA",Table2[[#This Row],[PMT]]+2)</f>
        <v>642</v>
      </c>
      <c r="V236" s="26">
        <v>0</v>
      </c>
      <c r="W236" s="26">
        <f>IF(Table2[[#This Row],[PMT]]="NA","NA",Table2[[#This Row],[PMT]]+8)-Table2[[#This Row],[Const]]</f>
        <v>648</v>
      </c>
      <c r="X236" s="26" t="str">
        <f>IF(W236="NA","",CONCATENATE("0B 04 00 ",DEC2HEX($G236,2)," ",LEFT(DEC2HEX(W236,4),2)," ",RIGHT(DEC2HEX(W236,4),2)))</f>
        <v>0B 04 00 04 02 88</v>
      </c>
      <c r="Y236" s="26">
        <f>IF(Table2[[#This Row],[PMT]]="NA","NA",Table2[[#This Row],[PMT]]+14)-Table2[[#This Row],[Const]]</f>
        <v>654</v>
      </c>
      <c r="Z236" s="26" t="str">
        <f>IF(Y236="NA","",CONCATENATE("0B 04 00 ",DEC2HEX($G236,2)," ",LEFT(DEC2HEX(Y236,4),2)," ",RIGHT(DEC2HEX(Y236,4),2)))</f>
        <v>0B 04 00 04 02 8E</v>
      </c>
      <c r="AA236" s="26"/>
      <c r="AB236" s="26"/>
      <c r="AC236" s="26"/>
      <c r="AD236" s="26" t="s">
        <v>346</v>
      </c>
      <c r="AE236" s="26"/>
      <c r="AF236" s="26"/>
      <c r="AI236" s="26"/>
      <c r="AJ236" s="26"/>
      <c r="AL236" s="26"/>
      <c r="AW236" s="26"/>
      <c r="AX236" s="26"/>
      <c r="AY236" s="26"/>
    </row>
    <row r="237" spans="1:51" hidden="1" x14ac:dyDescent="0.25">
      <c r="A237" s="26">
        <v>232</v>
      </c>
      <c r="B237" s="26" t="s">
        <v>346</v>
      </c>
      <c r="C237" s="26" t="s">
        <v>346</v>
      </c>
      <c r="D237" s="27" t="s">
        <v>532</v>
      </c>
      <c r="E237" s="26">
        <v>531</v>
      </c>
      <c r="F237" s="26" t="s">
        <v>346</v>
      </c>
      <c r="G237" s="26">
        <v>6</v>
      </c>
      <c r="H237" s="26" t="s">
        <v>1352</v>
      </c>
      <c r="I237" s="26" t="s">
        <v>523</v>
      </c>
      <c r="J237" s="26" t="s">
        <v>1038</v>
      </c>
      <c r="K237" s="26" t="s">
        <v>1039</v>
      </c>
      <c r="L237" s="26" t="s">
        <v>931</v>
      </c>
      <c r="M237" s="26" t="s">
        <v>1376</v>
      </c>
      <c r="N237" s="26" t="s">
        <v>1080</v>
      </c>
      <c r="O237" s="26" t="s">
        <v>1384</v>
      </c>
      <c r="P237" s="26">
        <v>4015</v>
      </c>
      <c r="Q237" s="27" t="s">
        <v>1382</v>
      </c>
      <c r="R237" s="26">
        <v>2531</v>
      </c>
      <c r="S237" s="26">
        <v>6300</v>
      </c>
      <c r="T237" s="26">
        <f>IF(Table2[[#This Row],[PMT]]="NA","NA",Table2[[#This Row],[PMT]]+1)</f>
        <v>6301</v>
      </c>
      <c r="U237" s="26">
        <f>IF(Table2[[#This Row],[PMT]]="NA","NA",Table2[[#This Row],[PMT]]+2)</f>
        <v>6302</v>
      </c>
      <c r="V237" s="26">
        <v>0</v>
      </c>
      <c r="W237" s="26">
        <f>IF(Table2[[#This Row],[PMT]]="NA","NA",Table2[[#This Row],[PMT]]+8)-Table2[[#This Row],[Const]]</f>
        <v>6308</v>
      </c>
      <c r="X237" s="26" t="str">
        <f>IF(W237="NA","",CONCATENATE("0B 04 00 ",DEC2HEX($G237,2)," ",LEFT(DEC2HEX(W237,4),2)," ",RIGHT(DEC2HEX(W237,4),2)))</f>
        <v>0B 04 00 06 18 A4</v>
      </c>
      <c r="Y237" s="26">
        <f>IF(Table2[[#This Row],[PMT]]="NA","NA",Table2[[#This Row],[PMT]]+14)-Table2[[#This Row],[Const]]</f>
        <v>6314</v>
      </c>
      <c r="Z237" s="26" t="str">
        <f>IF(Y237="NA","",CONCATENATE("0B 04 00 ",DEC2HEX($G237,2)," ",LEFT(DEC2HEX(Y237,4),2)," ",RIGHT(DEC2HEX(Y237,4),2)))</f>
        <v>0B 04 00 06 18 AA</v>
      </c>
      <c r="AA237" s="26"/>
      <c r="AB237" s="26"/>
      <c r="AC237" s="26"/>
      <c r="AD237" s="26" t="s">
        <v>346</v>
      </c>
      <c r="AE237" s="26"/>
      <c r="AF237" s="26"/>
      <c r="AI237" s="26"/>
      <c r="AJ237" s="26"/>
      <c r="AL237" s="26"/>
      <c r="AW237" s="26"/>
      <c r="AX237" s="26"/>
      <c r="AY237" s="26"/>
    </row>
    <row r="238" spans="1:51" x14ac:dyDescent="0.25">
      <c r="A238" s="26">
        <v>143</v>
      </c>
      <c r="B238" s="26" t="s">
        <v>149</v>
      </c>
      <c r="C238" s="26">
        <v>5180</v>
      </c>
      <c r="D238" s="27" t="s">
        <v>460</v>
      </c>
      <c r="E238" s="26">
        <v>322</v>
      </c>
      <c r="F238" s="26">
        <v>7</v>
      </c>
      <c r="G238" s="26">
        <v>7</v>
      </c>
      <c r="H238" s="26" t="s">
        <v>1057</v>
      </c>
      <c r="I238" s="26" t="s">
        <v>1084</v>
      </c>
      <c r="J238" s="26" t="s">
        <v>1040</v>
      </c>
      <c r="K238" s="26" t="s">
        <v>953</v>
      </c>
      <c r="L238" s="26" t="s">
        <v>931</v>
      </c>
      <c r="M238" s="28" t="s">
        <v>1376</v>
      </c>
      <c r="Q238" s="27"/>
      <c r="R238" s="26">
        <v>7311</v>
      </c>
      <c r="S238" s="26">
        <v>1700</v>
      </c>
      <c r="T238" s="26">
        <f>IF(Table2[[#This Row],[PMT]]="NA","NA",Table2[[#This Row],[PMT]]+1)</f>
        <v>1701</v>
      </c>
      <c r="U238" s="26">
        <f>IF(Table2[[#This Row],[PMT]]="NA","NA",Table2[[#This Row],[PMT]]+2)</f>
        <v>1702</v>
      </c>
      <c r="V238" s="26">
        <v>0</v>
      </c>
      <c r="W238" s="26">
        <f>IF(Table2[[#This Row],[PMT]]="NA","NA",Table2[[#This Row],[PMT]]+8)-Table2[[#This Row],[Const]]</f>
        <v>1708</v>
      </c>
      <c r="X238" s="26" t="str">
        <f>IF(W238="NA","",CONCATENATE("0B 04 00 ",DEC2HEX($G238,2)," ",LEFT(DEC2HEX(W238,4),2)," ",RIGHT(DEC2HEX(W238,4),2)))</f>
        <v>0B 04 00 07 06 AC</v>
      </c>
      <c r="Y238" s="26">
        <f>IF(Table2[[#This Row],[PMT]]="NA","NA",Table2[[#This Row],[PMT]]+14)-Table2[[#This Row],[Const]]</f>
        <v>1714</v>
      </c>
      <c r="Z238" s="26" t="str">
        <f>IF(Y238="NA","",CONCATENATE("0B 04 00 ",DEC2HEX($G238,2)," ",LEFT(DEC2HEX(Y238,4),2)," ",RIGHT(DEC2HEX(Y238,4),2)))</f>
        <v>0B 04 00 07 06 B2</v>
      </c>
      <c r="AA238" s="26" t="s">
        <v>1057</v>
      </c>
      <c r="AB238" s="26" t="s">
        <v>1084</v>
      </c>
      <c r="AC238" s="26"/>
      <c r="AD238" s="26" t="s">
        <v>814</v>
      </c>
      <c r="AE238" s="26"/>
      <c r="AF238" s="26"/>
      <c r="AI238" s="26"/>
      <c r="AJ238" s="26"/>
      <c r="AL238" s="26"/>
      <c r="AW238" s="26"/>
      <c r="AX238" s="26"/>
      <c r="AY238" s="26"/>
    </row>
    <row r="239" spans="1:51" hidden="1" x14ac:dyDescent="0.25">
      <c r="A239" s="26">
        <v>234</v>
      </c>
      <c r="B239" s="26" t="s">
        <v>346</v>
      </c>
      <c r="C239" s="26" t="s">
        <v>346</v>
      </c>
      <c r="D239" s="27" t="s">
        <v>534</v>
      </c>
      <c r="E239" s="26">
        <v>533</v>
      </c>
      <c r="F239" s="26" t="s">
        <v>346</v>
      </c>
      <c r="G239" s="26">
        <v>2</v>
      </c>
      <c r="H239" s="26" t="s">
        <v>349</v>
      </c>
      <c r="I239" s="26" t="s">
        <v>523</v>
      </c>
      <c r="J239" s="26" t="s">
        <v>1038</v>
      </c>
      <c r="K239" s="26" t="s">
        <v>1039</v>
      </c>
      <c r="L239" s="26" t="s">
        <v>931</v>
      </c>
      <c r="M239" s="26" t="s">
        <v>1377</v>
      </c>
      <c r="N239" s="26" t="s">
        <v>1080</v>
      </c>
      <c r="O239" s="26" t="s">
        <v>1384</v>
      </c>
      <c r="P239" s="26">
        <v>3885</v>
      </c>
      <c r="Q239" s="27" t="s">
        <v>1385</v>
      </c>
      <c r="R239" s="26">
        <v>7522</v>
      </c>
      <c r="S239" s="26">
        <v>1640</v>
      </c>
      <c r="T239" s="26">
        <f>IF(Table2[[#This Row],[PMT]]="NA","NA",Table2[[#This Row],[PMT]]+1)</f>
        <v>1641</v>
      </c>
      <c r="U239" s="26">
        <f>IF(Table2[[#This Row],[PMT]]="NA","NA",Table2[[#This Row],[PMT]]+2)</f>
        <v>1642</v>
      </c>
      <c r="V239" s="26">
        <v>0</v>
      </c>
      <c r="W239" s="26">
        <f>IF(Table2[[#This Row],[PMT]]="NA","NA",Table2[[#This Row],[PMT]]+8)-Table2[[#This Row],[Const]]</f>
        <v>1648</v>
      </c>
      <c r="X239" s="26" t="str">
        <f>IF(W239="NA","",CONCATENATE("0B 04 00 ",DEC2HEX($G239,2)," ",LEFT(DEC2HEX(W239,4),2)," ",RIGHT(DEC2HEX(W239,4),2)))</f>
        <v>0B 04 00 02 06 70</v>
      </c>
      <c r="Y239" s="26">
        <f>IF(Table2[[#This Row],[PMT]]="NA","NA",Table2[[#This Row],[PMT]]+14)-Table2[[#This Row],[Const]]</f>
        <v>1654</v>
      </c>
      <c r="Z239" s="26" t="str">
        <f>IF(Y239="NA","",CONCATENATE("0B 04 00 ",DEC2HEX($G239,2)," ",LEFT(DEC2HEX(Y239,4),2)," ",RIGHT(DEC2HEX(Y239,4),2)))</f>
        <v>0B 04 00 02 06 76</v>
      </c>
      <c r="AA239" s="26" t="s">
        <v>349</v>
      </c>
      <c r="AB239" s="26"/>
      <c r="AC239" s="26"/>
      <c r="AD239" s="26" t="s">
        <v>346</v>
      </c>
      <c r="AE239" s="26"/>
      <c r="AF239" s="26"/>
      <c r="AI239" s="26"/>
      <c r="AJ239" s="26"/>
      <c r="AL239" s="26"/>
      <c r="AW239" s="26"/>
      <c r="AX239" s="26"/>
      <c r="AY239" s="26"/>
    </row>
    <row r="240" spans="1:51" hidden="1" x14ac:dyDescent="0.25">
      <c r="A240" s="26">
        <v>235</v>
      </c>
      <c r="B240" s="26" t="s">
        <v>346</v>
      </c>
      <c r="C240" s="26" t="s">
        <v>346</v>
      </c>
      <c r="D240" s="27" t="s">
        <v>535</v>
      </c>
      <c r="E240" s="26">
        <v>534</v>
      </c>
      <c r="F240" s="26" t="s">
        <v>346</v>
      </c>
      <c r="G240" s="26">
        <v>4</v>
      </c>
      <c r="H240" s="26" t="s">
        <v>1057</v>
      </c>
      <c r="I240" s="26" t="s">
        <v>523</v>
      </c>
      <c r="J240" s="26" t="s">
        <v>1038</v>
      </c>
      <c r="K240" s="26" t="s">
        <v>1039</v>
      </c>
      <c r="L240" s="26" t="s">
        <v>931</v>
      </c>
      <c r="M240" s="28" t="s">
        <v>1376</v>
      </c>
      <c r="Q240" s="27"/>
      <c r="R240" s="26">
        <v>4534</v>
      </c>
      <c r="S240" s="26">
        <v>580</v>
      </c>
      <c r="T240" s="26">
        <f>IF(Table2[[#This Row],[PMT]]="NA","NA",Table2[[#This Row],[PMT]]+1)</f>
        <v>581</v>
      </c>
      <c r="U240" s="26">
        <f>IF(Table2[[#This Row],[PMT]]="NA","NA",Table2[[#This Row],[PMT]]+2)</f>
        <v>582</v>
      </c>
      <c r="V240" s="26">
        <v>0</v>
      </c>
      <c r="W240" s="26">
        <f>IF(Table2[[#This Row],[PMT]]="NA","NA",Table2[[#This Row],[PMT]]+8)-Table2[[#This Row],[Const]]</f>
        <v>588</v>
      </c>
      <c r="X240" s="26" t="str">
        <f>IF(W240="NA","",CONCATENATE("0B 04 00 ",DEC2HEX($G240,2)," ",LEFT(DEC2HEX(W240,4),2)," ",RIGHT(DEC2HEX(W240,4),2)))</f>
        <v>0B 04 00 04 02 4C</v>
      </c>
      <c r="Y240" s="26">
        <f>IF(Table2[[#This Row],[PMT]]="NA","NA",Table2[[#This Row],[PMT]]+14)-Table2[[#This Row],[Const]]</f>
        <v>594</v>
      </c>
      <c r="Z240" s="26" t="str">
        <f>IF(Y240="NA","",CONCATENATE("0B 04 00 ",DEC2HEX($G240,2)," ",LEFT(DEC2HEX(Y240,4),2)," ",RIGHT(DEC2HEX(Y240,4),2)))</f>
        <v>0B 04 00 04 02 52</v>
      </c>
      <c r="AA240" s="26" t="s">
        <v>1057</v>
      </c>
      <c r="AB240" s="26"/>
      <c r="AC240" s="26"/>
      <c r="AD240" s="26" t="s">
        <v>346</v>
      </c>
      <c r="AE240" s="26"/>
      <c r="AF240" s="26"/>
      <c r="AI240" s="26"/>
      <c r="AJ240" s="26"/>
      <c r="AL240" s="26"/>
      <c r="AW240" s="26"/>
      <c r="AX240" s="26"/>
      <c r="AY240" s="26"/>
    </row>
    <row r="241" spans="1:51" hidden="1" x14ac:dyDescent="0.25">
      <c r="A241" s="26">
        <v>236</v>
      </c>
      <c r="B241" s="26" t="s">
        <v>346</v>
      </c>
      <c r="C241" s="26" t="s">
        <v>346</v>
      </c>
      <c r="D241" s="27" t="s">
        <v>536</v>
      </c>
      <c r="E241" s="26">
        <v>535</v>
      </c>
      <c r="F241" s="26" t="s">
        <v>346</v>
      </c>
      <c r="G241" s="26">
        <v>7</v>
      </c>
      <c r="H241" s="26" t="s">
        <v>1057</v>
      </c>
      <c r="I241" s="26" t="s">
        <v>523</v>
      </c>
      <c r="J241" s="26" t="s">
        <v>1038</v>
      </c>
      <c r="K241" s="26" t="s">
        <v>1039</v>
      </c>
      <c r="L241" s="26" t="s">
        <v>931</v>
      </c>
      <c r="M241" s="28"/>
      <c r="Q241" s="27"/>
      <c r="R241" s="26">
        <v>12053</v>
      </c>
      <c r="S241" s="26">
        <v>640</v>
      </c>
      <c r="T241" s="26">
        <f>IF(Table2[[#This Row],[PMT]]="NA","NA",Table2[[#This Row],[PMT]]+1)</f>
        <v>641</v>
      </c>
      <c r="U241" s="26">
        <f>IF(Table2[[#This Row],[PMT]]="NA","NA",Table2[[#This Row],[PMT]]+2)</f>
        <v>642</v>
      </c>
      <c r="V241" s="26">
        <v>0</v>
      </c>
      <c r="W241" s="26">
        <f>IF(Table2[[#This Row],[PMT]]="NA","NA",Table2[[#This Row],[PMT]]+8)-Table2[[#This Row],[Const]]</f>
        <v>648</v>
      </c>
      <c r="X241" s="26" t="str">
        <f>IF(W241="NA","",CONCATENATE("0B 04 00 ",DEC2HEX($G241,2)," ",LEFT(DEC2HEX(W241,4),2)," ",RIGHT(DEC2HEX(W241,4),2)))</f>
        <v>0B 04 00 07 02 88</v>
      </c>
      <c r="Y241" s="26">
        <f>IF(Table2[[#This Row],[PMT]]="NA","NA",Table2[[#This Row],[PMT]]+14)-Table2[[#This Row],[Const]]</f>
        <v>654</v>
      </c>
      <c r="Z241" s="26" t="str">
        <f>IF(Y241="NA","",CONCATENATE("0B 04 00 ",DEC2HEX($G241,2)," ",LEFT(DEC2HEX(Y241,4),2)," ",RIGHT(DEC2HEX(Y241,4),2)))</f>
        <v>0B 04 00 07 02 8E</v>
      </c>
      <c r="AA241" s="26" t="s">
        <v>1057</v>
      </c>
      <c r="AB241" s="26"/>
      <c r="AC241" s="26"/>
      <c r="AD241" s="26" t="s">
        <v>346</v>
      </c>
      <c r="AE241" s="26"/>
      <c r="AF241" s="26"/>
      <c r="AI241" s="26"/>
      <c r="AJ241" s="26"/>
      <c r="AL241" s="26"/>
      <c r="AW241" s="26"/>
      <c r="AX241" s="26"/>
      <c r="AY241" s="26"/>
    </row>
    <row r="242" spans="1:51" hidden="1" x14ac:dyDescent="0.25">
      <c r="A242" s="26">
        <v>237</v>
      </c>
      <c r="B242" s="26" t="s">
        <v>346</v>
      </c>
      <c r="C242" s="26" t="s">
        <v>346</v>
      </c>
      <c r="D242" s="27" t="s">
        <v>537</v>
      </c>
      <c r="E242" s="26">
        <v>536</v>
      </c>
      <c r="F242" s="26" t="s">
        <v>346</v>
      </c>
      <c r="G242" s="26">
        <v>6</v>
      </c>
      <c r="H242" s="26" t="s">
        <v>1057</v>
      </c>
      <c r="I242" s="26" t="s">
        <v>523</v>
      </c>
      <c r="J242" s="26" t="s">
        <v>1038</v>
      </c>
      <c r="K242" s="26" t="s">
        <v>1039</v>
      </c>
      <c r="L242" s="26" t="s">
        <v>931</v>
      </c>
      <c r="M242" s="26" t="s">
        <v>1376</v>
      </c>
      <c r="N242" s="26" t="s">
        <v>1080</v>
      </c>
      <c r="O242" s="26" t="s">
        <v>1384</v>
      </c>
      <c r="P242" s="26">
        <v>4015</v>
      </c>
      <c r="Q242" s="27" t="s">
        <v>1382</v>
      </c>
      <c r="R242" s="26">
        <v>4536</v>
      </c>
      <c r="S242" s="26">
        <v>580</v>
      </c>
      <c r="T242" s="26">
        <f>IF(Table2[[#This Row],[PMT]]="NA","NA",Table2[[#This Row],[PMT]]+1)</f>
        <v>581</v>
      </c>
      <c r="U242" s="26">
        <f>IF(Table2[[#This Row],[PMT]]="NA","NA",Table2[[#This Row],[PMT]]+2)</f>
        <v>582</v>
      </c>
      <c r="V242" s="26">
        <v>0</v>
      </c>
      <c r="W242" s="26">
        <f>IF(Table2[[#This Row],[PMT]]="NA","NA",Table2[[#This Row],[PMT]]+8)-Table2[[#This Row],[Const]]</f>
        <v>588</v>
      </c>
      <c r="X242" s="26" t="str">
        <f>IF(W242="NA","",CONCATENATE("0B 04 00 ",DEC2HEX($G242,2)," ",LEFT(DEC2HEX(W242,4),2)," ",RIGHT(DEC2HEX(W242,4),2)))</f>
        <v>0B 04 00 06 02 4C</v>
      </c>
      <c r="Y242" s="26">
        <f>IF(Table2[[#This Row],[PMT]]="NA","NA",Table2[[#This Row],[PMT]]+14)-Table2[[#This Row],[Const]]</f>
        <v>594</v>
      </c>
      <c r="Z242" s="26" t="str">
        <f>IF(Y242="NA","",CONCATENATE("0B 04 00 ",DEC2HEX($G242,2)," ",LEFT(DEC2HEX(Y242,4),2)," ",RIGHT(DEC2HEX(Y242,4),2)))</f>
        <v>0B 04 00 06 02 52</v>
      </c>
      <c r="AA242" s="26" t="s">
        <v>1057</v>
      </c>
      <c r="AB242" s="26"/>
      <c r="AC242" s="26"/>
      <c r="AD242" s="26" t="s">
        <v>346</v>
      </c>
      <c r="AE242" s="26"/>
      <c r="AF242" s="26"/>
      <c r="AI242" s="26"/>
      <c r="AJ242" s="26"/>
      <c r="AL242" s="26"/>
      <c r="AW242" s="26"/>
      <c r="AX242" s="26"/>
      <c r="AY242" s="26"/>
    </row>
    <row r="243" spans="1:51" x14ac:dyDescent="0.25">
      <c r="A243" s="26">
        <v>34</v>
      </c>
      <c r="B243" s="26" t="s">
        <v>221</v>
      </c>
      <c r="C243" s="26">
        <v>5180</v>
      </c>
      <c r="D243" s="27" t="s">
        <v>368</v>
      </c>
      <c r="E243" s="26">
        <v>134</v>
      </c>
      <c r="F243" s="26">
        <v>6</v>
      </c>
      <c r="G243" s="26">
        <v>6</v>
      </c>
      <c r="H243" s="26" t="s">
        <v>349</v>
      </c>
      <c r="I243" s="26" t="s">
        <v>443</v>
      </c>
      <c r="J243" s="26" t="s">
        <v>1040</v>
      </c>
      <c r="K243" s="26" t="s">
        <v>953</v>
      </c>
      <c r="L243" s="26" t="s">
        <v>931</v>
      </c>
      <c r="M243" s="28" t="s">
        <v>1377</v>
      </c>
      <c r="Q243" s="27"/>
      <c r="R243" s="26">
        <v>5105</v>
      </c>
      <c r="S243" s="26">
        <v>1280</v>
      </c>
      <c r="T243" s="26">
        <f>IF(Table2[[#This Row],[PMT]]="NA","NA",Table2[[#This Row],[PMT]]+1)</f>
        <v>1281</v>
      </c>
      <c r="U243" s="26">
        <f>IF(Table2[[#This Row],[PMT]]="NA","NA",Table2[[#This Row],[PMT]]+2)</f>
        <v>1282</v>
      </c>
      <c r="V243" s="26">
        <v>0</v>
      </c>
      <c r="W243" s="26">
        <f>IF(Table2[[#This Row],[PMT]]="NA","NA",Table2[[#This Row],[PMT]]+8)-Table2[[#This Row],[Const]]</f>
        <v>1288</v>
      </c>
      <c r="X243" s="26" t="str">
        <f>IF(W243="NA","",CONCATENATE("0B 04 00 ",DEC2HEX($G243,2)," ",LEFT(DEC2HEX(W243,4),2)," ",RIGHT(DEC2HEX(W243,4),2)))</f>
        <v>0B 04 00 06 05 08</v>
      </c>
      <c r="Y243" s="26">
        <f>IF(Table2[[#This Row],[PMT]]="NA","NA",Table2[[#This Row],[PMT]]+14)-Table2[[#This Row],[Const]]</f>
        <v>1294</v>
      </c>
      <c r="Z243" s="26" t="str">
        <f>IF(Y243="NA","",CONCATENATE("0B 04 00 ",DEC2HEX($G243,2)," ",LEFT(DEC2HEX(Y243,4),2)," ",RIGHT(DEC2HEX(Y243,4),2)))</f>
        <v>0B 04 00 06 05 0E</v>
      </c>
      <c r="AA243" s="26" t="s">
        <v>349</v>
      </c>
      <c r="AB243" s="26" t="s">
        <v>443</v>
      </c>
      <c r="AC243" s="26"/>
      <c r="AD243" s="26" t="s">
        <v>814</v>
      </c>
      <c r="AE243" s="26"/>
      <c r="AF243" s="26"/>
      <c r="AI243" s="26"/>
      <c r="AJ243" s="26"/>
      <c r="AL243" s="26"/>
      <c r="AW243" s="26"/>
      <c r="AX243" s="26"/>
      <c r="AY243" s="26"/>
    </row>
    <row r="244" spans="1:51" x14ac:dyDescent="0.25">
      <c r="A244" s="26">
        <v>330</v>
      </c>
      <c r="B244" s="26" t="s">
        <v>225</v>
      </c>
      <c r="C244" s="26">
        <v>5180</v>
      </c>
      <c r="D244" s="27" t="s">
        <v>609</v>
      </c>
      <c r="E244" s="26">
        <v>787</v>
      </c>
      <c r="F244" s="26">
        <v>2</v>
      </c>
      <c r="G244" s="26">
        <v>2</v>
      </c>
      <c r="H244" s="26" t="s">
        <v>361</v>
      </c>
      <c r="I244" s="26" t="s">
        <v>1355</v>
      </c>
      <c r="J244" s="26" t="s">
        <v>1040</v>
      </c>
      <c r="K244" s="26" t="s">
        <v>953</v>
      </c>
      <c r="L244" s="26" t="s">
        <v>931</v>
      </c>
      <c r="M244" s="28" t="s">
        <v>1376</v>
      </c>
      <c r="Q244" s="27"/>
      <c r="R244" s="26">
        <v>1549</v>
      </c>
      <c r="S244" s="26">
        <v>1220</v>
      </c>
      <c r="T244" s="26">
        <f>IF(Table2[[#This Row],[PMT]]="NA","NA",Table2[[#This Row],[PMT]]+1)</f>
        <v>1221</v>
      </c>
      <c r="U244" s="26">
        <f>IF(Table2[[#This Row],[PMT]]="NA","NA",Table2[[#This Row],[PMT]]+2)</f>
        <v>1222</v>
      </c>
      <c r="V244" s="26">
        <v>0</v>
      </c>
      <c r="W244" s="26">
        <f>IF(Table2[[#This Row],[PMT]]="NA","NA",Table2[[#This Row],[PMT]]+8)-Table2[[#This Row],[Const]]</f>
        <v>1228</v>
      </c>
      <c r="X244" s="26" t="str">
        <f>IF(W244="NA","",CONCATENATE("0B 04 00 ",DEC2HEX($G244,2)," ",LEFT(DEC2HEX(W244,4),2)," ",RIGHT(DEC2HEX(W244,4),2)))</f>
        <v>0B 04 00 02 04 CC</v>
      </c>
      <c r="Y244" s="26">
        <f>IF(Table2[[#This Row],[PMT]]="NA","NA",Table2[[#This Row],[PMT]]+14)-Table2[[#This Row],[Const]]</f>
        <v>1234</v>
      </c>
      <c r="Z244" s="26" t="str">
        <f>IF(Y244="NA","",CONCATENATE("0B 04 00 ",DEC2HEX($G244,2)," ",LEFT(DEC2HEX(Y244,4),2)," ",RIGHT(DEC2HEX(Y244,4),2)))</f>
        <v>0B 04 00 02 04 D2</v>
      </c>
      <c r="AA244" s="26"/>
      <c r="AB244" s="26"/>
      <c r="AC244" s="26"/>
      <c r="AD244" s="26" t="s">
        <v>346</v>
      </c>
      <c r="AE244" s="26"/>
      <c r="AF244" s="26"/>
      <c r="AI244" s="26"/>
      <c r="AJ244" s="26"/>
      <c r="AL244" s="26"/>
      <c r="AW244" s="26"/>
      <c r="AX244" s="26"/>
      <c r="AY244" s="26"/>
    </row>
    <row r="245" spans="1:51" hidden="1" x14ac:dyDescent="0.25">
      <c r="A245" s="26">
        <v>240</v>
      </c>
      <c r="B245" s="26" t="s">
        <v>346</v>
      </c>
      <c r="C245" s="26" t="s">
        <v>346</v>
      </c>
      <c r="D245" s="27" t="s">
        <v>540</v>
      </c>
      <c r="E245" s="26">
        <v>539</v>
      </c>
      <c r="F245" s="26" t="s">
        <v>346</v>
      </c>
      <c r="G245" s="26">
        <v>6</v>
      </c>
      <c r="H245" s="26" t="s">
        <v>1057</v>
      </c>
      <c r="I245" s="26" t="s">
        <v>523</v>
      </c>
      <c r="J245" s="26" t="s">
        <v>1038</v>
      </c>
      <c r="K245" s="26" t="s">
        <v>1039</v>
      </c>
      <c r="L245" s="26" t="s">
        <v>931</v>
      </c>
      <c r="M245" s="28"/>
      <c r="Q245" s="27"/>
      <c r="R245" s="26">
        <v>12139</v>
      </c>
      <c r="S245" s="26">
        <v>740</v>
      </c>
      <c r="T245" s="26">
        <f>IF(Table2[[#This Row],[PMT]]="NA","NA",Table2[[#This Row],[PMT]]+1)</f>
        <v>741</v>
      </c>
      <c r="U245" s="26">
        <f>IF(Table2[[#This Row],[PMT]]="NA","NA",Table2[[#This Row],[PMT]]+2)</f>
        <v>742</v>
      </c>
      <c r="V245" s="26">
        <v>0</v>
      </c>
      <c r="W245" s="26">
        <f>IF(Table2[[#This Row],[PMT]]="NA","NA",Table2[[#This Row],[PMT]]+8)-Table2[[#This Row],[Const]]</f>
        <v>748</v>
      </c>
      <c r="X245" s="26" t="str">
        <f>IF(W245="NA","",CONCATENATE("0B 04 00 ",DEC2HEX($G245,2)," ",LEFT(DEC2HEX(W245,4),2)," ",RIGHT(DEC2HEX(W245,4),2)))</f>
        <v>0B 04 00 06 02 EC</v>
      </c>
      <c r="Y245" s="26">
        <f>IF(Table2[[#This Row],[PMT]]="NA","NA",Table2[[#This Row],[PMT]]+14)-Table2[[#This Row],[Const]]</f>
        <v>754</v>
      </c>
      <c r="Z245" s="26" t="str">
        <f>IF(Y245="NA","",CONCATENATE("0B 04 00 ",DEC2HEX($G245,2)," ",LEFT(DEC2HEX(Y245,4),2)," ",RIGHT(DEC2HEX(Y245,4),2)))</f>
        <v>0B 04 00 06 02 F2</v>
      </c>
      <c r="AA245" s="26" t="s">
        <v>1057</v>
      </c>
      <c r="AB245" s="26"/>
      <c r="AC245" s="26"/>
      <c r="AD245" s="26" t="s">
        <v>346</v>
      </c>
      <c r="AE245" s="26"/>
      <c r="AF245" s="26"/>
      <c r="AI245" s="26"/>
      <c r="AJ245" s="26"/>
      <c r="AL245" s="26"/>
      <c r="AW245" s="26"/>
      <c r="AX245" s="26"/>
      <c r="AY245" s="26"/>
    </row>
    <row r="246" spans="1:51" hidden="1" x14ac:dyDescent="0.25">
      <c r="A246" s="26">
        <v>241</v>
      </c>
      <c r="B246" s="26" t="s">
        <v>346</v>
      </c>
      <c r="C246" s="26" t="s">
        <v>346</v>
      </c>
      <c r="D246" s="27" t="s">
        <v>1275</v>
      </c>
      <c r="E246" s="26">
        <v>540</v>
      </c>
      <c r="F246" s="26" t="s">
        <v>346</v>
      </c>
      <c r="G246" s="26">
        <v>8</v>
      </c>
      <c r="H246" s="26" t="s">
        <v>349</v>
      </c>
      <c r="I246" s="26" t="s">
        <v>523</v>
      </c>
      <c r="J246" s="26" t="s">
        <v>1038</v>
      </c>
      <c r="K246" s="26" t="s">
        <v>1039</v>
      </c>
      <c r="L246" s="26" t="s">
        <v>931</v>
      </c>
      <c r="M246" s="28"/>
      <c r="N246" s="31"/>
      <c r="O246" s="31"/>
      <c r="P246" s="31"/>
      <c r="Q246" s="32"/>
      <c r="R246" s="31">
        <v>12169</v>
      </c>
      <c r="S246" s="31">
        <v>780</v>
      </c>
      <c r="T246" s="31">
        <f>IF(Table2[[#This Row],[PMT]]="NA","NA",Table2[[#This Row],[PMT]]+1)</f>
        <v>781</v>
      </c>
      <c r="U246" s="31">
        <f>IF(Table2[[#This Row],[PMT]]="NA","NA",Table2[[#This Row],[PMT]]+2)</f>
        <v>782</v>
      </c>
      <c r="V246" s="26">
        <v>0</v>
      </c>
      <c r="W246" s="31">
        <f>IF(Table2[[#This Row],[PMT]]="NA","NA",Table2[[#This Row],[PMT]]+8)-Table2[[#This Row],[Const]]</f>
        <v>788</v>
      </c>
      <c r="X246" s="31" t="str">
        <f>IF(W246="NA","",CONCATENATE("0B 04 00 ",DEC2HEX($G246,2)," ",LEFT(DEC2HEX(W246,4),2)," ",RIGHT(DEC2HEX(W246,4),2)))</f>
        <v>0B 04 00 08 03 14</v>
      </c>
      <c r="Y246" s="31">
        <f>IF(Table2[[#This Row],[PMT]]="NA","NA",Table2[[#This Row],[PMT]]+14)-Table2[[#This Row],[Const]]</f>
        <v>794</v>
      </c>
      <c r="Z246" s="31" t="str">
        <f>IF(Y246="NA","",CONCATENATE("0B 04 00 ",DEC2HEX($G246,2)," ",LEFT(DEC2HEX(Y246,4),2)," ",RIGHT(DEC2HEX(Y246,4),2)))</f>
        <v>0B 04 00 08 03 1A</v>
      </c>
      <c r="AA246" s="26"/>
      <c r="AB246" s="26"/>
      <c r="AC246" s="31"/>
      <c r="AD246" s="31"/>
      <c r="AE246" s="26"/>
      <c r="AF246" s="26"/>
      <c r="AI246" s="26"/>
      <c r="AJ246" s="26"/>
      <c r="AL246" s="26"/>
      <c r="AW246" s="26"/>
      <c r="AX246" s="26"/>
      <c r="AY246" s="26"/>
    </row>
    <row r="247" spans="1:51" hidden="1" x14ac:dyDescent="0.25">
      <c r="A247" s="26">
        <v>242</v>
      </c>
      <c r="B247" s="26" t="s">
        <v>346</v>
      </c>
      <c r="C247" s="26" t="s">
        <v>346</v>
      </c>
      <c r="D247" s="27" t="s">
        <v>1276</v>
      </c>
      <c r="E247" s="26">
        <v>541</v>
      </c>
      <c r="F247" s="26" t="s">
        <v>346</v>
      </c>
      <c r="G247" s="26">
        <v>1</v>
      </c>
      <c r="H247" s="26" t="s">
        <v>1061</v>
      </c>
      <c r="I247" s="26" t="s">
        <v>523</v>
      </c>
      <c r="J247" s="26" t="s">
        <v>1038</v>
      </c>
      <c r="K247" s="26" t="s">
        <v>1039</v>
      </c>
      <c r="L247" s="26" t="s">
        <v>931</v>
      </c>
      <c r="M247" s="26" t="s">
        <v>1377</v>
      </c>
      <c r="N247" s="26" t="s">
        <v>1080</v>
      </c>
      <c r="O247" s="26" t="s">
        <v>1384</v>
      </c>
      <c r="P247" s="26">
        <v>3925</v>
      </c>
      <c r="Q247" s="27" t="s">
        <v>1385</v>
      </c>
      <c r="R247" s="31">
        <v>12187</v>
      </c>
      <c r="S247" s="31">
        <v>980</v>
      </c>
      <c r="T247" s="31">
        <f>IF(Table2[[#This Row],[PMT]]="NA","NA",Table2[[#This Row],[PMT]]+1)</f>
        <v>981</v>
      </c>
      <c r="U247" s="31">
        <f>IF(Table2[[#This Row],[PMT]]="NA","NA",Table2[[#This Row],[PMT]]+2)</f>
        <v>982</v>
      </c>
      <c r="V247" s="26">
        <v>0</v>
      </c>
      <c r="W247" s="31">
        <f>IF(Table2[[#This Row],[PMT]]="NA","NA",Table2[[#This Row],[PMT]]+8)-Table2[[#This Row],[Const]]</f>
        <v>988</v>
      </c>
      <c r="X247" s="31" t="str">
        <f>IF(W247="NA","",CONCATENATE("0B 04 00 ",DEC2HEX($G247,2)," ",LEFT(DEC2HEX(W247,4),2)," ",RIGHT(DEC2HEX(W247,4),2)))</f>
        <v>0B 04 00 01 03 DC</v>
      </c>
      <c r="Y247" s="31">
        <f>IF(Table2[[#This Row],[PMT]]="NA","NA",Table2[[#This Row],[PMT]]+14)-Table2[[#This Row],[Const]]</f>
        <v>994</v>
      </c>
      <c r="Z247" s="31" t="str">
        <f>IF(Y247="NA","",CONCATENATE("0B 04 00 ",DEC2HEX($G247,2)," ",LEFT(DEC2HEX(Y247,4),2)," ",RIGHT(DEC2HEX(Y247,4),2)))</f>
        <v>0B 04 00 01 03 E2</v>
      </c>
      <c r="AA247" s="26"/>
      <c r="AB247" s="26"/>
      <c r="AC247" s="31"/>
      <c r="AD247" s="31"/>
      <c r="AE247" s="26"/>
      <c r="AF247" s="26"/>
      <c r="AI247" s="26"/>
      <c r="AJ247" s="26"/>
      <c r="AL247" s="26"/>
      <c r="AW247" s="26"/>
      <c r="AX247" s="26"/>
      <c r="AY247" s="26"/>
    </row>
    <row r="248" spans="1:51" hidden="1" x14ac:dyDescent="0.25">
      <c r="A248" s="26">
        <v>243</v>
      </c>
      <c r="B248" s="26" t="s">
        <v>346</v>
      </c>
      <c r="C248" s="26" t="s">
        <v>346</v>
      </c>
      <c r="D248" s="27" t="s">
        <v>1277</v>
      </c>
      <c r="E248" s="26">
        <v>542</v>
      </c>
      <c r="F248" s="26" t="s">
        <v>346</v>
      </c>
      <c r="G248" s="26">
        <v>1</v>
      </c>
      <c r="H248" s="26" t="s">
        <v>1053</v>
      </c>
      <c r="I248" s="26" t="s">
        <v>523</v>
      </c>
      <c r="J248" s="26" t="s">
        <v>1038</v>
      </c>
      <c r="K248" s="26" t="s">
        <v>1039</v>
      </c>
      <c r="L248" s="26" t="s">
        <v>931</v>
      </c>
      <c r="M248" s="26" t="s">
        <v>1377</v>
      </c>
      <c r="N248" s="26" t="s">
        <v>1080</v>
      </c>
      <c r="O248" s="26" t="s">
        <v>1384</v>
      </c>
      <c r="P248" s="26">
        <v>3925</v>
      </c>
      <c r="Q248" s="27" t="s">
        <v>1385</v>
      </c>
      <c r="R248" s="31">
        <v>12185</v>
      </c>
      <c r="S248" s="31">
        <v>940</v>
      </c>
      <c r="T248" s="31">
        <f>IF(Table2[[#This Row],[PMT]]="NA","NA",Table2[[#This Row],[PMT]]+1)</f>
        <v>941</v>
      </c>
      <c r="U248" s="31">
        <f>IF(Table2[[#This Row],[PMT]]="NA","NA",Table2[[#This Row],[PMT]]+2)</f>
        <v>942</v>
      </c>
      <c r="V248" s="26">
        <v>0</v>
      </c>
      <c r="W248" s="31">
        <f>IF(Table2[[#This Row],[PMT]]="NA","NA",Table2[[#This Row],[PMT]]+8)-Table2[[#This Row],[Const]]</f>
        <v>948</v>
      </c>
      <c r="X248" s="31" t="str">
        <f>IF(W248="NA","",CONCATENATE("0B 04 00 ",DEC2HEX($G248,2)," ",LEFT(DEC2HEX(W248,4),2)," ",RIGHT(DEC2HEX(W248,4),2)))</f>
        <v>0B 04 00 01 03 B4</v>
      </c>
      <c r="Y248" s="31">
        <f>IF(Table2[[#This Row],[PMT]]="NA","NA",Table2[[#This Row],[PMT]]+14)-Table2[[#This Row],[Const]]</f>
        <v>954</v>
      </c>
      <c r="Z248" s="31" t="str">
        <f>IF(Y248="NA","",CONCATENATE("0B 04 00 ",DEC2HEX($G248,2)," ",LEFT(DEC2HEX(Y248,4),2)," ",RIGHT(DEC2HEX(Y248,4),2)))</f>
        <v>0B 04 00 01 03 BA</v>
      </c>
      <c r="AA248" s="26"/>
      <c r="AB248" s="26"/>
      <c r="AC248" s="31"/>
      <c r="AD248" s="31"/>
      <c r="AE248" s="26"/>
      <c r="AF248" s="26"/>
      <c r="AI248" s="26"/>
      <c r="AJ248" s="26"/>
      <c r="AL248" s="26"/>
      <c r="AW248" s="26"/>
      <c r="AX248" s="26"/>
      <c r="AY248" s="26"/>
    </row>
    <row r="249" spans="1:51" hidden="1" x14ac:dyDescent="0.25">
      <c r="A249" s="26">
        <v>244</v>
      </c>
      <c r="B249" s="26" t="s">
        <v>346</v>
      </c>
      <c r="C249" s="26" t="s">
        <v>346</v>
      </c>
      <c r="D249" s="27" t="s">
        <v>1342</v>
      </c>
      <c r="E249" s="26">
        <v>543</v>
      </c>
      <c r="F249" s="26" t="s">
        <v>346</v>
      </c>
      <c r="G249" s="26">
        <v>7</v>
      </c>
      <c r="H249" s="26" t="s">
        <v>1057</v>
      </c>
      <c r="I249" s="26" t="s">
        <v>523</v>
      </c>
      <c r="J249" s="26" t="s">
        <v>1038</v>
      </c>
      <c r="K249" s="26" t="s">
        <v>1039</v>
      </c>
      <c r="L249" s="26" t="s">
        <v>931</v>
      </c>
      <c r="M249" s="28" t="s">
        <v>1376</v>
      </c>
      <c r="N249" s="31"/>
      <c r="O249" s="31"/>
      <c r="P249" s="31"/>
      <c r="Q249" s="32"/>
      <c r="R249" s="31"/>
      <c r="S249" s="31"/>
      <c r="T249" s="31">
        <f>IF(Table2[[#This Row],[PMT]]="NA","NA",Table2[[#This Row],[PMT]]+1)</f>
        <v>1</v>
      </c>
      <c r="U249" s="31">
        <f>IF(Table2[[#This Row],[PMT]]="NA","NA",Table2[[#This Row],[PMT]]+2)</f>
        <v>2</v>
      </c>
      <c r="V249" s="26"/>
      <c r="W249" s="31">
        <f>IF(Table2[[#This Row],[PMT]]="NA","NA",Table2[[#This Row],[PMT]]+8)-Table2[[#This Row],[Const]]</f>
        <v>8</v>
      </c>
      <c r="X249" s="31" t="str">
        <f>IF(W249="NA","",CONCATENATE("0B 04 00 ",DEC2HEX($G249,2)," ",LEFT(DEC2HEX(W249,4),2)," ",RIGHT(DEC2HEX(W249,4),2)))</f>
        <v>0B 04 00 07 00 08</v>
      </c>
      <c r="Y249" s="31">
        <f>IF(Table2[[#This Row],[PMT]]="NA","NA",Table2[[#This Row],[PMT]]+14)-Table2[[#This Row],[Const]]</f>
        <v>14</v>
      </c>
      <c r="Z249" s="31" t="str">
        <f>IF(Y249="NA","",CONCATENATE("0B 04 00 ",DEC2HEX($G249,2)," ",LEFT(DEC2HEX(Y249,4),2)," ",RIGHT(DEC2HEX(Y249,4),2)))</f>
        <v>0B 04 00 07 00 0E</v>
      </c>
      <c r="AA249" s="26"/>
      <c r="AB249" s="26"/>
      <c r="AC249" s="31"/>
      <c r="AD249" s="31"/>
      <c r="AE249" s="26"/>
      <c r="AF249" s="26"/>
      <c r="AI249" s="26"/>
      <c r="AJ249" s="26"/>
      <c r="AL249" s="26"/>
      <c r="AW249" s="26"/>
      <c r="AX249" s="26"/>
      <c r="AY249" s="26"/>
    </row>
    <row r="250" spans="1:51" hidden="1" x14ac:dyDescent="0.25">
      <c r="A250" s="26">
        <v>245</v>
      </c>
      <c r="B250" s="26" t="s">
        <v>346</v>
      </c>
      <c r="C250" s="26" t="s">
        <v>346</v>
      </c>
      <c r="D250" s="27" t="s">
        <v>541</v>
      </c>
      <c r="E250" s="26">
        <v>547</v>
      </c>
      <c r="F250" s="26" t="s">
        <v>346</v>
      </c>
      <c r="G250" s="26">
        <v>1</v>
      </c>
      <c r="H250" s="26" t="s">
        <v>361</v>
      </c>
      <c r="I250" s="26" t="s">
        <v>1368</v>
      </c>
      <c r="J250" s="26" t="s">
        <v>1038</v>
      </c>
      <c r="K250" s="26" t="s">
        <v>1039</v>
      </c>
      <c r="L250" s="26" t="s">
        <v>931</v>
      </c>
      <c r="M250" s="28"/>
      <c r="Q250" s="27"/>
      <c r="R250" s="26">
        <v>12076</v>
      </c>
      <c r="S250" s="26">
        <v>680</v>
      </c>
      <c r="T250" s="26">
        <f>IF(Table2[[#This Row],[PMT]]="NA","NA",Table2[[#This Row],[PMT]]+1)</f>
        <v>681</v>
      </c>
      <c r="U250" s="26">
        <f>IF(Table2[[#This Row],[PMT]]="NA","NA",Table2[[#This Row],[PMT]]+2)</f>
        <v>682</v>
      </c>
      <c r="V250" s="26">
        <v>0</v>
      </c>
      <c r="W250" s="26">
        <f>IF(Table2[[#This Row],[PMT]]="NA","NA",Table2[[#This Row],[PMT]]+8)-Table2[[#This Row],[Const]]</f>
        <v>688</v>
      </c>
      <c r="X250" s="26" t="str">
        <f>IF(W250="NA","",CONCATENATE("0B 04 00 ",DEC2HEX($G250,2)," ",LEFT(DEC2HEX(W250,4),2)," ",RIGHT(DEC2HEX(W250,4),2)))</f>
        <v>0B 04 00 01 02 B0</v>
      </c>
      <c r="Y250" s="26">
        <f>IF(Table2[[#This Row],[PMT]]="NA","NA",Table2[[#This Row],[PMT]]+14)-Table2[[#This Row],[Const]]</f>
        <v>694</v>
      </c>
      <c r="Z250" s="26" t="str">
        <f>IF(Y250="NA","",CONCATENATE("0B 04 00 ",DEC2HEX($G250,2)," ",LEFT(DEC2HEX(Y250,4),2)," ",RIGHT(DEC2HEX(Y250,4),2)))</f>
        <v>0B 04 00 01 02 B6</v>
      </c>
      <c r="AA250" s="26"/>
      <c r="AB250" s="26"/>
      <c r="AC250" s="26"/>
      <c r="AD250" s="26" t="s">
        <v>346</v>
      </c>
      <c r="AE250" s="26"/>
      <c r="AF250" s="26"/>
      <c r="AI250" s="26"/>
      <c r="AJ250" s="26"/>
      <c r="AL250" s="26"/>
      <c r="AW250" s="26"/>
      <c r="AX250" s="26"/>
      <c r="AY250" s="26"/>
    </row>
    <row r="251" spans="1:51" x14ac:dyDescent="0.25">
      <c r="A251" s="26">
        <v>310</v>
      </c>
      <c r="B251" s="26" t="s">
        <v>169</v>
      </c>
      <c r="C251" s="26">
        <v>5180</v>
      </c>
      <c r="D251" s="27" t="s">
        <v>592</v>
      </c>
      <c r="E251" s="26">
        <v>691</v>
      </c>
      <c r="F251" s="26">
        <v>3</v>
      </c>
      <c r="G251" s="26">
        <v>3</v>
      </c>
      <c r="H251" s="26" t="s">
        <v>1352</v>
      </c>
      <c r="I251" s="26" t="s">
        <v>443</v>
      </c>
      <c r="J251" s="26" t="s">
        <v>1040</v>
      </c>
      <c r="K251" s="26" t="s">
        <v>953</v>
      </c>
      <c r="L251" s="26" t="s">
        <v>931</v>
      </c>
      <c r="M251" s="26" t="s">
        <v>1376</v>
      </c>
      <c r="Q251" s="27"/>
      <c r="R251" s="26">
        <v>3691</v>
      </c>
      <c r="S251" s="26">
        <v>8100</v>
      </c>
      <c r="T251" s="26">
        <f>IF(Table2[[#This Row],[PMT]]="NA","NA",Table2[[#This Row],[PMT]]+1)</f>
        <v>8101</v>
      </c>
      <c r="U251" s="26">
        <f>IF(Table2[[#This Row],[PMT]]="NA","NA",Table2[[#This Row],[PMT]]+2)</f>
        <v>8102</v>
      </c>
      <c r="V251" s="26">
        <v>0</v>
      </c>
      <c r="W251" s="26">
        <f>IF(Table2[[#This Row],[PMT]]="NA","NA",Table2[[#This Row],[PMT]]+8)-Table2[[#This Row],[Const]]</f>
        <v>8108</v>
      </c>
      <c r="X251" s="26" t="str">
        <f>IF(W251="NA","",CONCATENATE("0B 04 00 ",DEC2HEX($G251,2)," ",LEFT(DEC2HEX(W251,4),2)," ",RIGHT(DEC2HEX(W251,4),2)))</f>
        <v>0B 04 00 03 1F AC</v>
      </c>
      <c r="Y251" s="26">
        <f>IF(Table2[[#This Row],[PMT]]="NA","NA",Table2[[#This Row],[PMT]]+14)-Table2[[#This Row],[Const]]</f>
        <v>8114</v>
      </c>
      <c r="Z251" s="26" t="str">
        <f>IF(Y251="NA","",CONCATENATE("0B 04 00 ",DEC2HEX($G251,2)," ",LEFT(DEC2HEX(Y251,4),2)," ",RIGHT(DEC2HEX(Y251,4),2)))</f>
        <v>0B 04 00 03 1F B2</v>
      </c>
      <c r="AA251" s="26"/>
      <c r="AB251" s="26"/>
      <c r="AC251" s="26"/>
      <c r="AD251" s="26" t="s">
        <v>814</v>
      </c>
      <c r="AE251" s="26"/>
      <c r="AF251" s="26"/>
      <c r="AI251" s="26"/>
      <c r="AJ251" s="26"/>
      <c r="AL251" s="26"/>
      <c r="AW251" s="26"/>
      <c r="AX251" s="26"/>
      <c r="AY251" s="26"/>
    </row>
    <row r="252" spans="1:51" x14ac:dyDescent="0.25">
      <c r="A252" s="26">
        <v>304</v>
      </c>
      <c r="B252" s="26" t="s">
        <v>1367</v>
      </c>
      <c r="C252" s="26">
        <v>5180</v>
      </c>
      <c r="D252" s="27" t="s">
        <v>1397</v>
      </c>
      <c r="E252" s="26">
        <v>685</v>
      </c>
      <c r="F252" s="26">
        <v>3</v>
      </c>
      <c r="G252" s="26">
        <v>3</v>
      </c>
      <c r="H252" s="26" t="s">
        <v>1352</v>
      </c>
      <c r="I252" s="26" t="s">
        <v>443</v>
      </c>
      <c r="J252" s="26" t="s">
        <v>1040</v>
      </c>
      <c r="K252" s="26" t="s">
        <v>953</v>
      </c>
      <c r="L252" s="26" t="s">
        <v>931</v>
      </c>
      <c r="M252" s="26" t="s">
        <v>1376</v>
      </c>
      <c r="N252" s="31"/>
      <c r="O252" s="31"/>
      <c r="P252" s="31"/>
      <c r="Q252" s="32"/>
      <c r="R252" s="31"/>
      <c r="S252" s="31"/>
      <c r="T252" s="31">
        <f>IF(Table2[[#This Row],[PMT]]="NA","NA",Table2[[#This Row],[PMT]]+1)</f>
        <v>1</v>
      </c>
      <c r="U252" s="31">
        <f>IF(Table2[[#This Row],[PMT]]="NA","NA",Table2[[#This Row],[PMT]]+2)</f>
        <v>2</v>
      </c>
      <c r="V252" s="26"/>
      <c r="W252" s="31">
        <f>IF(Table2[[#This Row],[PMT]]="NA","NA",Table2[[#This Row],[PMT]]+8)-Table2[[#This Row],[Const]]</f>
        <v>8</v>
      </c>
      <c r="X252" s="31" t="str">
        <f>IF(W252="NA","",CONCATENATE("0B 04 00 ",DEC2HEX($G252,2)," ",LEFT(DEC2HEX(W252,4),2)," ",RIGHT(DEC2HEX(W252,4),2)))</f>
        <v>0B 04 00 03 00 08</v>
      </c>
      <c r="Y252" s="31">
        <f>IF(Table2[[#This Row],[PMT]]="NA","NA",Table2[[#This Row],[PMT]]+14)-Table2[[#This Row],[Const]]</f>
        <v>14</v>
      </c>
      <c r="Z252" s="31" t="str">
        <f>IF(Y252="NA","",CONCATENATE("0B 04 00 ",DEC2HEX($G252,2)," ",LEFT(DEC2HEX(Y252,4),2)," ",RIGHT(DEC2HEX(Y252,4),2)))</f>
        <v>0B 04 00 03 00 0E</v>
      </c>
      <c r="AA252" s="26"/>
      <c r="AB252" s="26"/>
      <c r="AC252" s="31"/>
      <c r="AD252" s="31"/>
      <c r="AE252" s="26"/>
      <c r="AF252" s="26"/>
      <c r="AI252" s="26"/>
      <c r="AJ252" s="26"/>
      <c r="AL252" s="26"/>
      <c r="AW252" s="26"/>
      <c r="AX252" s="26"/>
      <c r="AY252" s="26"/>
    </row>
    <row r="253" spans="1:51" hidden="1" x14ac:dyDescent="0.25">
      <c r="A253" s="26">
        <v>248</v>
      </c>
      <c r="B253" s="26" t="s">
        <v>346</v>
      </c>
      <c r="C253" s="26" t="s">
        <v>346</v>
      </c>
      <c r="D253" s="27" t="s">
        <v>543</v>
      </c>
      <c r="E253" s="26">
        <v>552</v>
      </c>
      <c r="F253" s="26" t="s">
        <v>346</v>
      </c>
      <c r="G253" s="26">
        <v>3</v>
      </c>
      <c r="H253" s="26" t="s">
        <v>1057</v>
      </c>
      <c r="I253" s="26" t="s">
        <v>1368</v>
      </c>
      <c r="J253" s="26" t="s">
        <v>1038</v>
      </c>
      <c r="K253" s="26" t="s">
        <v>1039</v>
      </c>
      <c r="L253" s="26" t="s">
        <v>931</v>
      </c>
      <c r="M253" s="28" t="s">
        <v>1377</v>
      </c>
      <c r="Q253" s="27"/>
      <c r="R253" s="26">
        <v>5552</v>
      </c>
      <c r="S253" s="26">
        <v>700</v>
      </c>
      <c r="T253" s="26">
        <f>IF(Table2[[#This Row],[PMT]]="NA","NA",Table2[[#This Row],[PMT]]+1)</f>
        <v>701</v>
      </c>
      <c r="U253" s="26">
        <f>IF(Table2[[#This Row],[PMT]]="NA","NA",Table2[[#This Row],[PMT]]+2)</f>
        <v>702</v>
      </c>
      <c r="V253" s="26">
        <v>0</v>
      </c>
      <c r="W253" s="26">
        <f>IF(Table2[[#This Row],[PMT]]="NA","NA",Table2[[#This Row],[PMT]]+8)-Table2[[#This Row],[Const]]</f>
        <v>708</v>
      </c>
      <c r="X253" s="26" t="str">
        <f>IF(W253="NA","",CONCATENATE("0B 04 00 ",DEC2HEX($G253,2)," ",LEFT(DEC2HEX(W253,4),2)," ",RIGHT(DEC2HEX(W253,4),2)))</f>
        <v>0B 04 00 03 02 C4</v>
      </c>
      <c r="Y253" s="26">
        <f>IF(Table2[[#This Row],[PMT]]="NA","NA",Table2[[#This Row],[PMT]]+14)-Table2[[#This Row],[Const]]</f>
        <v>714</v>
      </c>
      <c r="Z253" s="26" t="str">
        <f>IF(Y253="NA","",CONCATENATE("0B 04 00 ",DEC2HEX($G253,2)," ",LEFT(DEC2HEX(Y253,4),2)," ",RIGHT(DEC2HEX(Y253,4),2)))</f>
        <v>0B 04 00 03 02 CA</v>
      </c>
      <c r="AA253" s="26" t="s">
        <v>1057</v>
      </c>
      <c r="AB253" s="26"/>
      <c r="AC253" s="26"/>
      <c r="AD253" s="26" t="s">
        <v>346</v>
      </c>
      <c r="AE253" s="26"/>
      <c r="AF253" s="26"/>
      <c r="AI253" s="26"/>
      <c r="AJ253" s="26"/>
      <c r="AL253" s="26"/>
      <c r="AW253" s="26"/>
      <c r="AX253" s="26"/>
      <c r="AY253" s="26"/>
    </row>
    <row r="254" spans="1:51" hidden="1" x14ac:dyDescent="0.25">
      <c r="A254" s="26">
        <v>249</v>
      </c>
      <c r="B254" s="26" t="s">
        <v>346</v>
      </c>
      <c r="C254" s="26" t="s">
        <v>346</v>
      </c>
      <c r="D254" s="27" t="s">
        <v>544</v>
      </c>
      <c r="E254" s="26">
        <v>553</v>
      </c>
      <c r="F254" s="26" t="s">
        <v>346</v>
      </c>
      <c r="G254" s="26">
        <v>9</v>
      </c>
      <c r="H254" s="26" t="s">
        <v>1053</v>
      </c>
      <c r="I254" s="26" t="s">
        <v>1368</v>
      </c>
      <c r="J254" s="26" t="s">
        <v>1038</v>
      </c>
      <c r="K254" s="26" t="s">
        <v>1039</v>
      </c>
      <c r="L254" s="26" t="s">
        <v>1002</v>
      </c>
      <c r="M254" s="26" t="s">
        <v>1377</v>
      </c>
      <c r="Q254" s="27" t="s">
        <v>1044</v>
      </c>
      <c r="R254" s="26">
        <v>3553</v>
      </c>
      <c r="S254" s="26">
        <v>7300</v>
      </c>
      <c r="T254" s="26">
        <f>IF(Table2[[#This Row],[PMT]]="NA","NA",Table2[[#This Row],[PMT]]+1)</f>
        <v>7301</v>
      </c>
      <c r="U254" s="26">
        <f>IF(Table2[[#This Row],[PMT]]="NA","NA",Table2[[#This Row],[PMT]]+2)</f>
        <v>7302</v>
      </c>
      <c r="V254" s="26">
        <v>0</v>
      </c>
      <c r="W254" s="26">
        <f>IF(Table2[[#This Row],[PMT]]="NA","NA",Table2[[#This Row],[PMT]]+8)-Table2[[#This Row],[Const]]</f>
        <v>7308</v>
      </c>
      <c r="X254" s="26" t="str">
        <f>IF(W254="NA","",CONCATENATE("0B 04 00 ",DEC2HEX($G254,2)," ",LEFT(DEC2HEX(W254,4),2)," ",RIGHT(DEC2HEX(W254,4),2)))</f>
        <v>0B 04 00 09 1C 8C</v>
      </c>
      <c r="Y254" s="26">
        <f>IF(Table2[[#This Row],[PMT]]="NA","NA",Table2[[#This Row],[PMT]]+14)-Table2[[#This Row],[Const]]</f>
        <v>7314</v>
      </c>
      <c r="Z254" s="26" t="str">
        <f>IF(Y254="NA","",CONCATENATE("0B 04 00 ",DEC2HEX($G254,2)," ",LEFT(DEC2HEX(Y254,4),2)," ",RIGHT(DEC2HEX(Y254,4),2)))</f>
        <v>0B 04 00 09 1C 92</v>
      </c>
      <c r="AA254" s="26" t="s">
        <v>1053</v>
      </c>
      <c r="AB254" s="26"/>
      <c r="AC254" s="26"/>
      <c r="AD254" s="26" t="s">
        <v>346</v>
      </c>
      <c r="AE254" s="26"/>
      <c r="AF254" s="26"/>
      <c r="AI254" s="26"/>
      <c r="AJ254" s="26"/>
      <c r="AL254" s="26"/>
      <c r="AW254" s="26"/>
      <c r="AX254" s="26"/>
      <c r="AY254" s="26"/>
    </row>
    <row r="255" spans="1:51" hidden="1" x14ac:dyDescent="0.25">
      <c r="A255" s="26">
        <v>250</v>
      </c>
      <c r="B255" s="26" t="s">
        <v>346</v>
      </c>
      <c r="C255" s="26" t="s">
        <v>346</v>
      </c>
      <c r="D255" s="27" t="s">
        <v>545</v>
      </c>
      <c r="E255" s="26">
        <v>554</v>
      </c>
      <c r="F255" s="26" t="s">
        <v>346</v>
      </c>
      <c r="G255" s="26">
        <v>7</v>
      </c>
      <c r="H255" s="26" t="s">
        <v>349</v>
      </c>
      <c r="I255" s="26" t="s">
        <v>1368</v>
      </c>
      <c r="J255" s="26" t="s">
        <v>1038</v>
      </c>
      <c r="K255" s="26" t="s">
        <v>1039</v>
      </c>
      <c r="L255" s="26" t="s">
        <v>931</v>
      </c>
      <c r="M255" s="28" t="s">
        <v>1376</v>
      </c>
      <c r="Q255" s="27"/>
      <c r="R255" s="26">
        <v>7554</v>
      </c>
      <c r="S255" s="26">
        <v>910</v>
      </c>
      <c r="T255" s="26">
        <f>IF(Table2[[#This Row],[PMT]]="NA","NA",Table2[[#This Row],[PMT]]+1)</f>
        <v>911</v>
      </c>
      <c r="U255" s="26">
        <f>IF(Table2[[#This Row],[PMT]]="NA","NA",Table2[[#This Row],[PMT]]+2)</f>
        <v>912</v>
      </c>
      <c r="V255" s="26">
        <v>0</v>
      </c>
      <c r="W255" s="26">
        <f>IF(Table2[[#This Row],[PMT]]="NA","NA",Table2[[#This Row],[PMT]]+8)-Table2[[#This Row],[Const]]</f>
        <v>918</v>
      </c>
      <c r="X255" s="26" t="str">
        <f>IF(W255="NA","",CONCATENATE("0B 04 00 ",DEC2HEX($G255,2)," ",LEFT(DEC2HEX(W255,4),2)," ",RIGHT(DEC2HEX(W255,4),2)))</f>
        <v>0B 04 00 07 03 96</v>
      </c>
      <c r="Y255" s="26">
        <f>IF(Table2[[#This Row],[PMT]]="NA","NA",Table2[[#This Row],[PMT]]+14)-Table2[[#This Row],[Const]]</f>
        <v>924</v>
      </c>
      <c r="Z255" s="26" t="str">
        <f>IF(Y255="NA","",CONCATENATE("0B 04 00 ",DEC2HEX($G255,2)," ",LEFT(DEC2HEX(Y255,4),2)," ",RIGHT(DEC2HEX(Y255,4),2)))</f>
        <v>0B 04 00 07 03 9C</v>
      </c>
      <c r="AA255" s="26" t="s">
        <v>349</v>
      </c>
      <c r="AB255" s="26"/>
      <c r="AC255" s="26"/>
      <c r="AD255" s="26" t="s">
        <v>346</v>
      </c>
      <c r="AE255" s="26"/>
      <c r="AF255" s="26"/>
      <c r="AI255" s="26"/>
      <c r="AJ255" s="26"/>
      <c r="AL255" s="26"/>
      <c r="AW255" s="26"/>
      <c r="AX255" s="26"/>
      <c r="AY255" s="26"/>
    </row>
    <row r="256" spans="1:51" hidden="1" x14ac:dyDescent="0.25">
      <c r="A256" s="26">
        <v>251</v>
      </c>
      <c r="B256" s="26" t="s">
        <v>346</v>
      </c>
      <c r="C256" s="26" t="s">
        <v>346</v>
      </c>
      <c r="D256" s="27" t="s">
        <v>546</v>
      </c>
      <c r="E256" s="26">
        <v>555</v>
      </c>
      <c r="F256" s="26" t="s">
        <v>346</v>
      </c>
      <c r="G256" s="26">
        <v>4</v>
      </c>
      <c r="H256" s="26" t="s">
        <v>349</v>
      </c>
      <c r="I256" s="26" t="s">
        <v>1368</v>
      </c>
      <c r="J256" s="26" t="s">
        <v>1038</v>
      </c>
      <c r="K256" s="26" t="s">
        <v>1039</v>
      </c>
      <c r="L256" s="26" t="s">
        <v>1002</v>
      </c>
      <c r="M256" s="26" t="s">
        <v>1377</v>
      </c>
      <c r="N256" s="26" t="s">
        <v>1086</v>
      </c>
      <c r="O256" s="26" t="s">
        <v>1091</v>
      </c>
      <c r="P256" s="26">
        <v>3940</v>
      </c>
      <c r="Q256" s="27" t="s">
        <v>1043</v>
      </c>
      <c r="R256" s="26">
        <v>8555</v>
      </c>
      <c r="S256" s="26">
        <v>7600</v>
      </c>
      <c r="T256" s="26">
        <f>IF(Table2[[#This Row],[PMT]]="NA","NA",Table2[[#This Row],[PMT]]+1)</f>
        <v>7601</v>
      </c>
      <c r="U256" s="26">
        <f>IF(Table2[[#This Row],[PMT]]="NA","NA",Table2[[#This Row],[PMT]]+2)</f>
        <v>7602</v>
      </c>
      <c r="V256" s="26">
        <v>0</v>
      </c>
      <c r="W256" s="26">
        <f>IF(Table2[[#This Row],[PMT]]="NA","NA",Table2[[#This Row],[PMT]]+8)-Table2[[#This Row],[Const]]</f>
        <v>7608</v>
      </c>
      <c r="X256" s="26" t="str">
        <f>IF(W256="NA","",CONCATENATE("0B 04 00 ",DEC2HEX($G256,2)," ",LEFT(DEC2HEX(W256,4),2)," ",RIGHT(DEC2HEX(W256,4),2)))</f>
        <v>0B 04 00 04 1D B8</v>
      </c>
      <c r="Y256" s="26">
        <f>IF(Table2[[#This Row],[PMT]]="NA","NA",Table2[[#This Row],[PMT]]+14)-Table2[[#This Row],[Const]]</f>
        <v>7614</v>
      </c>
      <c r="Z256" s="26" t="str">
        <f>IF(Y256="NA","",CONCATENATE("0B 04 00 ",DEC2HEX($G256,2)," ",LEFT(DEC2HEX(Y256,4),2)," ",RIGHT(DEC2HEX(Y256,4),2)))</f>
        <v>0B 04 00 04 1D BE</v>
      </c>
      <c r="AA256" s="26" t="s">
        <v>349</v>
      </c>
      <c r="AB256" s="26"/>
      <c r="AC256" s="26">
        <v>28100</v>
      </c>
      <c r="AD256" s="26" t="s">
        <v>346</v>
      </c>
      <c r="AE256" s="26"/>
      <c r="AF256" s="26"/>
      <c r="AI256" s="26"/>
      <c r="AJ256" s="26"/>
      <c r="AL256" s="26"/>
      <c r="AW256" s="26"/>
      <c r="AX256" s="26"/>
      <c r="AY256" s="26"/>
    </row>
    <row r="257" spans="1:51" hidden="1" x14ac:dyDescent="0.25">
      <c r="A257" s="26">
        <v>252</v>
      </c>
      <c r="B257" s="26" t="s">
        <v>346</v>
      </c>
      <c r="C257" s="26" t="s">
        <v>346</v>
      </c>
      <c r="D257" s="27" t="s">
        <v>547</v>
      </c>
      <c r="E257" s="26">
        <v>556</v>
      </c>
      <c r="F257" s="26" t="s">
        <v>346</v>
      </c>
      <c r="G257" s="26">
        <v>4</v>
      </c>
      <c r="H257" s="26" t="s">
        <v>349</v>
      </c>
      <c r="I257" s="26" t="s">
        <v>1368</v>
      </c>
      <c r="J257" s="26" t="s">
        <v>1038</v>
      </c>
      <c r="K257" s="26" t="s">
        <v>1039</v>
      </c>
      <c r="L257" s="26" t="s">
        <v>931</v>
      </c>
      <c r="M257" s="28" t="s">
        <v>1376</v>
      </c>
      <c r="Q257" s="27"/>
      <c r="R257" s="26">
        <v>5556</v>
      </c>
      <c r="S257" s="26">
        <v>120</v>
      </c>
      <c r="T257" s="26">
        <f>IF(Table2[[#This Row],[PMT]]="NA","NA",Table2[[#This Row],[PMT]]+1)</f>
        <v>121</v>
      </c>
      <c r="U257" s="26">
        <f>IF(Table2[[#This Row],[PMT]]="NA","NA",Table2[[#This Row],[PMT]]+2)</f>
        <v>122</v>
      </c>
      <c r="V257" s="26">
        <v>0</v>
      </c>
      <c r="W257" s="26">
        <f>IF(Table2[[#This Row],[PMT]]="NA","NA",Table2[[#This Row],[PMT]]+8)-Table2[[#This Row],[Const]]</f>
        <v>128</v>
      </c>
      <c r="X257" s="26" t="str">
        <f>IF(W257="NA","",CONCATENATE("0B 04 00 ",DEC2HEX($G257,2)," ",LEFT(DEC2HEX(W257,4),2)," ",RIGHT(DEC2HEX(W257,4),2)))</f>
        <v>0B 04 00 04 00 80</v>
      </c>
      <c r="Y257" s="26">
        <f>IF(Table2[[#This Row],[PMT]]="NA","NA",Table2[[#This Row],[PMT]]+14)-Table2[[#This Row],[Const]]</f>
        <v>134</v>
      </c>
      <c r="Z257" s="26" t="str">
        <f>IF(Y257="NA","",CONCATENATE("0B 04 00 ",DEC2HEX($G257,2)," ",LEFT(DEC2HEX(Y257,4),2)," ",RIGHT(DEC2HEX(Y257,4),2)))</f>
        <v>0B 04 00 04 00 86</v>
      </c>
      <c r="AA257" s="26" t="s">
        <v>349</v>
      </c>
      <c r="AB257" s="26"/>
      <c r="AC257" s="26"/>
      <c r="AD257" s="26" t="s">
        <v>346</v>
      </c>
      <c r="AE257" s="26"/>
      <c r="AF257" s="26"/>
      <c r="AI257" s="26"/>
      <c r="AJ257" s="26"/>
      <c r="AL257" s="26"/>
      <c r="AW257" s="26"/>
      <c r="AX257" s="26"/>
      <c r="AY257" s="26"/>
    </row>
    <row r="258" spans="1:51" hidden="1" x14ac:dyDescent="0.25">
      <c r="A258" s="26">
        <v>253</v>
      </c>
      <c r="B258" s="26" t="s">
        <v>346</v>
      </c>
      <c r="C258" s="26" t="s">
        <v>346</v>
      </c>
      <c r="D258" s="27" t="s">
        <v>548</v>
      </c>
      <c r="E258" s="26">
        <v>557</v>
      </c>
      <c r="F258" s="26" t="s">
        <v>346</v>
      </c>
      <c r="G258" s="26">
        <v>5</v>
      </c>
      <c r="H258" s="26" t="s">
        <v>1057</v>
      </c>
      <c r="I258" s="26" t="s">
        <v>1368</v>
      </c>
      <c r="J258" s="26" t="s">
        <v>1038</v>
      </c>
      <c r="K258" s="26" t="s">
        <v>1039</v>
      </c>
      <c r="L258" s="26" t="s">
        <v>931</v>
      </c>
      <c r="M258" s="28" t="s">
        <v>1377</v>
      </c>
      <c r="Q258" s="27"/>
      <c r="R258" s="26">
        <v>5557</v>
      </c>
      <c r="S258" s="26">
        <v>3200</v>
      </c>
      <c r="T258" s="26">
        <f>IF(Table2[[#This Row],[PMT]]="NA","NA",Table2[[#This Row],[PMT]]+1)</f>
        <v>3201</v>
      </c>
      <c r="U258" s="26">
        <f>IF(Table2[[#This Row],[PMT]]="NA","NA",Table2[[#This Row],[PMT]]+2)</f>
        <v>3202</v>
      </c>
      <c r="V258" s="26">
        <v>0</v>
      </c>
      <c r="W258" s="26">
        <f>IF(Table2[[#This Row],[PMT]]="NA","NA",Table2[[#This Row],[PMT]]+8)-Table2[[#This Row],[Const]]</f>
        <v>3208</v>
      </c>
      <c r="X258" s="26" t="str">
        <f>IF(W258="NA","",CONCATENATE("0B 04 00 ",DEC2HEX($G258,2)," ",LEFT(DEC2HEX(W258,4),2)," ",RIGHT(DEC2HEX(W258,4),2)))</f>
        <v>0B 04 00 05 0C 88</v>
      </c>
      <c r="Y258" s="26">
        <f>IF(Table2[[#This Row],[PMT]]="NA","NA",Table2[[#This Row],[PMT]]+14)-Table2[[#This Row],[Const]]</f>
        <v>3214</v>
      </c>
      <c r="Z258" s="26" t="str">
        <f>IF(Y258="NA","",CONCATENATE("0B 04 00 ",DEC2HEX($G258,2)," ",LEFT(DEC2HEX(Y258,4),2)," ",RIGHT(DEC2HEX(Y258,4),2)))</f>
        <v>0B 04 00 05 0C 8E</v>
      </c>
      <c r="AA258" s="26"/>
      <c r="AB258" s="26"/>
      <c r="AC258" s="26"/>
      <c r="AD258" s="26" t="s">
        <v>346</v>
      </c>
      <c r="AE258" s="26"/>
      <c r="AF258" s="26"/>
      <c r="AI258" s="26"/>
      <c r="AJ258" s="26"/>
      <c r="AL258" s="26"/>
      <c r="AW258" s="26"/>
      <c r="AX258" s="26"/>
      <c r="AY258" s="26"/>
    </row>
    <row r="259" spans="1:51" x14ac:dyDescent="0.25">
      <c r="A259" s="26">
        <v>196</v>
      </c>
      <c r="B259" s="26" t="s">
        <v>223</v>
      </c>
      <c r="C259" s="26">
        <v>5180</v>
      </c>
      <c r="D259" s="27" t="s">
        <v>1060</v>
      </c>
      <c r="E259" s="26">
        <v>495</v>
      </c>
      <c r="F259" s="26">
        <v>11</v>
      </c>
      <c r="G259" s="26">
        <v>11</v>
      </c>
      <c r="H259" s="26" t="s">
        <v>1057</v>
      </c>
      <c r="I259" s="26" t="s">
        <v>1350</v>
      </c>
      <c r="J259" s="26" t="s">
        <v>1040</v>
      </c>
      <c r="K259" s="26" t="s">
        <v>953</v>
      </c>
      <c r="L259" s="26" t="s">
        <v>931</v>
      </c>
      <c r="M259" s="26" t="s">
        <v>1376</v>
      </c>
      <c r="N259" s="26" t="s">
        <v>1080</v>
      </c>
      <c r="O259" s="26" t="s">
        <v>1384</v>
      </c>
      <c r="P259" s="26">
        <v>3845</v>
      </c>
      <c r="Q259" s="27" t="s">
        <v>1382</v>
      </c>
      <c r="R259" s="26">
        <v>12057</v>
      </c>
      <c r="S259" s="26">
        <v>760</v>
      </c>
      <c r="T259" s="26">
        <f>IF(Table2[[#This Row],[PMT]]="NA","NA",Table2[[#This Row],[PMT]]+1)</f>
        <v>761</v>
      </c>
      <c r="U259" s="26">
        <f>IF(Table2[[#This Row],[PMT]]="NA","NA",Table2[[#This Row],[PMT]]+2)</f>
        <v>762</v>
      </c>
      <c r="V259" s="26">
        <v>0</v>
      </c>
      <c r="W259" s="26">
        <f>IF(Table2[[#This Row],[PMT]]="NA","NA",Table2[[#This Row],[PMT]]+8)-Table2[[#This Row],[Const]]</f>
        <v>768</v>
      </c>
      <c r="X259" s="26" t="str">
        <f>IF(W259="NA","",CONCATENATE("0B 04 00 ",DEC2HEX($G259,2)," ",LEFT(DEC2HEX(W259,4),2)," ",RIGHT(DEC2HEX(W259,4),2)))</f>
        <v>0B 04 00 0B 03 00</v>
      </c>
      <c r="Y259" s="26">
        <f>IF(Table2[[#This Row],[PMT]]="NA","NA",Table2[[#This Row],[PMT]]+14)-Table2[[#This Row],[Const]]</f>
        <v>774</v>
      </c>
      <c r="Z259" s="26" t="str">
        <f>IF(Y259="NA","",CONCATENATE("0B 04 00 ",DEC2HEX($G259,2)," ",LEFT(DEC2HEX(Y259,4),2)," ",RIGHT(DEC2HEX(Y259,4),2)))</f>
        <v>0B 04 00 0B 03 06</v>
      </c>
      <c r="AA259" s="26" t="s">
        <v>1057</v>
      </c>
      <c r="AB259" s="26"/>
      <c r="AC259" s="26"/>
      <c r="AD259" s="26" t="s">
        <v>814</v>
      </c>
      <c r="AE259" s="26"/>
      <c r="AF259" s="26"/>
      <c r="AI259" s="26"/>
      <c r="AJ259" s="26"/>
      <c r="AL259" s="26"/>
      <c r="AW259" s="26"/>
      <c r="AX259" s="26"/>
      <c r="AY259" s="26"/>
    </row>
    <row r="260" spans="1:51" hidden="1" x14ac:dyDescent="0.25">
      <c r="A260" s="26">
        <v>255</v>
      </c>
      <c r="B260" s="26" t="s">
        <v>346</v>
      </c>
      <c r="C260" s="26" t="s">
        <v>346</v>
      </c>
      <c r="D260" s="27" t="s">
        <v>550</v>
      </c>
      <c r="E260" s="26">
        <v>559</v>
      </c>
      <c r="F260" s="26" t="s">
        <v>346</v>
      </c>
      <c r="G260" s="26">
        <v>6</v>
      </c>
      <c r="H260" s="26" t="s">
        <v>349</v>
      </c>
      <c r="I260" s="26" t="s">
        <v>1368</v>
      </c>
      <c r="J260" s="26" t="s">
        <v>1038</v>
      </c>
      <c r="K260" s="26" t="s">
        <v>1039</v>
      </c>
      <c r="L260" s="26" t="s">
        <v>931</v>
      </c>
      <c r="M260" s="28" t="s">
        <v>1376</v>
      </c>
      <c r="Q260" s="27"/>
      <c r="R260" s="26">
        <v>8554</v>
      </c>
      <c r="S260" s="26">
        <v>6600</v>
      </c>
      <c r="T260" s="26">
        <f>IF(Table2[[#This Row],[PMT]]="NA","NA",Table2[[#This Row],[PMT]]+1)</f>
        <v>6601</v>
      </c>
      <c r="U260" s="26">
        <f>IF(Table2[[#This Row],[PMT]]="NA","NA",Table2[[#This Row],[PMT]]+2)</f>
        <v>6602</v>
      </c>
      <c r="V260" s="26">
        <v>0</v>
      </c>
      <c r="W260" s="26">
        <f>IF(Table2[[#This Row],[PMT]]="NA","NA",Table2[[#This Row],[PMT]]+8)-Table2[[#This Row],[Const]]</f>
        <v>6608</v>
      </c>
      <c r="X260" s="26" t="str">
        <f>IF(W260="NA","",CONCATENATE("0B 04 00 ",DEC2HEX($G260,2)," ",LEFT(DEC2HEX(W260,4),2)," ",RIGHT(DEC2HEX(W260,4),2)))</f>
        <v>0B 04 00 06 19 D0</v>
      </c>
      <c r="Y260" s="26">
        <f>IF(Table2[[#This Row],[PMT]]="NA","NA",Table2[[#This Row],[PMT]]+14)-Table2[[#This Row],[Const]]</f>
        <v>6614</v>
      </c>
      <c r="Z260" s="26" t="str">
        <f>IF(Y260="NA","",CONCATENATE("0B 04 00 ",DEC2HEX($G260,2)," ",LEFT(DEC2HEX(Y260,4),2)," ",RIGHT(DEC2HEX(Y260,4),2)))</f>
        <v>0B 04 00 06 19 D6</v>
      </c>
      <c r="AA260" s="26" t="s">
        <v>349</v>
      </c>
      <c r="AB260" s="26"/>
      <c r="AC260" s="26"/>
      <c r="AD260" s="26" t="s">
        <v>346</v>
      </c>
      <c r="AE260" s="26"/>
      <c r="AF260" s="26"/>
      <c r="AI260" s="26"/>
      <c r="AJ260" s="26"/>
      <c r="AL260" s="26"/>
      <c r="AW260" s="26"/>
      <c r="AX260" s="26"/>
      <c r="AY260" s="26"/>
    </row>
    <row r="261" spans="1:51" hidden="1" x14ac:dyDescent="0.25">
      <c r="A261" s="26">
        <v>256</v>
      </c>
      <c r="B261" s="26" t="s">
        <v>346</v>
      </c>
      <c r="C261" s="26" t="s">
        <v>346</v>
      </c>
      <c r="D261" s="27" t="s">
        <v>551</v>
      </c>
      <c r="E261" s="26">
        <v>560</v>
      </c>
      <c r="F261" s="26" t="s">
        <v>346</v>
      </c>
      <c r="G261" s="26">
        <v>4</v>
      </c>
      <c r="H261" s="26" t="s">
        <v>349</v>
      </c>
      <c r="I261" s="26" t="s">
        <v>1368</v>
      </c>
      <c r="J261" s="26" t="s">
        <v>1038</v>
      </c>
      <c r="K261" s="26" t="s">
        <v>1039</v>
      </c>
      <c r="L261" s="26" t="s">
        <v>931</v>
      </c>
      <c r="M261" s="28" t="s">
        <v>1376</v>
      </c>
      <c r="Q261" s="27"/>
      <c r="R261" s="26">
        <v>12121</v>
      </c>
      <c r="S261" s="26">
        <v>340</v>
      </c>
      <c r="T261" s="26">
        <f>IF(Table2[[#This Row],[PMT]]="NA","NA",Table2[[#This Row],[PMT]]+1)</f>
        <v>341</v>
      </c>
      <c r="U261" s="26">
        <f>IF(Table2[[#This Row],[PMT]]="NA","NA",Table2[[#This Row],[PMT]]+2)</f>
        <v>342</v>
      </c>
      <c r="V261" s="26">
        <v>0</v>
      </c>
      <c r="W261" s="26">
        <f>IF(Table2[[#This Row],[PMT]]="NA","NA",Table2[[#This Row],[PMT]]+8)-Table2[[#This Row],[Const]]</f>
        <v>348</v>
      </c>
      <c r="X261" s="26" t="str">
        <f>IF(W261="NA","",CONCATENATE("0B 04 00 ",DEC2HEX($G261,2)," ",LEFT(DEC2HEX(W261,4),2)," ",RIGHT(DEC2HEX(W261,4),2)))</f>
        <v>0B 04 00 04 01 5C</v>
      </c>
      <c r="Y261" s="26">
        <f>IF(Table2[[#This Row],[PMT]]="NA","NA",Table2[[#This Row],[PMT]]+14)-Table2[[#This Row],[Const]]</f>
        <v>354</v>
      </c>
      <c r="Z261" s="26" t="str">
        <f>IF(Y261="NA","",CONCATENATE("0B 04 00 ",DEC2HEX($G261,2)," ",LEFT(DEC2HEX(Y261,4),2)," ",RIGHT(DEC2HEX(Y261,4),2)))</f>
        <v>0B 04 00 04 01 62</v>
      </c>
      <c r="AA261" s="26"/>
      <c r="AB261" s="26"/>
      <c r="AC261" s="26"/>
      <c r="AD261" s="26" t="s">
        <v>346</v>
      </c>
      <c r="AE261" s="26"/>
      <c r="AF261" s="26"/>
      <c r="AI261" s="26"/>
      <c r="AJ261" s="26"/>
      <c r="AL261" s="26"/>
      <c r="AW261" s="26"/>
      <c r="AX261" s="26"/>
      <c r="AY261" s="26"/>
    </row>
    <row r="262" spans="1:51" hidden="1" x14ac:dyDescent="0.25">
      <c r="A262" s="26">
        <v>257</v>
      </c>
      <c r="B262" s="26" t="s">
        <v>346</v>
      </c>
      <c r="C262" s="26" t="s">
        <v>346</v>
      </c>
      <c r="D262" s="27" t="s">
        <v>1343</v>
      </c>
      <c r="E262" s="26">
        <v>561</v>
      </c>
      <c r="F262" s="26" t="s">
        <v>346</v>
      </c>
      <c r="G262" s="26">
        <v>7</v>
      </c>
      <c r="H262" s="26" t="s">
        <v>1057</v>
      </c>
      <c r="I262" s="26" t="s">
        <v>1368</v>
      </c>
      <c r="J262" s="26" t="s">
        <v>1038</v>
      </c>
      <c r="K262" s="26" t="s">
        <v>1039</v>
      </c>
      <c r="L262" s="26" t="s">
        <v>931</v>
      </c>
      <c r="M262" s="28"/>
      <c r="N262" s="31"/>
      <c r="O262" s="31"/>
      <c r="P262" s="31"/>
      <c r="Q262" s="32"/>
      <c r="R262" s="31"/>
      <c r="S262" s="31"/>
      <c r="T262" s="31">
        <f>IF(Table2[[#This Row],[PMT]]="NA","NA",Table2[[#This Row],[PMT]]+1)</f>
        <v>1</v>
      </c>
      <c r="U262" s="31">
        <f>IF(Table2[[#This Row],[PMT]]="NA","NA",Table2[[#This Row],[PMT]]+2)</f>
        <v>2</v>
      </c>
      <c r="V262" s="26"/>
      <c r="W262" s="31">
        <f>IF(Table2[[#This Row],[PMT]]="NA","NA",Table2[[#This Row],[PMT]]+8)-Table2[[#This Row],[Const]]</f>
        <v>8</v>
      </c>
      <c r="X262" s="31" t="str">
        <f>IF(W262="NA","",CONCATENATE("0B 04 00 ",DEC2HEX($G262,2)," ",LEFT(DEC2HEX(W262,4),2)," ",RIGHT(DEC2HEX(W262,4),2)))</f>
        <v>0B 04 00 07 00 08</v>
      </c>
      <c r="Y262" s="31">
        <f>IF(Table2[[#This Row],[PMT]]="NA","NA",Table2[[#This Row],[PMT]]+14)-Table2[[#This Row],[Const]]</f>
        <v>14</v>
      </c>
      <c r="Z262" s="31" t="str">
        <f>IF(Y262="NA","",CONCATENATE("0B 04 00 ",DEC2HEX($G262,2)," ",LEFT(DEC2HEX(Y262,4),2)," ",RIGHT(DEC2HEX(Y262,4),2)))</f>
        <v>0B 04 00 07 00 0E</v>
      </c>
      <c r="AA262" s="26"/>
      <c r="AB262" s="26"/>
      <c r="AC262" s="31"/>
      <c r="AD262" s="31"/>
      <c r="AE262" s="26"/>
      <c r="AF262" s="26"/>
      <c r="AI262" s="26"/>
      <c r="AJ262" s="26"/>
      <c r="AL262" s="26"/>
      <c r="AW262" s="26"/>
      <c r="AX262" s="26"/>
      <c r="AY262" s="26"/>
    </row>
    <row r="263" spans="1:51" x14ac:dyDescent="0.25">
      <c r="A263" s="26">
        <v>351</v>
      </c>
      <c r="B263" s="26" t="s">
        <v>653</v>
      </c>
      <c r="C263" s="26">
        <v>5001</v>
      </c>
      <c r="D263" s="27" t="s">
        <v>625</v>
      </c>
      <c r="E263" s="26">
        <v>830</v>
      </c>
      <c r="F263" s="26">
        <v>6</v>
      </c>
      <c r="G263" s="26">
        <v>6</v>
      </c>
      <c r="H263" s="26" t="s">
        <v>1352</v>
      </c>
      <c r="I263" s="26" t="s">
        <v>1356</v>
      </c>
      <c r="J263" s="26" t="s">
        <v>931</v>
      </c>
      <c r="K263" s="26" t="s">
        <v>1042</v>
      </c>
      <c r="L263" s="26" t="s">
        <v>931</v>
      </c>
      <c r="M263" s="26" t="s">
        <v>1376</v>
      </c>
      <c r="N263" s="26" t="s">
        <v>1080</v>
      </c>
      <c r="O263" s="26" t="s">
        <v>1383</v>
      </c>
      <c r="P263" s="26">
        <v>4006</v>
      </c>
      <c r="Q263" s="27" t="s">
        <v>1386</v>
      </c>
      <c r="R263" s="26">
        <v>2694</v>
      </c>
      <c r="S263" s="26">
        <v>6900</v>
      </c>
      <c r="T263" s="26">
        <f>IF(Table2[[#This Row],[PMT]]="NA","NA",Table2[[#This Row],[PMT]]+1)</f>
        <v>6901</v>
      </c>
      <c r="U263" s="26">
        <f>IF(Table2[[#This Row],[PMT]]="NA","NA",Table2[[#This Row],[PMT]]+2)</f>
        <v>6902</v>
      </c>
      <c r="V263" s="26">
        <v>0</v>
      </c>
      <c r="W263" s="26">
        <f>IF(Table2[[#This Row],[PMT]]="NA","NA",Table2[[#This Row],[PMT]]+8)-Table2[[#This Row],[Const]]</f>
        <v>6908</v>
      </c>
      <c r="X263" s="26" t="str">
        <f>IF(W263="NA","",CONCATENATE("0B 04 00 ",DEC2HEX($G263,2)," ",LEFT(DEC2HEX(W263,4),2)," ",RIGHT(DEC2HEX(W263,4),2)))</f>
        <v>0B 04 00 06 1A FC</v>
      </c>
      <c r="Y263" s="26">
        <f>IF(Table2[[#This Row],[PMT]]="NA","NA",Table2[[#This Row],[PMT]]+14)-Table2[[#This Row],[Const]]</f>
        <v>6914</v>
      </c>
      <c r="Z263" s="26" t="str">
        <f>IF(Y263="NA","",CONCATENATE("0B 04 00 ",DEC2HEX($G263,2)," ",LEFT(DEC2HEX(Y263,4),2)," ",RIGHT(DEC2HEX(Y263,4),2)))</f>
        <v>0B 04 00 06 1B 02</v>
      </c>
      <c r="AA263" s="26"/>
      <c r="AB263" s="26"/>
      <c r="AC263" s="26"/>
      <c r="AD263" s="26" t="s">
        <v>814</v>
      </c>
      <c r="AE263" s="26"/>
      <c r="AF263" s="26"/>
      <c r="AI263" s="26"/>
      <c r="AJ263" s="26"/>
      <c r="AL263" s="26"/>
      <c r="AW263" s="26"/>
      <c r="AX263" s="26"/>
      <c r="AY263" s="26"/>
    </row>
    <row r="264" spans="1:51" x14ac:dyDescent="0.25">
      <c r="A264" s="26">
        <v>213</v>
      </c>
      <c r="B264" s="26" t="s">
        <v>646</v>
      </c>
      <c r="C264" s="26">
        <v>5001</v>
      </c>
      <c r="D264" s="27" t="s">
        <v>1279</v>
      </c>
      <c r="E264" s="26">
        <v>512</v>
      </c>
      <c r="F264" s="26">
        <v>2</v>
      </c>
      <c r="G264" s="26">
        <v>2</v>
      </c>
      <c r="H264" s="26" t="s">
        <v>349</v>
      </c>
      <c r="I264" s="26" t="s">
        <v>1350</v>
      </c>
      <c r="J264" s="26" t="s">
        <v>931</v>
      </c>
      <c r="K264" s="26" t="s">
        <v>1042</v>
      </c>
      <c r="L264" s="26" t="s">
        <v>931</v>
      </c>
      <c r="M264" s="26" t="s">
        <v>1376</v>
      </c>
      <c r="N264" s="26" t="s">
        <v>1080</v>
      </c>
      <c r="O264" s="26" t="s">
        <v>1090</v>
      </c>
      <c r="P264" s="26">
        <v>3845</v>
      </c>
      <c r="Q264" s="27" t="s">
        <v>1382</v>
      </c>
      <c r="R264" s="26">
        <v>2512</v>
      </c>
      <c r="S264" s="26">
        <v>1260</v>
      </c>
      <c r="T264" s="26">
        <f>IF(Table2[[#This Row],[PMT]]="NA","NA",Table2[[#This Row],[PMT]]+1)</f>
        <v>1261</v>
      </c>
      <c r="U264" s="26">
        <f>IF(Table2[[#This Row],[PMT]]="NA","NA",Table2[[#This Row],[PMT]]+2)</f>
        <v>1262</v>
      </c>
      <c r="V264" s="26">
        <v>0</v>
      </c>
      <c r="W264" s="26">
        <f>IF(Table2[[#This Row],[PMT]]="NA","NA",Table2[[#This Row],[PMT]]+8)-Table2[[#This Row],[Const]]</f>
        <v>1268</v>
      </c>
      <c r="X264" s="26" t="str">
        <f>IF(W264="NA","",CONCATENATE("0B 04 00 ",DEC2HEX($G264,2)," ",LEFT(DEC2HEX(W264,4),2)," ",RIGHT(DEC2HEX(W264,4),2)))</f>
        <v>0B 04 00 02 04 F4</v>
      </c>
      <c r="Y264" s="26">
        <f>IF(Table2[[#This Row],[PMT]]="NA","NA",Table2[[#This Row],[PMT]]+14)-Table2[[#This Row],[Const]]</f>
        <v>1274</v>
      </c>
      <c r="Z264" s="26" t="str">
        <f>IF(Y264="NA","",CONCATENATE("0B 04 00 ",DEC2HEX($G264,2)," ",LEFT(DEC2HEX(Y264,4),2)," ",RIGHT(DEC2HEX(Y264,4),2)))</f>
        <v>0B 04 00 02 04 FA</v>
      </c>
      <c r="AA264" s="26"/>
      <c r="AB264" s="26"/>
      <c r="AC264" s="26"/>
      <c r="AD264" s="26" t="s">
        <v>814</v>
      </c>
      <c r="AE264" s="26"/>
      <c r="AF264" s="26"/>
      <c r="AI264" s="26"/>
      <c r="AJ264" s="26"/>
      <c r="AL264" s="26"/>
      <c r="AW264" s="26"/>
      <c r="AX264" s="26"/>
      <c r="AY264" s="26"/>
    </row>
    <row r="265" spans="1:51" x14ac:dyDescent="0.25">
      <c r="A265" s="26">
        <v>170</v>
      </c>
      <c r="B265" s="26" t="s">
        <v>317</v>
      </c>
      <c r="C265" s="26">
        <v>2000</v>
      </c>
      <c r="D265" s="27" t="s">
        <v>485</v>
      </c>
      <c r="E265" s="26">
        <v>362</v>
      </c>
      <c r="F265" s="26">
        <v>5</v>
      </c>
      <c r="G265" s="26">
        <v>5</v>
      </c>
      <c r="H265" s="26" t="s">
        <v>1061</v>
      </c>
      <c r="I265" s="26" t="s">
        <v>1084</v>
      </c>
      <c r="J265" s="26" t="s">
        <v>1002</v>
      </c>
      <c r="K265" s="26" t="s">
        <v>953</v>
      </c>
      <c r="L265" s="26" t="s">
        <v>931</v>
      </c>
      <c r="M265" s="28" t="s">
        <v>1377</v>
      </c>
      <c r="Q265" s="27"/>
      <c r="R265" s="26">
        <v>11362</v>
      </c>
      <c r="S265" s="26">
        <v>7300</v>
      </c>
      <c r="T265" s="26">
        <f>IF(Table2[[#This Row],[PMT]]="NA","NA",Table2[[#This Row],[PMT]]+1)</f>
        <v>7301</v>
      </c>
      <c r="U265" s="26">
        <f>IF(Table2[[#This Row],[PMT]]="NA","NA",Table2[[#This Row],[PMT]]+2)</f>
        <v>7302</v>
      </c>
      <c r="V265" s="26">
        <v>0</v>
      </c>
      <c r="W265" s="26">
        <f>IF(Table2[[#This Row],[PMT]]="NA","NA",Table2[[#This Row],[PMT]]+8)-Table2[[#This Row],[Const]]</f>
        <v>7308</v>
      </c>
      <c r="X265" s="26" t="str">
        <f>IF(W265="NA","",CONCATENATE("0B 04 00 ",DEC2HEX($G265,2)," ",LEFT(DEC2HEX(W265,4),2)," ",RIGHT(DEC2HEX(W265,4),2)))</f>
        <v>0B 04 00 05 1C 8C</v>
      </c>
      <c r="Y265" s="26">
        <f>IF(Table2[[#This Row],[PMT]]="NA","NA",Table2[[#This Row],[PMT]]+14)-Table2[[#This Row],[Const]]</f>
        <v>7314</v>
      </c>
      <c r="Z265" s="26" t="str">
        <f>IF(Y265="NA","",CONCATENATE("0B 04 00 ",DEC2HEX($G265,2)," ",LEFT(DEC2HEX(Y265,4),2)," ",RIGHT(DEC2HEX(Y265,4),2)))</f>
        <v>0B 04 00 05 1C 92</v>
      </c>
      <c r="AA265" s="26" t="s">
        <v>1061</v>
      </c>
      <c r="AB265" s="26" t="s">
        <v>1084</v>
      </c>
      <c r="AC265" s="26"/>
      <c r="AD265" s="26" t="s">
        <v>814</v>
      </c>
      <c r="AE265" s="26"/>
      <c r="AF265" s="26"/>
      <c r="AI265" s="26"/>
      <c r="AJ265" s="26"/>
      <c r="AL265" s="26"/>
      <c r="AW265" s="26"/>
      <c r="AX265" s="26"/>
      <c r="AY265" s="26"/>
    </row>
    <row r="266" spans="1:51" x14ac:dyDescent="0.25">
      <c r="A266" s="26">
        <v>8</v>
      </c>
      <c r="B266" s="26" t="s">
        <v>187</v>
      </c>
      <c r="C266" s="26">
        <v>5180</v>
      </c>
      <c r="D266" s="27" t="s">
        <v>353</v>
      </c>
      <c r="E266" s="26">
        <v>106</v>
      </c>
      <c r="F266" s="26">
        <v>3</v>
      </c>
      <c r="G266" s="26">
        <v>3</v>
      </c>
      <c r="H266" s="26" t="s">
        <v>349</v>
      </c>
      <c r="I266" s="26" t="s">
        <v>443</v>
      </c>
      <c r="J266" s="26" t="s">
        <v>1040</v>
      </c>
      <c r="K266" s="26" t="s">
        <v>953</v>
      </c>
      <c r="L266" s="26" t="s">
        <v>931</v>
      </c>
      <c r="M266" s="26" t="s">
        <v>1377</v>
      </c>
      <c r="N266" s="26" t="s">
        <v>1080</v>
      </c>
      <c r="O266" s="26" t="s">
        <v>1383</v>
      </c>
      <c r="P266" s="26">
        <v>3845</v>
      </c>
      <c r="Q266" s="27" t="s">
        <v>1045</v>
      </c>
      <c r="R266" s="26">
        <v>1103</v>
      </c>
      <c r="S266" s="26">
        <v>420</v>
      </c>
      <c r="T266" s="26">
        <f>IF(Table2[[#This Row],[PMT]]="NA","NA",Table2[[#This Row],[PMT]]+1)</f>
        <v>421</v>
      </c>
      <c r="U266" s="26">
        <f>IF(Table2[[#This Row],[PMT]]="NA","NA",Table2[[#This Row],[PMT]]+2)</f>
        <v>422</v>
      </c>
      <c r="V266" s="26">
        <v>-1</v>
      </c>
      <c r="W266" s="26">
        <f>IF(Table2[[#This Row],[PMT]]="NA","NA",Table2[[#This Row],[PMT]]+8)-Table2[[#This Row],[Const]]</f>
        <v>429</v>
      </c>
      <c r="X266" s="26" t="str">
        <f>IF(W266="NA","",CONCATENATE("0B 04 00 ",DEC2HEX($G266,2)," ",LEFT(DEC2HEX(W266,4),2)," ",RIGHT(DEC2HEX(W266,4),2)))</f>
        <v>0B 04 00 03 01 AD</v>
      </c>
      <c r="Y266" s="26">
        <f>IF(Table2[[#This Row],[PMT]]="NA","NA",Table2[[#This Row],[PMT]]+14)-Table2[[#This Row],[Const]]</f>
        <v>435</v>
      </c>
      <c r="Z266" s="26" t="str">
        <f>IF(Y266="NA","",CONCATENATE("0B 04 00 ",DEC2HEX($G266,2)," ",LEFT(DEC2HEX(Y266,4),2)," ",RIGHT(DEC2HEX(Y266,4),2)))</f>
        <v>0B 04 00 03 01 B3</v>
      </c>
      <c r="AA266" s="26" t="s">
        <v>349</v>
      </c>
      <c r="AB266" s="26" t="s">
        <v>443</v>
      </c>
      <c r="AC266" s="26"/>
      <c r="AD266" s="26" t="s">
        <v>814</v>
      </c>
      <c r="AE266" s="26"/>
      <c r="AF266" s="26"/>
      <c r="AI266" s="26"/>
      <c r="AJ266" s="26"/>
      <c r="AL266" s="26"/>
      <c r="AW266" s="26"/>
      <c r="AX266" s="26"/>
      <c r="AY266" s="26"/>
    </row>
    <row r="267" spans="1:51" x14ac:dyDescent="0.25">
      <c r="A267" s="26">
        <v>323</v>
      </c>
      <c r="B267" s="26" t="s">
        <v>322</v>
      </c>
      <c r="C267" s="26">
        <v>2000</v>
      </c>
      <c r="D267" s="27" t="s">
        <v>1297</v>
      </c>
      <c r="E267" s="26">
        <v>774</v>
      </c>
      <c r="F267" s="26">
        <v>11</v>
      </c>
      <c r="G267" s="26">
        <v>11</v>
      </c>
      <c r="H267" s="26" t="s">
        <v>1053</v>
      </c>
      <c r="I267" s="26" t="s">
        <v>1355</v>
      </c>
      <c r="J267" s="26" t="s">
        <v>1002</v>
      </c>
      <c r="K267" s="26" t="s">
        <v>953</v>
      </c>
      <c r="L267" s="26" t="s">
        <v>1002</v>
      </c>
      <c r="M267" s="26" t="s">
        <v>1377</v>
      </c>
      <c r="Q267" s="27" t="s">
        <v>1045</v>
      </c>
      <c r="R267" s="26">
        <v>3547</v>
      </c>
      <c r="S267" s="26">
        <v>6700</v>
      </c>
      <c r="T267" s="26">
        <f>IF(Table2[[#This Row],[PMT]]="NA","NA",Table2[[#This Row],[PMT]]+1)</f>
        <v>6701</v>
      </c>
      <c r="U267" s="26">
        <f>IF(Table2[[#This Row],[PMT]]="NA","NA",Table2[[#This Row],[PMT]]+2)</f>
        <v>6702</v>
      </c>
      <c r="V267" s="26">
        <v>0</v>
      </c>
      <c r="W267" s="26">
        <f>IF(Table2[[#This Row],[PMT]]="NA","NA",Table2[[#This Row],[PMT]]+8)-Table2[[#This Row],[Const]]</f>
        <v>6708</v>
      </c>
      <c r="X267" s="26" t="str">
        <f>IF(W267="NA","",CONCATENATE("0B 04 00 ",DEC2HEX($G267,2)," ",LEFT(DEC2HEX(W267,4),2)," ",RIGHT(DEC2HEX(W267,4),2)))</f>
        <v>0B 04 00 0B 1A 34</v>
      </c>
      <c r="Y267" s="26">
        <f>IF(Table2[[#This Row],[PMT]]="NA","NA",Table2[[#This Row],[PMT]]+14)-Table2[[#This Row],[Const]]</f>
        <v>6714</v>
      </c>
      <c r="Z267" s="26" t="str">
        <f>IF(Y267="NA","",CONCATENATE("0B 04 00 ",DEC2HEX($G267,2)," ",LEFT(DEC2HEX(Y267,4),2)," ",RIGHT(DEC2HEX(Y267,4),2)))</f>
        <v>0B 04 00 0B 1A 3A</v>
      </c>
      <c r="AA267" s="26" t="s">
        <v>1053</v>
      </c>
      <c r="AB267" s="26"/>
      <c r="AC267" s="26"/>
      <c r="AD267" s="26" t="s">
        <v>346</v>
      </c>
      <c r="AE267" s="26"/>
      <c r="AF267" s="26"/>
      <c r="AI267" s="26"/>
      <c r="AJ267" s="26"/>
      <c r="AL267" s="26"/>
      <c r="AW267" s="26"/>
      <c r="AX267" s="26"/>
      <c r="AY267" s="26"/>
    </row>
    <row r="268" spans="1:51" x14ac:dyDescent="0.25">
      <c r="A268" s="26">
        <v>184</v>
      </c>
      <c r="B268" s="26" t="s">
        <v>191</v>
      </c>
      <c r="C268" s="26">
        <v>5180</v>
      </c>
      <c r="D268" s="27" t="s">
        <v>497</v>
      </c>
      <c r="E268" s="26">
        <v>388</v>
      </c>
      <c r="F268" s="26">
        <v>9</v>
      </c>
      <c r="G268" s="26">
        <v>9</v>
      </c>
      <c r="H268" s="26" t="s">
        <v>361</v>
      </c>
      <c r="I268" s="26" t="s">
        <v>443</v>
      </c>
      <c r="J268" s="26" t="s">
        <v>1040</v>
      </c>
      <c r="K268" s="26" t="s">
        <v>953</v>
      </c>
      <c r="L268" s="26" t="s">
        <v>1002</v>
      </c>
      <c r="M268" s="26" t="s">
        <v>1377</v>
      </c>
      <c r="Q268" s="27" t="s">
        <v>1045</v>
      </c>
      <c r="R268" s="26">
        <v>4388</v>
      </c>
      <c r="S268" s="26">
        <v>7100</v>
      </c>
      <c r="T268" s="26">
        <f>IF(Table2[[#This Row],[PMT]]="NA","NA",Table2[[#This Row],[PMT]]+1)</f>
        <v>7101</v>
      </c>
      <c r="U268" s="26">
        <f>IF(Table2[[#This Row],[PMT]]="NA","NA",Table2[[#This Row],[PMT]]+2)</f>
        <v>7102</v>
      </c>
      <c r="V268" s="26">
        <v>0</v>
      </c>
      <c r="W268" s="26">
        <f>IF(Table2[[#This Row],[PMT]]="NA","NA",Table2[[#This Row],[PMT]]+8)-Table2[[#This Row],[Const]]</f>
        <v>7108</v>
      </c>
      <c r="X268" s="26" t="str">
        <f>IF(W268="NA","",CONCATENATE("0B 04 00 ",DEC2HEX($G268,2)," ",LEFT(DEC2HEX(W268,4),2)," ",RIGHT(DEC2HEX(W268,4),2)))</f>
        <v>0B 04 00 09 1B C4</v>
      </c>
      <c r="Y268" s="26">
        <f>IF(Table2[[#This Row],[PMT]]="NA","NA",Table2[[#This Row],[PMT]]+14)-Table2[[#This Row],[Const]]</f>
        <v>7114</v>
      </c>
      <c r="Z268" s="26" t="str">
        <f>IF(Y268="NA","",CONCATENATE("0B 04 00 ",DEC2HEX($G268,2)," ",LEFT(DEC2HEX(Y268,4),2)," ",RIGHT(DEC2HEX(Y268,4),2)))</f>
        <v>0B 04 00 09 1B CA</v>
      </c>
      <c r="AA268" s="26" t="s">
        <v>361</v>
      </c>
      <c r="AB268" s="26" t="s">
        <v>443</v>
      </c>
      <c r="AC268" s="26"/>
      <c r="AD268" s="26" t="s">
        <v>814</v>
      </c>
      <c r="AE268" s="26"/>
      <c r="AF268" s="26"/>
      <c r="AI268" s="26"/>
      <c r="AJ268" s="26"/>
      <c r="AL268" s="26"/>
      <c r="AW268" s="26"/>
      <c r="AX268" s="26"/>
      <c r="AY268" s="26"/>
    </row>
    <row r="269" spans="1:51" hidden="1" x14ac:dyDescent="0.25">
      <c r="A269" s="26">
        <v>264</v>
      </c>
      <c r="B269" s="26" t="s">
        <v>346</v>
      </c>
      <c r="C269" s="26" t="s">
        <v>346</v>
      </c>
      <c r="D269" s="27" t="s">
        <v>1106</v>
      </c>
      <c r="E269" s="26">
        <v>589</v>
      </c>
      <c r="F269" s="26" t="s">
        <v>346</v>
      </c>
      <c r="G269" s="26">
        <v>4</v>
      </c>
      <c r="H269" s="26" t="s">
        <v>1057</v>
      </c>
      <c r="I269" s="34" t="s">
        <v>559</v>
      </c>
      <c r="J269" s="26" t="s">
        <v>1038</v>
      </c>
      <c r="K269" s="26" t="s">
        <v>1039</v>
      </c>
      <c r="L269" s="26" t="s">
        <v>931</v>
      </c>
      <c r="M269" s="28"/>
      <c r="N269" s="31"/>
      <c r="O269" s="31"/>
      <c r="P269" s="31"/>
      <c r="Q269" s="32"/>
      <c r="R269" s="26">
        <v>12167</v>
      </c>
      <c r="S269" s="26">
        <v>940</v>
      </c>
      <c r="T269" s="26">
        <f>IF(Table2[[#This Row],[PMT]]="NA","NA",Table2[[#This Row],[PMT]]+1)</f>
        <v>941</v>
      </c>
      <c r="U269" s="26">
        <f>IF(Table2[[#This Row],[PMT]]="NA","NA",Table2[[#This Row],[PMT]]+2)</f>
        <v>942</v>
      </c>
      <c r="V269" s="26">
        <v>0</v>
      </c>
      <c r="W269" s="26">
        <f>IF(Table2[[#This Row],[PMT]]="NA","NA",Table2[[#This Row],[PMT]]+8)-Table2[[#This Row],[Const]]</f>
        <v>948</v>
      </c>
      <c r="X269" s="31" t="str">
        <f>IF(W269="NA","",CONCATENATE("0B 04 00 ",DEC2HEX($G269,2)," ",LEFT(DEC2HEX(W269,4),2)," ",RIGHT(DEC2HEX(W269,4),2)))</f>
        <v>0B 04 00 04 03 B4</v>
      </c>
      <c r="Y269" s="26">
        <f>IF(Table2[[#This Row],[PMT]]="NA","NA",Table2[[#This Row],[PMT]]+14)-Table2[[#This Row],[Const]]</f>
        <v>954</v>
      </c>
      <c r="Z269" s="31" t="str">
        <f>IF(Y269="NA","",CONCATENATE("0B 04 00 ",DEC2HEX($G269,2)," ",LEFT(DEC2HEX(Y269,4),2)," ",RIGHT(DEC2HEX(Y269,4),2)))</f>
        <v>0B 04 00 04 03 BA</v>
      </c>
      <c r="AA269" s="26"/>
      <c r="AB269" s="26"/>
      <c r="AC269" s="31"/>
      <c r="AD269" s="31" t="s">
        <v>346</v>
      </c>
      <c r="AE269" s="26"/>
      <c r="AF269" s="26"/>
      <c r="AI269" s="26"/>
      <c r="AJ269" s="26"/>
      <c r="AL269" s="26"/>
      <c r="AW269" s="26"/>
      <c r="AX269" s="26"/>
      <c r="AY269" s="26"/>
    </row>
    <row r="270" spans="1:51" x14ac:dyDescent="0.25">
      <c r="A270" s="26">
        <v>71</v>
      </c>
      <c r="B270" s="26" t="s">
        <v>309</v>
      </c>
      <c r="C270" s="26">
        <v>2000</v>
      </c>
      <c r="D270" s="27" t="s">
        <v>1055</v>
      </c>
      <c r="E270" s="26">
        <v>196</v>
      </c>
      <c r="F270" s="26">
        <v>6</v>
      </c>
      <c r="G270" s="26">
        <v>6</v>
      </c>
      <c r="H270" s="26" t="s">
        <v>1053</v>
      </c>
      <c r="I270" s="26" t="s">
        <v>1084</v>
      </c>
      <c r="J270" s="26" t="s">
        <v>1002</v>
      </c>
      <c r="K270" s="26" t="s">
        <v>953</v>
      </c>
      <c r="L270" s="26" t="s">
        <v>931</v>
      </c>
      <c r="M270" s="26" t="s">
        <v>1377</v>
      </c>
      <c r="N270" s="26" t="s">
        <v>1080</v>
      </c>
      <c r="O270" s="26" t="s">
        <v>1383</v>
      </c>
      <c r="P270" s="26">
        <v>3845</v>
      </c>
      <c r="Q270" s="27" t="s">
        <v>1045</v>
      </c>
      <c r="R270" s="26">
        <v>3192</v>
      </c>
      <c r="S270" s="26">
        <v>120</v>
      </c>
      <c r="T270" s="26">
        <f>IF(Table2[[#This Row],[PMT]]="NA","NA",Table2[[#This Row],[PMT]]+1)</f>
        <v>121</v>
      </c>
      <c r="U270" s="26">
        <f>IF(Table2[[#This Row],[PMT]]="NA","NA",Table2[[#This Row],[PMT]]+2)</f>
        <v>122</v>
      </c>
      <c r="V270" s="26">
        <v>0</v>
      </c>
      <c r="W270" s="26">
        <f>IF(Table2[[#This Row],[PMT]]="NA","NA",Table2[[#This Row],[PMT]]+8)-Table2[[#This Row],[Const]]</f>
        <v>128</v>
      </c>
      <c r="X270" s="26" t="str">
        <f>IF(W270="NA","",CONCATENATE("0B 04 00 ",DEC2HEX($G270,2)," ",LEFT(DEC2HEX(W270,4),2)," ",RIGHT(DEC2HEX(W270,4),2)))</f>
        <v>0B 04 00 06 00 80</v>
      </c>
      <c r="Y270" s="26">
        <f>IF(Table2[[#This Row],[PMT]]="NA","NA",Table2[[#This Row],[PMT]]+14)-Table2[[#This Row],[Const]]</f>
        <v>134</v>
      </c>
      <c r="Z270" s="26" t="str">
        <f>IF(Y270="NA","",CONCATENATE("0B 04 00 ",DEC2HEX($G270,2)," ",LEFT(DEC2HEX(Y270,4),2)," ",RIGHT(DEC2HEX(Y270,4),2)))</f>
        <v>0B 04 00 06 00 86</v>
      </c>
      <c r="AA270" s="26" t="s">
        <v>1053</v>
      </c>
      <c r="AB270" s="26" t="s">
        <v>1084</v>
      </c>
      <c r="AC270" s="26"/>
      <c r="AD270" s="26" t="s">
        <v>814</v>
      </c>
      <c r="AE270" s="26"/>
      <c r="AF270" s="26"/>
      <c r="AI270" s="26"/>
      <c r="AJ270" s="26"/>
      <c r="AL270" s="26"/>
      <c r="AW270" s="26"/>
      <c r="AX270" s="26"/>
      <c r="AY270" s="26"/>
    </row>
    <row r="271" spans="1:51" x14ac:dyDescent="0.25">
      <c r="A271" s="26">
        <v>95</v>
      </c>
      <c r="B271" s="26" t="s">
        <v>311</v>
      </c>
      <c r="C271" s="26">
        <v>2000</v>
      </c>
      <c r="D271" s="27" t="s">
        <v>422</v>
      </c>
      <c r="E271" s="26">
        <v>236</v>
      </c>
      <c r="F271" s="26">
        <v>3</v>
      </c>
      <c r="G271" s="26">
        <v>3</v>
      </c>
      <c r="H271" s="26" t="s">
        <v>1058</v>
      </c>
      <c r="I271" s="26" t="s">
        <v>1084</v>
      </c>
      <c r="J271" s="26" t="s">
        <v>1002</v>
      </c>
      <c r="K271" s="26" t="s">
        <v>953</v>
      </c>
      <c r="L271" s="26" t="s">
        <v>931</v>
      </c>
      <c r="M271" s="26" t="s">
        <v>1377</v>
      </c>
      <c r="N271" s="26" t="s">
        <v>1080</v>
      </c>
      <c r="O271" s="26" t="s">
        <v>1383</v>
      </c>
      <c r="P271" s="26">
        <v>3845</v>
      </c>
      <c r="Q271" s="27" t="s">
        <v>1045</v>
      </c>
      <c r="R271" s="26">
        <v>12045</v>
      </c>
      <c r="S271" s="26">
        <v>880</v>
      </c>
      <c r="T271" s="26">
        <f>IF(Table2[[#This Row],[PMT]]="NA","NA",Table2[[#This Row],[PMT]]+1)</f>
        <v>881</v>
      </c>
      <c r="U271" s="26">
        <f>IF(Table2[[#This Row],[PMT]]="NA","NA",Table2[[#This Row],[PMT]]+2)</f>
        <v>882</v>
      </c>
      <c r="V271" s="26">
        <v>0</v>
      </c>
      <c r="W271" s="26">
        <f>IF(Table2[[#This Row],[PMT]]="NA","NA",Table2[[#This Row],[PMT]]+8)-Table2[[#This Row],[Const]]</f>
        <v>888</v>
      </c>
      <c r="X271" s="26" t="str">
        <f>IF(W271="NA","",CONCATENATE("0B 04 00 ",DEC2HEX($G271,2)," ",LEFT(DEC2HEX(W271,4),2)," ",RIGHT(DEC2HEX(W271,4),2)))</f>
        <v>0B 04 00 03 03 78</v>
      </c>
      <c r="Y271" s="26">
        <f>IF(Table2[[#This Row],[PMT]]="NA","NA",Table2[[#This Row],[PMT]]+14)-Table2[[#This Row],[Const]]</f>
        <v>894</v>
      </c>
      <c r="Z271" s="26" t="str">
        <f>IF(Y271="NA","",CONCATENATE("0B 04 00 ",DEC2HEX($G271,2)," ",LEFT(DEC2HEX(Y271,4),2)," ",RIGHT(DEC2HEX(Y271,4),2)))</f>
        <v>0B 04 00 03 03 7E</v>
      </c>
      <c r="AA271" s="26" t="s">
        <v>1058</v>
      </c>
      <c r="AB271" s="26" t="s">
        <v>1084</v>
      </c>
      <c r="AC271" s="26"/>
      <c r="AD271" s="26" t="s">
        <v>346</v>
      </c>
      <c r="AE271" s="26"/>
      <c r="AF271" s="26"/>
      <c r="AI271" s="26"/>
      <c r="AJ271" s="26"/>
      <c r="AL271" s="26"/>
      <c r="AW271" s="26"/>
      <c r="AX271" s="26"/>
      <c r="AY271" s="26"/>
    </row>
    <row r="272" spans="1:51" x14ac:dyDescent="0.25">
      <c r="A272" s="26">
        <v>307</v>
      </c>
      <c r="B272" s="26" t="s">
        <v>645</v>
      </c>
      <c r="C272" s="26">
        <v>5001</v>
      </c>
      <c r="D272" s="27" t="s">
        <v>589</v>
      </c>
      <c r="E272" s="26">
        <v>688</v>
      </c>
      <c r="F272" s="26">
        <v>11</v>
      </c>
      <c r="G272" s="26">
        <v>11</v>
      </c>
      <c r="H272" s="26" t="s">
        <v>1352</v>
      </c>
      <c r="I272" s="26" t="s">
        <v>1350</v>
      </c>
      <c r="J272" s="26" t="s">
        <v>931</v>
      </c>
      <c r="K272" s="26" t="s">
        <v>1042</v>
      </c>
      <c r="L272" s="26" t="s">
        <v>931</v>
      </c>
      <c r="M272" s="26" t="s">
        <v>1376</v>
      </c>
      <c r="Q272" s="27"/>
      <c r="R272" s="26">
        <v>12051</v>
      </c>
      <c r="S272" s="26">
        <v>580</v>
      </c>
      <c r="T272" s="26">
        <f>IF(Table2[[#This Row],[PMT]]="NA","NA",Table2[[#This Row],[PMT]]+1)</f>
        <v>581</v>
      </c>
      <c r="U272" s="26">
        <f>IF(Table2[[#This Row],[PMT]]="NA","NA",Table2[[#This Row],[PMT]]+2)</f>
        <v>582</v>
      </c>
      <c r="V272" s="26">
        <v>0</v>
      </c>
      <c r="W272" s="26">
        <f>IF(Table2[[#This Row],[PMT]]="NA","NA",Table2[[#This Row],[PMT]]+8)-Table2[[#This Row],[Const]]</f>
        <v>588</v>
      </c>
      <c r="X272" s="26" t="str">
        <f>IF(W272="NA","",CONCATENATE("0B 04 00 ",DEC2HEX($G272,2)," ",LEFT(DEC2HEX(W272,4),2)," ",RIGHT(DEC2HEX(W272,4),2)))</f>
        <v>0B 04 00 0B 02 4C</v>
      </c>
      <c r="Y272" s="26">
        <f>IF(Table2[[#This Row],[PMT]]="NA","NA",Table2[[#This Row],[PMT]]+14)-Table2[[#This Row],[Const]]</f>
        <v>594</v>
      </c>
      <c r="Z272" s="26" t="str">
        <f>IF(Y272="NA","",CONCATENATE("0B 04 00 ",DEC2HEX($G272,2)," ",LEFT(DEC2HEX(Y272,4),2)," ",RIGHT(DEC2HEX(Y272,4),2)))</f>
        <v>0B 04 00 0B 02 52</v>
      </c>
      <c r="AA272" s="26"/>
      <c r="AB272" s="26"/>
      <c r="AC272" s="26"/>
      <c r="AD272" s="26" t="s">
        <v>814</v>
      </c>
      <c r="AE272" s="26"/>
      <c r="AF272" s="26"/>
      <c r="AI272" s="26"/>
      <c r="AJ272" s="26"/>
      <c r="AL272" s="26"/>
      <c r="AW272" s="26"/>
      <c r="AX272" s="26"/>
      <c r="AY272" s="26"/>
    </row>
    <row r="273" spans="1:51" hidden="1" x14ac:dyDescent="0.25">
      <c r="A273" s="26">
        <v>268</v>
      </c>
      <c r="B273" s="26" t="s">
        <v>346</v>
      </c>
      <c r="C273" s="26" t="s">
        <v>346</v>
      </c>
      <c r="D273" s="27" t="s">
        <v>1107</v>
      </c>
      <c r="E273" s="26">
        <v>593</v>
      </c>
      <c r="F273" s="26" t="s">
        <v>346</v>
      </c>
      <c r="G273" s="26">
        <v>4</v>
      </c>
      <c r="H273" s="26" t="s">
        <v>1057</v>
      </c>
      <c r="I273" s="26" t="s">
        <v>443</v>
      </c>
      <c r="J273" s="26" t="s">
        <v>1038</v>
      </c>
      <c r="K273" s="26" t="s">
        <v>1039</v>
      </c>
      <c r="L273" s="26" t="s">
        <v>931</v>
      </c>
      <c r="M273" s="28" t="s">
        <v>1377</v>
      </c>
      <c r="N273" s="31"/>
      <c r="O273" s="31"/>
      <c r="P273" s="31"/>
      <c r="Q273" s="32"/>
      <c r="R273" s="26">
        <v>12163</v>
      </c>
      <c r="S273" s="26">
        <v>740</v>
      </c>
      <c r="T273" s="26">
        <f>IF(Table2[[#This Row],[PMT]]="NA","NA",Table2[[#This Row],[PMT]]+1)</f>
        <v>741</v>
      </c>
      <c r="U273" s="26">
        <f>IF(Table2[[#This Row],[PMT]]="NA","NA",Table2[[#This Row],[PMT]]+2)</f>
        <v>742</v>
      </c>
      <c r="V273" s="26">
        <v>0</v>
      </c>
      <c r="W273" s="26">
        <f>IF(Table2[[#This Row],[PMT]]="NA","NA",Table2[[#This Row],[PMT]]+8)-Table2[[#This Row],[Const]]</f>
        <v>748</v>
      </c>
      <c r="X273" s="31" t="str">
        <f>IF(W273="NA","",CONCATENATE("0B 04 00 ",DEC2HEX($G273,2)," ",LEFT(DEC2HEX(W273,4),2)," ",RIGHT(DEC2HEX(W273,4),2)))</f>
        <v>0B 04 00 04 02 EC</v>
      </c>
      <c r="Y273" s="26">
        <f>IF(Table2[[#This Row],[PMT]]="NA","NA",Table2[[#This Row],[PMT]]+14)-Table2[[#This Row],[Const]]</f>
        <v>754</v>
      </c>
      <c r="Z273" s="31" t="str">
        <f>IF(Y273="NA","",CONCATENATE("0B 04 00 ",DEC2HEX($G273,2)," ",LEFT(DEC2HEX(Y273,4),2)," ",RIGHT(DEC2HEX(Y273,4),2)))</f>
        <v>0B 04 00 04 02 F2</v>
      </c>
      <c r="AA273" s="26"/>
      <c r="AB273" s="26"/>
      <c r="AC273" s="31"/>
      <c r="AD273" s="31" t="s">
        <v>346</v>
      </c>
      <c r="AE273" s="26"/>
      <c r="AF273" s="26"/>
      <c r="AI273" s="26"/>
      <c r="AJ273" s="26"/>
      <c r="AL273" s="26"/>
      <c r="AW273" s="26"/>
      <c r="AX273" s="26"/>
      <c r="AY273" s="26"/>
    </row>
    <row r="274" spans="1:51" hidden="1" x14ac:dyDescent="0.25">
      <c r="A274" s="26">
        <v>269</v>
      </c>
      <c r="B274" s="26" t="s">
        <v>346</v>
      </c>
      <c r="C274" s="26" t="s">
        <v>346</v>
      </c>
      <c r="D274" s="27" t="s">
        <v>1344</v>
      </c>
      <c r="E274" s="26">
        <v>597</v>
      </c>
      <c r="F274" s="26" t="s">
        <v>346</v>
      </c>
      <c r="G274" s="26">
        <v>7</v>
      </c>
      <c r="H274" s="26" t="s">
        <v>1057</v>
      </c>
      <c r="I274" s="26" t="s">
        <v>1354</v>
      </c>
      <c r="J274" s="26" t="s">
        <v>1038</v>
      </c>
      <c r="K274" s="26" t="s">
        <v>1039</v>
      </c>
      <c r="L274" s="26" t="s">
        <v>931</v>
      </c>
      <c r="M274" s="28" t="s">
        <v>1376</v>
      </c>
      <c r="N274" s="31"/>
      <c r="O274" s="31"/>
      <c r="P274" s="31"/>
      <c r="Q274" s="32"/>
      <c r="R274" s="31"/>
      <c r="S274" s="31"/>
      <c r="T274" s="31">
        <f>IF(Table2[[#This Row],[PMT]]="NA","NA",Table2[[#This Row],[PMT]]+1)</f>
        <v>1</v>
      </c>
      <c r="U274" s="31">
        <f>IF(Table2[[#This Row],[PMT]]="NA","NA",Table2[[#This Row],[PMT]]+2)</f>
        <v>2</v>
      </c>
      <c r="V274" s="26"/>
      <c r="W274" s="31">
        <f>IF(Table2[[#This Row],[PMT]]="NA","NA",Table2[[#This Row],[PMT]]+8)-Table2[[#This Row],[Const]]</f>
        <v>8</v>
      </c>
      <c r="X274" s="31" t="str">
        <f>IF(W274="NA","",CONCATENATE("0B 04 00 ",DEC2HEX($G274,2)," ",LEFT(DEC2HEX(W274,4),2)," ",RIGHT(DEC2HEX(W274,4),2)))</f>
        <v>0B 04 00 07 00 08</v>
      </c>
      <c r="Y274" s="31">
        <f>IF(Table2[[#This Row],[PMT]]="NA","NA",Table2[[#This Row],[PMT]]+14)-Table2[[#This Row],[Const]]</f>
        <v>14</v>
      </c>
      <c r="Z274" s="31" t="str">
        <f>IF(Y274="NA","",CONCATENATE("0B 04 00 ",DEC2HEX($G274,2)," ",LEFT(DEC2HEX(Y274,4),2)," ",RIGHT(DEC2HEX(Y274,4),2)))</f>
        <v>0B 04 00 07 00 0E</v>
      </c>
      <c r="AA274" s="26"/>
      <c r="AB274" s="26"/>
      <c r="AC274" s="31"/>
      <c r="AD274" s="31"/>
      <c r="AE274" s="26"/>
      <c r="AF274" s="26"/>
      <c r="AI274" s="26"/>
      <c r="AJ274" s="26"/>
      <c r="AL274" s="26"/>
      <c r="AW274" s="26"/>
      <c r="AX274" s="26"/>
      <c r="AY274" s="26"/>
    </row>
    <row r="275" spans="1:51" hidden="1" x14ac:dyDescent="0.25">
      <c r="A275" s="26">
        <v>270</v>
      </c>
      <c r="B275" s="26" t="s">
        <v>346</v>
      </c>
      <c r="C275" s="26" t="s">
        <v>346</v>
      </c>
      <c r="D275" s="27" t="s">
        <v>560</v>
      </c>
      <c r="E275" s="26">
        <v>598</v>
      </c>
      <c r="F275" s="26" t="s">
        <v>346</v>
      </c>
      <c r="G275" s="26">
        <v>3</v>
      </c>
      <c r="H275" s="26" t="s">
        <v>1057</v>
      </c>
      <c r="I275" s="26" t="s">
        <v>1354</v>
      </c>
      <c r="J275" s="26" t="s">
        <v>1038</v>
      </c>
      <c r="K275" s="26" t="s">
        <v>1039</v>
      </c>
      <c r="L275" s="26" t="s">
        <v>931</v>
      </c>
      <c r="M275" s="28" t="s">
        <v>1376</v>
      </c>
      <c r="Q275" s="27"/>
      <c r="R275" s="26">
        <v>12138</v>
      </c>
      <c r="S275" s="26">
        <v>1020</v>
      </c>
      <c r="T275" s="26">
        <f>IF(Table2[[#This Row],[PMT]]="NA","NA",Table2[[#This Row],[PMT]]+1)</f>
        <v>1021</v>
      </c>
      <c r="U275" s="26">
        <f>IF(Table2[[#This Row],[PMT]]="NA","NA",Table2[[#This Row],[PMT]]+2)</f>
        <v>1022</v>
      </c>
      <c r="V275" s="26">
        <v>0</v>
      </c>
      <c r="W275" s="26">
        <f>IF(Table2[[#This Row],[PMT]]="NA","NA",Table2[[#This Row],[PMT]]+8)-Table2[[#This Row],[Const]]</f>
        <v>1028</v>
      </c>
      <c r="X275" s="26" t="str">
        <f>IF(W275="NA","",CONCATENATE("0B 04 00 ",DEC2HEX($G275,2)," ",LEFT(DEC2HEX(W275,4),2)," ",RIGHT(DEC2HEX(W275,4),2)))</f>
        <v>0B 04 00 03 04 04</v>
      </c>
      <c r="Y275" s="26">
        <f>IF(Table2[[#This Row],[PMT]]="NA","NA",Table2[[#This Row],[PMT]]+14)-Table2[[#This Row],[Const]]</f>
        <v>1034</v>
      </c>
      <c r="Z275" s="26" t="str">
        <f>IF(Y275="NA","",CONCATENATE("0B 04 00 ",DEC2HEX($G275,2)," ",LEFT(DEC2HEX(Y275,4),2)," ",RIGHT(DEC2HEX(Y275,4),2)))</f>
        <v>0B 04 00 03 04 0A</v>
      </c>
      <c r="AA275" s="26" t="s">
        <v>1057</v>
      </c>
      <c r="AB275" s="26"/>
      <c r="AC275" s="26"/>
      <c r="AD275" s="26" t="s">
        <v>346</v>
      </c>
      <c r="AE275" s="26"/>
      <c r="AF275" s="26"/>
      <c r="AI275" s="26"/>
      <c r="AJ275" s="26"/>
      <c r="AL275" s="26"/>
      <c r="AW275" s="26"/>
      <c r="AX275" s="26"/>
      <c r="AY275" s="26"/>
    </row>
    <row r="276" spans="1:51" hidden="1" x14ac:dyDescent="0.25">
      <c r="A276" s="26">
        <v>271</v>
      </c>
      <c r="B276" s="26" t="s">
        <v>346</v>
      </c>
      <c r="C276" s="26" t="s">
        <v>346</v>
      </c>
      <c r="D276" s="27" t="s">
        <v>561</v>
      </c>
      <c r="E276" s="26">
        <v>599</v>
      </c>
      <c r="F276" s="26" t="s">
        <v>346</v>
      </c>
      <c r="G276" s="26">
        <v>2</v>
      </c>
      <c r="H276" s="26" t="s">
        <v>349</v>
      </c>
      <c r="I276" s="26" t="s">
        <v>1354</v>
      </c>
      <c r="J276" s="26" t="s">
        <v>1038</v>
      </c>
      <c r="K276" s="26" t="s">
        <v>1039</v>
      </c>
      <c r="L276" s="26" t="s">
        <v>931</v>
      </c>
      <c r="M276" s="28" t="s">
        <v>1376</v>
      </c>
      <c r="Q276" s="27"/>
      <c r="R276" s="26">
        <v>12115</v>
      </c>
      <c r="S276" s="26">
        <v>1560</v>
      </c>
      <c r="T276" s="26">
        <f>IF(Table2[[#This Row],[PMT]]="NA","NA",Table2[[#This Row],[PMT]]+1)</f>
        <v>1561</v>
      </c>
      <c r="U276" s="26">
        <f>IF(Table2[[#This Row],[PMT]]="NA","NA",Table2[[#This Row],[PMT]]+2)</f>
        <v>1562</v>
      </c>
      <c r="V276" s="26">
        <v>0</v>
      </c>
      <c r="W276" s="26">
        <f>IF(Table2[[#This Row],[PMT]]="NA","NA",Table2[[#This Row],[PMT]]+8)-Table2[[#This Row],[Const]]</f>
        <v>1568</v>
      </c>
      <c r="X276" s="26" t="str">
        <f>IF(W276="NA","",CONCATENATE("0B 04 00 ",DEC2HEX($G276,2)," ",LEFT(DEC2HEX(W276,4),2)," ",RIGHT(DEC2HEX(W276,4),2)))</f>
        <v>0B 04 00 02 06 20</v>
      </c>
      <c r="Y276" s="26">
        <f>IF(Table2[[#This Row],[PMT]]="NA","NA",Table2[[#This Row],[PMT]]+14)-Table2[[#This Row],[Const]]</f>
        <v>1574</v>
      </c>
      <c r="Z276" s="26" t="str">
        <f>IF(Y276="NA","",CONCATENATE("0B 04 00 ",DEC2HEX($G276,2)," ",LEFT(DEC2HEX(Y276,4),2)," ",RIGHT(DEC2HEX(Y276,4),2)))</f>
        <v>0B 04 00 02 06 26</v>
      </c>
      <c r="AA276" s="26"/>
      <c r="AB276" s="26"/>
      <c r="AC276" s="26"/>
      <c r="AD276" s="26" t="s">
        <v>346</v>
      </c>
      <c r="AE276" s="26"/>
      <c r="AF276" s="26"/>
      <c r="AI276" s="26"/>
      <c r="AJ276" s="26"/>
      <c r="AL276" s="26"/>
      <c r="AW276" s="26"/>
      <c r="AX276" s="26"/>
      <c r="AY276" s="26"/>
    </row>
    <row r="277" spans="1:51" x14ac:dyDescent="0.25">
      <c r="A277" s="26">
        <v>15</v>
      </c>
      <c r="B277" s="26" t="s">
        <v>305</v>
      </c>
      <c r="C277" s="26">
        <v>2000</v>
      </c>
      <c r="D277" s="27" t="s">
        <v>358</v>
      </c>
      <c r="E277" s="26">
        <v>113</v>
      </c>
      <c r="F277" s="26">
        <v>4</v>
      </c>
      <c r="G277" s="26">
        <v>4</v>
      </c>
      <c r="H277" s="26" t="s">
        <v>349</v>
      </c>
      <c r="I277" s="26" t="s">
        <v>443</v>
      </c>
      <c r="J277" s="26" t="s">
        <v>931</v>
      </c>
      <c r="K277" s="26" t="s">
        <v>953</v>
      </c>
      <c r="L277" s="26" t="s">
        <v>931</v>
      </c>
      <c r="M277" s="26" t="s">
        <v>1377</v>
      </c>
      <c r="N277" s="26" t="s">
        <v>1391</v>
      </c>
      <c r="O277" s="26" t="s">
        <v>1088</v>
      </c>
      <c r="P277" s="26">
        <v>3752</v>
      </c>
      <c r="Q277" s="27" t="s">
        <v>1043</v>
      </c>
      <c r="R277" s="26">
        <v>12072</v>
      </c>
      <c r="S277" s="26">
        <v>5200</v>
      </c>
      <c r="T277" s="26">
        <f>IF(Table2[[#This Row],[PMT]]="NA","NA",Table2[[#This Row],[PMT]]+1)</f>
        <v>5201</v>
      </c>
      <c r="U277" s="26">
        <f>IF(Table2[[#This Row],[PMT]]="NA","NA",Table2[[#This Row],[PMT]]+2)</f>
        <v>5202</v>
      </c>
      <c r="V277" s="26">
        <v>0</v>
      </c>
      <c r="W277" s="26">
        <f>IF(Table2[[#This Row],[PMT]]="NA","NA",Table2[[#This Row],[PMT]]+8)-Table2[[#This Row],[Const]]</f>
        <v>5208</v>
      </c>
      <c r="X277" s="26" t="str">
        <f>IF(W277="NA","",CONCATENATE("0B 04 00 ",DEC2HEX($G277,2)," ",LEFT(DEC2HEX(W277,4),2)," ",RIGHT(DEC2HEX(W277,4),2)))</f>
        <v>0B 04 00 04 14 58</v>
      </c>
      <c r="Y277" s="26">
        <f>IF(Table2[[#This Row],[PMT]]="NA","NA",Table2[[#This Row],[PMT]]+14)-Table2[[#This Row],[Const]]</f>
        <v>5214</v>
      </c>
      <c r="Z277" s="26" t="str">
        <f>IF(Y277="NA","",CONCATENATE("0B 04 00 ",DEC2HEX($G277,2)," ",LEFT(DEC2HEX(Y277,4),2)," ",RIGHT(DEC2HEX(Y277,4),2)))</f>
        <v>0B 04 00 04 14 5E</v>
      </c>
      <c r="AA277" s="26" t="s">
        <v>349</v>
      </c>
      <c r="AB277" s="26" t="s">
        <v>443</v>
      </c>
      <c r="AC277" s="26">
        <v>9300</v>
      </c>
      <c r="AD277" s="26" t="s">
        <v>814</v>
      </c>
      <c r="AE277" s="26"/>
      <c r="AF277" s="26"/>
      <c r="AI277" s="26"/>
      <c r="AJ277" s="26"/>
      <c r="AL277" s="26"/>
      <c r="AW277" s="26"/>
      <c r="AX277" s="26"/>
      <c r="AY277" s="26"/>
    </row>
    <row r="278" spans="1:51" x14ac:dyDescent="0.25">
      <c r="A278" s="26">
        <v>318</v>
      </c>
      <c r="B278" s="26" t="s">
        <v>307</v>
      </c>
      <c r="C278" s="26">
        <v>2000</v>
      </c>
      <c r="D278" s="27" t="s">
        <v>599</v>
      </c>
      <c r="E278" s="26">
        <v>764</v>
      </c>
      <c r="F278" s="26">
        <v>3</v>
      </c>
      <c r="G278" s="26">
        <v>3</v>
      </c>
      <c r="H278" s="26" t="s">
        <v>349</v>
      </c>
      <c r="I278" s="26" t="s">
        <v>1355</v>
      </c>
      <c r="J278" s="26" t="s">
        <v>1002</v>
      </c>
      <c r="K278" s="26" t="s">
        <v>953</v>
      </c>
      <c r="L278" s="26" t="s">
        <v>1002</v>
      </c>
      <c r="M278" s="26" t="s">
        <v>1377</v>
      </c>
      <c r="N278" s="26" t="s">
        <v>1086</v>
      </c>
      <c r="O278" s="26" t="s">
        <v>1091</v>
      </c>
      <c r="P278" s="26">
        <v>3940</v>
      </c>
      <c r="Q278" s="27" t="s">
        <v>1043</v>
      </c>
      <c r="R278" s="26">
        <v>3545</v>
      </c>
      <c r="S278" s="26">
        <v>1600</v>
      </c>
      <c r="T278" s="26">
        <f>IF(Table2[[#This Row],[PMT]]="NA","NA",Table2[[#This Row],[PMT]]+1)</f>
        <v>1601</v>
      </c>
      <c r="U278" s="26">
        <f>IF(Table2[[#This Row],[PMT]]="NA","NA",Table2[[#This Row],[PMT]]+2)</f>
        <v>1602</v>
      </c>
      <c r="V278" s="26">
        <v>0</v>
      </c>
      <c r="W278" s="26">
        <f>IF(Table2[[#This Row],[PMT]]="NA","NA",Table2[[#This Row],[PMT]]+8)-Table2[[#This Row],[Const]]</f>
        <v>1608</v>
      </c>
      <c r="X278" s="26" t="str">
        <f>IF(W278="NA","",CONCATENATE("0B 04 00 ",DEC2HEX($G278,2)," ",LEFT(DEC2HEX(W278,4),2)," ",RIGHT(DEC2HEX(W278,4),2)))</f>
        <v>0B 04 00 03 06 48</v>
      </c>
      <c r="Y278" s="26">
        <f>IF(Table2[[#This Row],[PMT]]="NA","NA",Table2[[#This Row],[PMT]]+14)-Table2[[#This Row],[Const]]</f>
        <v>1614</v>
      </c>
      <c r="Z278" s="26" t="str">
        <f>IF(Y278="NA","",CONCATENATE("0B 04 00 ",DEC2HEX($G278,2)," ",LEFT(DEC2HEX(Y278,4),2)," ",RIGHT(DEC2HEX(Y278,4),2)))</f>
        <v>0B 04 00 03 06 4E</v>
      </c>
      <c r="AA278" s="26" t="s">
        <v>349</v>
      </c>
      <c r="AB278" s="26"/>
      <c r="AC278" s="26">
        <v>28100</v>
      </c>
      <c r="AD278" s="26" t="s">
        <v>814</v>
      </c>
      <c r="AE278" s="26"/>
      <c r="AF278" s="26"/>
      <c r="AI278" s="26"/>
      <c r="AJ278" s="26"/>
      <c r="AL278" s="26"/>
      <c r="AW278" s="26"/>
      <c r="AX278" s="26"/>
      <c r="AY278" s="26"/>
    </row>
    <row r="279" spans="1:51" x14ac:dyDescent="0.25">
      <c r="A279" s="26">
        <v>68</v>
      </c>
      <c r="B279" s="26" t="s">
        <v>215</v>
      </c>
      <c r="C279" s="26">
        <v>5180</v>
      </c>
      <c r="D279" s="27" t="s">
        <v>398</v>
      </c>
      <c r="E279" s="26">
        <v>192</v>
      </c>
      <c r="F279" s="26">
        <v>1</v>
      </c>
      <c r="G279" s="26">
        <v>1</v>
      </c>
      <c r="H279" s="26" t="s">
        <v>1053</v>
      </c>
      <c r="I279" s="26" t="s">
        <v>1084</v>
      </c>
      <c r="J279" s="26" t="s">
        <v>1002</v>
      </c>
      <c r="K279" s="26" t="s">
        <v>953</v>
      </c>
      <c r="L279" s="26" t="s">
        <v>931</v>
      </c>
      <c r="M279" s="26" t="s">
        <v>1377</v>
      </c>
      <c r="N279" s="26" t="s">
        <v>1086</v>
      </c>
      <c r="O279" s="26" t="s">
        <v>1092</v>
      </c>
      <c r="P279" s="26">
        <v>3980</v>
      </c>
      <c r="Q279" s="27" t="s">
        <v>1043</v>
      </c>
      <c r="R279" s="26">
        <v>1190</v>
      </c>
      <c r="S279" s="26">
        <v>1600</v>
      </c>
      <c r="T279" s="26">
        <f>IF(Table2[[#This Row],[PMT]]="NA","NA",Table2[[#This Row],[PMT]]+1)</f>
        <v>1601</v>
      </c>
      <c r="U279" s="26">
        <f>IF(Table2[[#This Row],[PMT]]="NA","NA",Table2[[#This Row],[PMT]]+2)</f>
        <v>1602</v>
      </c>
      <c r="V279" s="26">
        <v>1</v>
      </c>
      <c r="W279" s="26">
        <f>IF(Table2[[#This Row],[PMT]]="NA","NA",Table2[[#This Row],[PMT]]+8)-Table2[[#This Row],[Const]]</f>
        <v>1607</v>
      </c>
      <c r="X279" s="26" t="str">
        <f>IF(W279="NA","",CONCATENATE("0B 04 00 ",DEC2HEX($G279,2)," ",LEFT(DEC2HEX(W279,4),2)," ",RIGHT(DEC2HEX(W279,4),2)))</f>
        <v>0B 04 00 01 06 47</v>
      </c>
      <c r="Y279" s="26">
        <f>IF(Table2[[#This Row],[PMT]]="NA","NA",Table2[[#This Row],[PMT]]+14)-Table2[[#This Row],[Const]]</f>
        <v>1613</v>
      </c>
      <c r="Z279" s="26" t="str">
        <f>IF(Y279="NA","",CONCATENATE("0B 04 00 ",DEC2HEX($G279,2)," ",LEFT(DEC2HEX(Y279,4),2)," ",RIGHT(DEC2HEX(Y279,4),2)))</f>
        <v>0B 04 00 01 06 4D</v>
      </c>
      <c r="AA279" s="26" t="s">
        <v>1053</v>
      </c>
      <c r="AB279" s="26" t="s">
        <v>1084</v>
      </c>
      <c r="AC279" s="26">
        <v>28100</v>
      </c>
      <c r="AD279" s="26" t="s">
        <v>1074</v>
      </c>
      <c r="AE279" s="26"/>
      <c r="AF279" s="26"/>
      <c r="AI279" s="26"/>
      <c r="AJ279" s="26"/>
      <c r="AL279" s="26"/>
      <c r="AW279" s="26"/>
      <c r="AX279" s="26"/>
      <c r="AY279" s="26"/>
    </row>
    <row r="280" spans="1:51" x14ac:dyDescent="0.25">
      <c r="A280" s="26">
        <v>4</v>
      </c>
      <c r="B280" s="26" t="s">
        <v>154</v>
      </c>
      <c r="C280" s="26">
        <v>5180</v>
      </c>
      <c r="D280" s="27" t="s">
        <v>348</v>
      </c>
      <c r="E280" s="26">
        <v>102</v>
      </c>
      <c r="F280" s="26">
        <v>1</v>
      </c>
      <c r="G280" s="26">
        <v>1</v>
      </c>
      <c r="H280" s="26" t="s">
        <v>349</v>
      </c>
      <c r="I280" s="26" t="s">
        <v>443</v>
      </c>
      <c r="J280" s="26" t="s">
        <v>1040</v>
      </c>
      <c r="K280" s="26" t="s">
        <v>953</v>
      </c>
      <c r="L280" s="26" t="s">
        <v>931</v>
      </c>
      <c r="M280" s="26" t="s">
        <v>1377</v>
      </c>
      <c r="N280" s="26" t="s">
        <v>1086</v>
      </c>
      <c r="O280" s="26" t="s">
        <v>1092</v>
      </c>
      <c r="P280" s="26">
        <v>3980</v>
      </c>
      <c r="Q280" s="27" t="s">
        <v>1043</v>
      </c>
      <c r="R280" s="26">
        <v>1101</v>
      </c>
      <c r="S280" s="26">
        <v>1500</v>
      </c>
      <c r="T280" s="26">
        <f>IF(Table2[[#This Row],[PMT]]="NA","NA",Table2[[#This Row],[PMT]]+1)</f>
        <v>1501</v>
      </c>
      <c r="U280" s="26">
        <f>IF(Table2[[#This Row],[PMT]]="NA","NA",Table2[[#This Row],[PMT]]+2)</f>
        <v>1502</v>
      </c>
      <c r="V280" s="26">
        <v>1</v>
      </c>
      <c r="W280" s="26">
        <f>IF(Table2[[#This Row],[PMT]]="NA","NA",Table2[[#This Row],[PMT]]+8)-Table2[[#This Row],[Const]]</f>
        <v>1507</v>
      </c>
      <c r="X280" s="26" t="str">
        <f>IF(W280="NA","",CONCATENATE("0B 04 00 ",DEC2HEX($G280,2)," ",LEFT(DEC2HEX(W280,4),2)," ",RIGHT(DEC2HEX(W280,4),2)))</f>
        <v>0B 04 00 01 05 E3</v>
      </c>
      <c r="Y280" s="26">
        <f>IF(Table2[[#This Row],[PMT]]="NA","NA",Table2[[#This Row],[PMT]]+14)-Table2[[#This Row],[Const]]</f>
        <v>1513</v>
      </c>
      <c r="Z280" s="26" t="str">
        <f>IF(Y280="NA","",CONCATENATE("0B 04 00 ",DEC2HEX($G280,2)," ",LEFT(DEC2HEX(Y280,4),2)," ",RIGHT(DEC2HEX(Y280,4),2)))</f>
        <v>0B 04 00 01 05 E9</v>
      </c>
      <c r="AA280" s="26" t="s">
        <v>349</v>
      </c>
      <c r="AB280" s="26" t="s">
        <v>443</v>
      </c>
      <c r="AC280" s="26">
        <v>28100</v>
      </c>
      <c r="AD280" s="26" t="s">
        <v>1074</v>
      </c>
      <c r="AE280" s="26"/>
      <c r="AF280" s="26"/>
      <c r="AI280" s="26"/>
      <c r="AJ280" s="26"/>
      <c r="AL280" s="26"/>
      <c r="AW280" s="26"/>
      <c r="AX280" s="26"/>
      <c r="AY280" s="26"/>
    </row>
    <row r="281" spans="1:51" x14ac:dyDescent="0.25">
      <c r="A281" s="26">
        <v>84</v>
      </c>
      <c r="B281" s="26" t="s">
        <v>138</v>
      </c>
      <c r="C281" s="26">
        <v>5180</v>
      </c>
      <c r="D281" s="27" t="s">
        <v>412</v>
      </c>
      <c r="E281" s="26">
        <v>220</v>
      </c>
      <c r="F281" s="26">
        <v>3</v>
      </c>
      <c r="G281" s="26">
        <v>3</v>
      </c>
      <c r="H281" s="26" t="s">
        <v>1058</v>
      </c>
      <c r="I281" s="26" t="s">
        <v>1084</v>
      </c>
      <c r="J281" s="26" t="s">
        <v>1040</v>
      </c>
      <c r="K281" s="26" t="s">
        <v>953</v>
      </c>
      <c r="L281" s="26" t="s">
        <v>931</v>
      </c>
      <c r="M281" s="26" t="s">
        <v>1377</v>
      </c>
      <c r="N281" s="26" t="s">
        <v>1086</v>
      </c>
      <c r="O281" s="26" t="s">
        <v>1089</v>
      </c>
      <c r="P281" s="26">
        <v>3860</v>
      </c>
      <c r="Q281" s="27" t="s">
        <v>1043</v>
      </c>
      <c r="R281" s="26">
        <v>2226</v>
      </c>
      <c r="S281" s="26">
        <v>5100</v>
      </c>
      <c r="T281" s="26">
        <f>IF(Table2[[#This Row],[PMT]]="NA","NA",Table2[[#This Row],[PMT]]+1)</f>
        <v>5101</v>
      </c>
      <c r="U281" s="26">
        <f>IF(Table2[[#This Row],[PMT]]="NA","NA",Table2[[#This Row],[PMT]]+2)</f>
        <v>5102</v>
      </c>
      <c r="V281" s="26">
        <v>-1</v>
      </c>
      <c r="W281" s="26">
        <f>IF(Table2[[#This Row],[PMT]]="NA","NA",Table2[[#This Row],[PMT]]+8)-Table2[[#This Row],[Const]]</f>
        <v>5109</v>
      </c>
      <c r="X281" s="26" t="str">
        <f>IF(W281="NA","",CONCATENATE("0B 04 00 ",DEC2HEX($G281,2)," ",LEFT(DEC2HEX(W281,4),2)," ",RIGHT(DEC2HEX(W281,4),2)))</f>
        <v>0B 04 00 03 13 F5</v>
      </c>
      <c r="Y281" s="26">
        <f>IF(Table2[[#This Row],[PMT]]="NA","NA",Table2[[#This Row],[PMT]]+14)-Table2[[#This Row],[Const]]</f>
        <v>5115</v>
      </c>
      <c r="Z281" s="26" t="str">
        <f>IF(Y281="NA","",CONCATENATE("0B 04 00 ",DEC2HEX($G281,2)," ",LEFT(DEC2HEX(Y281,4),2)," ",RIGHT(DEC2HEX(Y281,4),2)))</f>
        <v>0B 04 00 03 13 FB</v>
      </c>
      <c r="AA281" s="26" t="s">
        <v>1058</v>
      </c>
      <c r="AB281" s="26" t="s">
        <v>1084</v>
      </c>
      <c r="AC281" s="26">
        <v>28100</v>
      </c>
      <c r="AD281" s="26" t="s">
        <v>818</v>
      </c>
      <c r="AE281" s="26"/>
      <c r="AF281" s="26"/>
      <c r="AI281" s="26"/>
      <c r="AJ281" s="26"/>
      <c r="AL281" s="26"/>
      <c r="AW281" s="26"/>
      <c r="AX281" s="26"/>
      <c r="AY281" s="26"/>
    </row>
    <row r="282" spans="1:51" hidden="1" x14ac:dyDescent="0.25">
      <c r="A282" s="26">
        <v>277</v>
      </c>
      <c r="B282" s="26" t="s">
        <v>346</v>
      </c>
      <c r="C282" s="26" t="s">
        <v>346</v>
      </c>
      <c r="D282" s="27" t="s">
        <v>567</v>
      </c>
      <c r="E282" s="26">
        <v>605</v>
      </c>
      <c r="F282" s="26" t="s">
        <v>346</v>
      </c>
      <c r="G282" s="26">
        <v>4</v>
      </c>
      <c r="H282" s="26" t="s">
        <v>1352</v>
      </c>
      <c r="I282" s="26" t="s">
        <v>1354</v>
      </c>
      <c r="J282" s="26" t="s">
        <v>1038</v>
      </c>
      <c r="K282" s="26" t="s">
        <v>1039</v>
      </c>
      <c r="L282" s="26" t="s">
        <v>931</v>
      </c>
      <c r="M282" s="28"/>
      <c r="Q282" s="27"/>
      <c r="R282" s="26">
        <v>9605</v>
      </c>
      <c r="S282" s="26">
        <v>620</v>
      </c>
      <c r="T282" s="26">
        <f>IF(Table2[[#This Row],[PMT]]="NA","NA",Table2[[#This Row],[PMT]]+1)</f>
        <v>621</v>
      </c>
      <c r="U282" s="26">
        <f>IF(Table2[[#This Row],[PMT]]="NA","NA",Table2[[#This Row],[PMT]]+2)</f>
        <v>622</v>
      </c>
      <c r="V282" s="26">
        <v>0</v>
      </c>
      <c r="W282" s="26">
        <f>IF(Table2[[#This Row],[PMT]]="NA","NA",Table2[[#This Row],[PMT]]+8)-Table2[[#This Row],[Const]]</f>
        <v>628</v>
      </c>
      <c r="X282" s="26" t="str">
        <f>IF(W282="NA","",CONCATENATE("0B 04 00 ",DEC2HEX($G282,2)," ",LEFT(DEC2HEX(W282,4),2)," ",RIGHT(DEC2HEX(W282,4),2)))</f>
        <v>0B 04 00 04 02 74</v>
      </c>
      <c r="Y282" s="26">
        <f>IF(Table2[[#This Row],[PMT]]="NA","NA",Table2[[#This Row],[PMT]]+14)-Table2[[#This Row],[Const]]</f>
        <v>634</v>
      </c>
      <c r="Z282" s="26" t="str">
        <f>IF(Y282="NA","",CONCATENATE("0B 04 00 ",DEC2HEX($G282,2)," ",LEFT(DEC2HEX(Y282,4),2)," ",RIGHT(DEC2HEX(Y282,4),2)))</f>
        <v>0B 04 00 04 02 7A</v>
      </c>
      <c r="AA282" s="26"/>
      <c r="AB282" s="26"/>
      <c r="AC282" s="26"/>
      <c r="AD282" s="26" t="s">
        <v>346</v>
      </c>
      <c r="AE282" s="26"/>
      <c r="AF282" s="26"/>
      <c r="AI282" s="26"/>
      <c r="AJ282" s="26"/>
      <c r="AL282" s="26"/>
      <c r="AW282" s="26"/>
      <c r="AX282" s="26"/>
      <c r="AY282" s="26"/>
    </row>
    <row r="283" spans="1:51" x14ac:dyDescent="0.25">
      <c r="A283" s="26">
        <v>86</v>
      </c>
      <c r="B283" s="26" t="s">
        <v>206</v>
      </c>
      <c r="C283" s="26">
        <v>5180</v>
      </c>
      <c r="D283" s="27" t="s">
        <v>413</v>
      </c>
      <c r="E283" s="26">
        <v>222</v>
      </c>
      <c r="F283" s="26">
        <v>1</v>
      </c>
      <c r="G283" s="26">
        <v>1</v>
      </c>
      <c r="H283" s="26" t="s">
        <v>1058</v>
      </c>
      <c r="I283" s="26" t="s">
        <v>1084</v>
      </c>
      <c r="J283" s="26" t="s">
        <v>1040</v>
      </c>
      <c r="K283" s="26" t="s">
        <v>953</v>
      </c>
      <c r="L283" s="26" t="s">
        <v>931</v>
      </c>
      <c r="M283" s="26" t="s">
        <v>1377</v>
      </c>
      <c r="N283" s="26" t="s">
        <v>1086</v>
      </c>
      <c r="O283" s="26" t="s">
        <v>1089</v>
      </c>
      <c r="P283" s="26">
        <v>3860</v>
      </c>
      <c r="Q283" s="27" t="s">
        <v>1043</v>
      </c>
      <c r="R283" s="26">
        <v>12066</v>
      </c>
      <c r="S283" s="26">
        <v>440</v>
      </c>
      <c r="T283" s="26">
        <f>IF(Table2[[#This Row],[PMT]]="NA","NA",Table2[[#This Row],[PMT]]+1)</f>
        <v>441</v>
      </c>
      <c r="U283" s="26">
        <f>IF(Table2[[#This Row],[PMT]]="NA","NA",Table2[[#This Row],[PMT]]+2)</f>
        <v>442</v>
      </c>
      <c r="V283" s="26">
        <v>0</v>
      </c>
      <c r="W283" s="26">
        <f>IF(Table2[[#This Row],[PMT]]="NA","NA",Table2[[#This Row],[PMT]]+8)-Table2[[#This Row],[Const]]</f>
        <v>448</v>
      </c>
      <c r="X283" s="26" t="str">
        <f>IF(W283="NA","",CONCATENATE("0B 04 00 ",DEC2HEX($G283,2)," ",LEFT(DEC2HEX(W283,4),2)," ",RIGHT(DEC2HEX(W283,4),2)))</f>
        <v>0B 04 00 01 01 C0</v>
      </c>
      <c r="Y283" s="26">
        <f>IF(Table2[[#This Row],[PMT]]="NA","NA",Table2[[#This Row],[PMT]]+14)-Table2[[#This Row],[Const]]</f>
        <v>454</v>
      </c>
      <c r="Z283" s="26" t="str">
        <f>IF(Y283="NA","",CONCATENATE("0B 04 00 ",DEC2HEX($G283,2)," ",LEFT(DEC2HEX(Y283,4),2)," ",RIGHT(DEC2HEX(Y283,4),2)))</f>
        <v>0B 04 00 01 01 C6</v>
      </c>
      <c r="AA283" s="26" t="s">
        <v>1058</v>
      </c>
      <c r="AB283" s="26" t="s">
        <v>1084</v>
      </c>
      <c r="AC283" s="26">
        <v>28100</v>
      </c>
      <c r="AD283" s="26" t="s">
        <v>346</v>
      </c>
      <c r="AE283" s="26"/>
      <c r="AF283" s="26"/>
      <c r="AI283" s="26"/>
      <c r="AJ283" s="26"/>
      <c r="AL283" s="26"/>
      <c r="AW283" s="26"/>
      <c r="AX283" s="26"/>
      <c r="AY283" s="26"/>
    </row>
    <row r="284" spans="1:51" hidden="1" x14ac:dyDescent="0.25">
      <c r="A284" s="26">
        <v>279</v>
      </c>
      <c r="B284" s="26" t="s">
        <v>346</v>
      </c>
      <c r="C284" s="26" t="s">
        <v>346</v>
      </c>
      <c r="D284" s="27" t="s">
        <v>569</v>
      </c>
      <c r="E284" s="26">
        <v>607</v>
      </c>
      <c r="F284" s="26" t="s">
        <v>346</v>
      </c>
      <c r="G284" s="26">
        <v>5</v>
      </c>
      <c r="H284" s="26" t="s">
        <v>349</v>
      </c>
      <c r="I284" s="26" t="s">
        <v>1354</v>
      </c>
      <c r="J284" s="26" t="s">
        <v>1038</v>
      </c>
      <c r="K284" s="26" t="s">
        <v>1039</v>
      </c>
      <c r="L284" s="26" t="s">
        <v>931</v>
      </c>
      <c r="M284" s="28" t="s">
        <v>1377</v>
      </c>
      <c r="Q284" s="27"/>
      <c r="R284" s="26">
        <v>12021</v>
      </c>
      <c r="S284" s="26">
        <v>7600</v>
      </c>
      <c r="T284" s="26">
        <f>IF(Table2[[#This Row],[PMT]]="NA","NA",Table2[[#This Row],[PMT]]+1)</f>
        <v>7601</v>
      </c>
      <c r="U284" s="26">
        <f>IF(Table2[[#This Row],[PMT]]="NA","NA",Table2[[#This Row],[PMT]]+2)</f>
        <v>7602</v>
      </c>
      <c r="V284" s="26">
        <v>0</v>
      </c>
      <c r="W284" s="26">
        <f>IF(Table2[[#This Row],[PMT]]="NA","NA",Table2[[#This Row],[PMT]]+8)-Table2[[#This Row],[Const]]</f>
        <v>7608</v>
      </c>
      <c r="X284" s="26" t="str">
        <f>IF(W284="NA","",CONCATENATE("0B 04 00 ",DEC2HEX($G284,2)," ",LEFT(DEC2HEX(W284,4),2)," ",RIGHT(DEC2HEX(W284,4),2)))</f>
        <v>0B 04 00 05 1D B8</v>
      </c>
      <c r="Y284" s="26">
        <f>IF(Table2[[#This Row],[PMT]]="NA","NA",Table2[[#This Row],[PMT]]+14)-Table2[[#This Row],[Const]]</f>
        <v>7614</v>
      </c>
      <c r="Z284" s="26" t="str">
        <f>IF(Y284="NA","",CONCATENATE("0B 04 00 ",DEC2HEX($G284,2)," ",LEFT(DEC2HEX(Y284,4),2)," ",RIGHT(DEC2HEX(Y284,4),2)))</f>
        <v>0B 04 00 05 1D BE</v>
      </c>
      <c r="AA284" s="26" t="s">
        <v>349</v>
      </c>
      <c r="AB284" s="26"/>
      <c r="AC284" s="26"/>
      <c r="AD284" s="26" t="s">
        <v>346</v>
      </c>
      <c r="AE284" s="26"/>
      <c r="AF284" s="26"/>
      <c r="AI284" s="26"/>
      <c r="AJ284" s="26"/>
      <c r="AL284" s="26"/>
      <c r="AW284" s="26"/>
      <c r="AX284" s="26"/>
      <c r="AY284" s="26"/>
    </row>
    <row r="285" spans="1:51" x14ac:dyDescent="0.25">
      <c r="A285" s="26">
        <v>88</v>
      </c>
      <c r="B285" s="26" t="s">
        <v>218</v>
      </c>
      <c r="C285" s="26">
        <v>5180</v>
      </c>
      <c r="D285" s="27" t="s">
        <v>414</v>
      </c>
      <c r="E285" s="26">
        <v>224</v>
      </c>
      <c r="F285" s="26">
        <v>2</v>
      </c>
      <c r="G285" s="26">
        <v>2</v>
      </c>
      <c r="H285" s="26" t="s">
        <v>1058</v>
      </c>
      <c r="I285" s="26" t="s">
        <v>443</v>
      </c>
      <c r="J285" s="26" t="s">
        <v>1040</v>
      </c>
      <c r="K285" s="26" t="s">
        <v>953</v>
      </c>
      <c r="L285" s="26" t="s">
        <v>931</v>
      </c>
      <c r="M285" s="26" t="s">
        <v>1377</v>
      </c>
      <c r="N285" s="26" t="s">
        <v>1086</v>
      </c>
      <c r="O285" s="26" t="s">
        <v>1089</v>
      </c>
      <c r="P285" s="26">
        <v>3860</v>
      </c>
      <c r="Q285" s="27" t="s">
        <v>1043</v>
      </c>
      <c r="R285" s="26">
        <v>2227</v>
      </c>
      <c r="S285" s="26">
        <v>640</v>
      </c>
      <c r="T285" s="26">
        <f>IF(Table2[[#This Row],[PMT]]="NA","NA",Table2[[#This Row],[PMT]]+1)</f>
        <v>641</v>
      </c>
      <c r="U285" s="26">
        <f>IF(Table2[[#This Row],[PMT]]="NA","NA",Table2[[#This Row],[PMT]]+2)</f>
        <v>642</v>
      </c>
      <c r="V285" s="26">
        <v>0</v>
      </c>
      <c r="W285" s="26">
        <f>IF(Table2[[#This Row],[PMT]]="NA","NA",Table2[[#This Row],[PMT]]+8)-Table2[[#This Row],[Const]]</f>
        <v>648</v>
      </c>
      <c r="X285" s="26" t="str">
        <f>IF(W285="NA","",CONCATENATE("0B 04 00 ",DEC2HEX($G285,2)," ",LEFT(DEC2HEX(W285,4),2)," ",RIGHT(DEC2HEX(W285,4),2)))</f>
        <v>0B 04 00 02 02 88</v>
      </c>
      <c r="Y285" s="26">
        <f>IF(Table2[[#This Row],[PMT]]="NA","NA",Table2[[#This Row],[PMT]]+14)-Table2[[#This Row],[Const]]</f>
        <v>654</v>
      </c>
      <c r="Z285" s="26" t="str">
        <f>IF(Y285="NA","",CONCATENATE("0B 04 00 ",DEC2HEX($G285,2)," ",LEFT(DEC2HEX(Y285,4),2)," ",RIGHT(DEC2HEX(Y285,4),2)))</f>
        <v>0B 04 00 02 02 8E</v>
      </c>
      <c r="AA285" s="26" t="s">
        <v>1058</v>
      </c>
      <c r="AB285" s="26" t="s">
        <v>1084</v>
      </c>
      <c r="AC285" s="26">
        <v>28100</v>
      </c>
      <c r="AD285" s="26" t="s">
        <v>1078</v>
      </c>
      <c r="AE285" s="26"/>
      <c r="AF285" s="26"/>
      <c r="AI285" s="26"/>
      <c r="AJ285" s="26"/>
      <c r="AL285" s="26"/>
      <c r="AW285" s="26"/>
      <c r="AX285" s="26"/>
      <c r="AY285" s="26"/>
    </row>
    <row r="286" spans="1:51" x14ac:dyDescent="0.25">
      <c r="A286" s="26">
        <v>90</v>
      </c>
      <c r="B286" s="26" t="s">
        <v>217</v>
      </c>
      <c r="C286" s="26">
        <v>5180</v>
      </c>
      <c r="D286" s="27" t="s">
        <v>416</v>
      </c>
      <c r="E286" s="26">
        <v>226</v>
      </c>
      <c r="F286" s="26">
        <v>1</v>
      </c>
      <c r="G286" s="26">
        <v>1</v>
      </c>
      <c r="H286" s="26" t="s">
        <v>1058</v>
      </c>
      <c r="I286" s="26" t="s">
        <v>1084</v>
      </c>
      <c r="J286" s="26" t="s">
        <v>1040</v>
      </c>
      <c r="K286" s="26" t="s">
        <v>953</v>
      </c>
      <c r="L286" s="26" t="s">
        <v>931</v>
      </c>
      <c r="M286" s="26" t="s">
        <v>1377</v>
      </c>
      <c r="N286" s="26" t="s">
        <v>1086</v>
      </c>
      <c r="O286" s="26" t="s">
        <v>1089</v>
      </c>
      <c r="P286" s="26">
        <v>3860</v>
      </c>
      <c r="Q286" s="27" t="s">
        <v>1043</v>
      </c>
      <c r="R286" s="26">
        <v>2225</v>
      </c>
      <c r="S286" s="26">
        <v>6300</v>
      </c>
      <c r="T286" s="26">
        <f>IF(Table2[[#This Row],[PMT]]="NA","NA",Table2[[#This Row],[PMT]]+1)</f>
        <v>6301</v>
      </c>
      <c r="U286" s="26">
        <f>IF(Table2[[#This Row],[PMT]]="NA","NA",Table2[[#This Row],[PMT]]+2)</f>
        <v>6302</v>
      </c>
      <c r="V286" s="26">
        <v>1</v>
      </c>
      <c r="W286" s="26">
        <f>IF(Table2[[#This Row],[PMT]]="NA","NA",Table2[[#This Row],[PMT]]+8)-Table2[[#This Row],[Const]]</f>
        <v>6307</v>
      </c>
      <c r="X286" s="26" t="str">
        <f>IF(W286="NA","",CONCATENATE("0B 04 00 ",DEC2HEX($G286,2)," ",LEFT(DEC2HEX(W286,4),2)," ",RIGHT(DEC2HEX(W286,4),2)))</f>
        <v>0B 04 00 01 18 A3</v>
      </c>
      <c r="Y286" s="26">
        <f>IF(Table2[[#This Row],[PMT]]="NA","NA",Table2[[#This Row],[PMT]]+14)-Table2[[#This Row],[Const]]</f>
        <v>6313</v>
      </c>
      <c r="Z286" s="26" t="str">
        <f>IF(Y286="NA","",CONCATENATE("0B 04 00 ",DEC2HEX($G286,2)," ",LEFT(DEC2HEX(Y286,4),2)," ",RIGHT(DEC2HEX(Y286,4),2)))</f>
        <v>0B 04 00 01 18 A9</v>
      </c>
      <c r="AA286" s="26" t="s">
        <v>1058</v>
      </c>
      <c r="AB286" s="26" t="s">
        <v>1084</v>
      </c>
      <c r="AC286" s="26">
        <v>28100</v>
      </c>
      <c r="AD286" s="26" t="s">
        <v>1074</v>
      </c>
      <c r="AE286" s="26"/>
      <c r="AF286" s="26"/>
      <c r="AI286" s="26"/>
      <c r="AJ286" s="26"/>
      <c r="AL286" s="26"/>
      <c r="AW286" s="26"/>
      <c r="AX286" s="26"/>
      <c r="AY286" s="26"/>
    </row>
    <row r="287" spans="1:51" x14ac:dyDescent="0.25">
      <c r="A287" s="26">
        <v>21</v>
      </c>
      <c r="B287" s="26" t="s">
        <v>220</v>
      </c>
      <c r="C287" s="26">
        <v>5180</v>
      </c>
      <c r="D287" s="27" t="s">
        <v>363</v>
      </c>
      <c r="E287" s="26">
        <v>119</v>
      </c>
      <c r="F287" s="26">
        <v>7</v>
      </c>
      <c r="G287" s="26">
        <v>7</v>
      </c>
      <c r="H287" s="26" t="s">
        <v>349</v>
      </c>
      <c r="I287" s="26" t="s">
        <v>443</v>
      </c>
      <c r="J287" s="26" t="s">
        <v>1040</v>
      </c>
      <c r="K287" s="26" t="s">
        <v>953</v>
      </c>
      <c r="L287" s="26" t="s">
        <v>931</v>
      </c>
      <c r="M287" s="26" t="s">
        <v>1377</v>
      </c>
      <c r="N287" s="26" t="s">
        <v>1086</v>
      </c>
      <c r="O287" s="26" t="s">
        <v>1092</v>
      </c>
      <c r="P287" s="26">
        <v>3980</v>
      </c>
      <c r="Q287" s="27" t="s">
        <v>1043</v>
      </c>
      <c r="R287" s="26">
        <v>5111</v>
      </c>
      <c r="S287" s="26">
        <v>520</v>
      </c>
      <c r="T287" s="26">
        <f>IF(Table2[[#This Row],[PMT]]="NA","NA",Table2[[#This Row],[PMT]]+1)</f>
        <v>521</v>
      </c>
      <c r="U287" s="26">
        <f>IF(Table2[[#This Row],[PMT]]="NA","NA",Table2[[#This Row],[PMT]]+2)</f>
        <v>522</v>
      </c>
      <c r="V287" s="26">
        <v>0</v>
      </c>
      <c r="W287" s="26">
        <f>IF(Table2[[#This Row],[PMT]]="NA","NA",Table2[[#This Row],[PMT]]+8)-Table2[[#This Row],[Const]]</f>
        <v>528</v>
      </c>
      <c r="X287" s="26" t="str">
        <f>IF(W287="NA","",CONCATENATE("0B 04 00 ",DEC2HEX($G287,2)," ",LEFT(DEC2HEX(W287,4),2)," ",RIGHT(DEC2HEX(W287,4),2)))</f>
        <v>0B 04 00 07 02 10</v>
      </c>
      <c r="Y287" s="26">
        <f>IF(Table2[[#This Row],[PMT]]="NA","NA",Table2[[#This Row],[PMT]]+14)-Table2[[#This Row],[Const]]</f>
        <v>534</v>
      </c>
      <c r="Z287" s="26" t="str">
        <f>IF(Y287="NA","",CONCATENATE("0B 04 00 ",DEC2HEX($G287,2)," ",LEFT(DEC2HEX(Y287,4),2)," ",RIGHT(DEC2HEX(Y287,4),2)))</f>
        <v>0B 04 00 07 02 16</v>
      </c>
      <c r="AA287" s="26" t="s">
        <v>349</v>
      </c>
      <c r="AB287" s="26" t="s">
        <v>443</v>
      </c>
      <c r="AC287" s="26">
        <v>28100</v>
      </c>
      <c r="AD287" s="26" t="s">
        <v>814</v>
      </c>
      <c r="AE287" s="26"/>
      <c r="AF287" s="26"/>
      <c r="AI287" s="26"/>
      <c r="AJ287" s="26"/>
      <c r="AL287" s="26"/>
      <c r="AW287" s="26"/>
      <c r="AX287" s="26"/>
      <c r="AY287" s="26"/>
    </row>
    <row r="288" spans="1:51" hidden="1" x14ac:dyDescent="0.25">
      <c r="A288" s="26">
        <v>283</v>
      </c>
      <c r="B288" s="26" t="s">
        <v>346</v>
      </c>
      <c r="C288" s="26" t="s">
        <v>346</v>
      </c>
      <c r="D288" s="27" t="s">
        <v>572</v>
      </c>
      <c r="E288" s="26">
        <v>612</v>
      </c>
      <c r="F288" s="26" t="s">
        <v>346</v>
      </c>
      <c r="G288" s="26">
        <v>6</v>
      </c>
      <c r="H288" s="26" t="s">
        <v>349</v>
      </c>
      <c r="I288" s="26" t="s">
        <v>1351</v>
      </c>
      <c r="J288" s="26" t="s">
        <v>1038</v>
      </c>
      <c r="K288" s="26" t="s">
        <v>1039</v>
      </c>
      <c r="L288" s="26" t="s">
        <v>931</v>
      </c>
      <c r="M288" s="28" t="s">
        <v>1376</v>
      </c>
      <c r="Q288" s="27"/>
      <c r="R288" s="26">
        <v>6612</v>
      </c>
      <c r="S288" s="26">
        <v>7800</v>
      </c>
      <c r="T288" s="26">
        <f>IF(Table2[[#This Row],[PMT]]="NA","NA",Table2[[#This Row],[PMT]]+1)</f>
        <v>7801</v>
      </c>
      <c r="U288" s="26">
        <f>IF(Table2[[#This Row],[PMT]]="NA","NA",Table2[[#This Row],[PMT]]+2)</f>
        <v>7802</v>
      </c>
      <c r="V288" s="26">
        <v>0</v>
      </c>
      <c r="W288" s="26">
        <f>IF(Table2[[#This Row],[PMT]]="NA","NA",Table2[[#This Row],[PMT]]+8)-Table2[[#This Row],[Const]]</f>
        <v>7808</v>
      </c>
      <c r="X288" s="26" t="str">
        <f>IF(W288="NA","",CONCATENATE("0B 04 00 ",DEC2HEX($G288,2)," ",LEFT(DEC2HEX(W288,4),2)," ",RIGHT(DEC2HEX(W288,4),2)))</f>
        <v>0B 04 00 06 1E 80</v>
      </c>
      <c r="Y288" s="26">
        <f>IF(Table2[[#This Row],[PMT]]="NA","NA",Table2[[#This Row],[PMT]]+14)-Table2[[#This Row],[Const]]</f>
        <v>7814</v>
      </c>
      <c r="Z288" s="26" t="str">
        <f>IF(Y288="NA","",CONCATENATE("0B 04 00 ",DEC2HEX($G288,2)," ",LEFT(DEC2HEX(Y288,4),2)," ",RIGHT(DEC2HEX(Y288,4),2)))</f>
        <v>0B 04 00 06 1E 86</v>
      </c>
      <c r="AA288" s="26" t="s">
        <v>349</v>
      </c>
      <c r="AB288" s="26"/>
      <c r="AC288" s="26"/>
      <c r="AD288" s="26" t="s">
        <v>346</v>
      </c>
      <c r="AE288" s="26"/>
      <c r="AF288" s="26"/>
      <c r="AI288" s="26"/>
      <c r="AJ288" s="26"/>
      <c r="AL288" s="26"/>
      <c r="AW288" s="26"/>
      <c r="AX288" s="26"/>
      <c r="AY288" s="26"/>
    </row>
    <row r="289" spans="1:51" x14ac:dyDescent="0.25">
      <c r="A289" s="26">
        <v>41</v>
      </c>
      <c r="B289" s="26" t="s">
        <v>148</v>
      </c>
      <c r="C289" s="26">
        <v>5180</v>
      </c>
      <c r="D289" s="27" t="s">
        <v>374</v>
      </c>
      <c r="E289" s="26">
        <v>148</v>
      </c>
      <c r="F289" s="26">
        <v>3</v>
      </c>
      <c r="G289" s="26">
        <v>3</v>
      </c>
      <c r="H289" s="26" t="s">
        <v>349</v>
      </c>
      <c r="I289" s="26" t="s">
        <v>1084</v>
      </c>
      <c r="J289" s="26" t="s">
        <v>1040</v>
      </c>
      <c r="K289" s="26" t="s">
        <v>953</v>
      </c>
      <c r="L289" s="26" t="s">
        <v>931</v>
      </c>
      <c r="M289" s="26" t="s">
        <v>1377</v>
      </c>
      <c r="N289" s="26" t="s">
        <v>1086</v>
      </c>
      <c r="O289" s="26" t="s">
        <v>1092</v>
      </c>
      <c r="P289" s="26">
        <v>3980</v>
      </c>
      <c r="Q289" s="27" t="s">
        <v>1043</v>
      </c>
      <c r="R289" s="26">
        <v>1136</v>
      </c>
      <c r="S289" s="26">
        <v>160</v>
      </c>
      <c r="T289" s="26">
        <f>IF(Table2[[#This Row],[PMT]]="NA","NA",Table2[[#This Row],[PMT]]+1)</f>
        <v>161</v>
      </c>
      <c r="U289" s="26">
        <f>IF(Table2[[#This Row],[PMT]]="NA","NA",Table2[[#This Row],[PMT]]+2)</f>
        <v>162</v>
      </c>
      <c r="V289" s="26">
        <v>-1</v>
      </c>
      <c r="W289" s="26">
        <f>IF(Table2[[#This Row],[PMT]]="NA","NA",Table2[[#This Row],[PMT]]+8)-Table2[[#This Row],[Const]]</f>
        <v>169</v>
      </c>
      <c r="X289" s="26" t="str">
        <f>IF(W289="NA","",CONCATENATE("0B 04 00 ",DEC2HEX($G289,2)," ",LEFT(DEC2HEX(W289,4),2)," ",RIGHT(DEC2HEX(W289,4),2)))</f>
        <v>0B 04 00 03 00 A9</v>
      </c>
      <c r="Y289" s="26">
        <f>IF(Table2[[#This Row],[PMT]]="NA","NA",Table2[[#This Row],[PMT]]+14)-Table2[[#This Row],[Const]]</f>
        <v>175</v>
      </c>
      <c r="Z289" s="26" t="str">
        <f>IF(Y289="NA","",CONCATENATE("0B 04 00 ",DEC2HEX($G289,2)," ",LEFT(DEC2HEX(Y289,4),2)," ",RIGHT(DEC2HEX(Y289,4),2)))</f>
        <v>0B 04 00 03 00 AF</v>
      </c>
      <c r="AA289" s="26" t="s">
        <v>349</v>
      </c>
      <c r="AB289" s="26" t="s">
        <v>1084</v>
      </c>
      <c r="AC289" s="26">
        <v>28100</v>
      </c>
      <c r="AD289" s="26" t="s">
        <v>813</v>
      </c>
      <c r="AE289" s="26"/>
      <c r="AF289" s="26"/>
      <c r="AI289" s="26"/>
      <c r="AJ289" s="26"/>
      <c r="AL289" s="26"/>
      <c r="AW289" s="26"/>
      <c r="AX289" s="26"/>
      <c r="AY289" s="26"/>
    </row>
    <row r="290" spans="1:51" hidden="1" x14ac:dyDescent="0.25">
      <c r="A290" s="26">
        <v>285</v>
      </c>
      <c r="B290" s="26" t="s">
        <v>346</v>
      </c>
      <c r="C290" s="26" t="s">
        <v>346</v>
      </c>
      <c r="D290" s="27" t="s">
        <v>1369</v>
      </c>
      <c r="E290" s="26">
        <v>617</v>
      </c>
      <c r="F290" s="26" t="s">
        <v>346</v>
      </c>
      <c r="G290" s="26">
        <v>4</v>
      </c>
      <c r="H290" s="26" t="s">
        <v>1057</v>
      </c>
      <c r="I290" s="26" t="s">
        <v>1360</v>
      </c>
      <c r="J290" s="26" t="s">
        <v>1038</v>
      </c>
      <c r="K290" s="26" t="s">
        <v>1039</v>
      </c>
      <c r="L290" s="26" t="s">
        <v>931</v>
      </c>
      <c r="M290" s="28"/>
      <c r="N290" s="31"/>
      <c r="O290" s="31"/>
      <c r="P290" s="31"/>
      <c r="Q290" s="32"/>
      <c r="R290" s="26">
        <v>12165</v>
      </c>
      <c r="S290" s="26">
        <v>680</v>
      </c>
      <c r="T290" s="26">
        <f>IF(Table2[[#This Row],[PMT]]="NA","NA",Table2[[#This Row],[PMT]]+1)</f>
        <v>681</v>
      </c>
      <c r="U290" s="26">
        <f>IF(Table2[[#This Row],[PMT]]="NA","NA",Table2[[#This Row],[PMT]]+2)</f>
        <v>682</v>
      </c>
      <c r="V290" s="26">
        <v>0</v>
      </c>
      <c r="W290" s="26">
        <f>IF(Table2[[#This Row],[PMT]]="NA","NA",Table2[[#This Row],[PMT]]+8)-Table2[[#This Row],[Const]]</f>
        <v>688</v>
      </c>
      <c r="X290" s="31" t="str">
        <f>IF(W290="NA","",CONCATENATE("0B 04 00 ",DEC2HEX($G290,2)," ",LEFT(DEC2HEX(W290,4),2)," ",RIGHT(DEC2HEX(W290,4),2)))</f>
        <v>0B 04 00 04 02 B0</v>
      </c>
      <c r="Y290" s="26">
        <f>IF(Table2[[#This Row],[PMT]]="NA","NA",Table2[[#This Row],[PMT]]+14)-Table2[[#This Row],[Const]]</f>
        <v>694</v>
      </c>
      <c r="Z290" s="31" t="str">
        <f>IF(Y290="NA","",CONCATENATE("0B 04 00 ",DEC2HEX($G290,2)," ",LEFT(DEC2HEX(Y290,4),2)," ",RIGHT(DEC2HEX(Y290,4),2)))</f>
        <v>0B 04 00 04 02 B6</v>
      </c>
      <c r="AA290" s="26"/>
      <c r="AB290" s="26"/>
      <c r="AC290" s="31"/>
      <c r="AD290" s="31" t="s">
        <v>346</v>
      </c>
      <c r="AE290" s="26"/>
      <c r="AF290" s="26"/>
      <c r="AI290" s="26"/>
      <c r="AJ290" s="26"/>
      <c r="AL290" s="26"/>
      <c r="AW290" s="26"/>
      <c r="AX290" s="26"/>
      <c r="AY290" s="26"/>
    </row>
    <row r="291" spans="1:51" hidden="1" x14ac:dyDescent="0.25">
      <c r="A291" s="26">
        <v>286</v>
      </c>
      <c r="B291" s="26" t="s">
        <v>346</v>
      </c>
      <c r="C291" s="26" t="s">
        <v>346</v>
      </c>
      <c r="D291" s="27" t="s">
        <v>1105</v>
      </c>
      <c r="E291" s="26">
        <v>618</v>
      </c>
      <c r="F291" s="26" t="s">
        <v>346</v>
      </c>
      <c r="G291" s="26">
        <v>4</v>
      </c>
      <c r="H291" s="26" t="s">
        <v>361</v>
      </c>
      <c r="I291" s="26" t="s">
        <v>1360</v>
      </c>
      <c r="J291" s="26" t="s">
        <v>1038</v>
      </c>
      <c r="K291" s="26" t="s">
        <v>1039</v>
      </c>
      <c r="L291" s="26" t="s">
        <v>931</v>
      </c>
      <c r="M291" s="28"/>
      <c r="N291" s="31"/>
      <c r="O291" s="31"/>
      <c r="P291" s="31"/>
      <c r="Q291" s="32"/>
      <c r="R291" s="26">
        <v>12166</v>
      </c>
      <c r="S291" s="26">
        <v>920</v>
      </c>
      <c r="T291" s="26">
        <f>IF(Table2[[#This Row],[PMT]]="NA","NA",Table2[[#This Row],[PMT]]+1)</f>
        <v>921</v>
      </c>
      <c r="U291" s="26">
        <f>IF(Table2[[#This Row],[PMT]]="NA","NA",Table2[[#This Row],[PMT]]+2)</f>
        <v>922</v>
      </c>
      <c r="V291" s="26">
        <v>0</v>
      </c>
      <c r="W291" s="26">
        <f>IF(Table2[[#This Row],[PMT]]="NA","NA",Table2[[#This Row],[PMT]]+8)-Table2[[#This Row],[Const]]</f>
        <v>928</v>
      </c>
      <c r="X291" s="31" t="str">
        <f>IF(W291="NA","",CONCATENATE("0B 04 00 ",DEC2HEX($G291,2)," ",LEFT(DEC2HEX(W291,4),2)," ",RIGHT(DEC2HEX(W291,4),2)))</f>
        <v>0B 04 00 04 03 A0</v>
      </c>
      <c r="Y291" s="26">
        <f>IF(Table2[[#This Row],[PMT]]="NA","NA",Table2[[#This Row],[PMT]]+14)-Table2[[#This Row],[Const]]</f>
        <v>934</v>
      </c>
      <c r="Z291" s="31" t="str">
        <f>IF(Y291="NA","",CONCATENATE("0B 04 00 ",DEC2HEX($G291,2)," ",LEFT(DEC2HEX(Y291,4),2)," ",RIGHT(DEC2HEX(Y291,4),2)))</f>
        <v>0B 04 00 04 03 A6</v>
      </c>
      <c r="AA291" s="26"/>
      <c r="AB291" s="26"/>
      <c r="AC291" s="31"/>
      <c r="AD291" s="31" t="s">
        <v>346</v>
      </c>
      <c r="AE291" s="26"/>
      <c r="AF291" s="26"/>
      <c r="AI291" s="26"/>
      <c r="AJ291" s="26"/>
      <c r="AL291" s="26"/>
      <c r="AW291" s="26"/>
      <c r="AX291" s="26"/>
      <c r="AY291" s="26"/>
    </row>
    <row r="292" spans="1:51" x14ac:dyDescent="0.25">
      <c r="A292" s="26">
        <v>367</v>
      </c>
      <c r="B292" s="26" t="s">
        <v>652</v>
      </c>
      <c r="C292" s="26">
        <v>5001</v>
      </c>
      <c r="D292" s="27" t="s">
        <v>638</v>
      </c>
      <c r="E292" s="26">
        <v>862</v>
      </c>
      <c r="F292" s="26">
        <v>4</v>
      </c>
      <c r="G292" s="26">
        <v>4</v>
      </c>
      <c r="H292" s="26" t="s">
        <v>1057</v>
      </c>
      <c r="I292" s="26" t="s">
        <v>1357</v>
      </c>
      <c r="J292" s="26" t="s">
        <v>931</v>
      </c>
      <c r="K292" s="26" t="s">
        <v>1042</v>
      </c>
      <c r="L292" s="26" t="s">
        <v>931</v>
      </c>
      <c r="M292" s="28" t="s">
        <v>1376</v>
      </c>
      <c r="Q292" s="27"/>
      <c r="R292" s="26">
        <v>4594</v>
      </c>
      <c r="S292" s="26">
        <v>1600</v>
      </c>
      <c r="T292" s="26">
        <f>IF(Table2[[#This Row],[PMT]]="NA","NA",Table2[[#This Row],[PMT]]+1)</f>
        <v>1601</v>
      </c>
      <c r="U292" s="26">
        <f>IF(Table2[[#This Row],[PMT]]="NA","NA",Table2[[#This Row],[PMT]]+2)</f>
        <v>1602</v>
      </c>
      <c r="V292" s="26">
        <v>0</v>
      </c>
      <c r="W292" s="26">
        <f>IF(Table2[[#This Row],[PMT]]="NA","NA",Table2[[#This Row],[PMT]]+8)-Table2[[#This Row],[Const]]</f>
        <v>1608</v>
      </c>
      <c r="X292" s="26" t="str">
        <f>IF(W292="NA","",CONCATENATE("0B 04 00 ",DEC2HEX($G292,2)," ",LEFT(DEC2HEX(W292,4),2)," ",RIGHT(DEC2HEX(W292,4),2)))</f>
        <v>0B 04 00 04 06 48</v>
      </c>
      <c r="Y292" s="26">
        <f>IF(Table2[[#This Row],[PMT]]="NA","NA",Table2[[#This Row],[PMT]]+14)-Table2[[#This Row],[Const]]</f>
        <v>1614</v>
      </c>
      <c r="Z292" s="26" t="str">
        <f>IF(Y292="NA","",CONCATENATE("0B 04 00 ",DEC2HEX($G292,2)," ",LEFT(DEC2HEX(Y292,4),2)," ",RIGHT(DEC2HEX(Y292,4),2)))</f>
        <v>0B 04 00 04 06 4E</v>
      </c>
      <c r="AA292" s="26" t="s">
        <v>1057</v>
      </c>
      <c r="AB292" s="26"/>
      <c r="AC292" s="26"/>
      <c r="AD292" s="26" t="s">
        <v>814</v>
      </c>
      <c r="AE292" s="26"/>
      <c r="AF292" s="26"/>
      <c r="AI292" s="26"/>
      <c r="AJ292" s="26"/>
      <c r="AL292" s="26"/>
      <c r="AW292" s="26"/>
      <c r="AX292" s="26"/>
      <c r="AY292" s="26"/>
    </row>
    <row r="293" spans="1:51" hidden="1" x14ac:dyDescent="0.25">
      <c r="A293" s="26">
        <v>288</v>
      </c>
      <c r="B293" s="26" t="s">
        <v>346</v>
      </c>
      <c r="C293" s="26" t="s">
        <v>346</v>
      </c>
      <c r="D293" s="27" t="s">
        <v>574</v>
      </c>
      <c r="E293" s="26">
        <v>620</v>
      </c>
      <c r="F293" s="26" t="s">
        <v>346</v>
      </c>
      <c r="G293" s="26">
        <v>7</v>
      </c>
      <c r="H293" s="26" t="s">
        <v>349</v>
      </c>
      <c r="I293" s="26" t="s">
        <v>1360</v>
      </c>
      <c r="J293" s="26" t="s">
        <v>1038</v>
      </c>
      <c r="K293" s="26" t="s">
        <v>1039</v>
      </c>
      <c r="L293" s="26" t="s">
        <v>931</v>
      </c>
      <c r="M293" s="28"/>
      <c r="Q293" s="27"/>
      <c r="R293" s="26">
        <v>3620</v>
      </c>
      <c r="S293" s="26">
        <v>7500</v>
      </c>
      <c r="T293" s="26">
        <f>IF(Table2[[#This Row],[PMT]]="NA","NA",Table2[[#This Row],[PMT]]+1)</f>
        <v>7501</v>
      </c>
      <c r="U293" s="26">
        <f>IF(Table2[[#This Row],[PMT]]="NA","NA",Table2[[#This Row],[PMT]]+2)</f>
        <v>7502</v>
      </c>
      <c r="V293" s="26">
        <v>0</v>
      </c>
      <c r="W293" s="26">
        <f>IF(Table2[[#This Row],[PMT]]="NA","NA",Table2[[#This Row],[PMT]]+8)-Table2[[#This Row],[Const]]</f>
        <v>7508</v>
      </c>
      <c r="X293" s="26" t="str">
        <f>IF(W293="NA","",CONCATENATE("0B 04 00 ",DEC2HEX($G293,2)," ",LEFT(DEC2HEX(W293,4),2)," ",RIGHT(DEC2HEX(W293,4),2)))</f>
        <v>0B 04 00 07 1D 54</v>
      </c>
      <c r="Y293" s="26">
        <f>IF(Table2[[#This Row],[PMT]]="NA","NA",Table2[[#This Row],[PMT]]+14)-Table2[[#This Row],[Const]]</f>
        <v>7514</v>
      </c>
      <c r="Z293" s="26" t="str">
        <f>IF(Y293="NA","",CONCATENATE("0B 04 00 ",DEC2HEX($G293,2)," ",LEFT(DEC2HEX(Y293,4),2)," ",RIGHT(DEC2HEX(Y293,4),2)))</f>
        <v>0B 04 00 07 1D 5A</v>
      </c>
      <c r="AA293" s="26" t="s">
        <v>349</v>
      </c>
      <c r="AB293" s="26"/>
      <c r="AC293" s="26"/>
      <c r="AD293" s="26" t="s">
        <v>346</v>
      </c>
      <c r="AE293" s="26"/>
      <c r="AF293" s="26"/>
      <c r="AI293" s="26"/>
      <c r="AJ293" s="26"/>
      <c r="AL293" s="26"/>
      <c r="AW293" s="26"/>
      <c r="AX293" s="26"/>
      <c r="AY293" s="26"/>
    </row>
    <row r="294" spans="1:51" hidden="1" x14ac:dyDescent="0.25">
      <c r="A294" s="26">
        <v>289</v>
      </c>
      <c r="B294" s="26" t="s">
        <v>346</v>
      </c>
      <c r="C294" s="26" t="s">
        <v>346</v>
      </c>
      <c r="D294" s="27" t="s">
        <v>575</v>
      </c>
      <c r="E294" s="26">
        <v>621</v>
      </c>
      <c r="F294" s="26" t="s">
        <v>346</v>
      </c>
      <c r="G294" s="26">
        <v>5</v>
      </c>
      <c r="H294" s="26" t="s">
        <v>1057</v>
      </c>
      <c r="I294" s="26" t="s">
        <v>1360</v>
      </c>
      <c r="J294" s="26" t="s">
        <v>1038</v>
      </c>
      <c r="K294" s="26" t="s">
        <v>1039</v>
      </c>
      <c r="L294" s="26" t="s">
        <v>931</v>
      </c>
      <c r="M294" s="28" t="s">
        <v>1376</v>
      </c>
      <c r="Q294" s="27"/>
      <c r="R294" s="26">
        <v>2621</v>
      </c>
      <c r="S294" s="26">
        <v>4900</v>
      </c>
      <c r="T294" s="26">
        <f>IF(Table2[[#This Row],[PMT]]="NA","NA",Table2[[#This Row],[PMT]]+1)</f>
        <v>4901</v>
      </c>
      <c r="U294" s="26">
        <f>IF(Table2[[#This Row],[PMT]]="NA","NA",Table2[[#This Row],[PMT]]+2)</f>
        <v>4902</v>
      </c>
      <c r="V294" s="26">
        <v>0</v>
      </c>
      <c r="W294" s="26">
        <f>IF(Table2[[#This Row],[PMT]]="NA","NA",Table2[[#This Row],[PMT]]+8)-Table2[[#This Row],[Const]]</f>
        <v>4908</v>
      </c>
      <c r="X294" s="26" t="str">
        <f>IF(W294="NA","",CONCATENATE("0B 04 00 ",DEC2HEX($G294,2)," ",LEFT(DEC2HEX(W294,4),2)," ",RIGHT(DEC2HEX(W294,4),2)))</f>
        <v>0B 04 00 05 13 2C</v>
      </c>
      <c r="Y294" s="26">
        <f>IF(Table2[[#This Row],[PMT]]="NA","NA",Table2[[#This Row],[PMT]]+14)-Table2[[#This Row],[Const]]</f>
        <v>4914</v>
      </c>
      <c r="Z294" s="26" t="str">
        <f>IF(Y294="NA","",CONCATENATE("0B 04 00 ",DEC2HEX($G294,2)," ",LEFT(DEC2HEX(Y294,4),2)," ",RIGHT(DEC2HEX(Y294,4),2)))</f>
        <v>0B 04 00 05 13 32</v>
      </c>
      <c r="AA294" s="26" t="s">
        <v>1057</v>
      </c>
      <c r="AB294" s="26"/>
      <c r="AC294" s="26"/>
      <c r="AD294" s="26" t="s">
        <v>346</v>
      </c>
      <c r="AE294" s="26"/>
      <c r="AF294" s="26"/>
      <c r="AI294" s="26"/>
      <c r="AJ294" s="26"/>
      <c r="AL294" s="26"/>
      <c r="AW294" s="26"/>
      <c r="AX294" s="26"/>
      <c r="AY294" s="26"/>
    </row>
    <row r="295" spans="1:51" hidden="1" x14ac:dyDescent="0.25">
      <c r="A295" s="26">
        <v>290</v>
      </c>
      <c r="B295" s="26" t="s">
        <v>346</v>
      </c>
      <c r="C295" s="26" t="s">
        <v>346</v>
      </c>
      <c r="D295" s="33" t="s">
        <v>576</v>
      </c>
      <c r="E295" s="26">
        <v>622</v>
      </c>
      <c r="F295" s="26" t="s">
        <v>346</v>
      </c>
      <c r="G295" s="26">
        <v>7</v>
      </c>
      <c r="H295" s="26" t="s">
        <v>349</v>
      </c>
      <c r="I295" s="26" t="s">
        <v>1360</v>
      </c>
      <c r="J295" s="26" t="s">
        <v>1038</v>
      </c>
      <c r="K295" s="26" t="s">
        <v>1039</v>
      </c>
      <c r="L295" s="26" t="s">
        <v>931</v>
      </c>
      <c r="M295" s="28" t="s">
        <v>1376</v>
      </c>
      <c r="Q295" s="27"/>
      <c r="R295" s="26">
        <v>8622</v>
      </c>
      <c r="S295" s="26">
        <v>6400</v>
      </c>
      <c r="T295" s="26">
        <f>IF(Table2[[#This Row],[PMT]]="NA","NA",Table2[[#This Row],[PMT]]+1)</f>
        <v>6401</v>
      </c>
      <c r="U295" s="26">
        <f>IF(Table2[[#This Row],[PMT]]="NA","NA",Table2[[#This Row],[PMT]]+2)</f>
        <v>6402</v>
      </c>
      <c r="V295" s="26">
        <v>0</v>
      </c>
      <c r="W295" s="26">
        <f>IF(Table2[[#This Row],[PMT]]="NA","NA",Table2[[#This Row],[PMT]]+8)-Table2[[#This Row],[Const]]</f>
        <v>6408</v>
      </c>
      <c r="X295" s="26" t="str">
        <f>IF(W295="NA","",CONCATENATE("0B 04 00 ",DEC2HEX($G295,2)," ",LEFT(DEC2HEX(W295,4),2)," ",RIGHT(DEC2HEX(W295,4),2)))</f>
        <v>0B 04 00 07 19 08</v>
      </c>
      <c r="Y295" s="26">
        <f>IF(Table2[[#This Row],[PMT]]="NA","NA",Table2[[#This Row],[PMT]]+14)-Table2[[#This Row],[Const]]</f>
        <v>6414</v>
      </c>
      <c r="Z295" s="26" t="str">
        <f>IF(Y295="NA","",CONCATENATE("0B 04 00 ",DEC2HEX($G295,2)," ",LEFT(DEC2HEX(Y295,4),2)," ",RIGHT(DEC2HEX(Y295,4),2)))</f>
        <v>0B 04 00 07 19 0E</v>
      </c>
      <c r="AA295" s="26" t="s">
        <v>349</v>
      </c>
      <c r="AB295" s="26"/>
      <c r="AC295" s="26"/>
      <c r="AD295" s="26" t="s">
        <v>346</v>
      </c>
      <c r="AE295" s="26"/>
      <c r="AF295" s="26"/>
      <c r="AI295" s="26"/>
      <c r="AJ295" s="26"/>
      <c r="AL295" s="26"/>
      <c r="AW295" s="26"/>
      <c r="AX295" s="26"/>
      <c r="AY295" s="26"/>
    </row>
    <row r="296" spans="1:51" x14ac:dyDescent="0.25">
      <c r="A296" s="26">
        <v>275</v>
      </c>
      <c r="B296" s="26" t="s">
        <v>649</v>
      </c>
      <c r="C296" s="26">
        <v>5001</v>
      </c>
      <c r="D296" s="27" t="s">
        <v>565</v>
      </c>
      <c r="E296" s="26">
        <v>603</v>
      </c>
      <c r="F296" s="26">
        <v>2</v>
      </c>
      <c r="G296" s="26">
        <v>2</v>
      </c>
      <c r="H296" s="26" t="s">
        <v>349</v>
      </c>
      <c r="I296" s="26" t="s">
        <v>1354</v>
      </c>
      <c r="J296" s="26" t="s">
        <v>931</v>
      </c>
      <c r="K296" s="26" t="s">
        <v>1042</v>
      </c>
      <c r="L296" s="26" t="s">
        <v>931</v>
      </c>
      <c r="M296" s="28"/>
      <c r="Q296" s="27"/>
      <c r="R296" s="26">
        <v>7603</v>
      </c>
      <c r="S296" s="26">
        <v>1460</v>
      </c>
      <c r="T296" s="26">
        <f>IF(Table2[[#This Row],[PMT]]="NA","NA",Table2[[#This Row],[PMT]]+1)</f>
        <v>1461</v>
      </c>
      <c r="U296" s="26">
        <f>IF(Table2[[#This Row],[PMT]]="NA","NA",Table2[[#This Row],[PMT]]+2)</f>
        <v>1462</v>
      </c>
      <c r="V296" s="26">
        <v>0</v>
      </c>
      <c r="W296" s="26">
        <f>IF(Table2[[#This Row],[PMT]]="NA","NA",Table2[[#This Row],[PMT]]+8)-Table2[[#This Row],[Const]]</f>
        <v>1468</v>
      </c>
      <c r="X296" s="26" t="str">
        <f>IF(W296="NA","",CONCATENATE("0B 04 00 ",DEC2HEX($G296,2)," ",LEFT(DEC2HEX(W296,4),2)," ",RIGHT(DEC2HEX(W296,4),2)))</f>
        <v>0B 04 00 02 05 BC</v>
      </c>
      <c r="Y296" s="26">
        <f>IF(Table2[[#This Row],[PMT]]="NA","NA",Table2[[#This Row],[PMT]]+14)-Table2[[#This Row],[Const]]</f>
        <v>1474</v>
      </c>
      <c r="Z296" s="26" t="str">
        <f>IF(Y296="NA","",CONCATENATE("0B 04 00 ",DEC2HEX($G296,2)," ",LEFT(DEC2HEX(Y296,4),2)," ",RIGHT(DEC2HEX(Y296,4),2)))</f>
        <v>0B 04 00 02 05 C2</v>
      </c>
      <c r="AA296" s="26" t="s">
        <v>349</v>
      </c>
      <c r="AB296" s="26"/>
      <c r="AC296" s="26"/>
      <c r="AD296" s="26" t="s">
        <v>814</v>
      </c>
      <c r="AE296" s="26"/>
      <c r="AF296" s="26"/>
      <c r="AI296" s="26"/>
      <c r="AJ296" s="26"/>
      <c r="AL296" s="26"/>
      <c r="AW296" s="26"/>
      <c r="AX296" s="26"/>
      <c r="AY296" s="26"/>
    </row>
    <row r="297" spans="1:51" hidden="1" x14ac:dyDescent="0.25">
      <c r="A297" s="26">
        <v>292</v>
      </c>
      <c r="B297" s="26" t="s">
        <v>346</v>
      </c>
      <c r="C297" s="26" t="s">
        <v>346</v>
      </c>
      <c r="D297" s="27" t="s">
        <v>578</v>
      </c>
      <c r="E297" s="26">
        <v>624</v>
      </c>
      <c r="F297" s="26" t="s">
        <v>346</v>
      </c>
      <c r="G297" s="26">
        <v>1</v>
      </c>
      <c r="H297" s="26" t="s">
        <v>1057</v>
      </c>
      <c r="I297" s="26" t="s">
        <v>1360</v>
      </c>
      <c r="J297" s="26" t="s">
        <v>1038</v>
      </c>
      <c r="K297" s="26" t="s">
        <v>1039</v>
      </c>
      <c r="L297" s="26" t="s">
        <v>931</v>
      </c>
      <c r="M297" s="28"/>
      <c r="Q297" s="27"/>
      <c r="R297" s="26">
        <v>1624</v>
      </c>
      <c r="S297" s="26">
        <v>720</v>
      </c>
      <c r="T297" s="26">
        <f>IF(Table2[[#This Row],[PMT]]="NA","NA",Table2[[#This Row],[PMT]]+1)</f>
        <v>721</v>
      </c>
      <c r="U297" s="26">
        <f>IF(Table2[[#This Row],[PMT]]="NA","NA",Table2[[#This Row],[PMT]]+2)</f>
        <v>722</v>
      </c>
      <c r="V297" s="26">
        <v>0</v>
      </c>
      <c r="W297" s="26">
        <f>IF(Table2[[#This Row],[PMT]]="NA","NA",Table2[[#This Row],[PMT]]+8)-Table2[[#This Row],[Const]]</f>
        <v>728</v>
      </c>
      <c r="X297" s="26" t="str">
        <f>IF(W297="NA","",CONCATENATE("0B 04 00 ",DEC2HEX($G297,2)," ",LEFT(DEC2HEX(W297,4),2)," ",RIGHT(DEC2HEX(W297,4),2)))</f>
        <v>0B 04 00 01 02 D8</v>
      </c>
      <c r="Y297" s="26">
        <f>IF(Table2[[#This Row],[PMT]]="NA","NA",Table2[[#This Row],[PMT]]+14)-Table2[[#This Row],[Const]]</f>
        <v>734</v>
      </c>
      <c r="Z297" s="26" t="str">
        <f>IF(Y297="NA","",CONCATENATE("0B 04 00 ",DEC2HEX($G297,2)," ",LEFT(DEC2HEX(Y297,4),2)," ",RIGHT(DEC2HEX(Y297,4),2)))</f>
        <v>0B 04 00 01 02 DE</v>
      </c>
      <c r="AA297" s="26" t="s">
        <v>1057</v>
      </c>
      <c r="AB297" s="26"/>
      <c r="AC297" s="26"/>
      <c r="AD297" s="26" t="s">
        <v>346</v>
      </c>
      <c r="AE297" s="26"/>
      <c r="AF297" s="26"/>
      <c r="AI297" s="26"/>
      <c r="AJ297" s="26"/>
      <c r="AL297" s="26"/>
      <c r="AW297" s="26"/>
      <c r="AX297" s="26"/>
      <c r="AY297" s="26"/>
    </row>
    <row r="298" spans="1:51" hidden="1" x14ac:dyDescent="0.25">
      <c r="A298" s="26">
        <v>293</v>
      </c>
      <c r="B298" s="26" t="s">
        <v>346</v>
      </c>
      <c r="C298" s="26" t="s">
        <v>346</v>
      </c>
      <c r="D298" s="27" t="s">
        <v>579</v>
      </c>
      <c r="E298" s="26">
        <v>625</v>
      </c>
      <c r="F298" s="26" t="s">
        <v>346</v>
      </c>
      <c r="G298" s="26">
        <v>1</v>
      </c>
      <c r="H298" s="26" t="s">
        <v>349</v>
      </c>
      <c r="I298" s="26" t="s">
        <v>1360</v>
      </c>
      <c r="J298" s="26" t="s">
        <v>1038</v>
      </c>
      <c r="K298" s="26" t="s">
        <v>1039</v>
      </c>
      <c r="L298" s="26" t="s">
        <v>931</v>
      </c>
      <c r="M298" s="28" t="s">
        <v>1376</v>
      </c>
      <c r="Q298" s="27"/>
      <c r="R298" s="26">
        <v>1625</v>
      </c>
      <c r="S298" s="26">
        <v>420</v>
      </c>
      <c r="T298" s="26">
        <f>IF(Table2[[#This Row],[PMT]]="NA","NA",Table2[[#This Row],[PMT]]+1)</f>
        <v>421</v>
      </c>
      <c r="U298" s="26">
        <f>IF(Table2[[#This Row],[PMT]]="NA","NA",Table2[[#This Row],[PMT]]+2)</f>
        <v>422</v>
      </c>
      <c r="V298" s="26">
        <v>0</v>
      </c>
      <c r="W298" s="26">
        <f>IF(Table2[[#This Row],[PMT]]="NA","NA",Table2[[#This Row],[PMT]]+8)-Table2[[#This Row],[Const]]</f>
        <v>428</v>
      </c>
      <c r="X298" s="26" t="str">
        <f>IF(W298="NA","",CONCATENATE("0B 04 00 ",DEC2HEX($G298,2)," ",LEFT(DEC2HEX(W298,4),2)," ",RIGHT(DEC2HEX(W298,4),2)))</f>
        <v>0B 04 00 01 01 AC</v>
      </c>
      <c r="Y298" s="26">
        <f>IF(Table2[[#This Row],[PMT]]="NA","NA",Table2[[#This Row],[PMT]]+14)-Table2[[#This Row],[Const]]</f>
        <v>434</v>
      </c>
      <c r="Z298" s="26" t="str">
        <f>IF(Y298="NA","",CONCATENATE("0B 04 00 ",DEC2HEX($G298,2)," ",LEFT(DEC2HEX(Y298,4),2)," ",RIGHT(DEC2HEX(Y298,4),2)))</f>
        <v>0B 04 00 01 01 B2</v>
      </c>
      <c r="AA298" s="26" t="s">
        <v>349</v>
      </c>
      <c r="AB298" s="26"/>
      <c r="AC298" s="26"/>
      <c r="AD298" s="26" t="s">
        <v>346</v>
      </c>
      <c r="AE298" s="26"/>
      <c r="AF298" s="26"/>
      <c r="AI298" s="26"/>
      <c r="AJ298" s="26"/>
      <c r="AL298" s="26"/>
      <c r="AW298" s="26"/>
      <c r="AX298" s="26"/>
      <c r="AY298" s="26"/>
    </row>
    <row r="299" spans="1:51" hidden="1" x14ac:dyDescent="0.25">
      <c r="A299" s="26">
        <v>294</v>
      </c>
      <c r="B299" s="26" t="s">
        <v>346</v>
      </c>
      <c r="C299" s="26" t="s">
        <v>346</v>
      </c>
      <c r="D299" s="27" t="s">
        <v>580</v>
      </c>
      <c r="E299" s="26">
        <v>626</v>
      </c>
      <c r="F299" s="26" t="s">
        <v>346</v>
      </c>
      <c r="G299" s="26">
        <v>4</v>
      </c>
      <c r="H299" s="26" t="s">
        <v>349</v>
      </c>
      <c r="I299" s="26" t="s">
        <v>1360</v>
      </c>
      <c r="J299" s="26" t="s">
        <v>1038</v>
      </c>
      <c r="K299" s="26" t="s">
        <v>1039</v>
      </c>
      <c r="L299" s="26" t="s">
        <v>931</v>
      </c>
      <c r="M299" s="28"/>
      <c r="Q299" s="27"/>
      <c r="R299" s="26">
        <v>9626</v>
      </c>
      <c r="S299" s="26">
        <v>1800</v>
      </c>
      <c r="T299" s="26">
        <f>IF(Table2[[#This Row],[PMT]]="NA","NA",Table2[[#This Row],[PMT]]+1)</f>
        <v>1801</v>
      </c>
      <c r="U299" s="26">
        <f>IF(Table2[[#This Row],[PMT]]="NA","NA",Table2[[#This Row],[PMT]]+2)</f>
        <v>1802</v>
      </c>
      <c r="V299" s="26">
        <v>0</v>
      </c>
      <c r="W299" s="26">
        <f>IF(Table2[[#This Row],[PMT]]="NA","NA",Table2[[#This Row],[PMT]]+8)-Table2[[#This Row],[Const]]</f>
        <v>1808</v>
      </c>
      <c r="X299" s="26" t="str">
        <f>IF(W299="NA","",CONCATENATE("0B 04 00 ",DEC2HEX($G299,2)," ",LEFT(DEC2HEX(W299,4),2)," ",RIGHT(DEC2HEX(W299,4),2)))</f>
        <v>0B 04 00 04 07 10</v>
      </c>
      <c r="Y299" s="26">
        <f>IF(Table2[[#This Row],[PMT]]="NA","NA",Table2[[#This Row],[PMT]]+14)-Table2[[#This Row],[Const]]</f>
        <v>1814</v>
      </c>
      <c r="Z299" s="26" t="str">
        <f>IF(Y299="NA","",CONCATENATE("0B 04 00 ",DEC2HEX($G299,2)," ",LEFT(DEC2HEX(Y299,4),2)," ",RIGHT(DEC2HEX(Y299,4),2)))</f>
        <v>0B 04 00 04 07 16</v>
      </c>
      <c r="AA299" s="26" t="s">
        <v>349</v>
      </c>
      <c r="AB299" s="26"/>
      <c r="AC299" s="26"/>
      <c r="AD299" s="26" t="s">
        <v>346</v>
      </c>
      <c r="AE299" s="26"/>
      <c r="AF299" s="26"/>
      <c r="AI299" s="26"/>
      <c r="AJ299" s="26"/>
      <c r="AL299" s="26"/>
      <c r="AW299" s="26"/>
      <c r="AX299" s="26"/>
      <c r="AY299" s="26"/>
    </row>
    <row r="300" spans="1:51" hidden="1" x14ac:dyDescent="0.25">
      <c r="A300" s="26">
        <v>295</v>
      </c>
      <c r="B300" s="26" t="s">
        <v>346</v>
      </c>
      <c r="C300" s="31" t="s">
        <v>346</v>
      </c>
      <c r="D300" s="27" t="s">
        <v>1400</v>
      </c>
      <c r="E300" s="26">
        <v>627</v>
      </c>
      <c r="F300" s="26" t="s">
        <v>346</v>
      </c>
      <c r="G300" s="31">
        <v>2</v>
      </c>
      <c r="H300" s="31" t="s">
        <v>349</v>
      </c>
      <c r="I300" s="31" t="s">
        <v>1360</v>
      </c>
      <c r="J300" s="31" t="s">
        <v>1038</v>
      </c>
      <c r="K300" s="31" t="s">
        <v>1039</v>
      </c>
      <c r="L300" s="26" t="s">
        <v>931</v>
      </c>
      <c r="M300" s="30" t="s">
        <v>1376</v>
      </c>
      <c r="N300" s="30"/>
      <c r="O300" s="30"/>
      <c r="P300" s="30"/>
      <c r="Q300" s="32"/>
      <c r="R300" s="31"/>
      <c r="S300" s="31"/>
      <c r="T300" s="31">
        <f>IF(Table2[[#This Row],[PMT]]="NA","NA",Table2[[#This Row],[PMT]]+1)</f>
        <v>1</v>
      </c>
      <c r="U300" s="31">
        <f>IF(Table2[[#This Row],[PMT]]="NA","NA",Table2[[#This Row],[PMT]]+2)</f>
        <v>2</v>
      </c>
      <c r="V300" s="26"/>
      <c r="W300" s="31">
        <f>IF(Table2[[#This Row],[PMT]]="NA","NA",Table2[[#This Row],[PMT]]+8)-Table2[[#This Row],[Const]]</f>
        <v>8</v>
      </c>
      <c r="X300" s="31" t="str">
        <f>IF(W300="NA","",CONCATENATE("0B 04 00 ",DEC2HEX($G300,2)," ",LEFT(DEC2HEX(W300,4),2)," ",RIGHT(DEC2HEX(W300,4),2)))</f>
        <v>0B 04 00 02 00 08</v>
      </c>
      <c r="Y300" s="31">
        <f>IF(Table2[[#This Row],[PMT]]="NA","NA",Table2[[#This Row],[PMT]]+14)-Table2[[#This Row],[Const]]</f>
        <v>14</v>
      </c>
      <c r="Z300" s="31" t="str">
        <f>IF(Y300="NA","",CONCATENATE("0B 04 00 ",DEC2HEX($G300,2)," ",LEFT(DEC2HEX(Y300,4),2)," ",RIGHT(DEC2HEX(Y300,4),2)))</f>
        <v>0B 04 00 02 00 0E</v>
      </c>
      <c r="AA300" s="26"/>
      <c r="AB300" s="26"/>
      <c r="AC300" s="31"/>
      <c r="AD300" s="31"/>
      <c r="AE300" s="26"/>
      <c r="AF300" s="26"/>
      <c r="AI300" s="26"/>
      <c r="AJ300" s="26"/>
      <c r="AL300" s="26"/>
      <c r="AW300" s="26"/>
      <c r="AX300" s="26"/>
      <c r="AY300" s="26"/>
    </row>
    <row r="301" spans="1:51" hidden="1" x14ac:dyDescent="0.25">
      <c r="A301" s="26">
        <v>296</v>
      </c>
      <c r="B301" s="26" t="s">
        <v>346</v>
      </c>
      <c r="C301" s="26" t="s">
        <v>346</v>
      </c>
      <c r="D301" s="27" t="s">
        <v>1280</v>
      </c>
      <c r="E301" s="26">
        <v>628</v>
      </c>
      <c r="F301" s="26" t="s">
        <v>346</v>
      </c>
      <c r="G301" s="26">
        <v>4</v>
      </c>
      <c r="H301" s="26" t="s">
        <v>349</v>
      </c>
      <c r="I301" s="26" t="s">
        <v>443</v>
      </c>
      <c r="J301" s="26" t="s">
        <v>1038</v>
      </c>
      <c r="K301" s="26" t="s">
        <v>1039</v>
      </c>
      <c r="L301" s="26" t="s">
        <v>931</v>
      </c>
      <c r="M301" s="28"/>
      <c r="N301" s="31"/>
      <c r="O301" s="31"/>
      <c r="P301" s="31"/>
      <c r="Q301" s="32"/>
      <c r="R301" s="26">
        <v>12162</v>
      </c>
      <c r="S301" s="26">
        <v>720</v>
      </c>
      <c r="T301" s="26">
        <f>IF(Table2[[#This Row],[PMT]]="NA","NA",Table2[[#This Row],[PMT]]+1)</f>
        <v>721</v>
      </c>
      <c r="U301" s="26">
        <f>IF(Table2[[#This Row],[PMT]]="NA","NA",Table2[[#This Row],[PMT]]+2)</f>
        <v>722</v>
      </c>
      <c r="V301" s="26">
        <v>0</v>
      </c>
      <c r="W301" s="26">
        <f>IF(Table2[[#This Row],[PMT]]="NA","NA",Table2[[#This Row],[PMT]]+8)-Table2[[#This Row],[Const]]</f>
        <v>728</v>
      </c>
      <c r="X301" s="31" t="str">
        <f>IF(W301="NA","",CONCATENATE("0B 04 00 ",DEC2HEX($G301,2)," ",LEFT(DEC2HEX(W301,4),2)," ",RIGHT(DEC2HEX(W301,4),2)))</f>
        <v>0B 04 00 04 02 D8</v>
      </c>
      <c r="Y301" s="26">
        <f>IF(Table2[[#This Row],[PMT]]="NA","NA",Table2[[#This Row],[PMT]]+14)-Table2[[#This Row],[Const]]</f>
        <v>734</v>
      </c>
      <c r="Z301" s="31" t="str">
        <f>IF(Y301="NA","",CONCATENATE("0B 04 00 ",DEC2HEX($G301,2)," ",LEFT(DEC2HEX(Y301,4),2)," ",RIGHT(DEC2HEX(Y301,4),2)))</f>
        <v>0B 04 00 04 02 DE</v>
      </c>
      <c r="AA301" s="26"/>
      <c r="AB301" s="26"/>
      <c r="AC301" s="31"/>
      <c r="AD301" s="31" t="s">
        <v>346</v>
      </c>
      <c r="AE301" s="26"/>
      <c r="AF301" s="26"/>
      <c r="AI301" s="26"/>
      <c r="AJ301" s="26"/>
      <c r="AL301" s="26"/>
      <c r="AW301" s="26"/>
      <c r="AX301" s="26"/>
      <c r="AY301" s="26"/>
    </row>
    <row r="302" spans="1:51" hidden="1" x14ac:dyDescent="0.25">
      <c r="A302" s="26">
        <v>297</v>
      </c>
      <c r="B302" s="26" t="s">
        <v>346</v>
      </c>
      <c r="C302" s="26" t="s">
        <v>346</v>
      </c>
      <c r="D302" s="27" t="s">
        <v>1281</v>
      </c>
      <c r="E302" s="26">
        <v>629</v>
      </c>
      <c r="F302" s="26" t="s">
        <v>346</v>
      </c>
      <c r="G302" s="26">
        <v>3</v>
      </c>
      <c r="H302" s="26" t="s">
        <v>349</v>
      </c>
      <c r="I302" s="26" t="s">
        <v>443</v>
      </c>
      <c r="J302" s="26" t="s">
        <v>1038</v>
      </c>
      <c r="K302" s="26" t="s">
        <v>1039</v>
      </c>
      <c r="L302" s="26" t="s">
        <v>931</v>
      </c>
      <c r="M302" s="28" t="s">
        <v>1376</v>
      </c>
      <c r="N302" s="31"/>
      <c r="O302" s="31"/>
      <c r="P302" s="31"/>
      <c r="Q302" s="32"/>
      <c r="R302" s="31">
        <v>12180</v>
      </c>
      <c r="S302" s="31">
        <v>1360</v>
      </c>
      <c r="T302" s="31">
        <f>IF(Table2[[#This Row],[PMT]]="NA","NA",Table2[[#This Row],[PMT]]+1)</f>
        <v>1361</v>
      </c>
      <c r="U302" s="31">
        <f>IF(Table2[[#This Row],[PMT]]="NA","NA",Table2[[#This Row],[PMT]]+2)</f>
        <v>1362</v>
      </c>
      <c r="V302" s="26">
        <v>0</v>
      </c>
      <c r="W302" s="31">
        <f>IF(Table2[[#This Row],[PMT]]="NA","NA",Table2[[#This Row],[PMT]]+8)-Table2[[#This Row],[Const]]</f>
        <v>1368</v>
      </c>
      <c r="X302" s="31" t="str">
        <f>IF(W302="NA","",CONCATENATE("0B 04 00 ",DEC2HEX($G302,2)," ",LEFT(DEC2HEX(W302,4),2)," ",RIGHT(DEC2HEX(W302,4),2)))</f>
        <v>0B 04 00 03 05 58</v>
      </c>
      <c r="Y302" s="31">
        <f>IF(Table2[[#This Row],[PMT]]="NA","NA",Table2[[#This Row],[PMT]]+14)-Table2[[#This Row],[Const]]</f>
        <v>1374</v>
      </c>
      <c r="Z302" s="31" t="str">
        <f>IF(Y302="NA","",CONCATENATE("0B 04 00 ",DEC2HEX($G302,2)," ",LEFT(DEC2HEX(Y302,4),2)," ",RIGHT(DEC2HEX(Y302,4),2)))</f>
        <v>0B 04 00 03 05 5E</v>
      </c>
      <c r="AA302" s="26"/>
      <c r="AB302" s="26"/>
      <c r="AC302" s="31"/>
      <c r="AD302" s="31"/>
      <c r="AE302" s="26"/>
      <c r="AF302" s="26"/>
      <c r="AI302" s="26"/>
      <c r="AJ302" s="26"/>
      <c r="AL302" s="26"/>
      <c r="AW302" s="26"/>
      <c r="AX302" s="26"/>
      <c r="AY302" s="26"/>
    </row>
    <row r="303" spans="1:51" hidden="1" x14ac:dyDescent="0.25">
      <c r="A303" s="26">
        <v>298</v>
      </c>
      <c r="B303" s="26" t="s">
        <v>346</v>
      </c>
      <c r="C303" s="26" t="s">
        <v>346</v>
      </c>
      <c r="D303" s="27" t="s">
        <v>582</v>
      </c>
      <c r="E303" s="26">
        <v>630</v>
      </c>
      <c r="F303" s="26" t="s">
        <v>346</v>
      </c>
      <c r="G303" s="26">
        <v>7</v>
      </c>
      <c r="H303" s="26" t="s">
        <v>349</v>
      </c>
      <c r="I303" s="26" t="s">
        <v>443</v>
      </c>
      <c r="J303" s="26" t="s">
        <v>1038</v>
      </c>
      <c r="K303" s="26" t="s">
        <v>1039</v>
      </c>
      <c r="L303" s="26" t="s">
        <v>931</v>
      </c>
      <c r="M303" s="28"/>
      <c r="Q303" s="27"/>
      <c r="R303" s="26">
        <v>8125</v>
      </c>
      <c r="S303" s="26">
        <v>240</v>
      </c>
      <c r="T303" s="26">
        <f>IF(Table2[[#This Row],[PMT]]="NA","NA",Table2[[#This Row],[PMT]]+1)</f>
        <v>241</v>
      </c>
      <c r="U303" s="26">
        <f>IF(Table2[[#This Row],[PMT]]="NA","NA",Table2[[#This Row],[PMT]]+2)</f>
        <v>242</v>
      </c>
      <c r="V303" s="26">
        <v>0</v>
      </c>
      <c r="W303" s="26">
        <f>IF(Table2[[#This Row],[PMT]]="NA","NA",Table2[[#This Row],[PMT]]+8)-Table2[[#This Row],[Const]]</f>
        <v>248</v>
      </c>
      <c r="X303" s="26" t="str">
        <f>IF(W303="NA","",CONCATENATE("0B 04 00 ",DEC2HEX($G303,2)," ",LEFT(DEC2HEX(W303,4),2)," ",RIGHT(DEC2HEX(W303,4),2)))</f>
        <v>0B 04 00 07 00 F8</v>
      </c>
      <c r="Y303" s="26">
        <f>IF(Table2[[#This Row],[PMT]]="NA","NA",Table2[[#This Row],[PMT]]+14)-Table2[[#This Row],[Const]]</f>
        <v>254</v>
      </c>
      <c r="Z303" s="26" t="str">
        <f>IF(Y303="NA","",CONCATENATE("0B 04 00 ",DEC2HEX($G303,2)," ",LEFT(DEC2HEX(Y303,4),2)," ",RIGHT(DEC2HEX(Y303,4),2)))</f>
        <v>0B 04 00 07 00 FE</v>
      </c>
      <c r="AA303" s="26" t="s">
        <v>349</v>
      </c>
      <c r="AB303" s="26"/>
      <c r="AC303" s="26"/>
      <c r="AD303" s="26" t="s">
        <v>346</v>
      </c>
      <c r="AE303" s="26"/>
      <c r="AF303" s="26"/>
      <c r="AI303" s="26"/>
      <c r="AJ303" s="26"/>
      <c r="AL303" s="26"/>
      <c r="AW303" s="26"/>
      <c r="AX303" s="26"/>
      <c r="AY303" s="26"/>
    </row>
    <row r="304" spans="1:51" hidden="1" x14ac:dyDescent="0.25">
      <c r="A304" s="26">
        <v>299</v>
      </c>
      <c r="B304" s="26" t="s">
        <v>346</v>
      </c>
      <c r="C304" s="26" t="s">
        <v>346</v>
      </c>
      <c r="D304" s="27" t="s">
        <v>584</v>
      </c>
      <c r="E304" s="26">
        <v>633</v>
      </c>
      <c r="F304" s="26" t="s">
        <v>346</v>
      </c>
      <c r="G304" s="26">
        <v>3</v>
      </c>
      <c r="H304" s="26" t="s">
        <v>1053</v>
      </c>
      <c r="I304" s="26" t="s">
        <v>1362</v>
      </c>
      <c r="J304" s="26" t="s">
        <v>1038</v>
      </c>
      <c r="K304" s="26" t="s">
        <v>1039</v>
      </c>
      <c r="L304" s="26" t="s">
        <v>931</v>
      </c>
      <c r="M304" s="28"/>
      <c r="Q304" s="27"/>
      <c r="R304" s="26">
        <v>12122</v>
      </c>
      <c r="S304" s="26">
        <v>740</v>
      </c>
      <c r="T304" s="26">
        <f>IF(Table2[[#This Row],[PMT]]="NA","NA",Table2[[#This Row],[PMT]]+1)</f>
        <v>741</v>
      </c>
      <c r="U304" s="26">
        <f>IF(Table2[[#This Row],[PMT]]="NA","NA",Table2[[#This Row],[PMT]]+2)</f>
        <v>742</v>
      </c>
      <c r="V304" s="26">
        <v>0</v>
      </c>
      <c r="W304" s="26">
        <f>IF(Table2[[#This Row],[PMT]]="NA","NA",Table2[[#This Row],[PMT]]+8)-Table2[[#This Row],[Const]]</f>
        <v>748</v>
      </c>
      <c r="X304" s="26" t="str">
        <f>IF(W304="NA","",CONCATENATE("0B 04 00 ",DEC2HEX($G304,2)," ",LEFT(DEC2HEX(W304,4),2)," ",RIGHT(DEC2HEX(W304,4),2)))</f>
        <v>0B 04 00 03 02 EC</v>
      </c>
      <c r="Y304" s="26">
        <f>IF(Table2[[#This Row],[PMT]]="NA","NA",Table2[[#This Row],[PMT]]+14)-Table2[[#This Row],[Const]]</f>
        <v>754</v>
      </c>
      <c r="Z304" s="26" t="str">
        <f>IF(Y304="NA","",CONCATENATE("0B 04 00 ",DEC2HEX($G304,2)," ",LEFT(DEC2HEX(Y304,4),2)," ",RIGHT(DEC2HEX(Y304,4),2)))</f>
        <v>0B 04 00 03 02 F2</v>
      </c>
      <c r="AA304" s="26"/>
      <c r="AB304" s="26"/>
      <c r="AC304" s="26"/>
      <c r="AD304" s="26" t="s">
        <v>346</v>
      </c>
      <c r="AE304" s="26"/>
      <c r="AF304" s="26"/>
      <c r="AI304" s="26"/>
      <c r="AJ304" s="26"/>
      <c r="AL304" s="26"/>
      <c r="AW304" s="26"/>
      <c r="AX304" s="26"/>
      <c r="AY304" s="26"/>
    </row>
    <row r="305" spans="1:51" x14ac:dyDescent="0.25">
      <c r="A305" s="26">
        <v>276</v>
      </c>
      <c r="B305" s="26" t="s">
        <v>649</v>
      </c>
      <c r="C305" s="26">
        <v>5001</v>
      </c>
      <c r="D305" s="27" t="s">
        <v>566</v>
      </c>
      <c r="E305" s="26">
        <v>604</v>
      </c>
      <c r="F305" s="26">
        <v>2</v>
      </c>
      <c r="G305" s="26">
        <v>2</v>
      </c>
      <c r="H305" s="26" t="s">
        <v>361</v>
      </c>
      <c r="I305" s="26" t="s">
        <v>1354</v>
      </c>
      <c r="J305" s="26" t="s">
        <v>931</v>
      </c>
      <c r="K305" s="26" t="s">
        <v>1042</v>
      </c>
      <c r="L305" s="26" t="s">
        <v>931</v>
      </c>
      <c r="M305" s="28" t="s">
        <v>1377</v>
      </c>
      <c r="Q305" s="27"/>
      <c r="R305" s="26">
        <v>1604</v>
      </c>
      <c r="S305" s="26">
        <v>440</v>
      </c>
      <c r="T305" s="26">
        <f>IF(Table2[[#This Row],[PMT]]="NA","NA",Table2[[#This Row],[PMT]]+1)</f>
        <v>441</v>
      </c>
      <c r="U305" s="26">
        <f>IF(Table2[[#This Row],[PMT]]="NA","NA",Table2[[#This Row],[PMT]]+2)</f>
        <v>442</v>
      </c>
      <c r="V305" s="26">
        <v>0</v>
      </c>
      <c r="W305" s="26">
        <f>IF(Table2[[#This Row],[PMT]]="NA","NA",Table2[[#This Row],[PMT]]+8)-Table2[[#This Row],[Const]]</f>
        <v>448</v>
      </c>
      <c r="X305" s="26" t="str">
        <f>IF(W305="NA","",CONCATENATE("0B 04 00 ",DEC2HEX($G305,2)," ",LEFT(DEC2HEX(W305,4),2)," ",RIGHT(DEC2HEX(W305,4),2)))</f>
        <v>0B 04 00 02 01 C0</v>
      </c>
      <c r="Y305" s="26">
        <f>IF(Table2[[#This Row],[PMT]]="NA","NA",Table2[[#This Row],[PMT]]+14)-Table2[[#This Row],[Const]]</f>
        <v>454</v>
      </c>
      <c r="Z305" s="26" t="str">
        <f>IF(Y305="NA","",CONCATENATE("0B 04 00 ",DEC2HEX($G305,2)," ",LEFT(DEC2HEX(Y305,4),2)," ",RIGHT(DEC2HEX(Y305,4),2)))</f>
        <v>0B 04 00 02 01 C6</v>
      </c>
      <c r="AA305" s="26" t="s">
        <v>361</v>
      </c>
      <c r="AB305" s="26"/>
      <c r="AC305" s="26"/>
      <c r="AD305" s="26" t="s">
        <v>1079</v>
      </c>
      <c r="AE305" s="26"/>
      <c r="AF305" s="26"/>
      <c r="AI305" s="26"/>
      <c r="AJ305" s="26"/>
      <c r="AL305" s="26"/>
      <c r="AW305" s="26"/>
      <c r="AX305" s="26"/>
      <c r="AY305" s="26"/>
    </row>
    <row r="306" spans="1:51" hidden="1" x14ac:dyDescent="0.25">
      <c r="A306" s="26">
        <v>301</v>
      </c>
      <c r="B306" s="26" t="s">
        <v>346</v>
      </c>
      <c r="C306" s="26" t="s">
        <v>346</v>
      </c>
      <c r="D306" s="27" t="s">
        <v>586</v>
      </c>
      <c r="E306" s="26">
        <v>659</v>
      </c>
      <c r="F306" s="26" t="s">
        <v>346</v>
      </c>
      <c r="G306" s="26">
        <v>7</v>
      </c>
      <c r="H306" s="26" t="s">
        <v>361</v>
      </c>
      <c r="I306" s="26" t="s">
        <v>1353</v>
      </c>
      <c r="J306" s="26" t="s">
        <v>1038</v>
      </c>
      <c r="K306" s="26" t="s">
        <v>1039</v>
      </c>
      <c r="L306" s="26" t="s">
        <v>931</v>
      </c>
      <c r="M306" s="28" t="s">
        <v>1377</v>
      </c>
      <c r="Q306" s="27"/>
      <c r="R306" s="26">
        <v>9659</v>
      </c>
      <c r="S306" s="26">
        <v>740</v>
      </c>
      <c r="T306" s="26">
        <f>IF(Table2[[#This Row],[PMT]]="NA","NA",Table2[[#This Row],[PMT]]+1)</f>
        <v>741</v>
      </c>
      <c r="U306" s="26">
        <f>IF(Table2[[#This Row],[PMT]]="NA","NA",Table2[[#This Row],[PMT]]+2)</f>
        <v>742</v>
      </c>
      <c r="V306" s="26">
        <v>0</v>
      </c>
      <c r="W306" s="26">
        <f>IF(Table2[[#This Row],[PMT]]="NA","NA",Table2[[#This Row],[PMT]]+8)-Table2[[#This Row],[Const]]</f>
        <v>748</v>
      </c>
      <c r="X306" s="26" t="str">
        <f>IF(W306="NA","",CONCATENATE("0B 04 00 ",DEC2HEX($G306,2)," ",LEFT(DEC2HEX(W306,4),2)," ",RIGHT(DEC2HEX(W306,4),2)))</f>
        <v>0B 04 00 07 02 EC</v>
      </c>
      <c r="Y306" s="26">
        <f>IF(Table2[[#This Row],[PMT]]="NA","NA",Table2[[#This Row],[PMT]]+14)-Table2[[#This Row],[Const]]</f>
        <v>754</v>
      </c>
      <c r="Z306" s="26" t="str">
        <f>IF(Y306="NA","",CONCATENATE("0B 04 00 ",DEC2HEX($G306,2)," ",LEFT(DEC2HEX(Y306,4),2)," ",RIGHT(DEC2HEX(Y306,4),2)))</f>
        <v>0B 04 00 07 02 F2</v>
      </c>
      <c r="AA306" s="26" t="s">
        <v>361</v>
      </c>
      <c r="AB306" s="26"/>
      <c r="AC306" s="26"/>
      <c r="AD306" s="26" t="s">
        <v>346</v>
      </c>
      <c r="AE306" s="26"/>
      <c r="AF306" s="26"/>
      <c r="AI306" s="26"/>
      <c r="AJ306" s="26"/>
      <c r="AL306" s="26"/>
      <c r="AW306" s="26"/>
      <c r="AX306" s="26"/>
      <c r="AY306" s="26"/>
    </row>
    <row r="307" spans="1:51" hidden="1" x14ac:dyDescent="0.25">
      <c r="A307" s="26">
        <v>302</v>
      </c>
      <c r="B307" s="26" t="s">
        <v>346</v>
      </c>
      <c r="C307" s="26" t="s">
        <v>346</v>
      </c>
      <c r="D307" s="27" t="s">
        <v>1345</v>
      </c>
      <c r="E307" s="26">
        <v>683</v>
      </c>
      <c r="F307" s="26" t="s">
        <v>346</v>
      </c>
      <c r="G307" s="26">
        <v>1</v>
      </c>
      <c r="H307" s="26" t="s">
        <v>1352</v>
      </c>
      <c r="I307" s="26" t="s">
        <v>443</v>
      </c>
      <c r="J307" s="26" t="s">
        <v>1038</v>
      </c>
      <c r="K307" s="26" t="s">
        <v>1039</v>
      </c>
      <c r="L307" s="26" t="s">
        <v>931</v>
      </c>
      <c r="M307" s="26" t="s">
        <v>1376</v>
      </c>
      <c r="N307" s="31"/>
      <c r="O307" s="31"/>
      <c r="P307" s="31"/>
      <c r="Q307" s="32"/>
      <c r="R307" s="31"/>
      <c r="S307" s="31"/>
      <c r="T307" s="31">
        <f>IF(Table2[[#This Row],[PMT]]="NA","NA",Table2[[#This Row],[PMT]]+1)</f>
        <v>1</v>
      </c>
      <c r="U307" s="31">
        <f>IF(Table2[[#This Row],[PMT]]="NA","NA",Table2[[#This Row],[PMT]]+2)</f>
        <v>2</v>
      </c>
      <c r="V307" s="26"/>
      <c r="W307" s="31">
        <f>IF(Table2[[#This Row],[PMT]]="NA","NA",Table2[[#This Row],[PMT]]+8)-Table2[[#This Row],[Const]]</f>
        <v>8</v>
      </c>
      <c r="X307" s="31" t="str">
        <f>IF(W307="NA","",CONCATENATE("0B 04 00 ",DEC2HEX($G307,2)," ",LEFT(DEC2HEX(W307,4),2)," ",RIGHT(DEC2HEX(W307,4),2)))</f>
        <v>0B 04 00 01 00 08</v>
      </c>
      <c r="Y307" s="31">
        <f>IF(Table2[[#This Row],[PMT]]="NA","NA",Table2[[#This Row],[PMT]]+14)-Table2[[#This Row],[Const]]</f>
        <v>14</v>
      </c>
      <c r="Z307" s="31" t="str">
        <f>IF(Y307="NA","",CONCATENATE("0B 04 00 ",DEC2HEX($G307,2)," ",LEFT(DEC2HEX(Y307,4),2)," ",RIGHT(DEC2HEX(Y307,4),2)))</f>
        <v>0B 04 00 01 00 0E</v>
      </c>
      <c r="AA307" s="26"/>
      <c r="AB307" s="26"/>
      <c r="AC307" s="31"/>
      <c r="AD307" s="31"/>
      <c r="AE307" s="26"/>
      <c r="AF307" s="26"/>
      <c r="AI307" s="26"/>
      <c r="AJ307" s="26"/>
      <c r="AL307" s="26"/>
      <c r="AW307" s="26"/>
      <c r="AX307" s="26"/>
      <c r="AY307" s="26"/>
    </row>
    <row r="308" spans="1:51" x14ac:dyDescent="0.25">
      <c r="A308" s="26">
        <v>32</v>
      </c>
      <c r="B308" s="26" t="s">
        <v>1364</v>
      </c>
      <c r="C308" s="26">
        <v>5180</v>
      </c>
      <c r="D308" s="27" t="s">
        <v>367</v>
      </c>
      <c r="E308" s="26">
        <v>132</v>
      </c>
      <c r="F308" s="26">
        <v>9</v>
      </c>
      <c r="G308" s="26">
        <v>9</v>
      </c>
      <c r="H308" s="26" t="s">
        <v>349</v>
      </c>
      <c r="I308" s="26" t="s">
        <v>443</v>
      </c>
      <c r="J308" s="26" t="s">
        <v>1040</v>
      </c>
      <c r="K308" s="26" t="s">
        <v>953</v>
      </c>
      <c r="L308" s="26" t="s">
        <v>931</v>
      </c>
      <c r="M308" s="28"/>
      <c r="Q308" s="27"/>
      <c r="R308" s="26">
        <v>12016</v>
      </c>
      <c r="S308" s="26">
        <v>760</v>
      </c>
      <c r="T308" s="26">
        <f>IF(Table2[[#This Row],[PMT]]="NA","NA",Table2[[#This Row],[PMT]]+1)</f>
        <v>761</v>
      </c>
      <c r="U308" s="26">
        <f>IF(Table2[[#This Row],[PMT]]="NA","NA",Table2[[#This Row],[PMT]]+2)</f>
        <v>762</v>
      </c>
      <c r="V308" s="26">
        <v>0</v>
      </c>
      <c r="W308" s="26">
        <f>IF(Table2[[#This Row],[PMT]]="NA","NA",Table2[[#This Row],[PMT]]+8)-Table2[[#This Row],[Const]]</f>
        <v>768</v>
      </c>
      <c r="X308" s="26" t="str">
        <f>IF(W308="NA","",CONCATENATE("0B 04 00 ",DEC2HEX($G308,2)," ",LEFT(DEC2HEX(W308,4),2)," ",RIGHT(DEC2HEX(W308,4),2)))</f>
        <v>0B 04 00 09 03 00</v>
      </c>
      <c r="Y308" s="26">
        <f>IF(Table2[[#This Row],[PMT]]="NA","NA",Table2[[#This Row],[PMT]]+14)-Table2[[#This Row],[Const]]</f>
        <v>774</v>
      </c>
      <c r="Z308" s="26" t="str">
        <f>IF(Y308="NA","",CONCATENATE("0B 04 00 ",DEC2HEX($G308,2)," ",LEFT(DEC2HEX(Y308,4),2)," ",RIGHT(DEC2HEX(Y308,4),2)))</f>
        <v>0B 04 00 09 03 06</v>
      </c>
      <c r="AA308" s="26" t="s">
        <v>349</v>
      </c>
      <c r="AB308" s="26" t="s">
        <v>443</v>
      </c>
      <c r="AC308" s="26"/>
      <c r="AD308" s="26" t="s">
        <v>346</v>
      </c>
      <c r="AE308" s="26"/>
      <c r="AF308" s="26"/>
      <c r="AI308" s="26"/>
      <c r="AJ308" s="26"/>
      <c r="AL308" s="26"/>
      <c r="AW308" s="26"/>
      <c r="AX308" s="26"/>
      <c r="AY308" s="26"/>
    </row>
    <row r="309" spans="1:51" x14ac:dyDescent="0.25">
      <c r="A309" s="26">
        <v>94</v>
      </c>
      <c r="B309" s="26" t="s">
        <v>216</v>
      </c>
      <c r="C309" s="26">
        <v>5180</v>
      </c>
      <c r="D309" s="27" t="s">
        <v>421</v>
      </c>
      <c r="E309" s="26">
        <v>234</v>
      </c>
      <c r="F309" s="26">
        <v>11</v>
      </c>
      <c r="G309" s="26">
        <v>11</v>
      </c>
      <c r="H309" s="26" t="s">
        <v>1058</v>
      </c>
      <c r="I309" s="26" t="s">
        <v>1084</v>
      </c>
      <c r="J309" s="26" t="s">
        <v>1040</v>
      </c>
      <c r="K309" s="26" t="s">
        <v>953</v>
      </c>
      <c r="L309" s="26" t="s">
        <v>1002</v>
      </c>
      <c r="M309" s="26" t="s">
        <v>1377</v>
      </c>
      <c r="N309" s="26" t="s">
        <v>1096</v>
      </c>
      <c r="O309" s="26" t="s">
        <v>1101</v>
      </c>
      <c r="P309" s="26">
        <v>3712</v>
      </c>
      <c r="Q309" s="27" t="s">
        <v>1044</v>
      </c>
      <c r="R309" s="26">
        <v>2231</v>
      </c>
      <c r="S309" s="26">
        <v>6200</v>
      </c>
      <c r="T309" s="26">
        <f>IF(Table2[[#This Row],[PMT]]="NA","NA",Table2[[#This Row],[PMT]]+1)</f>
        <v>6201</v>
      </c>
      <c r="U309" s="26">
        <f>IF(Table2[[#This Row],[PMT]]="NA","NA",Table2[[#This Row],[PMT]]+2)</f>
        <v>6202</v>
      </c>
      <c r="V309" s="26">
        <v>0</v>
      </c>
      <c r="W309" s="26">
        <f>IF(Table2[[#This Row],[PMT]]="NA","NA",Table2[[#This Row],[PMT]]+8)-Table2[[#This Row],[Const]]</f>
        <v>6208</v>
      </c>
      <c r="X309" s="26" t="str">
        <f>IF(W309="NA","",CONCATENATE("0B 04 00 ",DEC2HEX($G309,2)," ",LEFT(DEC2HEX(W309,4),2)," ",RIGHT(DEC2HEX(W309,4),2)))</f>
        <v>0B 04 00 0B 18 40</v>
      </c>
      <c r="Y309" s="26">
        <f>IF(Table2[[#This Row],[PMT]]="NA","NA",Table2[[#This Row],[PMT]]+14)-Table2[[#This Row],[Const]]</f>
        <v>6214</v>
      </c>
      <c r="Z309" s="26" t="str">
        <f>IF(Y309="NA","",CONCATENATE("0B 04 00 ",DEC2HEX($G309,2)," ",LEFT(DEC2HEX(Y309,4),2)," ",RIGHT(DEC2HEX(Y309,4),2)))</f>
        <v>0B 04 00 0B 18 46</v>
      </c>
      <c r="AA309" s="26" t="s">
        <v>1058</v>
      </c>
      <c r="AB309" s="26" t="s">
        <v>1084</v>
      </c>
      <c r="AC309" s="26">
        <v>14454</v>
      </c>
      <c r="AD309" s="26" t="s">
        <v>814</v>
      </c>
      <c r="AE309" s="26"/>
      <c r="AF309" s="26"/>
      <c r="AI309" s="26"/>
      <c r="AJ309" s="26"/>
      <c r="AL309" s="26"/>
      <c r="AW309" s="26"/>
      <c r="AX309" s="26"/>
      <c r="AY309" s="26"/>
    </row>
    <row r="310" spans="1:51" hidden="1" x14ac:dyDescent="0.25">
      <c r="A310" s="26">
        <v>305</v>
      </c>
      <c r="B310" s="26" t="s">
        <v>346</v>
      </c>
      <c r="C310" s="26" t="s">
        <v>346</v>
      </c>
      <c r="D310" s="27" t="s">
        <v>1315</v>
      </c>
      <c r="E310" s="26">
        <v>686</v>
      </c>
      <c r="F310" s="26" t="s">
        <v>346</v>
      </c>
      <c r="G310" s="26">
        <v>3</v>
      </c>
      <c r="H310" s="26" t="s">
        <v>1352</v>
      </c>
      <c r="I310" s="26" t="s">
        <v>443</v>
      </c>
      <c r="J310" s="26" t="s">
        <v>1038</v>
      </c>
      <c r="K310" s="26" t="s">
        <v>1039</v>
      </c>
      <c r="L310" s="26" t="s">
        <v>931</v>
      </c>
      <c r="M310" s="26" t="s">
        <v>1376</v>
      </c>
      <c r="N310" s="31"/>
      <c r="O310" s="31"/>
      <c r="P310" s="31"/>
      <c r="Q310" s="32"/>
      <c r="R310" s="31">
        <v>12168</v>
      </c>
      <c r="S310" s="31">
        <v>1180</v>
      </c>
      <c r="T310" s="31">
        <f>IF(Table2[[#This Row],[PMT]]="NA","NA",Table2[[#This Row],[PMT]]+1)</f>
        <v>1181</v>
      </c>
      <c r="U310" s="31">
        <f>IF(Table2[[#This Row],[PMT]]="NA","NA",Table2[[#This Row],[PMT]]+2)</f>
        <v>1182</v>
      </c>
      <c r="V310" s="26">
        <v>0</v>
      </c>
      <c r="W310" s="31">
        <f>IF(Table2[[#This Row],[PMT]]="NA","NA",Table2[[#This Row],[PMT]]+8)-Table2[[#This Row],[Const]]</f>
        <v>1188</v>
      </c>
      <c r="X310" s="31" t="str">
        <f>IF(W310="NA","",CONCATENATE("0B 04 00 ",DEC2HEX($G310,2)," ",LEFT(DEC2HEX(W310,4),2)," ",RIGHT(DEC2HEX(W310,4),2)))</f>
        <v>0B 04 00 03 04 A4</v>
      </c>
      <c r="Y310" s="31">
        <f>IF(Table2[[#This Row],[PMT]]="NA","NA",Table2[[#This Row],[PMT]]+14)-Table2[[#This Row],[Const]]</f>
        <v>1194</v>
      </c>
      <c r="Z310" s="31" t="str">
        <f>IF(Y310="NA","",CONCATENATE("0B 04 00 ",DEC2HEX($G310,2)," ",LEFT(DEC2HEX(Y310,4),2)," ",RIGHT(DEC2HEX(Y310,4),2)))</f>
        <v>0B 04 00 03 04 AA</v>
      </c>
      <c r="AA310" s="26"/>
      <c r="AB310" s="26"/>
      <c r="AC310" s="31"/>
      <c r="AD310" s="31"/>
      <c r="AE310" s="26"/>
      <c r="AF310" s="26"/>
      <c r="AI310" s="26"/>
      <c r="AJ310" s="26"/>
      <c r="AL310" s="26"/>
      <c r="AW310" s="26"/>
      <c r="AX310" s="26"/>
      <c r="AY310" s="26"/>
    </row>
    <row r="311" spans="1:51" x14ac:dyDescent="0.25">
      <c r="A311" s="26">
        <v>93</v>
      </c>
      <c r="B311" s="26" t="s">
        <v>139</v>
      </c>
      <c r="C311" s="26">
        <v>5180</v>
      </c>
      <c r="D311" s="27" t="s">
        <v>420</v>
      </c>
      <c r="E311" s="26">
        <v>232</v>
      </c>
      <c r="F311" s="26">
        <v>9</v>
      </c>
      <c r="G311" s="26">
        <v>9</v>
      </c>
      <c r="H311" s="26" t="s">
        <v>1058</v>
      </c>
      <c r="I311" s="26" t="s">
        <v>1084</v>
      </c>
      <c r="J311" s="26" t="s">
        <v>1040</v>
      </c>
      <c r="K311" s="26" t="s">
        <v>953</v>
      </c>
      <c r="L311" s="26" t="s">
        <v>1002</v>
      </c>
      <c r="M311" s="26" t="s">
        <v>1377</v>
      </c>
      <c r="N311" s="26" t="s">
        <v>1086</v>
      </c>
      <c r="O311" s="26" t="s">
        <v>1094</v>
      </c>
      <c r="P311" s="26">
        <v>3820</v>
      </c>
      <c r="Q311" s="27" t="s">
        <v>1044</v>
      </c>
      <c r="R311" s="26">
        <v>3224</v>
      </c>
      <c r="S311" s="26">
        <v>6300</v>
      </c>
      <c r="T311" s="26">
        <f>IF(Table2[[#This Row],[PMT]]="NA","NA",Table2[[#This Row],[PMT]]+1)</f>
        <v>6301</v>
      </c>
      <c r="U311" s="26">
        <f>IF(Table2[[#This Row],[PMT]]="NA","NA",Table2[[#This Row],[PMT]]+2)</f>
        <v>6302</v>
      </c>
      <c r="V311" s="26">
        <v>0</v>
      </c>
      <c r="W311" s="26">
        <f>IF(Table2[[#This Row],[PMT]]="NA","NA",Table2[[#This Row],[PMT]]+8)-Table2[[#This Row],[Const]]</f>
        <v>6308</v>
      </c>
      <c r="X311" s="26" t="str">
        <f>IF(W311="NA","",CONCATENATE("0B 04 00 ",DEC2HEX($G311,2)," ",LEFT(DEC2HEX(W311,4),2)," ",RIGHT(DEC2HEX(W311,4),2)))</f>
        <v>0B 04 00 09 18 A4</v>
      </c>
      <c r="Y311" s="26">
        <f>IF(Table2[[#This Row],[PMT]]="NA","NA",Table2[[#This Row],[PMT]]+14)-Table2[[#This Row],[Const]]</f>
        <v>6314</v>
      </c>
      <c r="Z311" s="26" t="str">
        <f>IF(Y311="NA","",CONCATENATE("0B 04 00 ",DEC2HEX($G311,2)," ",LEFT(DEC2HEX(Y311,4),2)," ",RIGHT(DEC2HEX(Y311,4),2)))</f>
        <v>0B 04 00 09 18 AA</v>
      </c>
      <c r="AA311" s="26" t="s">
        <v>1058</v>
      </c>
      <c r="AB311" s="26" t="s">
        <v>1084</v>
      </c>
      <c r="AC311" s="26">
        <v>27500</v>
      </c>
      <c r="AD311" s="26" t="s">
        <v>814</v>
      </c>
      <c r="AE311" s="26"/>
      <c r="AF311" s="26"/>
      <c r="AI311" s="26"/>
      <c r="AJ311" s="26"/>
      <c r="AL311" s="26"/>
      <c r="AW311" s="26"/>
      <c r="AX311" s="26"/>
      <c r="AY311" s="26"/>
    </row>
    <row r="312" spans="1:51" x14ac:dyDescent="0.25">
      <c r="A312" s="26">
        <v>91</v>
      </c>
      <c r="B312" s="26" t="s">
        <v>159</v>
      </c>
      <c r="C312" s="26">
        <v>5180</v>
      </c>
      <c r="D312" s="27" t="s">
        <v>418</v>
      </c>
      <c r="E312" s="26">
        <v>230</v>
      </c>
      <c r="F312" s="26">
        <v>11</v>
      </c>
      <c r="G312" s="26">
        <v>11</v>
      </c>
      <c r="H312" s="26" t="s">
        <v>1058</v>
      </c>
      <c r="I312" s="26" t="s">
        <v>1084</v>
      </c>
      <c r="J312" s="26" t="s">
        <v>1040</v>
      </c>
      <c r="K312" s="26" t="s">
        <v>953</v>
      </c>
      <c r="L312" s="26" t="s">
        <v>1002</v>
      </c>
      <c r="M312" s="26" t="s">
        <v>1377</v>
      </c>
      <c r="N312" s="26" t="s">
        <v>1096</v>
      </c>
      <c r="O312" s="26" t="s">
        <v>1100</v>
      </c>
      <c r="P312" s="26">
        <v>3712</v>
      </c>
      <c r="Q312" s="27" t="s">
        <v>1044</v>
      </c>
      <c r="R312" s="26">
        <v>2230</v>
      </c>
      <c r="S312" s="26">
        <v>5600</v>
      </c>
      <c r="T312" s="26">
        <f>IF(Table2[[#This Row],[PMT]]="NA","NA",Table2[[#This Row],[PMT]]+1)</f>
        <v>5601</v>
      </c>
      <c r="U312" s="26">
        <f>IF(Table2[[#This Row],[PMT]]="NA","NA",Table2[[#This Row],[PMT]]+2)</f>
        <v>5602</v>
      </c>
      <c r="V312" s="26">
        <v>0</v>
      </c>
      <c r="W312" s="26">
        <f>IF(Table2[[#This Row],[PMT]]="NA","NA",Table2[[#This Row],[PMT]]+8)-Table2[[#This Row],[Const]]</f>
        <v>5608</v>
      </c>
      <c r="X312" s="26" t="str">
        <f>IF(W312="NA","",CONCATENATE("0B 04 00 ",DEC2HEX($G312,2)," ",LEFT(DEC2HEX(W312,4),2)," ",RIGHT(DEC2HEX(W312,4),2)))</f>
        <v>0B 04 00 0B 15 E8</v>
      </c>
      <c r="Y312" s="26">
        <f>IF(Table2[[#This Row],[PMT]]="NA","NA",Table2[[#This Row],[PMT]]+14)-Table2[[#This Row],[Const]]</f>
        <v>5614</v>
      </c>
      <c r="Z312" s="26" t="str">
        <f>IF(Y312="NA","",CONCATENATE("0B 04 00 ",DEC2HEX($G312,2)," ",LEFT(DEC2HEX(Y312,4),2)," ",RIGHT(DEC2HEX(Y312,4),2)))</f>
        <v>0B 04 00 0B 15 EE</v>
      </c>
      <c r="AA312" s="26" t="s">
        <v>1058</v>
      </c>
      <c r="AB312" s="26" t="s">
        <v>1084</v>
      </c>
      <c r="AC312" s="26">
        <v>14454</v>
      </c>
      <c r="AD312" s="26" t="s">
        <v>814</v>
      </c>
      <c r="AE312" s="26"/>
      <c r="AF312" s="26"/>
      <c r="AI312" s="26"/>
      <c r="AJ312" s="26"/>
      <c r="AL312" s="26"/>
      <c r="AW312" s="26"/>
      <c r="AX312" s="26"/>
      <c r="AY312" s="26"/>
    </row>
    <row r="313" spans="1:51" x14ac:dyDescent="0.25">
      <c r="A313" s="26">
        <v>131</v>
      </c>
      <c r="B313" s="26" t="s">
        <v>1067</v>
      </c>
      <c r="C313" s="26">
        <v>5001</v>
      </c>
      <c r="D313" s="27" t="s">
        <v>451</v>
      </c>
      <c r="E313" s="26">
        <v>304</v>
      </c>
      <c r="F313" s="26">
        <v>3</v>
      </c>
      <c r="G313" s="26">
        <v>3</v>
      </c>
      <c r="H313" s="26" t="s">
        <v>1057</v>
      </c>
      <c r="I313" s="26" t="s">
        <v>1084</v>
      </c>
      <c r="J313" s="26" t="s">
        <v>931</v>
      </c>
      <c r="K313" s="26" t="s">
        <v>1042</v>
      </c>
      <c r="L313" s="26" t="s">
        <v>931</v>
      </c>
      <c r="M313" s="28" t="s">
        <v>1377</v>
      </c>
      <c r="Q313" s="27"/>
      <c r="R313" s="26">
        <v>3300</v>
      </c>
      <c r="S313" s="26">
        <v>180</v>
      </c>
      <c r="T313" s="26">
        <f>IF(Table2[[#This Row],[PMT]]="NA","NA",Table2[[#This Row],[PMT]]+1)</f>
        <v>181</v>
      </c>
      <c r="U313" s="26">
        <f>IF(Table2[[#This Row],[PMT]]="NA","NA",Table2[[#This Row],[PMT]]+2)</f>
        <v>182</v>
      </c>
      <c r="V313" s="26">
        <v>-1</v>
      </c>
      <c r="W313" s="26">
        <f>IF(Table2[[#This Row],[PMT]]="NA","NA",Table2[[#This Row],[PMT]]+8)-Table2[[#This Row],[Const]]</f>
        <v>189</v>
      </c>
      <c r="X313" s="26" t="str">
        <f>IF(W313="NA","",CONCATENATE("0B 04 00 ",DEC2HEX($G313,2)," ",LEFT(DEC2HEX(W313,4),2)," ",RIGHT(DEC2HEX(W313,4),2)))</f>
        <v>0B 04 00 03 00 BD</v>
      </c>
      <c r="Y313" s="26">
        <f>IF(Table2[[#This Row],[PMT]]="NA","NA",Table2[[#This Row],[PMT]]+14)-Table2[[#This Row],[Const]]</f>
        <v>195</v>
      </c>
      <c r="Z313" s="26" t="str">
        <f>IF(Y313="NA","",CONCATENATE("0B 04 00 ",DEC2HEX($G313,2)," ",LEFT(DEC2HEX(Y313,4),2)," ",RIGHT(DEC2HEX(Y313,4),2)))</f>
        <v>0B 04 00 03 00 C3</v>
      </c>
      <c r="AA313" s="26" t="s">
        <v>1057</v>
      </c>
      <c r="AB313" s="26" t="s">
        <v>1084</v>
      </c>
      <c r="AC313" s="26"/>
      <c r="AD313" s="26" t="s">
        <v>1077</v>
      </c>
      <c r="AE313" s="26"/>
      <c r="AF313" s="26"/>
      <c r="AI313" s="26"/>
      <c r="AJ313" s="26"/>
      <c r="AL313" s="26"/>
      <c r="AW313" s="26"/>
      <c r="AX313" s="26"/>
      <c r="AY313" s="26"/>
    </row>
    <row r="314" spans="1:51" x14ac:dyDescent="0.25">
      <c r="A314" s="26">
        <v>145</v>
      </c>
      <c r="B314" s="26" t="s">
        <v>178</v>
      </c>
      <c r="C314" s="26">
        <v>5180</v>
      </c>
      <c r="D314" s="27" t="s">
        <v>461</v>
      </c>
      <c r="E314" s="26">
        <v>325</v>
      </c>
      <c r="F314" s="26">
        <v>6</v>
      </c>
      <c r="G314" s="26">
        <v>6</v>
      </c>
      <c r="H314" s="26" t="s">
        <v>1363</v>
      </c>
      <c r="I314" s="26" t="s">
        <v>1084</v>
      </c>
      <c r="J314" s="26" t="s">
        <v>1040</v>
      </c>
      <c r="K314" s="26" t="s">
        <v>953</v>
      </c>
      <c r="L314" s="26" t="s">
        <v>931</v>
      </c>
      <c r="M314" s="28"/>
      <c r="Q314" s="27"/>
      <c r="R314" s="26">
        <v>3325</v>
      </c>
      <c r="S314" s="26">
        <v>5500</v>
      </c>
      <c r="T314" s="26">
        <f>IF(Table2[[#This Row],[PMT]]="NA","NA",Table2[[#This Row],[PMT]]+1)</f>
        <v>5501</v>
      </c>
      <c r="U314" s="26">
        <f>IF(Table2[[#This Row],[PMT]]="NA","NA",Table2[[#This Row],[PMT]]+2)</f>
        <v>5502</v>
      </c>
      <c r="V314" s="26">
        <v>0</v>
      </c>
      <c r="W314" s="26">
        <f>IF(Table2[[#This Row],[PMT]]="NA","NA",Table2[[#This Row],[PMT]]+8)-Table2[[#This Row],[Const]]</f>
        <v>5508</v>
      </c>
      <c r="X314" s="26" t="str">
        <f>IF(W314="NA","",CONCATENATE("0B 04 00 ",DEC2HEX($G314,2)," ",LEFT(DEC2HEX(W314,4),2)," ",RIGHT(DEC2HEX(W314,4),2)))</f>
        <v>0B 04 00 06 15 84</v>
      </c>
      <c r="Y314" s="26">
        <f>IF(Table2[[#This Row],[PMT]]="NA","NA",Table2[[#This Row],[PMT]]+14)-Table2[[#This Row],[Const]]</f>
        <v>5514</v>
      </c>
      <c r="Z314" s="26" t="str">
        <f>IF(Y314="NA","",CONCATENATE("0B 04 00 ",DEC2HEX($G314,2)," ",LEFT(DEC2HEX(Y314,4),2)," ",RIGHT(DEC2HEX(Y314,4),2)))</f>
        <v>0B 04 00 06 15 8A</v>
      </c>
      <c r="AA314" s="26" t="s">
        <v>1068</v>
      </c>
      <c r="AB314" s="26" t="s">
        <v>1084</v>
      </c>
      <c r="AC314" s="26"/>
      <c r="AD314" s="26" t="s">
        <v>814</v>
      </c>
      <c r="AE314" s="26"/>
      <c r="AF314" s="26"/>
      <c r="AI314" s="26"/>
      <c r="AJ314" s="26"/>
      <c r="AL314" s="26"/>
      <c r="AW314" s="26"/>
      <c r="AX314" s="26"/>
      <c r="AY314" s="26"/>
    </row>
    <row r="315" spans="1:51" x14ac:dyDescent="0.25">
      <c r="A315" s="26">
        <v>267</v>
      </c>
      <c r="B315" s="26" t="s">
        <v>648</v>
      </c>
      <c r="C315" s="26">
        <v>5001</v>
      </c>
      <c r="D315" s="27" t="s">
        <v>1098</v>
      </c>
      <c r="E315" s="26">
        <v>592</v>
      </c>
      <c r="F315" s="26">
        <v>7</v>
      </c>
      <c r="G315" s="26">
        <v>7</v>
      </c>
      <c r="H315" s="26" t="s">
        <v>1057</v>
      </c>
      <c r="I315" s="26" t="s">
        <v>559</v>
      </c>
      <c r="J315" s="26" t="s">
        <v>931</v>
      </c>
      <c r="K315" s="26" t="s">
        <v>1042</v>
      </c>
      <c r="L315" s="26" t="s">
        <v>931</v>
      </c>
      <c r="M315" s="28" t="s">
        <v>1376</v>
      </c>
      <c r="N315" s="26" t="s">
        <v>1076</v>
      </c>
      <c r="O315" s="26" t="s">
        <v>1088</v>
      </c>
      <c r="P315" s="26">
        <v>3723</v>
      </c>
      <c r="Q315" s="27"/>
      <c r="R315" s="26">
        <v>5592</v>
      </c>
      <c r="S315" s="26">
        <v>140</v>
      </c>
      <c r="T315" s="26">
        <f>IF(Table2[[#This Row],[PMT]]="NA","NA",Table2[[#This Row],[PMT]]+1)</f>
        <v>141</v>
      </c>
      <c r="U315" s="26">
        <f>IF(Table2[[#This Row],[PMT]]="NA","NA",Table2[[#This Row],[PMT]]+2)</f>
        <v>142</v>
      </c>
      <c r="V315" s="26">
        <v>1</v>
      </c>
      <c r="W315" s="26">
        <f>IF(Table2[[#This Row],[PMT]]="NA","NA",Table2[[#This Row],[PMT]]+8)-Table2[[#This Row],[Const]]</f>
        <v>147</v>
      </c>
      <c r="X315" s="26" t="str">
        <f>IF(W315="NA","",CONCATENATE("0B 04 00 ",DEC2HEX($G315,2)," ",LEFT(DEC2HEX(W315,4),2)," ",RIGHT(DEC2HEX(W315,4),2)))</f>
        <v>0B 04 00 07 00 93</v>
      </c>
      <c r="Y315" s="26">
        <f>IF(Table2[[#This Row],[PMT]]="NA","NA",Table2[[#This Row],[PMT]]+14)-Table2[[#This Row],[Const]]</f>
        <v>153</v>
      </c>
      <c r="Z315" s="26" t="str">
        <f>IF(Y315="NA","",CONCATENATE("0B 04 00 ",DEC2HEX($G315,2)," ",LEFT(DEC2HEX(Y315,4),2)," ",RIGHT(DEC2HEX(Y315,4),2)))</f>
        <v>0B 04 00 07 00 99</v>
      </c>
      <c r="AA315" s="26" t="s">
        <v>1057</v>
      </c>
      <c r="AB315" s="26"/>
      <c r="AC315" s="26">
        <v>9600</v>
      </c>
      <c r="AD315" s="26" t="s">
        <v>815</v>
      </c>
      <c r="AE315" s="26"/>
      <c r="AF315" s="26"/>
      <c r="AI315" s="26"/>
      <c r="AJ315" s="26"/>
      <c r="AL315" s="26"/>
      <c r="AW315" s="26"/>
      <c r="AX315" s="26"/>
      <c r="AY315" s="26"/>
    </row>
    <row r="316" spans="1:51" x14ac:dyDescent="0.25">
      <c r="A316" s="26">
        <v>363</v>
      </c>
      <c r="B316" s="26" t="s">
        <v>648</v>
      </c>
      <c r="C316" s="26">
        <v>5001</v>
      </c>
      <c r="D316" s="27" t="s">
        <v>634</v>
      </c>
      <c r="E316" s="26">
        <v>858</v>
      </c>
      <c r="F316" s="26">
        <v>5</v>
      </c>
      <c r="G316" s="26">
        <v>5</v>
      </c>
      <c r="H316" s="26" t="s">
        <v>1057</v>
      </c>
      <c r="I316" s="26" t="s">
        <v>1357</v>
      </c>
      <c r="J316" s="26" t="s">
        <v>931</v>
      </c>
      <c r="K316" s="26" t="s">
        <v>1042</v>
      </c>
      <c r="L316" s="26" t="s">
        <v>931</v>
      </c>
      <c r="M316" s="28" t="s">
        <v>1376</v>
      </c>
      <c r="N316" s="26" t="s">
        <v>1076</v>
      </c>
      <c r="O316" s="26" t="s">
        <v>1088</v>
      </c>
      <c r="P316" s="26">
        <v>3723</v>
      </c>
      <c r="Q316" s="27"/>
      <c r="R316" s="26">
        <v>5564</v>
      </c>
      <c r="S316" s="26">
        <v>1400</v>
      </c>
      <c r="T316" s="26">
        <f>IF(Table2[[#This Row],[PMT]]="NA","NA",Table2[[#This Row],[PMT]]+1)</f>
        <v>1401</v>
      </c>
      <c r="U316" s="26">
        <f>IF(Table2[[#This Row],[PMT]]="NA","NA",Table2[[#This Row],[PMT]]+2)</f>
        <v>1402</v>
      </c>
      <c r="V316" s="26">
        <v>0</v>
      </c>
      <c r="W316" s="26">
        <f>IF(Table2[[#This Row],[PMT]]="NA","NA",Table2[[#This Row],[PMT]]+8)-Table2[[#This Row],[Const]]</f>
        <v>1408</v>
      </c>
      <c r="X316" s="26" t="str">
        <f>IF(W316="NA","",CONCATENATE("0B 04 00 ",DEC2HEX($G316,2)," ",LEFT(DEC2HEX(W316,4),2)," ",RIGHT(DEC2HEX(W316,4),2)))</f>
        <v>0B 04 00 05 05 80</v>
      </c>
      <c r="Y316" s="26">
        <f>IF(Table2[[#This Row],[PMT]]="NA","NA",Table2[[#This Row],[PMT]]+14)-Table2[[#This Row],[Const]]</f>
        <v>1414</v>
      </c>
      <c r="Z316" s="26" t="str">
        <f>IF(Y316="NA","",CONCATENATE("0B 04 00 ",DEC2HEX($G316,2)," ",LEFT(DEC2HEX(Y316,4),2)," ",RIGHT(DEC2HEX(Y316,4),2)))</f>
        <v>0B 04 00 05 05 86</v>
      </c>
      <c r="AA316" s="26"/>
      <c r="AB316" s="26"/>
      <c r="AC316" s="26">
        <v>9600</v>
      </c>
      <c r="AD316" s="26" t="s">
        <v>814</v>
      </c>
      <c r="AE316" s="26"/>
      <c r="AF316" s="26"/>
      <c r="AI316" s="26"/>
      <c r="AJ316" s="26"/>
      <c r="AL316" s="26"/>
      <c r="AW316" s="26"/>
      <c r="AX316" s="26"/>
      <c r="AY316" s="26"/>
    </row>
    <row r="317" spans="1:51" hidden="1" x14ac:dyDescent="0.25">
      <c r="A317" s="26">
        <v>312</v>
      </c>
      <c r="B317" s="26" t="s">
        <v>346</v>
      </c>
      <c r="C317" s="26" t="s">
        <v>346</v>
      </c>
      <c r="D317" s="27" t="s">
        <v>594</v>
      </c>
      <c r="E317" s="26">
        <v>695</v>
      </c>
      <c r="F317" s="26" t="s">
        <v>346</v>
      </c>
      <c r="G317" s="26">
        <v>2</v>
      </c>
      <c r="H317" s="26" t="s">
        <v>1352</v>
      </c>
      <c r="I317" s="26" t="s">
        <v>1084</v>
      </c>
      <c r="J317" s="26" t="s">
        <v>1038</v>
      </c>
      <c r="K317" s="26" t="s">
        <v>1039</v>
      </c>
      <c r="L317" s="26" t="s">
        <v>931</v>
      </c>
      <c r="M317" s="26" t="s">
        <v>1376</v>
      </c>
      <c r="Q317" s="27"/>
      <c r="R317" s="26">
        <v>4695</v>
      </c>
      <c r="S317" s="26">
        <v>940</v>
      </c>
      <c r="T317" s="26">
        <f>IF(Table2[[#This Row],[PMT]]="NA","NA",Table2[[#This Row],[PMT]]+1)</f>
        <v>941</v>
      </c>
      <c r="U317" s="26">
        <f>IF(Table2[[#This Row],[PMT]]="NA","NA",Table2[[#This Row],[PMT]]+2)</f>
        <v>942</v>
      </c>
      <c r="V317" s="26">
        <v>0</v>
      </c>
      <c r="W317" s="26">
        <f>IF(Table2[[#This Row],[PMT]]="NA","NA",Table2[[#This Row],[PMT]]+8)-Table2[[#This Row],[Const]]</f>
        <v>948</v>
      </c>
      <c r="X317" s="26" t="str">
        <f>IF(W317="NA","",CONCATENATE("0B 04 00 ",DEC2HEX($G317,2)," ",LEFT(DEC2HEX(W317,4),2)," ",RIGHT(DEC2HEX(W317,4),2)))</f>
        <v>0B 04 00 02 03 B4</v>
      </c>
      <c r="Y317" s="26">
        <f>IF(Table2[[#This Row],[PMT]]="NA","NA",Table2[[#This Row],[PMT]]+14)-Table2[[#This Row],[Const]]</f>
        <v>954</v>
      </c>
      <c r="Z317" s="26" t="str">
        <f>IF(Y317="NA","",CONCATENATE("0B 04 00 ",DEC2HEX($G317,2)," ",LEFT(DEC2HEX(Y317,4),2)," ",RIGHT(DEC2HEX(Y317,4),2)))</f>
        <v>0B 04 00 02 03 BA</v>
      </c>
      <c r="AA317" s="26"/>
      <c r="AB317" s="26"/>
      <c r="AC317" s="26"/>
      <c r="AD317" s="26" t="s">
        <v>346</v>
      </c>
      <c r="AE317" s="26"/>
      <c r="AF317" s="26"/>
      <c r="AI317" s="26"/>
      <c r="AJ317" s="26"/>
      <c r="AL317" s="26"/>
      <c r="AW317" s="26"/>
      <c r="AX317" s="26"/>
      <c r="AY317" s="26"/>
    </row>
    <row r="318" spans="1:51" hidden="1" x14ac:dyDescent="0.25">
      <c r="A318" s="26">
        <v>313</v>
      </c>
      <c r="B318" s="26" t="s">
        <v>346</v>
      </c>
      <c r="C318" s="26" t="s">
        <v>346</v>
      </c>
      <c r="D318" s="27" t="s">
        <v>595</v>
      </c>
      <c r="E318" s="26">
        <v>696</v>
      </c>
      <c r="F318" s="26" t="s">
        <v>346</v>
      </c>
      <c r="G318" s="26">
        <v>3</v>
      </c>
      <c r="H318" s="26" t="s">
        <v>1352</v>
      </c>
      <c r="I318" s="26" t="s">
        <v>443</v>
      </c>
      <c r="J318" s="26" t="s">
        <v>1038</v>
      </c>
      <c r="K318" s="26" t="s">
        <v>1039</v>
      </c>
      <c r="L318" s="26" t="s">
        <v>931</v>
      </c>
      <c r="M318" s="26" t="s">
        <v>1376</v>
      </c>
      <c r="Q318" s="27"/>
      <c r="R318" s="26">
        <v>4696</v>
      </c>
      <c r="S318" s="26">
        <v>1040</v>
      </c>
      <c r="T318" s="26">
        <f>IF(Table2[[#This Row],[PMT]]="NA","NA",Table2[[#This Row],[PMT]]+1)</f>
        <v>1041</v>
      </c>
      <c r="U318" s="26">
        <f>IF(Table2[[#This Row],[PMT]]="NA","NA",Table2[[#This Row],[PMT]]+2)</f>
        <v>1042</v>
      </c>
      <c r="V318" s="26">
        <v>0</v>
      </c>
      <c r="W318" s="26">
        <f>IF(Table2[[#This Row],[PMT]]="NA","NA",Table2[[#This Row],[PMT]]+8)-Table2[[#This Row],[Const]]</f>
        <v>1048</v>
      </c>
      <c r="X318" s="26" t="str">
        <f>IF(W318="NA","",CONCATENATE("0B 04 00 ",DEC2HEX($G318,2)," ",LEFT(DEC2HEX(W318,4),2)," ",RIGHT(DEC2HEX(W318,4),2)))</f>
        <v>0B 04 00 03 04 18</v>
      </c>
      <c r="Y318" s="26">
        <f>IF(Table2[[#This Row],[PMT]]="NA","NA",Table2[[#This Row],[PMT]]+14)-Table2[[#This Row],[Const]]</f>
        <v>1054</v>
      </c>
      <c r="Z318" s="26" t="str">
        <f>IF(Y318="NA","",CONCATENATE("0B 04 00 ",DEC2HEX($G318,2)," ",LEFT(DEC2HEX(Y318,4),2)," ",RIGHT(DEC2HEX(Y318,4),2)))</f>
        <v>0B 04 00 03 04 1E</v>
      </c>
      <c r="AA318" s="26"/>
      <c r="AB318" s="26"/>
      <c r="AC318" s="26"/>
      <c r="AD318" s="26" t="s">
        <v>346</v>
      </c>
      <c r="AE318" s="26"/>
      <c r="AF318" s="26"/>
      <c r="AI318" s="26"/>
      <c r="AJ318" s="26"/>
      <c r="AL318" s="26"/>
      <c r="AW318" s="26"/>
      <c r="AX318" s="26"/>
      <c r="AY318" s="26"/>
    </row>
    <row r="319" spans="1:51" x14ac:dyDescent="0.25">
      <c r="A319" s="26">
        <v>227</v>
      </c>
      <c r="B319" s="26" t="s">
        <v>648</v>
      </c>
      <c r="C319" s="26">
        <v>5001</v>
      </c>
      <c r="D319" s="27" t="s">
        <v>528</v>
      </c>
      <c r="E319" s="26">
        <v>526</v>
      </c>
      <c r="F319" s="26">
        <v>6</v>
      </c>
      <c r="G319" s="26">
        <v>6</v>
      </c>
      <c r="H319" s="26" t="s">
        <v>1057</v>
      </c>
      <c r="I319" s="26" t="s">
        <v>523</v>
      </c>
      <c r="J319" s="26" t="s">
        <v>931</v>
      </c>
      <c r="K319" s="26" t="s">
        <v>1042</v>
      </c>
      <c r="L319" s="26" t="s">
        <v>931</v>
      </c>
      <c r="M319" s="28" t="s">
        <v>1376</v>
      </c>
      <c r="N319" s="26" t="s">
        <v>1076</v>
      </c>
      <c r="O319" s="26" t="s">
        <v>1088</v>
      </c>
      <c r="P319" s="26">
        <v>3723</v>
      </c>
      <c r="Q319" s="27"/>
      <c r="R319" s="26">
        <v>3526</v>
      </c>
      <c r="S319" s="26">
        <v>240</v>
      </c>
      <c r="T319" s="26">
        <f>IF(Table2[[#This Row],[PMT]]="NA","NA",Table2[[#This Row],[PMT]]+1)</f>
        <v>241</v>
      </c>
      <c r="U319" s="26">
        <f>IF(Table2[[#This Row],[PMT]]="NA","NA",Table2[[#This Row],[PMT]]+2)</f>
        <v>242</v>
      </c>
      <c r="V319" s="26">
        <v>0</v>
      </c>
      <c r="W319" s="26">
        <f>IF(Table2[[#This Row],[PMT]]="NA","NA",Table2[[#This Row],[PMT]]+8)-Table2[[#This Row],[Const]]</f>
        <v>248</v>
      </c>
      <c r="X319" s="26" t="str">
        <f>IF(W319="NA","",CONCATENATE("0B 04 00 ",DEC2HEX($G319,2)," ",LEFT(DEC2HEX(W319,4),2)," ",RIGHT(DEC2HEX(W319,4),2)))</f>
        <v>0B 04 00 06 00 F8</v>
      </c>
      <c r="Y319" s="26">
        <f>IF(Table2[[#This Row],[PMT]]="NA","NA",Table2[[#This Row],[PMT]]+14)-Table2[[#This Row],[Const]]</f>
        <v>254</v>
      </c>
      <c r="Z319" s="26" t="str">
        <f>IF(Y319="NA","",CONCATENATE("0B 04 00 ",DEC2HEX($G319,2)," ",LEFT(DEC2HEX(Y319,4),2)," ",RIGHT(DEC2HEX(Y319,4),2)))</f>
        <v>0B 04 00 06 00 FE</v>
      </c>
      <c r="AA319" s="26" t="s">
        <v>1057</v>
      </c>
      <c r="AB319" s="26"/>
      <c r="AC319" s="26">
        <v>9600</v>
      </c>
      <c r="AD319" s="26" t="s">
        <v>814</v>
      </c>
      <c r="AE319" s="26"/>
      <c r="AF319" s="26"/>
      <c r="AI319" s="26"/>
      <c r="AJ319" s="26"/>
      <c r="AL319" s="26"/>
      <c r="AW319" s="26"/>
      <c r="AX319" s="26"/>
      <c r="AY319" s="26"/>
    </row>
    <row r="320" spans="1:51" hidden="1" x14ac:dyDescent="0.25">
      <c r="A320" s="26">
        <v>315</v>
      </c>
      <c r="B320" s="26" t="s">
        <v>346</v>
      </c>
      <c r="C320" s="26" t="s">
        <v>346</v>
      </c>
      <c r="D320" s="27" t="s">
        <v>1346</v>
      </c>
      <c r="E320" s="26">
        <v>699</v>
      </c>
      <c r="F320" s="26" t="s">
        <v>346</v>
      </c>
      <c r="G320" s="26">
        <v>8</v>
      </c>
      <c r="H320" s="26" t="s">
        <v>1352</v>
      </c>
      <c r="I320" s="26" t="s">
        <v>1351</v>
      </c>
      <c r="J320" s="26" t="s">
        <v>1038</v>
      </c>
      <c r="K320" s="26" t="s">
        <v>1039</v>
      </c>
      <c r="L320" s="26" t="s">
        <v>931</v>
      </c>
      <c r="M320" s="26" t="s">
        <v>1376</v>
      </c>
      <c r="N320" s="31"/>
      <c r="O320" s="31"/>
      <c r="P320" s="31"/>
      <c r="Q320" s="32"/>
      <c r="R320" s="31"/>
      <c r="S320" s="31"/>
      <c r="T320" s="31">
        <f>IF(Table2[[#This Row],[PMT]]="NA","NA",Table2[[#This Row],[PMT]]+1)</f>
        <v>1</v>
      </c>
      <c r="U320" s="31">
        <f>IF(Table2[[#This Row],[PMT]]="NA","NA",Table2[[#This Row],[PMT]]+2)</f>
        <v>2</v>
      </c>
      <c r="V320" s="26"/>
      <c r="W320" s="31">
        <f>IF(Table2[[#This Row],[PMT]]="NA","NA",Table2[[#This Row],[PMT]]+8)-Table2[[#This Row],[Const]]</f>
        <v>8</v>
      </c>
      <c r="X320" s="31" t="str">
        <f>IF(W320="NA","",CONCATENATE("0B 04 00 ",DEC2HEX($G320,2)," ",LEFT(DEC2HEX(W320,4),2)," ",RIGHT(DEC2HEX(W320,4),2)))</f>
        <v>0B 04 00 08 00 08</v>
      </c>
      <c r="Y320" s="31">
        <f>IF(Table2[[#This Row],[PMT]]="NA","NA",Table2[[#This Row],[PMT]]+14)-Table2[[#This Row],[Const]]</f>
        <v>14</v>
      </c>
      <c r="Z320" s="31" t="str">
        <f>IF(Y320="NA","",CONCATENATE("0B 04 00 ",DEC2HEX($G320,2)," ",LEFT(DEC2HEX(Y320,4),2)," ",RIGHT(DEC2HEX(Y320,4),2)))</f>
        <v>0B 04 00 08 00 0E</v>
      </c>
      <c r="AA320" s="26"/>
      <c r="AB320" s="26"/>
      <c r="AC320" s="31"/>
      <c r="AD320" s="31"/>
      <c r="AE320" s="26"/>
      <c r="AF320" s="26"/>
      <c r="AI320" s="26"/>
      <c r="AJ320" s="26"/>
      <c r="AL320" s="26"/>
      <c r="AW320" s="26"/>
      <c r="AX320" s="26"/>
      <c r="AY320" s="26"/>
    </row>
    <row r="321" spans="1:51" x14ac:dyDescent="0.25">
      <c r="A321" s="26">
        <v>65</v>
      </c>
      <c r="B321" s="26" t="s">
        <v>197</v>
      </c>
      <c r="C321" s="26">
        <v>5180</v>
      </c>
      <c r="D321" s="27" t="s">
        <v>397</v>
      </c>
      <c r="E321" s="26">
        <v>184</v>
      </c>
      <c r="F321" s="26">
        <v>7</v>
      </c>
      <c r="G321" s="26">
        <v>7</v>
      </c>
      <c r="H321" s="26" t="s">
        <v>1053</v>
      </c>
      <c r="I321" s="26" t="s">
        <v>443</v>
      </c>
      <c r="J321" s="26" t="s">
        <v>1040</v>
      </c>
      <c r="K321" s="26" t="s">
        <v>953</v>
      </c>
      <c r="L321" s="26" t="s">
        <v>931</v>
      </c>
      <c r="M321" s="28" t="s">
        <v>1377</v>
      </c>
      <c r="Q321" s="27"/>
      <c r="R321" s="26">
        <v>6166</v>
      </c>
      <c r="S321" s="26">
        <v>6000</v>
      </c>
      <c r="T321" s="26">
        <f>IF(Table2[[#This Row],[PMT]]="NA","NA",Table2[[#This Row],[PMT]]+1)</f>
        <v>6001</v>
      </c>
      <c r="U321" s="26">
        <f>IF(Table2[[#This Row],[PMT]]="NA","NA",Table2[[#This Row],[PMT]]+2)</f>
        <v>6002</v>
      </c>
      <c r="V321" s="26">
        <v>0</v>
      </c>
      <c r="W321" s="26">
        <f>IF(Table2[[#This Row],[PMT]]="NA","NA",Table2[[#This Row],[PMT]]+8)-Table2[[#This Row],[Const]]</f>
        <v>6008</v>
      </c>
      <c r="X321" s="26" t="str">
        <f>IF(W321="NA","",CONCATENATE("0B 04 00 ",DEC2HEX($G321,2)," ",LEFT(DEC2HEX(W321,4),2)," ",RIGHT(DEC2HEX(W321,4),2)))</f>
        <v>0B 04 00 07 17 78</v>
      </c>
      <c r="Y321" s="26">
        <f>IF(Table2[[#This Row],[PMT]]="NA","NA",Table2[[#This Row],[PMT]]+14)-Table2[[#This Row],[Const]]</f>
        <v>6014</v>
      </c>
      <c r="Z321" s="26" t="str">
        <f>IF(Y321="NA","",CONCATENATE("0B 04 00 ",DEC2HEX($G321,2)," ",LEFT(DEC2HEX(Y321,4),2)," ",RIGHT(DEC2HEX(Y321,4),2)))</f>
        <v>0B 04 00 07 17 7E</v>
      </c>
      <c r="AA321" s="26" t="s">
        <v>1053</v>
      </c>
      <c r="AB321" s="26" t="s">
        <v>443</v>
      </c>
      <c r="AC321" s="26"/>
      <c r="AD321" s="26" t="s">
        <v>346</v>
      </c>
      <c r="AE321" s="26"/>
      <c r="AF321" s="26"/>
      <c r="AI321" s="26"/>
      <c r="AJ321" s="26"/>
      <c r="AL321" s="26"/>
      <c r="AW321" s="26"/>
      <c r="AX321" s="26"/>
      <c r="AY321" s="26"/>
    </row>
    <row r="322" spans="1:51" x14ac:dyDescent="0.25">
      <c r="A322" s="26">
        <v>61</v>
      </c>
      <c r="B322" s="26" t="s">
        <v>212</v>
      </c>
      <c r="C322" s="26">
        <v>5180</v>
      </c>
      <c r="D322" s="27" t="s">
        <v>391</v>
      </c>
      <c r="E322" s="26">
        <v>176</v>
      </c>
      <c r="F322" s="26">
        <v>3</v>
      </c>
      <c r="G322" s="26">
        <v>3</v>
      </c>
      <c r="H322" s="26" t="s">
        <v>1053</v>
      </c>
      <c r="I322" s="26" t="s">
        <v>443</v>
      </c>
      <c r="J322" s="26" t="s">
        <v>1040</v>
      </c>
      <c r="K322" s="26" t="s">
        <v>953</v>
      </c>
      <c r="L322" s="26" t="s">
        <v>931</v>
      </c>
      <c r="M322" s="28" t="s">
        <v>1377</v>
      </c>
      <c r="Q322" s="27"/>
      <c r="R322" s="26">
        <v>1165</v>
      </c>
      <c r="S322" s="26">
        <v>1140</v>
      </c>
      <c r="T322" s="26">
        <f>IF(Table2[[#This Row],[PMT]]="NA","NA",Table2[[#This Row],[PMT]]+1)</f>
        <v>1141</v>
      </c>
      <c r="U322" s="26">
        <f>IF(Table2[[#This Row],[PMT]]="NA","NA",Table2[[#This Row],[PMT]]+2)</f>
        <v>1142</v>
      </c>
      <c r="V322" s="26">
        <v>-1</v>
      </c>
      <c r="W322" s="26">
        <f>IF(Table2[[#This Row],[PMT]]="NA","NA",Table2[[#This Row],[PMT]]+8)-Table2[[#This Row],[Const]]</f>
        <v>1149</v>
      </c>
      <c r="X322" s="26" t="str">
        <f>IF(W322="NA","",CONCATENATE("0B 04 00 ",DEC2HEX($G322,2)," ",LEFT(DEC2HEX(W322,4),2)," ",RIGHT(DEC2HEX(W322,4),2)))</f>
        <v>0B 04 00 03 04 7D</v>
      </c>
      <c r="Y322" s="26">
        <f>IF(Table2[[#This Row],[PMT]]="NA","NA",Table2[[#This Row],[PMT]]+14)-Table2[[#This Row],[Const]]</f>
        <v>1155</v>
      </c>
      <c r="Z322" s="26" t="str">
        <f>IF(Y322="NA","",CONCATENATE("0B 04 00 ",DEC2HEX($G322,2)," ",LEFT(DEC2HEX(Y322,4),2)," ",RIGHT(DEC2HEX(Y322,4),2)))</f>
        <v>0B 04 00 03 04 83</v>
      </c>
      <c r="AA322" s="26" t="s">
        <v>1053</v>
      </c>
      <c r="AB322" s="26" t="s">
        <v>443</v>
      </c>
      <c r="AC322" s="26"/>
      <c r="AD322" s="26" t="s">
        <v>814</v>
      </c>
      <c r="AE322" s="26"/>
      <c r="AF322" s="26"/>
      <c r="AI322" s="26"/>
      <c r="AJ322" s="26"/>
      <c r="AL322" s="26"/>
      <c r="AW322" s="26"/>
      <c r="AX322" s="26"/>
      <c r="AY322" s="26"/>
    </row>
    <row r="323" spans="1:51" x14ac:dyDescent="0.25">
      <c r="A323" s="26">
        <v>19</v>
      </c>
      <c r="B323" s="26" t="s">
        <v>171</v>
      </c>
      <c r="C323" s="26">
        <v>5180</v>
      </c>
      <c r="D323" s="27" t="s">
        <v>360</v>
      </c>
      <c r="E323" s="26">
        <v>117</v>
      </c>
      <c r="F323" s="26">
        <v>11</v>
      </c>
      <c r="G323" s="26">
        <v>11</v>
      </c>
      <c r="H323" s="26" t="s">
        <v>349</v>
      </c>
      <c r="I323" s="26" t="s">
        <v>443</v>
      </c>
      <c r="J323" s="26" t="s">
        <v>1040</v>
      </c>
      <c r="K323" s="26" t="s">
        <v>953</v>
      </c>
      <c r="L323" s="26" t="s">
        <v>931</v>
      </c>
      <c r="M323" s="26" t="s">
        <v>1377</v>
      </c>
      <c r="N323" s="26" t="s">
        <v>1086</v>
      </c>
      <c r="O323" s="26" t="s">
        <v>1092</v>
      </c>
      <c r="P323" s="26">
        <v>3980</v>
      </c>
      <c r="Q323" s="27" t="s">
        <v>1043</v>
      </c>
      <c r="R323" s="26">
        <v>6381</v>
      </c>
      <c r="S323" s="26">
        <v>7800</v>
      </c>
      <c r="T323" s="26">
        <f>IF(Table2[[#This Row],[PMT]]="NA","NA",Table2[[#This Row],[PMT]]+1)</f>
        <v>7801</v>
      </c>
      <c r="U323" s="26">
        <f>IF(Table2[[#This Row],[PMT]]="NA","NA",Table2[[#This Row],[PMT]]+2)</f>
        <v>7802</v>
      </c>
      <c r="V323" s="26">
        <v>0</v>
      </c>
      <c r="W323" s="26">
        <f>IF(Table2[[#This Row],[PMT]]="NA","NA",Table2[[#This Row],[PMT]]+8)-Table2[[#This Row],[Const]]</f>
        <v>7808</v>
      </c>
      <c r="X323" s="26" t="str">
        <f>IF(W323="NA","",CONCATENATE("0B 04 00 ",DEC2HEX($G323,2)," ",LEFT(DEC2HEX(W323,4),2)," ",RIGHT(DEC2HEX(W323,4),2)))</f>
        <v>0B 04 00 0B 1E 80</v>
      </c>
      <c r="Y323" s="26">
        <f>IF(Table2[[#This Row],[PMT]]="NA","NA",Table2[[#This Row],[PMT]]+14)-Table2[[#This Row],[Const]]</f>
        <v>7814</v>
      </c>
      <c r="Z323" s="26" t="str">
        <f>IF(Y323="NA","",CONCATENATE("0B 04 00 ",DEC2HEX($G323,2)," ",LEFT(DEC2HEX(Y323,4),2)," ",RIGHT(DEC2HEX(Y323,4),2)))</f>
        <v>0B 04 00 0B 1E 86</v>
      </c>
      <c r="AA323" s="26" t="s">
        <v>349</v>
      </c>
      <c r="AB323" s="26" t="s">
        <v>443</v>
      </c>
      <c r="AC323" s="26">
        <v>28100</v>
      </c>
      <c r="AD323" s="26" t="s">
        <v>814</v>
      </c>
      <c r="AE323" s="26"/>
      <c r="AF323" s="26"/>
      <c r="AI323" s="26"/>
      <c r="AJ323" s="26"/>
      <c r="AL323" s="26"/>
      <c r="AW323" s="26"/>
      <c r="AX323" s="26"/>
      <c r="AY323" s="26"/>
    </row>
    <row r="324" spans="1:51" x14ac:dyDescent="0.25">
      <c r="A324" s="26">
        <v>220</v>
      </c>
      <c r="B324" s="26" t="s">
        <v>647</v>
      </c>
      <c r="C324" s="26">
        <v>5001</v>
      </c>
      <c r="D324" s="27" t="s">
        <v>521</v>
      </c>
      <c r="E324" s="26">
        <v>519</v>
      </c>
      <c r="F324" s="26">
        <v>4</v>
      </c>
      <c r="G324" s="26">
        <v>4</v>
      </c>
      <c r="H324" s="26" t="s">
        <v>349</v>
      </c>
      <c r="I324" s="26" t="s">
        <v>1350</v>
      </c>
      <c r="J324" s="26" t="s">
        <v>931</v>
      </c>
      <c r="K324" s="26" t="s">
        <v>1042</v>
      </c>
      <c r="L324" s="26" t="s">
        <v>931</v>
      </c>
      <c r="M324" s="28"/>
      <c r="Q324" s="27"/>
      <c r="R324" s="26">
        <v>4519</v>
      </c>
      <c r="S324" s="26">
        <v>1800</v>
      </c>
      <c r="T324" s="26">
        <f>IF(Table2[[#This Row],[PMT]]="NA","NA",Table2[[#This Row],[PMT]]+1)</f>
        <v>1801</v>
      </c>
      <c r="U324" s="26">
        <f>IF(Table2[[#This Row],[PMT]]="NA","NA",Table2[[#This Row],[PMT]]+2)</f>
        <v>1802</v>
      </c>
      <c r="V324" s="26">
        <v>0</v>
      </c>
      <c r="W324" s="26">
        <f>IF(Table2[[#This Row],[PMT]]="NA","NA",Table2[[#This Row],[PMT]]+8)-Table2[[#This Row],[Const]]</f>
        <v>1808</v>
      </c>
      <c r="X324" s="26" t="str">
        <f>IF(W324="NA","",CONCATENATE("0B 04 00 ",DEC2HEX($G324,2)," ",LEFT(DEC2HEX(W324,4),2)," ",RIGHT(DEC2HEX(W324,4),2)))</f>
        <v>0B 04 00 04 07 10</v>
      </c>
      <c r="Y324" s="26">
        <f>IF(Table2[[#This Row],[PMT]]="NA","NA",Table2[[#This Row],[PMT]]+14)-Table2[[#This Row],[Const]]</f>
        <v>1814</v>
      </c>
      <c r="Z324" s="26" t="str">
        <f>IF(Y324="NA","",CONCATENATE("0B 04 00 ",DEC2HEX($G324,2)," ",LEFT(DEC2HEX(Y324,4),2)," ",RIGHT(DEC2HEX(Y324,4),2)))</f>
        <v>0B 04 00 04 07 16</v>
      </c>
      <c r="AA324" s="26" t="s">
        <v>349</v>
      </c>
      <c r="AB324" s="26"/>
      <c r="AC324" s="26"/>
      <c r="AD324" s="26" t="s">
        <v>814</v>
      </c>
      <c r="AE324" s="26"/>
      <c r="AF324" s="26"/>
      <c r="AI324" s="26"/>
      <c r="AJ324" s="26"/>
      <c r="AL324" s="26"/>
      <c r="AW324" s="26"/>
      <c r="AX324" s="26"/>
      <c r="AY324" s="26"/>
    </row>
    <row r="325" spans="1:51" hidden="1" x14ac:dyDescent="0.25">
      <c r="A325" s="26">
        <v>320</v>
      </c>
      <c r="B325" s="26" t="s">
        <v>346</v>
      </c>
      <c r="C325" s="26" t="s">
        <v>346</v>
      </c>
      <c r="D325" s="27" t="s">
        <v>601</v>
      </c>
      <c r="E325" s="26">
        <v>768</v>
      </c>
      <c r="F325" s="26" t="s">
        <v>346</v>
      </c>
      <c r="G325" s="26">
        <v>6</v>
      </c>
      <c r="H325" s="26" t="s">
        <v>349</v>
      </c>
      <c r="I325" s="26" t="s">
        <v>1355</v>
      </c>
      <c r="J325" s="26" t="s">
        <v>1038</v>
      </c>
      <c r="K325" s="26" t="s">
        <v>1039</v>
      </c>
      <c r="L325" s="26" t="s">
        <v>931</v>
      </c>
      <c r="M325" s="26" t="s">
        <v>1376</v>
      </c>
      <c r="Q325" s="27" t="s">
        <v>1103</v>
      </c>
      <c r="R325" s="26">
        <v>6546</v>
      </c>
      <c r="S325" s="26">
        <v>3200</v>
      </c>
      <c r="T325" s="26">
        <f>IF(Table2[[#This Row],[PMT]]="NA","NA",Table2[[#This Row],[PMT]]+1)</f>
        <v>3201</v>
      </c>
      <c r="U325" s="26">
        <f>IF(Table2[[#This Row],[PMT]]="NA","NA",Table2[[#This Row],[PMT]]+2)</f>
        <v>3202</v>
      </c>
      <c r="V325" s="26">
        <v>0</v>
      </c>
      <c r="W325" s="26">
        <f>IF(Table2[[#This Row],[PMT]]="NA","NA",Table2[[#This Row],[PMT]]+8)-Table2[[#This Row],[Const]]</f>
        <v>3208</v>
      </c>
      <c r="X325" s="26" t="str">
        <f>IF(W325="NA","",CONCATENATE("0B 04 00 ",DEC2HEX($G325,2)," ",LEFT(DEC2HEX(W325,4),2)," ",RIGHT(DEC2HEX(W325,4),2)))</f>
        <v>0B 04 00 06 0C 88</v>
      </c>
      <c r="Y325" s="26">
        <f>IF(Table2[[#This Row],[PMT]]="NA","NA",Table2[[#This Row],[PMT]]+14)-Table2[[#This Row],[Const]]</f>
        <v>3214</v>
      </c>
      <c r="Z325" s="26" t="str">
        <f>IF(Y325="NA","",CONCATENATE("0B 04 00 ",DEC2HEX($G325,2)," ",LEFT(DEC2HEX(Y325,4),2)," ",RIGHT(DEC2HEX(Y325,4),2)))</f>
        <v>0B 04 00 06 0C 8E</v>
      </c>
      <c r="AA325" s="26" t="s">
        <v>349</v>
      </c>
      <c r="AB325" s="26"/>
      <c r="AC325" s="26"/>
      <c r="AD325" s="26" t="s">
        <v>346</v>
      </c>
      <c r="AE325" s="26"/>
      <c r="AF325" s="26"/>
      <c r="AI325" s="26"/>
      <c r="AJ325" s="26"/>
      <c r="AL325" s="26"/>
      <c r="AW325" s="26"/>
      <c r="AX325" s="26"/>
      <c r="AY325" s="26"/>
    </row>
    <row r="326" spans="1:51" x14ac:dyDescent="0.25">
      <c r="A326" s="26">
        <v>219</v>
      </c>
      <c r="B326" s="26" t="s">
        <v>646</v>
      </c>
      <c r="C326" s="26">
        <v>5001</v>
      </c>
      <c r="D326" s="27" t="s">
        <v>520</v>
      </c>
      <c r="E326" s="26">
        <v>518</v>
      </c>
      <c r="F326" s="26">
        <v>4</v>
      </c>
      <c r="G326" s="26">
        <v>4</v>
      </c>
      <c r="H326" s="26" t="s">
        <v>349</v>
      </c>
      <c r="I326" s="26" t="s">
        <v>1350</v>
      </c>
      <c r="J326" s="26" t="s">
        <v>931</v>
      </c>
      <c r="K326" s="26" t="s">
        <v>1042</v>
      </c>
      <c r="L326" s="26" t="s">
        <v>931</v>
      </c>
      <c r="M326" s="26" t="s">
        <v>1376</v>
      </c>
      <c r="N326" s="26" t="s">
        <v>1080</v>
      </c>
      <c r="O326" s="26" t="s">
        <v>1090</v>
      </c>
      <c r="P326" s="26">
        <v>3845</v>
      </c>
      <c r="Q326" s="27" t="s">
        <v>1382</v>
      </c>
      <c r="R326" s="26">
        <v>12146</v>
      </c>
      <c r="S326" s="26">
        <v>380</v>
      </c>
      <c r="T326" s="26">
        <f>IF(Table2[[#This Row],[PMT]]="NA","NA",Table2[[#This Row],[PMT]]+1)</f>
        <v>381</v>
      </c>
      <c r="U326" s="26">
        <f>IF(Table2[[#This Row],[PMT]]="NA","NA",Table2[[#This Row],[PMT]]+2)</f>
        <v>382</v>
      </c>
      <c r="V326" s="26">
        <v>0</v>
      </c>
      <c r="W326" s="26">
        <f>IF(Table2[[#This Row],[PMT]]="NA","NA",Table2[[#This Row],[PMT]]+8)-Table2[[#This Row],[Const]]</f>
        <v>388</v>
      </c>
      <c r="X326" s="26" t="str">
        <f>IF(W326="NA","",CONCATENATE("0B 04 00 ",DEC2HEX($G326,2)," ",LEFT(DEC2HEX(W326,4),2)," ",RIGHT(DEC2HEX(W326,4),2)))</f>
        <v>0B 04 00 04 01 84</v>
      </c>
      <c r="Y326" s="26">
        <f>IF(Table2[[#This Row],[PMT]]="NA","NA",Table2[[#This Row],[PMT]]+14)-Table2[[#This Row],[Const]]</f>
        <v>394</v>
      </c>
      <c r="Z326" s="26" t="str">
        <f>IF(Y326="NA","",CONCATENATE("0B 04 00 ",DEC2HEX($G326,2)," ",LEFT(DEC2HEX(Y326,4),2)," ",RIGHT(DEC2HEX(Y326,4),2)))</f>
        <v>0B 04 00 04 01 8A</v>
      </c>
      <c r="AA326" s="26" t="s">
        <v>349</v>
      </c>
      <c r="AB326" s="26"/>
      <c r="AC326" s="26"/>
      <c r="AD326" s="26" t="s">
        <v>814</v>
      </c>
      <c r="AE326" s="26"/>
      <c r="AF326" s="26"/>
      <c r="AI326" s="26"/>
      <c r="AJ326" s="26"/>
      <c r="AL326" s="26"/>
      <c r="AW326" s="26"/>
      <c r="AX326" s="26"/>
      <c r="AY326" s="26"/>
    </row>
    <row r="327" spans="1:51" hidden="1" x14ac:dyDescent="0.25">
      <c r="A327" s="26">
        <v>322</v>
      </c>
      <c r="B327" s="26" t="s">
        <v>346</v>
      </c>
      <c r="C327" s="26" t="s">
        <v>346</v>
      </c>
      <c r="D327" s="27" t="s">
        <v>603</v>
      </c>
      <c r="E327" s="26">
        <v>772</v>
      </c>
      <c r="F327" s="26" t="s">
        <v>346</v>
      </c>
      <c r="G327" s="26">
        <v>9</v>
      </c>
      <c r="H327" s="26" t="s">
        <v>1053</v>
      </c>
      <c r="I327" s="26" t="s">
        <v>1355</v>
      </c>
      <c r="J327" s="26" t="s">
        <v>1038</v>
      </c>
      <c r="K327" s="26" t="s">
        <v>1039</v>
      </c>
      <c r="L327" s="26" t="s">
        <v>931</v>
      </c>
      <c r="M327" s="28"/>
      <c r="N327" s="26" t="s">
        <v>1086</v>
      </c>
      <c r="O327" s="26" t="s">
        <v>1091</v>
      </c>
      <c r="P327" s="26">
        <v>3940</v>
      </c>
      <c r="Q327" s="27"/>
      <c r="R327" s="26">
        <v>12054</v>
      </c>
      <c r="S327" s="26">
        <v>290</v>
      </c>
      <c r="T327" s="26">
        <f>IF(Table2[[#This Row],[PMT]]="NA","NA",Table2[[#This Row],[PMT]]+1)</f>
        <v>291</v>
      </c>
      <c r="U327" s="26">
        <f>IF(Table2[[#This Row],[PMT]]="NA","NA",Table2[[#This Row],[PMT]]+2)</f>
        <v>292</v>
      </c>
      <c r="V327" s="26">
        <v>0</v>
      </c>
      <c r="W327" s="26">
        <f>IF(Table2[[#This Row],[PMT]]="NA","NA",Table2[[#This Row],[PMT]]+8)-Table2[[#This Row],[Const]]</f>
        <v>298</v>
      </c>
      <c r="X327" s="26" t="str">
        <f>IF(W327="NA","",CONCATENATE("0B 04 00 ",DEC2HEX($G327,2)," ",LEFT(DEC2HEX(W327,4),2)," ",RIGHT(DEC2HEX(W327,4),2)))</f>
        <v>0B 04 00 09 01 2A</v>
      </c>
      <c r="Y327" s="26">
        <f>IF(Table2[[#This Row],[PMT]]="NA","NA",Table2[[#This Row],[PMT]]+14)-Table2[[#This Row],[Const]]</f>
        <v>304</v>
      </c>
      <c r="Z327" s="26" t="str">
        <f>IF(Y327="NA","",CONCATENATE("0B 04 00 ",DEC2HEX($G327,2)," ",LEFT(DEC2HEX(Y327,4),2)," ",RIGHT(DEC2HEX(Y327,4),2)))</f>
        <v>0B 04 00 09 01 30</v>
      </c>
      <c r="AA327" s="26" t="s">
        <v>1053</v>
      </c>
      <c r="AB327" s="26"/>
      <c r="AC327" s="26">
        <v>28100</v>
      </c>
      <c r="AD327" s="26" t="s">
        <v>346</v>
      </c>
      <c r="AE327" s="26"/>
      <c r="AF327" s="26"/>
      <c r="AI327" s="26"/>
      <c r="AJ327" s="26"/>
      <c r="AL327" s="26"/>
      <c r="AW327" s="26"/>
      <c r="AX327" s="26"/>
      <c r="AY327" s="26"/>
    </row>
    <row r="328" spans="1:51" x14ac:dyDescent="0.25">
      <c r="A328" s="26">
        <v>182</v>
      </c>
      <c r="B328" s="26" t="s">
        <v>157</v>
      </c>
      <c r="C328" s="26">
        <v>5180</v>
      </c>
      <c r="D328" s="27" t="s">
        <v>496</v>
      </c>
      <c r="E328" s="26">
        <v>386</v>
      </c>
      <c r="F328" s="26">
        <v>1</v>
      </c>
      <c r="G328" s="26">
        <v>1</v>
      </c>
      <c r="H328" s="26" t="s">
        <v>361</v>
      </c>
      <c r="I328" s="26" t="s">
        <v>1084</v>
      </c>
      <c r="J328" s="26" t="s">
        <v>1040</v>
      </c>
      <c r="K328" s="26" t="s">
        <v>953</v>
      </c>
      <c r="L328" s="26" t="s">
        <v>931</v>
      </c>
      <c r="M328" s="28" t="s">
        <v>1377</v>
      </c>
      <c r="Q328" s="27"/>
      <c r="R328" s="26">
        <v>6386</v>
      </c>
      <c r="S328" s="26">
        <v>180</v>
      </c>
      <c r="T328" s="26">
        <f>IF(Table2[[#This Row],[PMT]]="NA","NA",Table2[[#This Row],[PMT]]+1)</f>
        <v>181</v>
      </c>
      <c r="U328" s="26">
        <f>IF(Table2[[#This Row],[PMT]]="NA","NA",Table2[[#This Row],[PMT]]+2)</f>
        <v>182</v>
      </c>
      <c r="V328" s="26">
        <v>1</v>
      </c>
      <c r="W328" s="26">
        <f>IF(Table2[[#This Row],[PMT]]="NA","NA",Table2[[#This Row],[PMT]]+8)-Table2[[#This Row],[Const]]</f>
        <v>187</v>
      </c>
      <c r="X328" s="26" t="str">
        <f>IF(W328="NA","",CONCATENATE("0B 04 00 ",DEC2HEX($G328,2)," ",LEFT(DEC2HEX(W328,4),2)," ",RIGHT(DEC2HEX(W328,4),2)))</f>
        <v>0B 04 00 01 00 BB</v>
      </c>
      <c r="Y328" s="26">
        <f>IF(Table2[[#This Row],[PMT]]="NA","NA",Table2[[#This Row],[PMT]]+14)-Table2[[#This Row],[Const]]</f>
        <v>193</v>
      </c>
      <c r="Z328" s="26" t="str">
        <f>IF(Y328="NA","",CONCATENATE("0B 04 00 ",DEC2HEX($G328,2)," ",LEFT(DEC2HEX(Y328,4),2)," ",RIGHT(DEC2HEX(Y328,4),2)))</f>
        <v>0B 04 00 01 00 C1</v>
      </c>
      <c r="AA328" s="26" t="s">
        <v>361</v>
      </c>
      <c r="AB328" s="26" t="s">
        <v>1084</v>
      </c>
      <c r="AC328" s="26"/>
      <c r="AD328" s="26" t="s">
        <v>813</v>
      </c>
      <c r="AE328" s="26"/>
      <c r="AF328" s="26"/>
      <c r="AI328" s="26"/>
      <c r="AJ328" s="26"/>
      <c r="AL328" s="26"/>
      <c r="AW328" s="26"/>
      <c r="AX328" s="26"/>
      <c r="AY328" s="26"/>
    </row>
    <row r="329" spans="1:51" x14ac:dyDescent="0.25">
      <c r="A329" s="26">
        <v>254</v>
      </c>
      <c r="B329" s="26" t="s">
        <v>314</v>
      </c>
      <c r="C329" s="26">
        <v>2000</v>
      </c>
      <c r="D329" s="27" t="s">
        <v>549</v>
      </c>
      <c r="E329" s="26">
        <v>558</v>
      </c>
      <c r="F329" s="26">
        <v>9</v>
      </c>
      <c r="G329" s="26">
        <v>9</v>
      </c>
      <c r="H329" s="26" t="s">
        <v>1057</v>
      </c>
      <c r="I329" s="26" t="s">
        <v>1368</v>
      </c>
      <c r="J329" s="26" t="s">
        <v>1002</v>
      </c>
      <c r="K329" s="26" t="s">
        <v>953</v>
      </c>
      <c r="L329" s="26" t="s">
        <v>1002</v>
      </c>
      <c r="M329" s="26" t="s">
        <v>1377</v>
      </c>
      <c r="Q329" s="27" t="s">
        <v>1044</v>
      </c>
      <c r="R329" s="26">
        <v>8558</v>
      </c>
      <c r="S329" s="26">
        <v>7500</v>
      </c>
      <c r="T329" s="26">
        <f>IF(Table2[[#This Row],[PMT]]="NA","NA",Table2[[#This Row],[PMT]]+1)</f>
        <v>7501</v>
      </c>
      <c r="U329" s="26">
        <f>IF(Table2[[#This Row],[PMT]]="NA","NA",Table2[[#This Row],[PMT]]+2)</f>
        <v>7502</v>
      </c>
      <c r="V329" s="26">
        <v>0</v>
      </c>
      <c r="W329" s="26">
        <f>IF(Table2[[#This Row],[PMT]]="NA","NA",Table2[[#This Row],[PMT]]+8)-Table2[[#This Row],[Const]]</f>
        <v>7508</v>
      </c>
      <c r="X329" s="26" t="str">
        <f>IF(W329="NA","",CONCATENATE("0B 04 00 ",DEC2HEX($G329,2)," ",LEFT(DEC2HEX(W329,4),2)," ",RIGHT(DEC2HEX(W329,4),2)))</f>
        <v>0B 04 00 09 1D 54</v>
      </c>
      <c r="Y329" s="26">
        <f>IF(Table2[[#This Row],[PMT]]="NA","NA",Table2[[#This Row],[PMT]]+14)-Table2[[#This Row],[Const]]</f>
        <v>7514</v>
      </c>
      <c r="Z329" s="26" t="str">
        <f>IF(Y329="NA","",CONCATENATE("0B 04 00 ",DEC2HEX($G329,2)," ",LEFT(DEC2HEX(Y329,4),2)," ",RIGHT(DEC2HEX(Y329,4),2)))</f>
        <v>0B 04 00 09 1D 5A</v>
      </c>
      <c r="AA329" s="26" t="s">
        <v>1057</v>
      </c>
      <c r="AB329" s="26"/>
      <c r="AC329" s="26"/>
      <c r="AD329" s="26" t="s">
        <v>814</v>
      </c>
      <c r="AE329" s="26"/>
      <c r="AF329" s="26"/>
      <c r="AI329" s="26"/>
      <c r="AJ329" s="26"/>
      <c r="AL329" s="26"/>
      <c r="AW329" s="26"/>
      <c r="AX329" s="26"/>
      <c r="AY329" s="26"/>
    </row>
    <row r="330" spans="1:51" x14ac:dyDescent="0.25">
      <c r="A330" s="26">
        <v>63</v>
      </c>
      <c r="B330" s="26" t="s">
        <v>210</v>
      </c>
      <c r="C330" s="26">
        <v>5180</v>
      </c>
      <c r="D330" s="27" t="s">
        <v>393</v>
      </c>
      <c r="E330" s="26">
        <v>180</v>
      </c>
      <c r="F330" s="26">
        <v>11</v>
      </c>
      <c r="G330" s="26">
        <v>11</v>
      </c>
      <c r="H330" s="26" t="s">
        <v>1053</v>
      </c>
      <c r="I330" s="26" t="s">
        <v>443</v>
      </c>
      <c r="J330" s="26" t="s">
        <v>1040</v>
      </c>
      <c r="K330" s="26" t="s">
        <v>953</v>
      </c>
      <c r="L330" s="26" t="s">
        <v>1002</v>
      </c>
      <c r="M330" s="26" t="s">
        <v>1377</v>
      </c>
      <c r="N330" s="26" t="s">
        <v>1086</v>
      </c>
      <c r="O330" s="26" t="s">
        <v>1094</v>
      </c>
      <c r="P330" s="26">
        <v>3820</v>
      </c>
      <c r="Q330" s="27" t="s">
        <v>1044</v>
      </c>
      <c r="R330" s="26">
        <v>12034</v>
      </c>
      <c r="S330" s="26">
        <v>2200</v>
      </c>
      <c r="T330" s="26">
        <f>IF(Table2[[#This Row],[PMT]]="NA","NA",Table2[[#This Row],[PMT]]+1)</f>
        <v>2201</v>
      </c>
      <c r="U330" s="26">
        <f>IF(Table2[[#This Row],[PMT]]="NA","NA",Table2[[#This Row],[PMT]]+2)</f>
        <v>2202</v>
      </c>
      <c r="V330" s="26">
        <v>0</v>
      </c>
      <c r="W330" s="26">
        <f>IF(Table2[[#This Row],[PMT]]="NA","NA",Table2[[#This Row],[PMT]]+8)-Table2[[#This Row],[Const]]</f>
        <v>2208</v>
      </c>
      <c r="X330" s="26" t="str">
        <f>IF(W330="NA","",CONCATENATE("0B 04 00 ",DEC2HEX($G330,2)," ",LEFT(DEC2HEX(W330,4),2)," ",RIGHT(DEC2HEX(W330,4),2)))</f>
        <v>0B 04 00 0B 08 A0</v>
      </c>
      <c r="Y330" s="26">
        <f>IF(Table2[[#This Row],[PMT]]="NA","NA",Table2[[#This Row],[PMT]]+14)-Table2[[#This Row],[Const]]</f>
        <v>2214</v>
      </c>
      <c r="Z330" s="26" t="str">
        <f>IF(Y330="NA","",CONCATENATE("0B 04 00 ",DEC2HEX($G330,2)," ",LEFT(DEC2HEX(Y330,4),2)," ",RIGHT(DEC2HEX(Y330,4),2)))</f>
        <v>0B 04 00 0B 08 A6</v>
      </c>
      <c r="AA330" s="26" t="s">
        <v>1053</v>
      </c>
      <c r="AB330" s="26" t="s">
        <v>443</v>
      </c>
      <c r="AC330" s="26">
        <v>27500</v>
      </c>
      <c r="AD330" s="26" t="s">
        <v>814</v>
      </c>
      <c r="AE330" s="26"/>
      <c r="AF330" s="26"/>
      <c r="AI330" s="26"/>
      <c r="AJ330" s="26"/>
      <c r="AL330" s="26"/>
      <c r="AW330" s="26"/>
      <c r="AX330" s="26"/>
      <c r="AY330" s="26"/>
    </row>
    <row r="331" spans="1:51" hidden="1" x14ac:dyDescent="0.25">
      <c r="A331" s="26">
        <v>326</v>
      </c>
      <c r="B331" s="26" t="s">
        <v>346</v>
      </c>
      <c r="C331" s="26" t="s">
        <v>346</v>
      </c>
      <c r="D331" s="27" t="s">
        <v>606</v>
      </c>
      <c r="E331" s="26">
        <v>780</v>
      </c>
      <c r="F331" s="26" t="s">
        <v>346</v>
      </c>
      <c r="G331" s="26">
        <v>2</v>
      </c>
      <c r="H331" s="26" t="s">
        <v>1057</v>
      </c>
      <c r="I331" s="26" t="s">
        <v>1355</v>
      </c>
      <c r="J331" s="26" t="s">
        <v>1038</v>
      </c>
      <c r="K331" s="26" t="s">
        <v>1039</v>
      </c>
      <c r="L331" s="26" t="s">
        <v>931</v>
      </c>
      <c r="M331" s="26" t="s">
        <v>1377</v>
      </c>
      <c r="Q331" s="27"/>
      <c r="R331" s="26">
        <v>12149</v>
      </c>
      <c r="S331" s="26">
        <v>1580</v>
      </c>
      <c r="T331" s="26">
        <f>IF(Table2[[#This Row],[PMT]]="NA","NA",Table2[[#This Row],[PMT]]+1)</f>
        <v>1581</v>
      </c>
      <c r="U331" s="26">
        <f>IF(Table2[[#This Row],[PMT]]="NA","NA",Table2[[#This Row],[PMT]]+2)</f>
        <v>1582</v>
      </c>
      <c r="V331" s="26">
        <v>0</v>
      </c>
      <c r="W331" s="26">
        <f>IF(Table2[[#This Row],[PMT]]="NA","NA",Table2[[#This Row],[PMT]]+8)-Table2[[#This Row],[Const]]</f>
        <v>1588</v>
      </c>
      <c r="X331" s="26" t="str">
        <f>IF(W331="NA","",CONCATENATE("0B 04 00 ",DEC2HEX($G331,2)," ",LEFT(DEC2HEX(W331,4),2)," ",RIGHT(DEC2HEX(W331,4),2)))</f>
        <v>0B 04 00 02 06 34</v>
      </c>
      <c r="Y331" s="26">
        <f>IF(Table2[[#This Row],[PMT]]="NA","NA",Table2[[#This Row],[PMT]]+14)-Table2[[#This Row],[Const]]</f>
        <v>1594</v>
      </c>
      <c r="Z331" s="26" t="str">
        <f>IF(Y331="NA","",CONCATENATE("0B 04 00 ",DEC2HEX($G331,2)," ",LEFT(DEC2HEX(Y331,4),2)," ",RIGHT(DEC2HEX(Y331,4),2)))</f>
        <v>0B 04 00 02 06 3A</v>
      </c>
      <c r="AA331" s="26"/>
      <c r="AB331" s="26"/>
      <c r="AC331" s="26"/>
      <c r="AD331" s="26" t="s">
        <v>346</v>
      </c>
      <c r="AE331" s="26"/>
      <c r="AF331" s="26"/>
      <c r="AI331" s="26"/>
      <c r="AJ331" s="26"/>
      <c r="AL331" s="26"/>
      <c r="AW331" s="26"/>
      <c r="AX331" s="26"/>
      <c r="AY331" s="26"/>
    </row>
    <row r="332" spans="1:51" x14ac:dyDescent="0.25">
      <c r="A332" s="26">
        <v>316</v>
      </c>
      <c r="B332" s="26" t="s">
        <v>310</v>
      </c>
      <c r="C332" s="26">
        <v>2000</v>
      </c>
      <c r="D332" s="27" t="s">
        <v>597</v>
      </c>
      <c r="E332" s="26">
        <v>760</v>
      </c>
      <c r="F332" s="26">
        <v>11</v>
      </c>
      <c r="G332" s="26">
        <v>11</v>
      </c>
      <c r="H332" s="26" t="s">
        <v>349</v>
      </c>
      <c r="I332" s="26" t="s">
        <v>1355</v>
      </c>
      <c r="J332" s="26" t="s">
        <v>1002</v>
      </c>
      <c r="K332" s="26" t="s">
        <v>953</v>
      </c>
      <c r="L332" s="26" t="s">
        <v>1002</v>
      </c>
      <c r="M332" s="26" t="s">
        <v>1377</v>
      </c>
      <c r="N332" s="26" t="s">
        <v>1086</v>
      </c>
      <c r="O332" s="26" t="s">
        <v>1095</v>
      </c>
      <c r="P332" s="26">
        <v>4140</v>
      </c>
      <c r="Q332" s="27" t="s">
        <v>1044</v>
      </c>
      <c r="R332" s="26">
        <v>5540</v>
      </c>
      <c r="S332" s="26">
        <v>5500</v>
      </c>
      <c r="T332" s="26">
        <f>IF(Table2[[#This Row],[PMT]]="NA","NA",Table2[[#This Row],[PMT]]+1)</f>
        <v>5501</v>
      </c>
      <c r="U332" s="26">
        <f>IF(Table2[[#This Row],[PMT]]="NA","NA",Table2[[#This Row],[PMT]]+2)</f>
        <v>5502</v>
      </c>
      <c r="V332" s="26">
        <v>0</v>
      </c>
      <c r="W332" s="26">
        <f>IF(Table2[[#This Row],[PMT]]="NA","NA",Table2[[#This Row],[PMT]]+8)-Table2[[#This Row],[Const]]</f>
        <v>5508</v>
      </c>
      <c r="X332" s="26" t="str">
        <f>IF(W332="NA","",CONCATENATE("0B 04 00 ",DEC2HEX($G332,2)," ",LEFT(DEC2HEX(W332,4),2)," ",RIGHT(DEC2HEX(W332,4),2)))</f>
        <v>0B 04 00 0B 15 84</v>
      </c>
      <c r="Y332" s="26">
        <f>IF(Table2[[#This Row],[PMT]]="NA","NA",Table2[[#This Row],[PMT]]+14)-Table2[[#This Row],[Const]]</f>
        <v>5514</v>
      </c>
      <c r="Z332" s="26" t="str">
        <f>IF(Y332="NA","",CONCATENATE("0B 04 00 ",DEC2HEX($G332,2)," ",LEFT(DEC2HEX(Y332,4),2)," ",RIGHT(DEC2HEX(Y332,4),2)))</f>
        <v>0B 04 00 0B 15 8A</v>
      </c>
      <c r="AA332" s="26"/>
      <c r="AB332" s="26"/>
      <c r="AC332" s="26">
        <v>27500</v>
      </c>
      <c r="AD332" s="26" t="s">
        <v>814</v>
      </c>
      <c r="AE332" s="26"/>
      <c r="AF332" s="26"/>
      <c r="AI332" s="26"/>
      <c r="AJ332" s="26"/>
      <c r="AL332" s="26"/>
      <c r="AW332" s="26"/>
      <c r="AX332" s="26"/>
      <c r="AY332" s="26"/>
    </row>
    <row r="333" spans="1:51" hidden="1" x14ac:dyDescent="0.25">
      <c r="A333" s="26">
        <v>328</v>
      </c>
      <c r="B333" s="26" t="s">
        <v>346</v>
      </c>
      <c r="C333" s="26" t="s">
        <v>346</v>
      </c>
      <c r="D333" s="33" t="s">
        <v>1347</v>
      </c>
      <c r="E333" s="34">
        <v>784</v>
      </c>
      <c r="F333" s="26" t="s">
        <v>346</v>
      </c>
      <c r="G333" s="26">
        <v>3</v>
      </c>
      <c r="H333" s="26" t="s">
        <v>361</v>
      </c>
      <c r="I333" s="34" t="s">
        <v>1355</v>
      </c>
      <c r="J333" s="26" t="s">
        <v>1038</v>
      </c>
      <c r="K333" s="26" t="s">
        <v>1039</v>
      </c>
      <c r="L333" s="26" t="s">
        <v>931</v>
      </c>
      <c r="M333" s="28"/>
      <c r="N333" s="31"/>
      <c r="O333" s="31"/>
      <c r="P333" s="31"/>
      <c r="Q333" s="32"/>
      <c r="R333" s="31"/>
      <c r="S333" s="31"/>
      <c r="T333" s="31">
        <f>IF(Table2[[#This Row],[PMT]]="NA","NA",Table2[[#This Row],[PMT]]+1)</f>
        <v>1</v>
      </c>
      <c r="U333" s="31">
        <f>IF(Table2[[#This Row],[PMT]]="NA","NA",Table2[[#This Row],[PMT]]+2)</f>
        <v>2</v>
      </c>
      <c r="V333" s="26"/>
      <c r="W333" s="31">
        <f>IF(Table2[[#This Row],[PMT]]="NA","NA",Table2[[#This Row],[PMT]]+8)-Table2[[#This Row],[Const]]</f>
        <v>8</v>
      </c>
      <c r="X333" s="31" t="str">
        <f>IF(W333="NA","",CONCATENATE("0B 04 00 ",DEC2HEX($G333,2)," ",LEFT(DEC2HEX(W333,4),2)," ",RIGHT(DEC2HEX(W333,4),2)))</f>
        <v>0B 04 00 03 00 08</v>
      </c>
      <c r="Y333" s="31">
        <f>IF(Table2[[#This Row],[PMT]]="NA","NA",Table2[[#This Row],[PMT]]+14)-Table2[[#This Row],[Const]]</f>
        <v>14</v>
      </c>
      <c r="Z333" s="31" t="str">
        <f>IF(Y333="NA","",CONCATENATE("0B 04 00 ",DEC2HEX($G333,2)," ",LEFT(DEC2HEX(Y333,4),2)," ",RIGHT(DEC2HEX(Y333,4),2)))</f>
        <v>0B 04 00 03 00 0E</v>
      </c>
      <c r="AA333" s="26"/>
      <c r="AB333" s="26"/>
      <c r="AC333" s="31"/>
      <c r="AD333" s="31"/>
      <c r="AE333" s="26"/>
      <c r="AF333" s="26"/>
      <c r="AI333" s="26"/>
      <c r="AJ333" s="26"/>
      <c r="AL333" s="26"/>
      <c r="AW333" s="26"/>
      <c r="AX333" s="26"/>
      <c r="AY333" s="26"/>
    </row>
    <row r="334" spans="1:51" hidden="1" x14ac:dyDescent="0.25">
      <c r="A334" s="26">
        <v>329</v>
      </c>
      <c r="B334" s="26" t="s">
        <v>346</v>
      </c>
      <c r="C334" s="26" t="s">
        <v>346</v>
      </c>
      <c r="D334" s="27" t="s">
        <v>1296</v>
      </c>
      <c r="E334" s="26">
        <v>786</v>
      </c>
      <c r="F334" s="26" t="s">
        <v>346</v>
      </c>
      <c r="G334" s="26">
        <v>11</v>
      </c>
      <c r="H334" s="26" t="s">
        <v>1352</v>
      </c>
      <c r="I334" s="34" t="s">
        <v>1351</v>
      </c>
      <c r="J334" s="26" t="s">
        <v>1038</v>
      </c>
      <c r="K334" s="26" t="s">
        <v>1039</v>
      </c>
      <c r="L334" s="26" t="s">
        <v>931</v>
      </c>
      <c r="M334" s="28"/>
      <c r="Q334" s="27"/>
      <c r="R334" s="26">
        <v>12160</v>
      </c>
      <c r="S334" s="26">
        <v>350</v>
      </c>
      <c r="T334" s="26">
        <f>IF(Table2[[#This Row],[PMT]]="NA","NA",Table2[[#This Row],[PMT]]+1)</f>
        <v>351</v>
      </c>
      <c r="U334" s="26">
        <f>IF(Table2[[#This Row],[PMT]]="NA","NA",Table2[[#This Row],[PMT]]+2)</f>
        <v>352</v>
      </c>
      <c r="V334" s="26">
        <v>0</v>
      </c>
      <c r="W334" s="26">
        <f>IF(Table2[[#This Row],[PMT]]="NA","NA",Table2[[#This Row],[PMT]]+8)-Table2[[#This Row],[Const]]</f>
        <v>358</v>
      </c>
      <c r="X334" s="26" t="str">
        <f>IF(W334="NA","",CONCATENATE("0B 04 00 ",DEC2HEX($G334,2)," ",LEFT(DEC2HEX(W334,4),2)," ",RIGHT(DEC2HEX(W334,4),2)))</f>
        <v>0B 04 00 0B 01 66</v>
      </c>
      <c r="Y334" s="26">
        <f>IF(Table2[[#This Row],[PMT]]="NA","NA",Table2[[#This Row],[PMT]]+14)-Table2[[#This Row],[Const]]</f>
        <v>364</v>
      </c>
      <c r="Z334" s="26" t="str">
        <f>IF(Y334="NA","",CONCATENATE("0B 04 00 ",DEC2HEX($G334,2)," ",LEFT(DEC2HEX(Y334,4),2)," ",RIGHT(DEC2HEX(Y334,4),2)))</f>
        <v>0B 04 00 0B 01 6C</v>
      </c>
      <c r="AA334" s="26"/>
      <c r="AB334" s="26"/>
      <c r="AC334" s="26"/>
      <c r="AD334" s="26" t="s">
        <v>814</v>
      </c>
      <c r="AE334" s="26"/>
      <c r="AF334" s="26"/>
      <c r="AI334" s="26"/>
      <c r="AJ334" s="26"/>
      <c r="AL334" s="26"/>
      <c r="AW334" s="26"/>
      <c r="AX334" s="26"/>
      <c r="AY334" s="26"/>
    </row>
    <row r="335" spans="1:51" x14ac:dyDescent="0.25">
      <c r="A335" s="26">
        <v>321</v>
      </c>
      <c r="B335" s="26" t="s">
        <v>316</v>
      </c>
      <c r="C335" s="26">
        <v>2000</v>
      </c>
      <c r="D335" s="27" t="s">
        <v>602</v>
      </c>
      <c r="E335" s="26">
        <v>770</v>
      </c>
      <c r="F335" s="26">
        <v>9</v>
      </c>
      <c r="G335" s="26">
        <v>9</v>
      </c>
      <c r="H335" s="26" t="s">
        <v>1053</v>
      </c>
      <c r="I335" s="26" t="s">
        <v>1355</v>
      </c>
      <c r="J335" s="26" t="s">
        <v>1002</v>
      </c>
      <c r="K335" s="26" t="s">
        <v>953</v>
      </c>
      <c r="L335" s="26" t="s">
        <v>931</v>
      </c>
      <c r="M335" s="26" t="s">
        <v>1377</v>
      </c>
      <c r="N335" s="26" t="s">
        <v>1086</v>
      </c>
      <c r="O335" s="26" t="s">
        <v>1095</v>
      </c>
      <c r="P335" s="26">
        <v>4140</v>
      </c>
      <c r="Q335" s="27" t="s">
        <v>1044</v>
      </c>
      <c r="R335" s="26">
        <v>12055</v>
      </c>
      <c r="S335" s="26">
        <v>7200</v>
      </c>
      <c r="T335" s="26">
        <f>IF(Table2[[#This Row],[PMT]]="NA","NA",Table2[[#This Row],[PMT]]+1)</f>
        <v>7201</v>
      </c>
      <c r="U335" s="26">
        <f>IF(Table2[[#This Row],[PMT]]="NA","NA",Table2[[#This Row],[PMT]]+2)</f>
        <v>7202</v>
      </c>
      <c r="V335" s="26">
        <v>0</v>
      </c>
      <c r="W335" s="26">
        <f>IF(Table2[[#This Row],[PMT]]="NA","NA",Table2[[#This Row],[PMT]]+8)-Table2[[#This Row],[Const]]</f>
        <v>7208</v>
      </c>
      <c r="X335" s="26" t="str">
        <f>IF(W335="NA","",CONCATENATE("0B 04 00 ",DEC2HEX($G335,2)," ",LEFT(DEC2HEX(W335,4),2)," ",RIGHT(DEC2HEX(W335,4),2)))</f>
        <v>0B 04 00 09 1C 28</v>
      </c>
      <c r="Y335" s="26">
        <f>IF(Table2[[#This Row],[PMT]]="NA","NA",Table2[[#This Row],[PMT]]+14)-Table2[[#This Row],[Const]]</f>
        <v>7214</v>
      </c>
      <c r="Z335" s="26" t="str">
        <f>IF(Y335="NA","",CONCATENATE("0B 04 00 ",DEC2HEX($G335,2)," ",LEFT(DEC2HEX(Y335,4),2)," ",RIGHT(DEC2HEX(Y335,4),2)))</f>
        <v>0B 04 00 09 1C 2E</v>
      </c>
      <c r="AA335" s="26" t="s">
        <v>1053</v>
      </c>
      <c r="AB335" s="26"/>
      <c r="AC335" s="26">
        <v>27500</v>
      </c>
      <c r="AD335" s="26" t="s">
        <v>814</v>
      </c>
      <c r="AE335" s="26"/>
      <c r="AF335" s="26"/>
      <c r="AI335" s="26"/>
      <c r="AJ335" s="26"/>
      <c r="AL335" s="26"/>
      <c r="AW335" s="26"/>
      <c r="AX335" s="26"/>
      <c r="AY335" s="26"/>
    </row>
    <row r="336" spans="1:51" x14ac:dyDescent="0.25">
      <c r="A336" s="26">
        <v>112</v>
      </c>
      <c r="B336" s="26" t="s">
        <v>161</v>
      </c>
      <c r="C336" s="26">
        <v>5180</v>
      </c>
      <c r="D336" s="27" t="s">
        <v>437</v>
      </c>
      <c r="E336" s="26">
        <v>270</v>
      </c>
      <c r="F336" s="26">
        <v>11</v>
      </c>
      <c r="G336" s="26">
        <v>11</v>
      </c>
      <c r="H336" s="26" t="s">
        <v>1057</v>
      </c>
      <c r="I336" s="26" t="s">
        <v>443</v>
      </c>
      <c r="J336" s="26" t="s">
        <v>1040</v>
      </c>
      <c r="K336" s="26" t="s">
        <v>953</v>
      </c>
      <c r="L336" s="26" t="s">
        <v>1002</v>
      </c>
      <c r="M336" s="26" t="s">
        <v>1377</v>
      </c>
      <c r="N336" s="26" t="s">
        <v>1086</v>
      </c>
      <c r="O336" s="26" t="s">
        <v>1095</v>
      </c>
      <c r="P336" s="26">
        <v>4140</v>
      </c>
      <c r="Q336" s="27" t="s">
        <v>1044</v>
      </c>
      <c r="R336" s="26">
        <v>6286</v>
      </c>
      <c r="S336" s="26">
        <v>1900</v>
      </c>
      <c r="T336" s="26">
        <f>IF(Table2[[#This Row],[PMT]]="NA","NA",Table2[[#This Row],[PMT]]+1)</f>
        <v>1901</v>
      </c>
      <c r="U336" s="26">
        <f>IF(Table2[[#This Row],[PMT]]="NA","NA",Table2[[#This Row],[PMT]]+2)</f>
        <v>1902</v>
      </c>
      <c r="V336" s="26">
        <v>0</v>
      </c>
      <c r="W336" s="26">
        <f>IF(Table2[[#This Row],[PMT]]="NA","NA",Table2[[#This Row],[PMT]]+8)-Table2[[#This Row],[Const]]</f>
        <v>1908</v>
      </c>
      <c r="X336" s="26" t="str">
        <f>IF(W336="NA","",CONCATENATE("0B 04 00 ",DEC2HEX($G336,2)," ",LEFT(DEC2HEX(W336,4),2)," ",RIGHT(DEC2HEX(W336,4),2)))</f>
        <v>0B 04 00 0B 07 74</v>
      </c>
      <c r="Y336" s="26">
        <f>IF(Table2[[#This Row],[PMT]]="NA","NA",Table2[[#This Row],[PMT]]+14)-Table2[[#This Row],[Const]]</f>
        <v>1914</v>
      </c>
      <c r="Z336" s="26" t="str">
        <f>IF(Y336="NA","",CONCATENATE("0B 04 00 ",DEC2HEX($G336,2)," ",LEFT(DEC2HEX(Y336,4),2)," ",RIGHT(DEC2HEX(Y336,4),2)))</f>
        <v>0B 04 00 0B 07 7A</v>
      </c>
      <c r="AA336" s="26" t="s">
        <v>1057</v>
      </c>
      <c r="AB336" s="26" t="s">
        <v>1084</v>
      </c>
      <c r="AC336" s="26">
        <v>27500</v>
      </c>
      <c r="AD336" s="26" t="s">
        <v>814</v>
      </c>
      <c r="AE336" s="26"/>
      <c r="AF336" s="26"/>
      <c r="AI336" s="26"/>
      <c r="AJ336" s="26"/>
      <c r="AL336" s="26"/>
      <c r="AW336" s="26"/>
      <c r="AX336" s="26"/>
      <c r="AY336" s="26"/>
    </row>
    <row r="337" spans="1:51" hidden="1" x14ac:dyDescent="0.25">
      <c r="A337" s="26">
        <v>332</v>
      </c>
      <c r="B337" s="26" t="s">
        <v>346</v>
      </c>
      <c r="C337" s="26" t="s">
        <v>346</v>
      </c>
      <c r="D337" s="27" t="s">
        <v>611</v>
      </c>
      <c r="E337" s="26">
        <v>800</v>
      </c>
      <c r="F337" s="26" t="s">
        <v>346</v>
      </c>
      <c r="G337" s="26">
        <v>1</v>
      </c>
      <c r="H337" s="26" t="s">
        <v>349</v>
      </c>
      <c r="I337" s="26" t="s">
        <v>1356</v>
      </c>
      <c r="J337" s="26" t="s">
        <v>1038</v>
      </c>
      <c r="K337" s="26" t="s">
        <v>1039</v>
      </c>
      <c r="L337" s="26" t="s">
        <v>1002</v>
      </c>
      <c r="M337" s="28" t="s">
        <v>1377</v>
      </c>
      <c r="Q337" s="27"/>
      <c r="R337" s="26">
        <v>2570</v>
      </c>
      <c r="S337" s="26">
        <v>6600</v>
      </c>
      <c r="T337" s="26">
        <f>IF(Table2[[#This Row],[PMT]]="NA","NA",Table2[[#This Row],[PMT]]+1)</f>
        <v>6601</v>
      </c>
      <c r="U337" s="26">
        <f>IF(Table2[[#This Row],[PMT]]="NA","NA",Table2[[#This Row],[PMT]]+2)</f>
        <v>6602</v>
      </c>
      <c r="V337" s="26">
        <v>0</v>
      </c>
      <c r="W337" s="26">
        <f>IF(Table2[[#This Row],[PMT]]="NA","NA",Table2[[#This Row],[PMT]]+8)-Table2[[#This Row],[Const]]</f>
        <v>6608</v>
      </c>
      <c r="X337" s="26" t="str">
        <f>IF(W337="NA","",CONCATENATE("0B 04 00 ",DEC2HEX($G337,2)," ",LEFT(DEC2HEX(W337,4),2)," ",RIGHT(DEC2HEX(W337,4),2)))</f>
        <v>0B 04 00 01 19 D0</v>
      </c>
      <c r="Y337" s="26">
        <f>IF(Table2[[#This Row],[PMT]]="NA","NA",Table2[[#This Row],[PMT]]+14)-Table2[[#This Row],[Const]]</f>
        <v>6614</v>
      </c>
      <c r="Z337" s="26" t="str">
        <f>IF(Y337="NA","",CONCATENATE("0B 04 00 ",DEC2HEX($G337,2)," ",LEFT(DEC2HEX(Y337,4),2)," ",RIGHT(DEC2HEX(Y337,4),2)))</f>
        <v>0B 04 00 01 19 D6</v>
      </c>
      <c r="AA337" s="26" t="s">
        <v>349</v>
      </c>
      <c r="AB337" s="26"/>
      <c r="AC337" s="26"/>
      <c r="AD337" s="26" t="s">
        <v>346</v>
      </c>
      <c r="AE337" s="26"/>
      <c r="AF337" s="26"/>
      <c r="AI337" s="26"/>
      <c r="AJ337" s="26"/>
      <c r="AL337" s="26"/>
      <c r="AW337" s="26"/>
      <c r="AX337" s="26"/>
      <c r="AY337" s="26"/>
    </row>
    <row r="338" spans="1:51" hidden="1" x14ac:dyDescent="0.25">
      <c r="A338" s="26">
        <v>333</v>
      </c>
      <c r="B338" s="26" t="s">
        <v>346</v>
      </c>
      <c r="C338" s="26" t="s">
        <v>346</v>
      </c>
      <c r="D338" s="27" t="s">
        <v>612</v>
      </c>
      <c r="E338" s="26">
        <v>802</v>
      </c>
      <c r="F338" s="26" t="s">
        <v>346</v>
      </c>
      <c r="G338" s="26">
        <v>4</v>
      </c>
      <c r="H338" s="26" t="s">
        <v>349</v>
      </c>
      <c r="I338" s="26" t="s">
        <v>1356</v>
      </c>
      <c r="J338" s="26" t="s">
        <v>1038</v>
      </c>
      <c r="K338" s="26" t="s">
        <v>1039</v>
      </c>
      <c r="L338" s="26" t="s">
        <v>931</v>
      </c>
      <c r="M338" s="26" t="s">
        <v>1377</v>
      </c>
      <c r="N338" s="26" t="s">
        <v>1080</v>
      </c>
      <c r="O338" s="26" t="s">
        <v>1384</v>
      </c>
      <c r="P338" s="26">
        <v>3885</v>
      </c>
      <c r="Q338" s="27" t="s">
        <v>1385</v>
      </c>
      <c r="R338" s="26">
        <v>7571</v>
      </c>
      <c r="S338" s="26">
        <v>5900</v>
      </c>
      <c r="T338" s="26">
        <f>IF(Table2[[#This Row],[PMT]]="NA","NA",Table2[[#This Row],[PMT]]+1)</f>
        <v>5901</v>
      </c>
      <c r="U338" s="26">
        <f>IF(Table2[[#This Row],[PMT]]="NA","NA",Table2[[#This Row],[PMT]]+2)</f>
        <v>5902</v>
      </c>
      <c r="V338" s="26">
        <v>0</v>
      </c>
      <c r="W338" s="26">
        <f>IF(Table2[[#This Row],[PMT]]="NA","NA",Table2[[#This Row],[PMT]]+8)-Table2[[#This Row],[Const]]</f>
        <v>5908</v>
      </c>
      <c r="X338" s="26" t="str">
        <f>IF(W338="NA","",CONCATENATE("0B 04 00 ",DEC2HEX($G338,2)," ",LEFT(DEC2HEX(W338,4),2)," ",RIGHT(DEC2HEX(W338,4),2)))</f>
        <v>0B 04 00 04 17 14</v>
      </c>
      <c r="Y338" s="26">
        <f>IF(Table2[[#This Row],[PMT]]="NA","NA",Table2[[#This Row],[PMT]]+14)-Table2[[#This Row],[Const]]</f>
        <v>5914</v>
      </c>
      <c r="Z338" s="26" t="str">
        <f>IF(Y338="NA","",CONCATENATE("0B 04 00 ",DEC2HEX($G338,2)," ",LEFT(DEC2HEX(Y338,4),2)," ",RIGHT(DEC2HEX(Y338,4),2)))</f>
        <v>0B 04 00 04 17 1A</v>
      </c>
      <c r="AA338" s="26" t="s">
        <v>349</v>
      </c>
      <c r="AB338" s="26"/>
      <c r="AC338" s="26"/>
      <c r="AD338" s="26" t="s">
        <v>346</v>
      </c>
      <c r="AE338" s="26"/>
      <c r="AF338" s="26"/>
      <c r="AI338" s="26"/>
      <c r="AJ338" s="26"/>
      <c r="AL338" s="26"/>
      <c r="AW338" s="26"/>
      <c r="AX338" s="26"/>
      <c r="AY338" s="26"/>
    </row>
    <row r="339" spans="1:51" hidden="1" x14ac:dyDescent="0.25">
      <c r="A339" s="26">
        <v>334</v>
      </c>
      <c r="B339" s="26" t="s">
        <v>346</v>
      </c>
      <c r="C339" s="26" t="s">
        <v>346</v>
      </c>
      <c r="D339" s="27" t="s">
        <v>1052</v>
      </c>
      <c r="E339" s="26">
        <v>804</v>
      </c>
      <c r="F339" s="26" t="s">
        <v>346</v>
      </c>
      <c r="G339" s="26">
        <v>7</v>
      </c>
      <c r="H339" s="26" t="s">
        <v>349</v>
      </c>
      <c r="I339" s="26" t="s">
        <v>1356</v>
      </c>
      <c r="J339" s="26" t="s">
        <v>1038</v>
      </c>
      <c r="K339" s="26" t="s">
        <v>1039</v>
      </c>
      <c r="L339" s="26" t="s">
        <v>931</v>
      </c>
      <c r="M339" s="28" t="s">
        <v>1376</v>
      </c>
      <c r="Q339" s="27"/>
      <c r="R339" s="26">
        <v>1595</v>
      </c>
      <c r="S339" s="26">
        <v>540</v>
      </c>
      <c r="T339" s="26">
        <f>IF(Table2[[#This Row],[PMT]]="NA","NA",Table2[[#This Row],[PMT]]+1)</f>
        <v>541</v>
      </c>
      <c r="U339" s="26">
        <f>IF(Table2[[#This Row],[PMT]]="NA","NA",Table2[[#This Row],[PMT]]+2)</f>
        <v>542</v>
      </c>
      <c r="V339" s="26">
        <v>0</v>
      </c>
      <c r="W339" s="26">
        <f>IF(Table2[[#This Row],[PMT]]="NA","NA",Table2[[#This Row],[PMT]]+8)-Table2[[#This Row],[Const]]</f>
        <v>548</v>
      </c>
      <c r="X339" s="26" t="str">
        <f>IF(W339="NA","",CONCATENATE("0B 04 00 ",DEC2HEX($G339,2)," ",LEFT(DEC2HEX(W339,4),2)," ",RIGHT(DEC2HEX(W339,4),2)))</f>
        <v>0B 04 00 07 02 24</v>
      </c>
      <c r="Y339" s="26">
        <f>IF(Table2[[#This Row],[PMT]]="NA","NA",Table2[[#This Row],[PMT]]+14)-Table2[[#This Row],[Const]]</f>
        <v>554</v>
      </c>
      <c r="Z339" s="26" t="str">
        <f>IF(Y339="NA","",CONCATENATE("0B 04 00 ",DEC2HEX($G339,2)," ",LEFT(DEC2HEX(Y339,4),2)," ",RIGHT(DEC2HEX(Y339,4),2)))</f>
        <v>0B 04 00 07 02 2A</v>
      </c>
      <c r="AA339" s="26" t="s">
        <v>349</v>
      </c>
      <c r="AB339" s="26"/>
      <c r="AC339" s="26"/>
      <c r="AD339" s="26" t="s">
        <v>346</v>
      </c>
      <c r="AE339" s="26"/>
      <c r="AF339" s="26"/>
      <c r="AI339" s="26"/>
      <c r="AJ339" s="26"/>
      <c r="AL339" s="26"/>
      <c r="AW339" s="26"/>
      <c r="AX339" s="26"/>
      <c r="AY339" s="26"/>
    </row>
    <row r="340" spans="1:51" x14ac:dyDescent="0.25">
      <c r="A340" s="26">
        <v>43</v>
      </c>
      <c r="B340" s="26" t="s">
        <v>204</v>
      </c>
      <c r="C340" s="26">
        <v>5180</v>
      </c>
      <c r="D340" s="27" t="s">
        <v>376</v>
      </c>
      <c r="E340" s="26">
        <v>150</v>
      </c>
      <c r="F340" s="26">
        <v>11</v>
      </c>
      <c r="G340" s="26">
        <v>11</v>
      </c>
      <c r="H340" s="26" t="s">
        <v>349</v>
      </c>
      <c r="I340" s="26" t="s">
        <v>1084</v>
      </c>
      <c r="J340" s="26" t="s">
        <v>1040</v>
      </c>
      <c r="K340" s="26" t="s">
        <v>953</v>
      </c>
      <c r="L340" s="26" t="s">
        <v>1002</v>
      </c>
      <c r="M340" s="26" t="s">
        <v>1377</v>
      </c>
      <c r="N340" s="26" t="s">
        <v>1086</v>
      </c>
      <c r="O340" s="26" t="s">
        <v>1087</v>
      </c>
      <c r="P340" s="26">
        <v>3732</v>
      </c>
      <c r="Q340" s="27" t="s">
        <v>1044</v>
      </c>
      <c r="R340" s="26">
        <v>5137</v>
      </c>
      <c r="S340" s="26">
        <v>6000</v>
      </c>
      <c r="T340" s="26">
        <f>IF(Table2[[#This Row],[PMT]]="NA","NA",Table2[[#This Row],[PMT]]+1)</f>
        <v>6001</v>
      </c>
      <c r="U340" s="26">
        <f>IF(Table2[[#This Row],[PMT]]="NA","NA",Table2[[#This Row],[PMT]]+2)</f>
        <v>6002</v>
      </c>
      <c r="V340" s="26">
        <v>0</v>
      </c>
      <c r="W340" s="26">
        <f>IF(Table2[[#This Row],[PMT]]="NA","NA",Table2[[#This Row],[PMT]]+8)-Table2[[#This Row],[Const]]</f>
        <v>6008</v>
      </c>
      <c r="X340" s="26" t="str">
        <f>IF(W340="NA","",CONCATENATE("0B 04 00 ",DEC2HEX($G340,2)," ",LEFT(DEC2HEX(W340,4),2)," ",RIGHT(DEC2HEX(W340,4),2)))</f>
        <v>0B 04 00 0B 17 78</v>
      </c>
      <c r="Y340" s="26">
        <f>IF(Table2[[#This Row],[PMT]]="NA","NA",Table2[[#This Row],[PMT]]+14)-Table2[[#This Row],[Const]]</f>
        <v>6014</v>
      </c>
      <c r="Z340" s="26" t="str">
        <f>IF(Y340="NA","",CONCATENATE("0B 04 00 ",DEC2HEX($G340,2)," ",LEFT(DEC2HEX(Y340,4),2)," ",RIGHT(DEC2HEX(Y340,4),2)))</f>
        <v>0B 04 00 0B 17 7E</v>
      </c>
      <c r="AA340" s="26" t="s">
        <v>349</v>
      </c>
      <c r="AB340" s="26" t="s">
        <v>1084</v>
      </c>
      <c r="AC340" s="26">
        <v>6500</v>
      </c>
      <c r="AD340" s="26" t="s">
        <v>814</v>
      </c>
      <c r="AE340" s="26"/>
      <c r="AF340" s="26"/>
      <c r="AI340" s="26"/>
      <c r="AJ340" s="26"/>
      <c r="AL340" s="26"/>
      <c r="AW340" s="26"/>
      <c r="AX340" s="26"/>
      <c r="AY340" s="26"/>
    </row>
    <row r="341" spans="1:51" x14ac:dyDescent="0.25">
      <c r="A341" s="26">
        <v>53</v>
      </c>
      <c r="B341" s="26" t="s">
        <v>208</v>
      </c>
      <c r="C341" s="26">
        <v>5180</v>
      </c>
      <c r="D341" s="27" t="s">
        <v>384</v>
      </c>
      <c r="E341" s="26">
        <v>168</v>
      </c>
      <c r="F341" s="26">
        <v>11</v>
      </c>
      <c r="G341" s="26">
        <v>11</v>
      </c>
      <c r="H341" s="26" t="s">
        <v>1053</v>
      </c>
      <c r="I341" s="26" t="s">
        <v>443</v>
      </c>
      <c r="J341" s="26" t="s">
        <v>1040</v>
      </c>
      <c r="K341" s="26" t="s">
        <v>953</v>
      </c>
      <c r="L341" s="26" t="s">
        <v>1002</v>
      </c>
      <c r="M341" s="26" t="s">
        <v>1377</v>
      </c>
      <c r="N341" s="26" t="s">
        <v>1086</v>
      </c>
      <c r="O341" s="26" t="s">
        <v>1095</v>
      </c>
      <c r="P341" s="26">
        <v>4140</v>
      </c>
      <c r="Q341" s="27" t="s">
        <v>1044</v>
      </c>
      <c r="R341" s="26">
        <v>1161</v>
      </c>
      <c r="S341" s="26">
        <v>7500</v>
      </c>
      <c r="T341" s="26">
        <f>IF(Table2[[#This Row],[PMT]]="NA","NA",Table2[[#This Row],[PMT]]+1)</f>
        <v>7501</v>
      </c>
      <c r="U341" s="26">
        <f>IF(Table2[[#This Row],[PMT]]="NA","NA",Table2[[#This Row],[PMT]]+2)</f>
        <v>7502</v>
      </c>
      <c r="V341" s="26">
        <v>0</v>
      </c>
      <c r="W341" s="26">
        <f>IF(Table2[[#This Row],[PMT]]="NA","NA",Table2[[#This Row],[PMT]]+8)-Table2[[#This Row],[Const]]</f>
        <v>7508</v>
      </c>
      <c r="X341" s="26" t="str">
        <f>IF(W341="NA","",CONCATENATE("0B 04 00 ",DEC2HEX($G341,2)," ",LEFT(DEC2HEX(W341,4),2)," ",RIGHT(DEC2HEX(W341,4),2)))</f>
        <v>0B 04 00 0B 1D 54</v>
      </c>
      <c r="Y341" s="26">
        <f>IF(Table2[[#This Row],[PMT]]="NA","NA",Table2[[#This Row],[PMT]]+14)-Table2[[#This Row],[Const]]</f>
        <v>7514</v>
      </c>
      <c r="Z341" s="26" t="str">
        <f>IF(Y341="NA","",CONCATENATE("0B 04 00 ",DEC2HEX($G341,2)," ",LEFT(DEC2HEX(Y341,4),2)," ",RIGHT(DEC2HEX(Y341,4),2)))</f>
        <v>0B 04 00 0B 1D 5A</v>
      </c>
      <c r="AA341" s="26" t="s">
        <v>1053</v>
      </c>
      <c r="AB341" s="26" t="s">
        <v>443</v>
      </c>
      <c r="AC341" s="26">
        <v>27500</v>
      </c>
      <c r="AD341" s="26" t="s">
        <v>346</v>
      </c>
      <c r="AE341" s="26"/>
      <c r="AF341" s="26"/>
      <c r="AI341" s="26"/>
      <c r="AJ341" s="26"/>
      <c r="AL341" s="26"/>
      <c r="AW341" s="26"/>
      <c r="AX341" s="26"/>
      <c r="AY341" s="26"/>
    </row>
    <row r="342" spans="1:51" hidden="1" x14ac:dyDescent="0.3">
      <c r="A342" s="26">
        <v>337</v>
      </c>
      <c r="B342" s="26" t="s">
        <v>346</v>
      </c>
      <c r="C342" s="26" t="s">
        <v>346</v>
      </c>
      <c r="D342" s="27" t="s">
        <v>615</v>
      </c>
      <c r="E342" s="26">
        <v>810</v>
      </c>
      <c r="F342" s="26" t="s">
        <v>346</v>
      </c>
      <c r="G342" s="26">
        <v>1</v>
      </c>
      <c r="H342" s="26" t="s">
        <v>349</v>
      </c>
      <c r="I342" s="26" t="s">
        <v>1356</v>
      </c>
      <c r="J342" s="26" t="s">
        <v>1038</v>
      </c>
      <c r="K342" s="26" t="s">
        <v>1039</v>
      </c>
      <c r="L342" s="26" t="s">
        <v>1002</v>
      </c>
      <c r="M342" s="26" t="s">
        <v>1377</v>
      </c>
      <c r="N342" s="26" t="s">
        <v>1080</v>
      </c>
      <c r="O342" s="26" t="s">
        <v>1383</v>
      </c>
      <c r="P342" s="26">
        <v>4024</v>
      </c>
      <c r="Q342" s="27" t="s">
        <v>1386</v>
      </c>
      <c r="R342" s="26">
        <v>3575</v>
      </c>
      <c r="S342" s="26">
        <v>6900</v>
      </c>
      <c r="T342" s="26">
        <f>IF(Table2[[#This Row],[PMT]]="NA","NA",Table2[[#This Row],[PMT]]+1)</f>
        <v>6901</v>
      </c>
      <c r="U342" s="26">
        <f>IF(Table2[[#This Row],[PMT]]="NA","NA",Table2[[#This Row],[PMT]]+2)</f>
        <v>6902</v>
      </c>
      <c r="V342" s="26">
        <v>0</v>
      </c>
      <c r="W342" s="26">
        <f>IF(Table2[[#This Row],[PMT]]="NA","NA",Table2[[#This Row],[PMT]]+8)-Table2[[#This Row],[Const]]</f>
        <v>6908</v>
      </c>
      <c r="X342" s="26" t="str">
        <f>IF(W342="NA","",CONCATENATE("0B 04 00 ",DEC2HEX($G342,2)," ",LEFT(DEC2HEX(W342,4),2)," ",RIGHT(DEC2HEX(W342,4),2)))</f>
        <v>0B 04 00 01 1A FC</v>
      </c>
      <c r="Y342" s="26">
        <f>IF(Table2[[#This Row],[PMT]]="NA","NA",Table2[[#This Row],[PMT]]+14)-Table2[[#This Row],[Const]]</f>
        <v>6914</v>
      </c>
      <c r="Z342" s="26" t="str">
        <f>IF(Y342="NA","",CONCATENATE("0B 04 00 ",DEC2HEX($G342,2)," ",LEFT(DEC2HEX(Y342,4),2)," ",RIGHT(DEC2HEX(Y342,4),2)))</f>
        <v>0B 04 00 01 1B 02</v>
      </c>
      <c r="AA342" s="26" t="s">
        <v>349</v>
      </c>
      <c r="AB342" s="26"/>
      <c r="AC342" s="26"/>
      <c r="AD342" s="26" t="s">
        <v>346</v>
      </c>
      <c r="AE342" s="26"/>
      <c r="AG342" s="35"/>
      <c r="AH342" s="35"/>
      <c r="AI342" s="26"/>
      <c r="AJ342" s="26"/>
      <c r="AL342" s="26"/>
      <c r="AW342" s="26"/>
      <c r="AX342" s="26"/>
      <c r="AY342" s="26"/>
    </row>
    <row r="343" spans="1:51" x14ac:dyDescent="0.3">
      <c r="A343" s="26">
        <v>62</v>
      </c>
      <c r="B343" s="26" t="s">
        <v>190</v>
      </c>
      <c r="C343" s="26">
        <v>5180</v>
      </c>
      <c r="D343" s="27" t="s">
        <v>392</v>
      </c>
      <c r="E343" s="26">
        <v>178</v>
      </c>
      <c r="F343" s="26">
        <v>9</v>
      </c>
      <c r="G343" s="26">
        <v>9</v>
      </c>
      <c r="H343" s="26" t="s">
        <v>1053</v>
      </c>
      <c r="I343" s="26" t="s">
        <v>443</v>
      </c>
      <c r="J343" s="26" t="s">
        <v>1040</v>
      </c>
      <c r="K343" s="26" t="s">
        <v>953</v>
      </c>
      <c r="L343" s="26" t="s">
        <v>1002</v>
      </c>
      <c r="M343" s="26" t="s">
        <v>1377</v>
      </c>
      <c r="N343" s="26" t="s">
        <v>1086</v>
      </c>
      <c r="O343" s="26" t="s">
        <v>1094</v>
      </c>
      <c r="P343" s="26">
        <v>3820</v>
      </c>
      <c r="Q343" s="27" t="s">
        <v>1044</v>
      </c>
      <c r="R343" s="26">
        <v>8167</v>
      </c>
      <c r="S343" s="26">
        <v>7400</v>
      </c>
      <c r="T343" s="26">
        <f>IF(Table2[[#This Row],[PMT]]="NA","NA",Table2[[#This Row],[PMT]]+1)</f>
        <v>7401</v>
      </c>
      <c r="U343" s="26">
        <f>IF(Table2[[#This Row],[PMT]]="NA","NA",Table2[[#This Row],[PMT]]+2)</f>
        <v>7402</v>
      </c>
      <c r="V343" s="26">
        <v>0</v>
      </c>
      <c r="W343" s="26">
        <f>IF(Table2[[#This Row],[PMT]]="NA","NA",Table2[[#This Row],[PMT]]+8)-Table2[[#This Row],[Const]]</f>
        <v>7408</v>
      </c>
      <c r="X343" s="26" t="str">
        <f>IF(W343="NA","",CONCATENATE("0B 04 00 ",DEC2HEX($G343,2)," ",LEFT(DEC2HEX(W343,4),2)," ",RIGHT(DEC2HEX(W343,4),2)))</f>
        <v>0B 04 00 09 1C F0</v>
      </c>
      <c r="Y343" s="26">
        <f>IF(Table2[[#This Row],[PMT]]="NA","NA",Table2[[#This Row],[PMT]]+14)-Table2[[#This Row],[Const]]</f>
        <v>7414</v>
      </c>
      <c r="Z343" s="26" t="str">
        <f>IF(Y343="NA","",CONCATENATE("0B 04 00 ",DEC2HEX($G343,2)," ",LEFT(DEC2HEX(Y343,4),2)," ",RIGHT(DEC2HEX(Y343,4),2)))</f>
        <v>0B 04 00 09 1C F6</v>
      </c>
      <c r="AA343" s="26" t="s">
        <v>1053</v>
      </c>
      <c r="AB343" s="26" t="s">
        <v>443</v>
      </c>
      <c r="AC343" s="26">
        <v>27500</v>
      </c>
      <c r="AD343" s="26" t="s">
        <v>814</v>
      </c>
      <c r="AE343" s="26"/>
      <c r="AG343" s="35"/>
      <c r="AH343" s="35"/>
      <c r="AI343" s="26"/>
      <c r="AJ343" s="26"/>
      <c r="AL343" s="26"/>
      <c r="AW343" s="26"/>
      <c r="AX343" s="26"/>
      <c r="AY343" s="26"/>
    </row>
    <row r="344" spans="1:51" hidden="1" x14ac:dyDescent="0.3">
      <c r="A344" s="26">
        <v>339</v>
      </c>
      <c r="B344" s="26" t="s">
        <v>346</v>
      </c>
      <c r="C344" s="26" t="s">
        <v>346</v>
      </c>
      <c r="D344" s="27" t="s">
        <v>617</v>
      </c>
      <c r="E344" s="26">
        <v>814</v>
      </c>
      <c r="F344" s="26" t="s">
        <v>346</v>
      </c>
      <c r="G344" s="26">
        <v>7</v>
      </c>
      <c r="H344" s="26" t="s">
        <v>349</v>
      </c>
      <c r="I344" s="26" t="s">
        <v>1356</v>
      </c>
      <c r="J344" s="26" t="s">
        <v>1038</v>
      </c>
      <c r="K344" s="26" t="s">
        <v>1039</v>
      </c>
      <c r="L344" s="26" t="s">
        <v>931</v>
      </c>
      <c r="M344" s="26" t="s">
        <v>1377</v>
      </c>
      <c r="N344" s="26" t="s">
        <v>1080</v>
      </c>
      <c r="O344" s="26" t="s">
        <v>1384</v>
      </c>
      <c r="P344" s="26">
        <v>3885</v>
      </c>
      <c r="Q344" s="27" t="s">
        <v>1385</v>
      </c>
      <c r="R344" s="26">
        <v>7572</v>
      </c>
      <c r="S344" s="26">
        <v>480</v>
      </c>
      <c r="T344" s="26">
        <f>IF(Table2[[#This Row],[PMT]]="NA","NA",Table2[[#This Row],[PMT]]+1)</f>
        <v>481</v>
      </c>
      <c r="U344" s="26">
        <f>IF(Table2[[#This Row],[PMT]]="NA","NA",Table2[[#This Row],[PMT]]+2)</f>
        <v>482</v>
      </c>
      <c r="V344" s="26">
        <v>0</v>
      </c>
      <c r="W344" s="26">
        <f>IF(Table2[[#This Row],[PMT]]="NA","NA",Table2[[#This Row],[PMT]]+8)-Table2[[#This Row],[Const]]</f>
        <v>488</v>
      </c>
      <c r="X344" s="26" t="str">
        <f>IF(W344="NA","",CONCATENATE("0B 04 00 ",DEC2HEX($G344,2)," ",LEFT(DEC2HEX(W344,4),2)," ",RIGHT(DEC2HEX(W344,4),2)))</f>
        <v>0B 04 00 07 01 E8</v>
      </c>
      <c r="Y344" s="26">
        <f>IF(Table2[[#This Row],[PMT]]="NA","NA",Table2[[#This Row],[PMT]]+14)-Table2[[#This Row],[Const]]</f>
        <v>494</v>
      </c>
      <c r="Z344" s="26" t="str">
        <f>IF(Y344="NA","",CONCATENATE("0B 04 00 ",DEC2HEX($G344,2)," ",LEFT(DEC2HEX(Y344,4),2)," ",RIGHT(DEC2HEX(Y344,4),2)))</f>
        <v>0B 04 00 07 01 EE</v>
      </c>
      <c r="AA344" s="26"/>
      <c r="AB344" s="26"/>
      <c r="AC344" s="26"/>
      <c r="AD344" s="26" t="s">
        <v>346</v>
      </c>
      <c r="AE344" s="26"/>
      <c r="AG344" s="35"/>
      <c r="AH344" s="35"/>
      <c r="AI344" s="26"/>
      <c r="AJ344" s="26"/>
      <c r="AL344" s="26"/>
      <c r="AW344" s="26"/>
      <c r="AX344" s="26"/>
      <c r="AY344" s="26"/>
    </row>
    <row r="345" spans="1:51" x14ac:dyDescent="0.3">
      <c r="A345" s="26">
        <v>180</v>
      </c>
      <c r="B345" s="26" t="s">
        <v>644</v>
      </c>
      <c r="C345" s="26">
        <v>5001</v>
      </c>
      <c r="D345" s="27" t="s">
        <v>494</v>
      </c>
      <c r="E345" s="26">
        <v>384</v>
      </c>
      <c r="F345" s="26">
        <v>6</v>
      </c>
      <c r="G345" s="26">
        <v>6</v>
      </c>
      <c r="H345" s="26" t="s">
        <v>361</v>
      </c>
      <c r="I345" s="26" t="s">
        <v>443</v>
      </c>
      <c r="J345" s="26" t="s">
        <v>931</v>
      </c>
      <c r="K345" s="26" t="s">
        <v>1042</v>
      </c>
      <c r="L345" s="26" t="s">
        <v>931</v>
      </c>
      <c r="M345" s="26" t="s">
        <v>1376</v>
      </c>
      <c r="N345" s="26" t="s">
        <v>1086</v>
      </c>
      <c r="O345" s="26" t="s">
        <v>1094</v>
      </c>
      <c r="P345" s="26">
        <v>3820</v>
      </c>
      <c r="Q345" s="27" t="s">
        <v>1044</v>
      </c>
      <c r="R345" s="26">
        <v>6384</v>
      </c>
      <c r="S345" s="26">
        <v>1100</v>
      </c>
      <c r="T345" s="26">
        <f>IF(Table2[[#This Row],[PMT]]="NA","NA",Table2[[#This Row],[PMT]]+1)</f>
        <v>1101</v>
      </c>
      <c r="U345" s="26">
        <f>IF(Table2[[#This Row],[PMT]]="NA","NA",Table2[[#This Row],[PMT]]+2)</f>
        <v>1102</v>
      </c>
      <c r="V345" s="26">
        <v>0</v>
      </c>
      <c r="W345" s="26">
        <f>IF(Table2[[#This Row],[PMT]]="NA","NA",Table2[[#This Row],[PMT]]+8)-Table2[[#This Row],[Const]]</f>
        <v>1108</v>
      </c>
      <c r="X345" s="26" t="str">
        <f>IF(W345="NA","",CONCATENATE("0B 04 00 ",DEC2HEX($G345,2)," ",LEFT(DEC2HEX(W345,4),2)," ",RIGHT(DEC2HEX(W345,4),2)))</f>
        <v>0B 04 00 06 04 54</v>
      </c>
      <c r="Y345" s="26">
        <f>IF(Table2[[#This Row],[PMT]]="NA","NA",Table2[[#This Row],[PMT]]+14)-Table2[[#This Row],[Const]]</f>
        <v>1114</v>
      </c>
      <c r="Z345" s="26" t="str">
        <f>IF(Y345="NA","",CONCATENATE("0B 04 00 ",DEC2HEX($G345,2)," ",LEFT(DEC2HEX(Y345,4),2)," ",RIGHT(DEC2HEX(Y345,4),2)))</f>
        <v>0B 04 00 06 04 5A</v>
      </c>
      <c r="AA345" s="26" t="s">
        <v>361</v>
      </c>
      <c r="AB345" s="26" t="s">
        <v>443</v>
      </c>
      <c r="AC345" s="26">
        <v>27500</v>
      </c>
      <c r="AD345" s="26" t="s">
        <v>814</v>
      </c>
      <c r="AE345" s="26"/>
      <c r="AG345" s="35"/>
      <c r="AH345" s="35"/>
      <c r="AI345" s="26"/>
      <c r="AJ345" s="26"/>
      <c r="AL345" s="26"/>
      <c r="AW345" s="26"/>
      <c r="AX345" s="26"/>
      <c r="AY345" s="26"/>
    </row>
    <row r="346" spans="1:51" hidden="1" x14ac:dyDescent="0.3">
      <c r="A346" s="26">
        <v>341</v>
      </c>
      <c r="B346" s="26" t="s">
        <v>346</v>
      </c>
      <c r="C346" s="26" t="s">
        <v>346</v>
      </c>
      <c r="D346" s="27" t="s">
        <v>1282</v>
      </c>
      <c r="E346" s="26">
        <v>817</v>
      </c>
      <c r="F346" s="26" t="s">
        <v>346</v>
      </c>
      <c r="G346" s="26">
        <v>1</v>
      </c>
      <c r="H346" s="26" t="s">
        <v>361</v>
      </c>
      <c r="I346" s="26" t="s">
        <v>1356</v>
      </c>
      <c r="J346" s="26" t="s">
        <v>1038</v>
      </c>
      <c r="K346" s="26" t="s">
        <v>1039</v>
      </c>
      <c r="L346" s="26" t="s">
        <v>931</v>
      </c>
      <c r="M346" s="26" t="s">
        <v>1377</v>
      </c>
      <c r="N346" s="26" t="s">
        <v>1080</v>
      </c>
      <c r="O346" s="26" t="s">
        <v>1384</v>
      </c>
      <c r="P346" s="26">
        <v>3925</v>
      </c>
      <c r="Q346" s="27" t="s">
        <v>1385</v>
      </c>
      <c r="R346" s="31">
        <v>12184</v>
      </c>
      <c r="S346" s="31">
        <v>920</v>
      </c>
      <c r="T346" s="31">
        <f>IF(Table2[[#This Row],[PMT]]="NA","NA",Table2[[#This Row],[PMT]]+1)</f>
        <v>921</v>
      </c>
      <c r="U346" s="31">
        <f>IF(Table2[[#This Row],[PMT]]="NA","NA",Table2[[#This Row],[PMT]]+2)</f>
        <v>922</v>
      </c>
      <c r="V346" s="26">
        <v>0</v>
      </c>
      <c r="W346" s="31">
        <f>IF(Table2[[#This Row],[PMT]]="NA","NA",Table2[[#This Row],[PMT]]+8)-Table2[[#This Row],[Const]]</f>
        <v>928</v>
      </c>
      <c r="X346" s="31" t="str">
        <f>IF(W346="NA","",CONCATENATE("0B 04 00 ",DEC2HEX($G346,2)," ",LEFT(DEC2HEX(W346,4),2)," ",RIGHT(DEC2HEX(W346,4),2)))</f>
        <v>0B 04 00 01 03 A0</v>
      </c>
      <c r="Y346" s="31">
        <f>IF(Table2[[#This Row],[PMT]]="NA","NA",Table2[[#This Row],[PMT]]+14)-Table2[[#This Row],[Const]]</f>
        <v>934</v>
      </c>
      <c r="Z346" s="31" t="str">
        <f>IF(Y346="NA","",CONCATENATE("0B 04 00 ",DEC2HEX($G346,2)," ",LEFT(DEC2HEX(Y346,4),2)," ",RIGHT(DEC2HEX(Y346,4),2)))</f>
        <v>0B 04 00 01 03 A6</v>
      </c>
      <c r="AA346" s="26"/>
      <c r="AB346" s="26"/>
      <c r="AC346" s="31"/>
      <c r="AD346" s="31"/>
      <c r="AE346" s="26"/>
      <c r="AG346" s="35"/>
      <c r="AH346" s="35"/>
      <c r="AI346" s="26"/>
      <c r="AJ346" s="26"/>
      <c r="AL346" s="26"/>
      <c r="AW346" s="26"/>
      <c r="AX346" s="26"/>
      <c r="AY346" s="26"/>
    </row>
    <row r="347" spans="1:51" x14ac:dyDescent="0.3">
      <c r="A347" s="26">
        <v>278</v>
      </c>
      <c r="B347" s="26" t="s">
        <v>324</v>
      </c>
      <c r="C347" s="26">
        <v>2000</v>
      </c>
      <c r="D347" s="27" t="s">
        <v>568</v>
      </c>
      <c r="E347" s="26">
        <v>606</v>
      </c>
      <c r="F347" s="26">
        <v>9</v>
      </c>
      <c r="G347" s="26">
        <v>9</v>
      </c>
      <c r="H347" s="26" t="s">
        <v>1057</v>
      </c>
      <c r="I347" s="26" t="s">
        <v>1354</v>
      </c>
      <c r="J347" s="26" t="s">
        <v>1002</v>
      </c>
      <c r="K347" s="26" t="s">
        <v>953</v>
      </c>
      <c r="L347" s="26" t="s">
        <v>1002</v>
      </c>
      <c r="M347" s="26" t="s">
        <v>1377</v>
      </c>
      <c r="Q347" s="27" t="s">
        <v>1044</v>
      </c>
      <c r="R347" s="26">
        <v>12135</v>
      </c>
      <c r="S347" s="26">
        <v>5900</v>
      </c>
      <c r="T347" s="26">
        <f>IF(Table2[[#This Row],[PMT]]="NA","NA",Table2[[#This Row],[PMT]]+1)</f>
        <v>5901</v>
      </c>
      <c r="U347" s="26">
        <f>IF(Table2[[#This Row],[PMT]]="NA","NA",Table2[[#This Row],[PMT]]+2)</f>
        <v>5902</v>
      </c>
      <c r="V347" s="26">
        <v>0</v>
      </c>
      <c r="W347" s="26">
        <f>IF(Table2[[#This Row],[PMT]]="NA","NA",Table2[[#This Row],[PMT]]+8)-Table2[[#This Row],[Const]]</f>
        <v>5908</v>
      </c>
      <c r="X347" s="26" t="str">
        <f>IF(W347="NA","",CONCATENATE("0B 04 00 ",DEC2HEX($G347,2)," ",LEFT(DEC2HEX(W347,4),2)," ",RIGHT(DEC2HEX(W347,4),2)))</f>
        <v>0B 04 00 09 17 14</v>
      </c>
      <c r="Y347" s="26">
        <f>IF(Table2[[#This Row],[PMT]]="NA","NA",Table2[[#This Row],[PMT]]+14)-Table2[[#This Row],[Const]]</f>
        <v>5914</v>
      </c>
      <c r="Z347" s="26" t="str">
        <f>IF(Y347="NA","",CONCATENATE("0B 04 00 ",DEC2HEX($G347,2)," ",LEFT(DEC2HEX(Y347,4),2)," ",RIGHT(DEC2HEX(Y347,4),2)))</f>
        <v>0B 04 00 09 17 1A</v>
      </c>
      <c r="AA347" s="26"/>
      <c r="AB347" s="26"/>
      <c r="AC347" s="26"/>
      <c r="AD347" s="26" t="s">
        <v>814</v>
      </c>
      <c r="AE347" s="26"/>
      <c r="AG347" s="35"/>
      <c r="AH347" s="35"/>
      <c r="AI347" s="26"/>
      <c r="AJ347" s="26"/>
      <c r="AL347" s="26"/>
      <c r="AW347" s="26"/>
      <c r="AX347" s="26"/>
      <c r="AY347" s="26"/>
    </row>
    <row r="348" spans="1:51" hidden="1" x14ac:dyDescent="0.3">
      <c r="A348" s="26">
        <v>343</v>
      </c>
      <c r="B348" s="26" t="s">
        <v>346</v>
      </c>
      <c r="C348" s="26" t="s">
        <v>346</v>
      </c>
      <c r="D348" s="27" t="s">
        <v>620</v>
      </c>
      <c r="E348" s="26">
        <v>819</v>
      </c>
      <c r="F348" s="26" t="s">
        <v>346</v>
      </c>
      <c r="G348" s="26">
        <v>6</v>
      </c>
      <c r="H348" s="26" t="s">
        <v>1061</v>
      </c>
      <c r="I348" s="26" t="s">
        <v>1356</v>
      </c>
      <c r="J348" s="26" t="s">
        <v>1038</v>
      </c>
      <c r="K348" s="26" t="s">
        <v>1039</v>
      </c>
      <c r="L348" s="26" t="s">
        <v>931</v>
      </c>
      <c r="M348" s="26" t="s">
        <v>1377</v>
      </c>
      <c r="N348" s="26" t="s">
        <v>1080</v>
      </c>
      <c r="O348" s="26" t="s">
        <v>1384</v>
      </c>
      <c r="P348" s="26">
        <v>3885</v>
      </c>
      <c r="Q348" s="27" t="s">
        <v>1385</v>
      </c>
      <c r="R348" s="26">
        <v>12093</v>
      </c>
      <c r="S348" s="26">
        <v>720</v>
      </c>
      <c r="T348" s="26">
        <f>IF(Table2[[#This Row],[PMT]]="NA","NA",Table2[[#This Row],[PMT]]+1)</f>
        <v>721</v>
      </c>
      <c r="U348" s="26">
        <f>IF(Table2[[#This Row],[PMT]]="NA","NA",Table2[[#This Row],[PMT]]+2)</f>
        <v>722</v>
      </c>
      <c r="V348" s="26">
        <v>0</v>
      </c>
      <c r="W348" s="26">
        <f>IF(Table2[[#This Row],[PMT]]="NA","NA",Table2[[#This Row],[PMT]]+8)-Table2[[#This Row],[Const]]</f>
        <v>728</v>
      </c>
      <c r="X348" s="26" t="str">
        <f>IF(W348="NA","",CONCATENATE("0B 04 00 ",DEC2HEX($G348,2)," ",LEFT(DEC2HEX(W348,4),2)," ",RIGHT(DEC2HEX(W348,4),2)))</f>
        <v>0B 04 00 06 02 D8</v>
      </c>
      <c r="Y348" s="26">
        <f>IF(Table2[[#This Row],[PMT]]="NA","NA",Table2[[#This Row],[PMT]]+14)-Table2[[#This Row],[Const]]</f>
        <v>734</v>
      </c>
      <c r="Z348" s="26" t="str">
        <f>IF(Y348="NA","",CONCATENATE("0B 04 00 ",DEC2HEX($G348,2)," ",LEFT(DEC2HEX(Y348,4),2)," ",RIGHT(DEC2HEX(Y348,4),2)))</f>
        <v>0B 04 00 06 02 DE</v>
      </c>
      <c r="AA348" s="26"/>
      <c r="AB348" s="26"/>
      <c r="AC348" s="26"/>
      <c r="AD348" s="26" t="s">
        <v>346</v>
      </c>
      <c r="AE348" s="26"/>
      <c r="AG348" s="35"/>
      <c r="AH348" s="35"/>
      <c r="AI348" s="26"/>
      <c r="AJ348" s="26"/>
      <c r="AL348" s="26"/>
      <c r="AW348" s="26"/>
      <c r="AX348" s="26"/>
      <c r="AY348" s="26"/>
    </row>
    <row r="349" spans="1:51" hidden="1" x14ac:dyDescent="0.3">
      <c r="A349" s="26">
        <v>344</v>
      </c>
      <c r="B349" s="26" t="s">
        <v>346</v>
      </c>
      <c r="C349" s="26" t="s">
        <v>346</v>
      </c>
      <c r="D349" s="27" t="s">
        <v>621</v>
      </c>
      <c r="E349" s="26">
        <v>820</v>
      </c>
      <c r="F349" s="26" t="s">
        <v>346</v>
      </c>
      <c r="G349" s="26">
        <v>4</v>
      </c>
      <c r="H349" s="26" t="s">
        <v>1053</v>
      </c>
      <c r="I349" s="26" t="s">
        <v>1356</v>
      </c>
      <c r="J349" s="26" t="s">
        <v>1038</v>
      </c>
      <c r="K349" s="26" t="s">
        <v>1039</v>
      </c>
      <c r="L349" s="26" t="s">
        <v>931</v>
      </c>
      <c r="M349" s="28" t="s">
        <v>1377</v>
      </c>
      <c r="Q349" s="27"/>
      <c r="R349" s="26">
        <v>12031</v>
      </c>
      <c r="S349" s="26">
        <v>2000</v>
      </c>
      <c r="T349" s="26">
        <f>IF(Table2[[#This Row],[PMT]]="NA","NA",Table2[[#This Row],[PMT]]+1)</f>
        <v>2001</v>
      </c>
      <c r="U349" s="26">
        <f>IF(Table2[[#This Row],[PMT]]="NA","NA",Table2[[#This Row],[PMT]]+2)</f>
        <v>2002</v>
      </c>
      <c r="V349" s="26">
        <v>0</v>
      </c>
      <c r="W349" s="26">
        <f>IF(Table2[[#This Row],[PMT]]="NA","NA",Table2[[#This Row],[PMT]]+8)-Table2[[#This Row],[Const]]</f>
        <v>2008</v>
      </c>
      <c r="X349" s="26" t="str">
        <f>IF(W349="NA","",CONCATENATE("0B 04 00 ",DEC2HEX($G349,2)," ",LEFT(DEC2HEX(W349,4),2)," ",RIGHT(DEC2HEX(W349,4),2)))</f>
        <v>0B 04 00 04 07 D8</v>
      </c>
      <c r="Y349" s="26">
        <f>IF(Table2[[#This Row],[PMT]]="NA","NA",Table2[[#This Row],[PMT]]+14)-Table2[[#This Row],[Const]]</f>
        <v>2014</v>
      </c>
      <c r="Z349" s="26" t="str">
        <f>IF(Y349="NA","",CONCATENATE("0B 04 00 ",DEC2HEX($G349,2)," ",LEFT(DEC2HEX(Y349,4),2)," ",RIGHT(DEC2HEX(Y349,4),2)))</f>
        <v>0B 04 00 04 07 DE</v>
      </c>
      <c r="AA349" s="26" t="s">
        <v>1053</v>
      </c>
      <c r="AB349" s="26"/>
      <c r="AC349" s="26"/>
      <c r="AD349" s="26" t="s">
        <v>814</v>
      </c>
      <c r="AE349" s="26"/>
      <c r="AG349" s="35"/>
      <c r="AH349" s="35"/>
      <c r="AI349" s="26"/>
      <c r="AJ349" s="26"/>
      <c r="AL349" s="26"/>
      <c r="AW349" s="26"/>
      <c r="AX349" s="26"/>
      <c r="AY349" s="26"/>
    </row>
    <row r="350" spans="1:51" hidden="1" x14ac:dyDescent="0.3">
      <c r="A350" s="26">
        <v>345</v>
      </c>
      <c r="B350" s="26" t="s">
        <v>346</v>
      </c>
      <c r="C350" s="26" t="s">
        <v>346</v>
      </c>
      <c r="D350" s="27" t="s">
        <v>622</v>
      </c>
      <c r="E350" s="26">
        <v>821</v>
      </c>
      <c r="F350" s="26" t="s">
        <v>346</v>
      </c>
      <c r="G350" s="26">
        <v>5</v>
      </c>
      <c r="H350" s="26" t="s">
        <v>1057</v>
      </c>
      <c r="I350" s="26" t="s">
        <v>1356</v>
      </c>
      <c r="J350" s="26" t="s">
        <v>1038</v>
      </c>
      <c r="K350" s="26" t="s">
        <v>1039</v>
      </c>
      <c r="L350" s="26" t="s">
        <v>931</v>
      </c>
      <c r="M350" s="26" t="s">
        <v>1376</v>
      </c>
      <c r="N350" s="26" t="s">
        <v>1080</v>
      </c>
      <c r="O350" s="26" t="s">
        <v>1383</v>
      </c>
      <c r="P350" s="26">
        <v>4006</v>
      </c>
      <c r="Q350" s="27" t="s">
        <v>1386</v>
      </c>
      <c r="R350" s="26">
        <v>12092</v>
      </c>
      <c r="S350" s="26">
        <v>7500</v>
      </c>
      <c r="T350" s="26">
        <f>IF(Table2[[#This Row],[PMT]]="NA","NA",Table2[[#This Row],[PMT]]+1)</f>
        <v>7501</v>
      </c>
      <c r="U350" s="26">
        <f>IF(Table2[[#This Row],[PMT]]="NA","NA",Table2[[#This Row],[PMT]]+2)</f>
        <v>7502</v>
      </c>
      <c r="V350" s="26">
        <v>0</v>
      </c>
      <c r="W350" s="26">
        <f>IF(Table2[[#This Row],[PMT]]="NA","NA",Table2[[#This Row],[PMT]]+8)-Table2[[#This Row],[Const]]</f>
        <v>7508</v>
      </c>
      <c r="X350" s="26" t="str">
        <f>IF(W350="NA","",CONCATENATE("0B 04 00 ",DEC2HEX($G350,2)," ",LEFT(DEC2HEX(W350,4),2)," ",RIGHT(DEC2HEX(W350,4),2)))</f>
        <v>0B 04 00 05 1D 54</v>
      </c>
      <c r="Y350" s="26">
        <f>IF(Table2[[#This Row],[PMT]]="NA","NA",Table2[[#This Row],[PMT]]+14)-Table2[[#This Row],[Const]]</f>
        <v>7514</v>
      </c>
      <c r="Z350" s="26" t="str">
        <f>IF(Y350="NA","",CONCATENATE("0B 04 00 ",DEC2HEX($G350,2)," ",LEFT(DEC2HEX(Y350,4),2)," ",RIGHT(DEC2HEX(Y350,4),2)))</f>
        <v>0B 04 00 05 1D 5A</v>
      </c>
      <c r="AA350" s="26"/>
      <c r="AB350" s="26"/>
      <c r="AC350" s="26"/>
      <c r="AD350" s="26" t="s">
        <v>346</v>
      </c>
      <c r="AE350" s="26"/>
      <c r="AG350" s="35"/>
      <c r="AH350" s="35"/>
      <c r="AI350" s="26"/>
      <c r="AJ350" s="26"/>
      <c r="AL350" s="26"/>
      <c r="AW350" s="26"/>
      <c r="AX350" s="26"/>
      <c r="AY350" s="26"/>
    </row>
    <row r="351" spans="1:51" x14ac:dyDescent="0.3">
      <c r="A351" s="26">
        <v>148</v>
      </c>
      <c r="B351" s="26" t="s">
        <v>325</v>
      </c>
      <c r="C351" s="26">
        <v>2000</v>
      </c>
      <c r="D351" s="27" t="s">
        <v>463</v>
      </c>
      <c r="E351" s="26">
        <v>328</v>
      </c>
      <c r="F351" s="26">
        <v>9</v>
      </c>
      <c r="G351" s="26">
        <v>9</v>
      </c>
      <c r="H351" s="26" t="s">
        <v>1363</v>
      </c>
      <c r="I351" s="26" t="s">
        <v>443</v>
      </c>
      <c r="J351" s="26" t="s">
        <v>1002</v>
      </c>
      <c r="K351" s="26" t="s">
        <v>953</v>
      </c>
      <c r="L351" s="26" t="s">
        <v>1002</v>
      </c>
      <c r="M351" s="26" t="s">
        <v>1377</v>
      </c>
      <c r="N351" s="26" t="s">
        <v>1086</v>
      </c>
      <c r="O351" s="26" t="s">
        <v>1094</v>
      </c>
      <c r="P351" s="26">
        <v>3820</v>
      </c>
      <c r="Q351" s="27" t="s">
        <v>1044</v>
      </c>
      <c r="R351" s="26">
        <v>12145</v>
      </c>
      <c r="S351" s="26">
        <v>7000</v>
      </c>
      <c r="T351" s="26">
        <f>IF(Table2[[#This Row],[PMT]]="NA","NA",Table2[[#This Row],[PMT]]+1)</f>
        <v>7001</v>
      </c>
      <c r="U351" s="26">
        <f>IF(Table2[[#This Row],[PMT]]="NA","NA",Table2[[#This Row],[PMT]]+2)</f>
        <v>7002</v>
      </c>
      <c r="V351" s="26">
        <v>0</v>
      </c>
      <c r="W351" s="26">
        <f>IF(Table2[[#This Row],[PMT]]="NA","NA",Table2[[#This Row],[PMT]]+8)-Table2[[#This Row],[Const]]</f>
        <v>7008</v>
      </c>
      <c r="X351" s="26" t="str">
        <f>IF(W351="NA","",CONCATENATE("0B 04 00 ",DEC2HEX($G351,2)," ",LEFT(DEC2HEX(W351,4),2)," ",RIGHT(DEC2HEX(W351,4),2)))</f>
        <v>0B 04 00 09 1B 60</v>
      </c>
      <c r="Y351" s="26">
        <f>IF(Table2[[#This Row],[PMT]]="NA","NA",Table2[[#This Row],[PMT]]+14)-Table2[[#This Row],[Const]]</f>
        <v>7014</v>
      </c>
      <c r="Z351" s="26" t="str">
        <f>IF(Y351="NA","",CONCATENATE("0B 04 00 ",DEC2HEX($G351,2)," ",LEFT(DEC2HEX(Y351,4),2)," ",RIGHT(DEC2HEX(Y351,4),2)))</f>
        <v>0B 04 00 09 1B 66</v>
      </c>
      <c r="AA351" s="26" t="s">
        <v>1068</v>
      </c>
      <c r="AB351" s="26" t="s">
        <v>443</v>
      </c>
      <c r="AC351" s="26">
        <v>27500</v>
      </c>
      <c r="AD351" s="26" t="s">
        <v>814</v>
      </c>
      <c r="AE351" s="26"/>
      <c r="AG351" s="35"/>
      <c r="AH351" s="35"/>
      <c r="AI351" s="26"/>
      <c r="AJ351" s="26"/>
      <c r="AL351" s="26"/>
      <c r="AW351" s="26"/>
      <c r="AX351" s="26"/>
      <c r="AY351" s="26"/>
    </row>
    <row r="352" spans="1:51" x14ac:dyDescent="0.3">
      <c r="A352" s="26">
        <v>246</v>
      </c>
      <c r="B352" s="26" t="s">
        <v>1365</v>
      </c>
      <c r="C352" s="26">
        <v>2000</v>
      </c>
      <c r="D352" s="27" t="s">
        <v>542</v>
      </c>
      <c r="E352" s="26">
        <v>550</v>
      </c>
      <c r="F352" s="26">
        <v>11</v>
      </c>
      <c r="G352" s="26">
        <v>11</v>
      </c>
      <c r="H352" s="26" t="s">
        <v>349</v>
      </c>
      <c r="I352" s="26" t="s">
        <v>1368</v>
      </c>
      <c r="J352" s="26" t="s">
        <v>1002</v>
      </c>
      <c r="K352" s="26" t="s">
        <v>953</v>
      </c>
      <c r="L352" s="26" t="s">
        <v>1002</v>
      </c>
      <c r="M352" s="26" t="s">
        <v>1377</v>
      </c>
      <c r="N352" s="26" t="s">
        <v>1086</v>
      </c>
      <c r="O352" s="26" t="s">
        <v>1095</v>
      </c>
      <c r="P352" s="26">
        <v>4140</v>
      </c>
      <c r="Q352" s="27" t="s">
        <v>1044</v>
      </c>
      <c r="R352" s="26">
        <v>5550</v>
      </c>
      <c r="S352" s="26">
        <v>7400</v>
      </c>
      <c r="T352" s="26">
        <f>IF(Table2[[#This Row],[PMT]]="NA","NA",Table2[[#This Row],[PMT]]+1)</f>
        <v>7401</v>
      </c>
      <c r="U352" s="26">
        <f>IF(Table2[[#This Row],[PMT]]="NA","NA",Table2[[#This Row],[PMT]]+2)</f>
        <v>7402</v>
      </c>
      <c r="V352" s="26">
        <v>0</v>
      </c>
      <c r="W352" s="26">
        <f>IF(Table2[[#This Row],[PMT]]="NA","NA",Table2[[#This Row],[PMT]]+8)-Table2[[#This Row],[Const]]</f>
        <v>7408</v>
      </c>
      <c r="X352" s="26" t="str">
        <f>IF(W352="NA","",CONCATENATE("0B 04 00 ",DEC2HEX($G352,2)," ",LEFT(DEC2HEX(W352,4),2)," ",RIGHT(DEC2HEX(W352,4),2)))</f>
        <v>0B 04 00 0B 1C F0</v>
      </c>
      <c r="Y352" s="26">
        <f>IF(Table2[[#This Row],[PMT]]="NA","NA",Table2[[#This Row],[PMT]]+14)-Table2[[#This Row],[Const]]</f>
        <v>7414</v>
      </c>
      <c r="Z352" s="26" t="str">
        <f>IF(Y352="NA","",CONCATENATE("0B 04 00 ",DEC2HEX($G352,2)," ",LEFT(DEC2HEX(Y352,4),2)," ",RIGHT(DEC2HEX(Y352,4),2)))</f>
        <v>0B 04 00 0B 1C F6</v>
      </c>
      <c r="AA352" s="26" t="s">
        <v>349</v>
      </c>
      <c r="AB352" s="26"/>
      <c r="AC352" s="26">
        <v>27500</v>
      </c>
      <c r="AD352" s="26" t="s">
        <v>346</v>
      </c>
      <c r="AE352" s="26"/>
      <c r="AG352" s="35"/>
      <c r="AH352" s="35"/>
      <c r="AI352" s="26"/>
      <c r="AJ352" s="26"/>
      <c r="AL352" s="26"/>
      <c r="AW352" s="26"/>
      <c r="AX352" s="26"/>
      <c r="AY352" s="26"/>
    </row>
    <row r="353" spans="1:51" hidden="1" x14ac:dyDescent="0.3">
      <c r="A353" s="26">
        <v>348</v>
      </c>
      <c r="B353" s="26" t="s">
        <v>346</v>
      </c>
      <c r="C353" s="26" t="s">
        <v>346</v>
      </c>
      <c r="D353" s="27" t="s">
        <v>1372</v>
      </c>
      <c r="E353" s="26">
        <v>826</v>
      </c>
      <c r="F353" s="26" t="s">
        <v>346</v>
      </c>
      <c r="G353" s="26">
        <v>1</v>
      </c>
      <c r="H353" s="26" t="s">
        <v>1057</v>
      </c>
      <c r="I353" s="26" t="s">
        <v>1356</v>
      </c>
      <c r="J353" s="26" t="s">
        <v>1038</v>
      </c>
      <c r="K353" s="26" t="s">
        <v>1039</v>
      </c>
      <c r="L353" s="26" t="s">
        <v>931</v>
      </c>
      <c r="M353" s="28"/>
      <c r="Q353" s="27"/>
      <c r="R353" s="26">
        <v>2578</v>
      </c>
      <c r="S353" s="26">
        <v>640</v>
      </c>
      <c r="T353" s="26">
        <f>IF(Table2[[#This Row],[PMT]]="NA","NA",Table2[[#This Row],[PMT]]+1)</f>
        <v>641</v>
      </c>
      <c r="U353" s="26">
        <f>IF(Table2[[#This Row],[PMT]]="NA","NA",Table2[[#This Row],[PMT]]+2)</f>
        <v>642</v>
      </c>
      <c r="V353" s="26">
        <v>0</v>
      </c>
      <c r="W353" s="26">
        <f>IF(Table2[[#This Row],[PMT]]="NA","NA",Table2[[#This Row],[PMT]]+8)-Table2[[#This Row],[Const]]</f>
        <v>648</v>
      </c>
      <c r="X353" s="26" t="str">
        <f>IF(W353="NA","",CONCATENATE("0B 04 00 ",DEC2HEX($G353,2)," ",LEFT(DEC2HEX(W353,4),2)," ",RIGHT(DEC2HEX(W353,4),2)))</f>
        <v>0B 04 00 01 02 88</v>
      </c>
      <c r="Y353" s="26">
        <f>IF(Table2[[#This Row],[PMT]]="NA","NA",Table2[[#This Row],[PMT]]+14)-Table2[[#This Row],[Const]]</f>
        <v>654</v>
      </c>
      <c r="Z353" s="26" t="str">
        <f>IF(Y353="NA","",CONCATENATE("0B 04 00 ",DEC2HEX($G353,2)," ",LEFT(DEC2HEX(Y353,4),2)," ",RIGHT(DEC2HEX(Y353,4),2)))</f>
        <v>0B 04 00 01 02 8E</v>
      </c>
      <c r="AA353" s="26" t="s">
        <v>1057</v>
      </c>
      <c r="AB353" s="26"/>
      <c r="AC353" s="26"/>
      <c r="AD353" s="26" t="s">
        <v>346</v>
      </c>
      <c r="AE353" s="26"/>
      <c r="AG353" s="35"/>
      <c r="AH353" s="35"/>
      <c r="AI353" s="26"/>
      <c r="AJ353" s="26"/>
      <c r="AL353" s="26"/>
      <c r="AW353" s="26"/>
      <c r="AX353" s="26"/>
      <c r="AY353" s="26"/>
    </row>
    <row r="354" spans="1:51" x14ac:dyDescent="0.3">
      <c r="A354" s="26">
        <v>101</v>
      </c>
      <c r="B354" s="26" t="s">
        <v>315</v>
      </c>
      <c r="C354" s="26">
        <v>2000</v>
      </c>
      <c r="D354" s="27" t="s">
        <v>428</v>
      </c>
      <c r="E354" s="26">
        <v>252</v>
      </c>
      <c r="F354" s="26">
        <v>11</v>
      </c>
      <c r="G354" s="26">
        <v>11</v>
      </c>
      <c r="H354" s="26" t="s">
        <v>1057</v>
      </c>
      <c r="I354" s="26" t="s">
        <v>443</v>
      </c>
      <c r="J354" s="26" t="s">
        <v>1002</v>
      </c>
      <c r="K354" s="26" t="s">
        <v>953</v>
      </c>
      <c r="L354" s="26" t="s">
        <v>1002</v>
      </c>
      <c r="M354" s="26" t="s">
        <v>1377</v>
      </c>
      <c r="N354" s="26" t="s">
        <v>1086</v>
      </c>
      <c r="O354" s="26" t="s">
        <v>1095</v>
      </c>
      <c r="P354" s="26">
        <v>4140</v>
      </c>
      <c r="Q354" s="27" t="s">
        <v>1044</v>
      </c>
      <c r="R354" s="26">
        <v>6276</v>
      </c>
      <c r="S354" s="26">
        <v>1800</v>
      </c>
      <c r="T354" s="26">
        <f>IF(Table2[[#This Row],[PMT]]="NA","NA",Table2[[#This Row],[PMT]]+1)</f>
        <v>1801</v>
      </c>
      <c r="U354" s="26">
        <f>IF(Table2[[#This Row],[PMT]]="NA","NA",Table2[[#This Row],[PMT]]+2)</f>
        <v>1802</v>
      </c>
      <c r="V354" s="26">
        <v>0</v>
      </c>
      <c r="W354" s="26">
        <f>IF(Table2[[#This Row],[PMT]]="NA","NA",Table2[[#This Row],[PMT]]+8)-Table2[[#This Row],[Const]]</f>
        <v>1808</v>
      </c>
      <c r="X354" s="26" t="str">
        <f>IF(W354="NA","",CONCATENATE("0B 04 00 ",DEC2HEX($G354,2)," ",LEFT(DEC2HEX(W354,4),2)," ",RIGHT(DEC2HEX(W354,4),2)))</f>
        <v>0B 04 00 0B 07 10</v>
      </c>
      <c r="Y354" s="26">
        <f>IF(Table2[[#This Row],[PMT]]="NA","NA",Table2[[#This Row],[PMT]]+14)-Table2[[#This Row],[Const]]</f>
        <v>1814</v>
      </c>
      <c r="Z354" s="26" t="str">
        <f>IF(Y354="NA","",CONCATENATE("0B 04 00 ",DEC2HEX($G354,2)," ",LEFT(DEC2HEX(Y354,4),2)," ",RIGHT(DEC2HEX(Y354,4),2)))</f>
        <v>0B 04 00 0B 07 16</v>
      </c>
      <c r="AA354" s="26" t="s">
        <v>1057</v>
      </c>
      <c r="AB354" s="26" t="s">
        <v>443</v>
      </c>
      <c r="AC354" s="26">
        <v>27500</v>
      </c>
      <c r="AD354" s="26" t="s">
        <v>346</v>
      </c>
      <c r="AE354" s="26"/>
      <c r="AG354" s="35"/>
      <c r="AH354" s="35"/>
      <c r="AI354" s="26"/>
      <c r="AJ354" s="26"/>
      <c r="AL354" s="26"/>
      <c r="AW354" s="26"/>
      <c r="AX354" s="26"/>
      <c r="AY354" s="26"/>
    </row>
    <row r="355" spans="1:51" hidden="1" x14ac:dyDescent="0.3">
      <c r="A355" s="26">
        <v>350</v>
      </c>
      <c r="B355" s="26" t="s">
        <v>346</v>
      </c>
      <c r="C355" s="26" t="s">
        <v>346</v>
      </c>
      <c r="D355" s="27" t="s">
        <v>1314</v>
      </c>
      <c r="E355" s="26">
        <v>829</v>
      </c>
      <c r="F355" s="26" t="s">
        <v>346</v>
      </c>
      <c r="G355" s="26">
        <v>1</v>
      </c>
      <c r="H355" s="26" t="s">
        <v>1057</v>
      </c>
      <c r="I355" s="26" t="s">
        <v>1356</v>
      </c>
      <c r="J355" s="26" t="s">
        <v>1038</v>
      </c>
      <c r="K355" s="26" t="s">
        <v>1039</v>
      </c>
      <c r="L355" s="26" t="s">
        <v>931</v>
      </c>
      <c r="M355" s="26" t="s">
        <v>1376</v>
      </c>
      <c r="N355" s="26" t="s">
        <v>1080</v>
      </c>
      <c r="O355" s="26" t="s">
        <v>1383</v>
      </c>
      <c r="P355" s="26">
        <v>4024</v>
      </c>
      <c r="Q355" s="27" t="s">
        <v>1386</v>
      </c>
      <c r="R355" s="31">
        <v>12191</v>
      </c>
      <c r="S355" s="31">
        <v>1060</v>
      </c>
      <c r="T355" s="31">
        <f>IF(Table2[[#This Row],[PMT]]="NA","NA",Table2[[#This Row],[PMT]]+1)</f>
        <v>1061</v>
      </c>
      <c r="U355" s="31">
        <f>IF(Table2[[#This Row],[PMT]]="NA","NA",Table2[[#This Row],[PMT]]+2)</f>
        <v>1062</v>
      </c>
      <c r="V355" s="26">
        <v>0</v>
      </c>
      <c r="W355" s="31">
        <f>IF(Table2[[#This Row],[PMT]]="NA","NA",Table2[[#This Row],[PMT]]+8)-Table2[[#This Row],[Const]]</f>
        <v>1068</v>
      </c>
      <c r="X355" s="31" t="str">
        <f>IF(W355="NA","",CONCATENATE("0B 04 00 ",DEC2HEX($G355,2)," ",LEFT(DEC2HEX(W355,4),2)," ",RIGHT(DEC2HEX(W355,4),2)))</f>
        <v>0B 04 00 01 04 2C</v>
      </c>
      <c r="Y355" s="31">
        <f>IF(Table2[[#This Row],[PMT]]="NA","NA",Table2[[#This Row],[PMT]]+14)-Table2[[#This Row],[Const]]</f>
        <v>1074</v>
      </c>
      <c r="Z355" s="31" t="str">
        <f>IF(Y355="NA","",CONCATENATE("0B 04 00 ",DEC2HEX($G355,2)," ",LEFT(DEC2HEX(Y355,4),2)," ",RIGHT(DEC2HEX(Y355,4),2)))</f>
        <v>0B 04 00 01 04 32</v>
      </c>
      <c r="AA355" s="26"/>
      <c r="AB355" s="26"/>
      <c r="AC355" s="31"/>
      <c r="AD355" s="31"/>
      <c r="AE355" s="26"/>
      <c r="AG355" s="35"/>
      <c r="AH355" s="35"/>
      <c r="AI355" s="26"/>
      <c r="AJ355" s="26"/>
      <c r="AL355" s="26"/>
      <c r="AW355" s="26"/>
      <c r="AX355" s="26"/>
      <c r="AY355" s="26"/>
    </row>
    <row r="356" spans="1:51" x14ac:dyDescent="0.3">
      <c r="A356" s="26">
        <v>64</v>
      </c>
      <c r="B356" s="26" t="s">
        <v>183</v>
      </c>
      <c r="C356" s="26">
        <v>5180</v>
      </c>
      <c r="D356" s="27" t="s">
        <v>394</v>
      </c>
      <c r="E356" s="26">
        <v>182</v>
      </c>
      <c r="F356" s="26">
        <v>11</v>
      </c>
      <c r="G356" s="26">
        <v>11</v>
      </c>
      <c r="H356" s="26" t="s">
        <v>1053</v>
      </c>
      <c r="I356" s="26" t="s">
        <v>443</v>
      </c>
      <c r="J356" s="26" t="s">
        <v>1040</v>
      </c>
      <c r="K356" s="26" t="s">
        <v>953</v>
      </c>
      <c r="L356" s="26" t="s">
        <v>1002</v>
      </c>
      <c r="M356" s="26" t="s">
        <v>1377</v>
      </c>
      <c r="N356" s="26" t="s">
        <v>1086</v>
      </c>
      <c r="O356" s="26" t="s">
        <v>1094</v>
      </c>
      <c r="P356" s="26">
        <v>3820</v>
      </c>
      <c r="Q356" s="27" t="s">
        <v>1044</v>
      </c>
      <c r="R356" s="26">
        <v>11168</v>
      </c>
      <c r="S356" s="26">
        <v>1200</v>
      </c>
      <c r="T356" s="26">
        <f>IF(Table2[[#This Row],[PMT]]="NA","NA",Table2[[#This Row],[PMT]]+1)</f>
        <v>1201</v>
      </c>
      <c r="U356" s="26">
        <f>IF(Table2[[#This Row],[PMT]]="NA","NA",Table2[[#This Row],[PMT]]+2)</f>
        <v>1202</v>
      </c>
      <c r="V356" s="26">
        <v>0</v>
      </c>
      <c r="W356" s="26">
        <f>IF(Table2[[#This Row],[PMT]]="NA","NA",Table2[[#This Row],[PMT]]+8)-Table2[[#This Row],[Const]]</f>
        <v>1208</v>
      </c>
      <c r="X356" s="26" t="str">
        <f>IF(W356="NA","",CONCATENATE("0B 04 00 ",DEC2HEX($G356,2)," ",LEFT(DEC2HEX(W356,4),2)," ",RIGHT(DEC2HEX(W356,4),2)))</f>
        <v>0B 04 00 0B 04 B8</v>
      </c>
      <c r="Y356" s="26">
        <f>IF(Table2[[#This Row],[PMT]]="NA","NA",Table2[[#This Row],[PMT]]+14)-Table2[[#This Row],[Const]]</f>
        <v>1214</v>
      </c>
      <c r="Z356" s="26" t="str">
        <f>IF(Y356="NA","",CONCATENATE("0B 04 00 ",DEC2HEX($G356,2)," ",LEFT(DEC2HEX(Y356,4),2)," ",RIGHT(DEC2HEX(Y356,4),2)))</f>
        <v>0B 04 00 0B 04 BE</v>
      </c>
      <c r="AA356" s="26" t="s">
        <v>1053</v>
      </c>
      <c r="AB356" s="26" t="s">
        <v>443</v>
      </c>
      <c r="AC356" s="26">
        <v>27500</v>
      </c>
      <c r="AD356" s="26" t="s">
        <v>814</v>
      </c>
      <c r="AE356" s="26"/>
      <c r="AG356" s="35"/>
      <c r="AH356" s="35"/>
      <c r="AI356" s="26"/>
      <c r="AJ356" s="26"/>
      <c r="AL356" s="26"/>
      <c r="AW356" s="26"/>
      <c r="AX356" s="26"/>
      <c r="AY356" s="26"/>
    </row>
    <row r="357" spans="1:51" hidden="1" x14ac:dyDescent="0.3">
      <c r="A357" s="26">
        <v>352</v>
      </c>
      <c r="B357" s="26" t="s">
        <v>346</v>
      </c>
      <c r="C357" s="26" t="s">
        <v>346</v>
      </c>
      <c r="D357" s="27" t="s">
        <v>1398</v>
      </c>
      <c r="E357" s="26">
        <v>840</v>
      </c>
      <c r="F357" s="26" t="s">
        <v>346</v>
      </c>
      <c r="G357" s="26">
        <v>4</v>
      </c>
      <c r="H357" s="26" t="s">
        <v>349</v>
      </c>
      <c r="I357" s="26" t="s">
        <v>1357</v>
      </c>
      <c r="J357" s="26" t="s">
        <v>1038</v>
      </c>
      <c r="K357" s="26" t="s">
        <v>1039</v>
      </c>
      <c r="L357" s="26" t="s">
        <v>931</v>
      </c>
      <c r="M357" s="26" t="s">
        <v>1377</v>
      </c>
      <c r="N357" s="26" t="s">
        <v>1080</v>
      </c>
      <c r="O357" s="26" t="s">
        <v>1384</v>
      </c>
      <c r="P357" s="26">
        <v>3885</v>
      </c>
      <c r="Q357" s="27" t="s">
        <v>1385</v>
      </c>
      <c r="R357" s="26">
        <v>7560</v>
      </c>
      <c r="S357" s="26">
        <v>540</v>
      </c>
      <c r="T357" s="26">
        <f>IF(Table2[[#This Row],[PMT]]="NA","NA",Table2[[#This Row],[PMT]]+1)</f>
        <v>541</v>
      </c>
      <c r="U357" s="26">
        <f>IF(Table2[[#This Row],[PMT]]="NA","NA",Table2[[#This Row],[PMT]]+2)</f>
        <v>542</v>
      </c>
      <c r="V357" s="26">
        <v>0</v>
      </c>
      <c r="W357" s="26">
        <f>IF(Table2[[#This Row],[PMT]]="NA","NA",Table2[[#This Row],[PMT]]+8)-Table2[[#This Row],[Const]]</f>
        <v>548</v>
      </c>
      <c r="X357" s="26" t="str">
        <f>IF(W357="NA","",CONCATENATE("0B 04 00 ",DEC2HEX($G357,2)," ",LEFT(DEC2HEX(W357,4),2)," ",RIGHT(DEC2HEX(W357,4),2)))</f>
        <v>0B 04 00 04 02 24</v>
      </c>
      <c r="Y357" s="26">
        <f>IF(Table2[[#This Row],[PMT]]="NA","NA",Table2[[#This Row],[PMT]]+14)-Table2[[#This Row],[Const]]</f>
        <v>554</v>
      </c>
      <c r="Z357" s="26" t="str">
        <f>IF(Y357="NA","",CONCATENATE("0B 04 00 ",DEC2HEX($G357,2)," ",LEFT(DEC2HEX(Y357,4),2)," ",RIGHT(DEC2HEX(Y357,4),2)))</f>
        <v>0B 04 00 04 02 2A</v>
      </c>
      <c r="AA357" s="26" t="s">
        <v>349</v>
      </c>
      <c r="AB357" s="26"/>
      <c r="AC357" s="26"/>
      <c r="AD357" s="26" t="s">
        <v>346</v>
      </c>
      <c r="AE357" s="26"/>
      <c r="AG357" s="35"/>
      <c r="AH357" s="35"/>
      <c r="AI357" s="26"/>
      <c r="AJ357" s="26"/>
      <c r="AL357" s="26"/>
      <c r="AW357" s="26"/>
      <c r="AX357" s="26"/>
      <c r="AY357" s="26"/>
    </row>
    <row r="358" spans="1:51" x14ac:dyDescent="0.3">
      <c r="A358" s="26">
        <v>259</v>
      </c>
      <c r="B358" s="26" t="s">
        <v>219</v>
      </c>
      <c r="C358" s="26">
        <v>5180</v>
      </c>
      <c r="D358" s="27" t="s">
        <v>553</v>
      </c>
      <c r="E358" s="26">
        <v>582</v>
      </c>
      <c r="F358" s="26">
        <v>11</v>
      </c>
      <c r="G358" s="26">
        <v>11</v>
      </c>
      <c r="H358" s="26" t="s">
        <v>349</v>
      </c>
      <c r="I358" s="26" t="s">
        <v>1353</v>
      </c>
      <c r="J358" s="26" t="s">
        <v>1040</v>
      </c>
      <c r="K358" s="26" t="s">
        <v>953</v>
      </c>
      <c r="L358" s="26" t="s">
        <v>1002</v>
      </c>
      <c r="M358" s="26" t="s">
        <v>1377</v>
      </c>
      <c r="N358" s="26" t="s">
        <v>1086</v>
      </c>
      <c r="O358" s="26" t="s">
        <v>1095</v>
      </c>
      <c r="P358" s="26">
        <v>4140</v>
      </c>
      <c r="Q358" s="27" t="s">
        <v>1044</v>
      </c>
      <c r="R358" s="26">
        <v>5582</v>
      </c>
      <c r="S358" s="26">
        <v>2300</v>
      </c>
      <c r="T358" s="26">
        <f>IF(Table2[[#This Row],[PMT]]="NA","NA",Table2[[#This Row],[PMT]]+1)</f>
        <v>2301</v>
      </c>
      <c r="U358" s="26">
        <f>IF(Table2[[#This Row],[PMT]]="NA","NA",Table2[[#This Row],[PMT]]+2)</f>
        <v>2302</v>
      </c>
      <c r="V358" s="26">
        <v>0</v>
      </c>
      <c r="W358" s="26">
        <f>IF(Table2[[#This Row],[PMT]]="NA","NA",Table2[[#This Row],[PMT]]+8)-Table2[[#This Row],[Const]]</f>
        <v>2308</v>
      </c>
      <c r="X358" s="26" t="str">
        <f>IF(W358="NA","",CONCATENATE("0B 04 00 ",DEC2HEX($G358,2)," ",LEFT(DEC2HEX(W358,4),2)," ",RIGHT(DEC2HEX(W358,4),2)))</f>
        <v>0B 04 00 0B 09 04</v>
      </c>
      <c r="Y358" s="26">
        <f>IF(Table2[[#This Row],[PMT]]="NA","NA",Table2[[#This Row],[PMT]]+14)-Table2[[#This Row],[Const]]</f>
        <v>2314</v>
      </c>
      <c r="Z358" s="26" t="str">
        <f>IF(Y358="NA","",CONCATENATE("0B 04 00 ",DEC2HEX($G358,2)," ",LEFT(DEC2HEX(Y358,4),2)," ",RIGHT(DEC2HEX(Y358,4),2)))</f>
        <v>0B 04 00 0B 09 0A</v>
      </c>
      <c r="AA358" s="26" t="s">
        <v>349</v>
      </c>
      <c r="AB358" s="26"/>
      <c r="AC358" s="26">
        <v>27500</v>
      </c>
      <c r="AD358" s="26" t="s">
        <v>814</v>
      </c>
      <c r="AE358" s="26"/>
      <c r="AG358" s="35"/>
      <c r="AH358" s="35"/>
      <c r="AI358" s="26"/>
      <c r="AJ358" s="26"/>
      <c r="AL358" s="26"/>
      <c r="AW358" s="26"/>
      <c r="AX358" s="26"/>
      <c r="AY358" s="26"/>
    </row>
    <row r="359" spans="1:51" hidden="1" x14ac:dyDescent="0.3">
      <c r="A359" s="26">
        <v>354</v>
      </c>
      <c r="B359" s="26" t="s">
        <v>346</v>
      </c>
      <c r="C359" s="26" t="s">
        <v>346</v>
      </c>
      <c r="D359" s="27" t="s">
        <v>627</v>
      </c>
      <c r="E359" s="26">
        <v>844</v>
      </c>
      <c r="F359" s="26" t="s">
        <v>346</v>
      </c>
      <c r="G359" s="26">
        <v>5</v>
      </c>
      <c r="H359" s="26" t="s">
        <v>1053</v>
      </c>
      <c r="I359" s="26" t="s">
        <v>1357</v>
      </c>
      <c r="J359" s="26" t="s">
        <v>1038</v>
      </c>
      <c r="K359" s="26" t="s">
        <v>1039</v>
      </c>
      <c r="L359" s="26" t="s">
        <v>931</v>
      </c>
      <c r="M359" s="26" t="s">
        <v>1377</v>
      </c>
      <c r="N359" s="26" t="s">
        <v>1080</v>
      </c>
      <c r="O359" s="26" t="s">
        <v>1384</v>
      </c>
      <c r="P359" s="26">
        <v>3885</v>
      </c>
      <c r="Q359" s="27" t="s">
        <v>1385</v>
      </c>
      <c r="R359" s="26">
        <v>7562</v>
      </c>
      <c r="S359" s="26">
        <v>6000</v>
      </c>
      <c r="T359" s="26">
        <f>IF(Table2[[#This Row],[PMT]]="NA","NA",Table2[[#This Row],[PMT]]+1)</f>
        <v>6001</v>
      </c>
      <c r="U359" s="26">
        <f>IF(Table2[[#This Row],[PMT]]="NA","NA",Table2[[#This Row],[PMT]]+2)</f>
        <v>6002</v>
      </c>
      <c r="V359" s="26">
        <v>0</v>
      </c>
      <c r="W359" s="26">
        <f>IF(Table2[[#This Row],[PMT]]="NA","NA",Table2[[#This Row],[PMT]]+8)-Table2[[#This Row],[Const]]</f>
        <v>6008</v>
      </c>
      <c r="X359" s="26" t="str">
        <f>IF(W359="NA","",CONCATENATE("0B 04 00 ",DEC2HEX($G359,2)," ",LEFT(DEC2HEX(W359,4),2)," ",RIGHT(DEC2HEX(W359,4),2)))</f>
        <v>0B 04 00 05 17 78</v>
      </c>
      <c r="Y359" s="26">
        <f>IF(Table2[[#This Row],[PMT]]="NA","NA",Table2[[#This Row],[PMT]]+14)-Table2[[#This Row],[Const]]</f>
        <v>6014</v>
      </c>
      <c r="Z359" s="26" t="str">
        <f>IF(Y359="NA","",CONCATENATE("0B 04 00 ",DEC2HEX($G359,2)," ",LEFT(DEC2HEX(Y359,4),2)," ",RIGHT(DEC2HEX(Y359,4),2)))</f>
        <v>0B 04 00 05 17 7E</v>
      </c>
      <c r="AA359" s="26" t="s">
        <v>1053</v>
      </c>
      <c r="AB359" s="26"/>
      <c r="AC359" s="26"/>
      <c r="AD359" s="26" t="s">
        <v>346</v>
      </c>
      <c r="AE359" s="26"/>
      <c r="AG359" s="35"/>
      <c r="AH359" s="35"/>
      <c r="AI359" s="26"/>
      <c r="AJ359" s="26"/>
      <c r="AL359" s="26"/>
      <c r="AW359" s="26"/>
      <c r="AX359" s="26"/>
      <c r="AY359" s="26"/>
    </row>
    <row r="360" spans="1:51" hidden="1" x14ac:dyDescent="0.3">
      <c r="A360" s="26">
        <v>355</v>
      </c>
      <c r="B360" s="26" t="s">
        <v>346</v>
      </c>
      <c r="C360" s="26" t="s">
        <v>346</v>
      </c>
      <c r="D360" s="27" t="s">
        <v>628</v>
      </c>
      <c r="E360" s="26">
        <v>846</v>
      </c>
      <c r="F360" s="26" t="s">
        <v>346</v>
      </c>
      <c r="G360" s="26">
        <v>11</v>
      </c>
      <c r="H360" s="26" t="s">
        <v>349</v>
      </c>
      <c r="I360" s="26" t="s">
        <v>1357</v>
      </c>
      <c r="J360" s="26" t="s">
        <v>1038</v>
      </c>
      <c r="K360" s="26" t="s">
        <v>1039</v>
      </c>
      <c r="L360" s="26" t="s">
        <v>1002</v>
      </c>
      <c r="M360" s="26" t="s">
        <v>1377</v>
      </c>
      <c r="Q360" s="27" t="s">
        <v>1044</v>
      </c>
      <c r="R360" s="26">
        <v>3563</v>
      </c>
      <c r="S360" s="26">
        <v>5700</v>
      </c>
      <c r="T360" s="26">
        <f>IF(Table2[[#This Row],[PMT]]="NA","NA",Table2[[#This Row],[PMT]]+1)</f>
        <v>5701</v>
      </c>
      <c r="U360" s="26">
        <f>IF(Table2[[#This Row],[PMT]]="NA","NA",Table2[[#This Row],[PMT]]+2)</f>
        <v>5702</v>
      </c>
      <c r="V360" s="26">
        <v>0</v>
      </c>
      <c r="W360" s="26">
        <f>IF(Table2[[#This Row],[PMT]]="NA","NA",Table2[[#This Row],[PMT]]+8)-Table2[[#This Row],[Const]]</f>
        <v>5708</v>
      </c>
      <c r="X360" s="26" t="str">
        <f>IF(W360="NA","",CONCATENATE("0B 04 00 ",DEC2HEX($G360,2)," ",LEFT(DEC2HEX(W360,4),2)," ",RIGHT(DEC2HEX(W360,4),2)))</f>
        <v>0B 04 00 0B 16 4C</v>
      </c>
      <c r="Y360" s="26">
        <f>IF(Table2[[#This Row],[PMT]]="NA","NA",Table2[[#This Row],[PMT]]+14)-Table2[[#This Row],[Const]]</f>
        <v>5714</v>
      </c>
      <c r="Z360" s="26" t="str">
        <f>IF(Y360="NA","",CONCATENATE("0B 04 00 ",DEC2HEX($G360,2)," ",LEFT(DEC2HEX(Y360,4),2)," ",RIGHT(DEC2HEX(Y360,4),2)))</f>
        <v>0B 04 00 0B 16 52</v>
      </c>
      <c r="AA360" s="26" t="s">
        <v>349</v>
      </c>
      <c r="AB360" s="26"/>
      <c r="AC360" s="26"/>
      <c r="AD360" s="26" t="s">
        <v>346</v>
      </c>
      <c r="AE360" s="26"/>
      <c r="AG360" s="35"/>
      <c r="AH360" s="35"/>
      <c r="AI360" s="26"/>
      <c r="AJ360" s="26"/>
      <c r="AL360" s="26"/>
      <c r="AW360" s="26"/>
      <c r="AX360" s="26"/>
      <c r="AY360" s="26"/>
    </row>
    <row r="361" spans="1:51" hidden="1" x14ac:dyDescent="0.3">
      <c r="A361" s="26">
        <v>356</v>
      </c>
      <c r="B361" s="26" t="s">
        <v>346</v>
      </c>
      <c r="C361" s="26" t="s">
        <v>346</v>
      </c>
      <c r="D361" s="27" t="s">
        <v>629</v>
      </c>
      <c r="E361" s="26">
        <v>848</v>
      </c>
      <c r="F361" s="26" t="s">
        <v>346</v>
      </c>
      <c r="G361" s="26">
        <v>1</v>
      </c>
      <c r="H361" s="26" t="s">
        <v>349</v>
      </c>
      <c r="I361" s="26" t="s">
        <v>1357</v>
      </c>
      <c r="J361" s="26" t="s">
        <v>1038</v>
      </c>
      <c r="K361" s="26" t="s">
        <v>1039</v>
      </c>
      <c r="L361" s="26" t="s">
        <v>1002</v>
      </c>
      <c r="M361" s="26" t="s">
        <v>1377</v>
      </c>
      <c r="N361" s="26" t="s">
        <v>1080</v>
      </c>
      <c r="O361" s="26" t="s">
        <v>1383</v>
      </c>
      <c r="P361" s="26">
        <v>4024</v>
      </c>
      <c r="Q361" s="27" t="s">
        <v>1386</v>
      </c>
      <c r="R361" s="26">
        <v>2565</v>
      </c>
      <c r="S361" s="26">
        <v>6800</v>
      </c>
      <c r="T361" s="26">
        <f>IF(Table2[[#This Row],[PMT]]="NA","NA",Table2[[#This Row],[PMT]]+1)</f>
        <v>6801</v>
      </c>
      <c r="U361" s="26">
        <f>IF(Table2[[#This Row],[PMT]]="NA","NA",Table2[[#This Row],[PMT]]+2)</f>
        <v>6802</v>
      </c>
      <c r="V361" s="26">
        <v>0</v>
      </c>
      <c r="W361" s="26">
        <f>IF(Table2[[#This Row],[PMT]]="NA","NA",Table2[[#This Row],[PMT]]+8)-Table2[[#This Row],[Const]]</f>
        <v>6808</v>
      </c>
      <c r="X361" s="26" t="str">
        <f>IF(W361="NA","",CONCATENATE("0B 04 00 ",DEC2HEX($G361,2)," ",LEFT(DEC2HEX(W361,4),2)," ",RIGHT(DEC2HEX(W361,4),2)))</f>
        <v>0B 04 00 01 1A 98</v>
      </c>
      <c r="Y361" s="26">
        <f>IF(Table2[[#This Row],[PMT]]="NA","NA",Table2[[#This Row],[PMT]]+14)-Table2[[#This Row],[Const]]</f>
        <v>6814</v>
      </c>
      <c r="Z361" s="26" t="str">
        <f>IF(Y361="NA","",CONCATENATE("0B 04 00 ",DEC2HEX($G361,2)," ",LEFT(DEC2HEX(Y361,4),2)," ",RIGHT(DEC2HEX(Y361,4),2)))</f>
        <v>0B 04 00 01 1A 9E</v>
      </c>
      <c r="AA361" s="26" t="s">
        <v>349</v>
      </c>
      <c r="AB361" s="26"/>
      <c r="AC361" s="26"/>
      <c r="AD361" s="26" t="s">
        <v>346</v>
      </c>
      <c r="AE361" s="26"/>
      <c r="AG361" s="35"/>
      <c r="AH361" s="35"/>
      <c r="AI361" s="26"/>
      <c r="AJ361" s="26"/>
      <c r="AL361" s="26"/>
      <c r="AW361" s="26"/>
      <c r="AX361" s="26"/>
      <c r="AY361" s="26"/>
    </row>
    <row r="362" spans="1:51" x14ac:dyDescent="0.3">
      <c r="A362" s="26">
        <v>284</v>
      </c>
      <c r="B362" s="26" t="s">
        <v>644</v>
      </c>
      <c r="C362" s="26">
        <v>5001</v>
      </c>
      <c r="D362" s="27" t="s">
        <v>573</v>
      </c>
      <c r="E362" s="26">
        <v>613</v>
      </c>
      <c r="F362" s="26">
        <v>2</v>
      </c>
      <c r="G362" s="26">
        <v>2</v>
      </c>
      <c r="H362" s="26" t="s">
        <v>349</v>
      </c>
      <c r="I362" s="26" t="s">
        <v>1351</v>
      </c>
      <c r="J362" s="26" t="s">
        <v>931</v>
      </c>
      <c r="K362" s="26" t="s">
        <v>1042</v>
      </c>
      <c r="L362" s="26" t="s">
        <v>931</v>
      </c>
      <c r="M362" s="26" t="s">
        <v>1376</v>
      </c>
      <c r="N362" s="26" t="s">
        <v>1086</v>
      </c>
      <c r="O362" s="26" t="s">
        <v>1094</v>
      </c>
      <c r="P362" s="26">
        <v>3820</v>
      </c>
      <c r="Q362" s="27" t="s">
        <v>1044</v>
      </c>
      <c r="R362" s="26">
        <v>11613</v>
      </c>
      <c r="S362" s="26">
        <v>1740</v>
      </c>
      <c r="T362" s="26">
        <f>IF(Table2[[#This Row],[PMT]]="NA","NA",Table2[[#This Row],[PMT]]+1)</f>
        <v>1741</v>
      </c>
      <c r="U362" s="26">
        <f>IF(Table2[[#This Row],[PMT]]="NA","NA",Table2[[#This Row],[PMT]]+2)</f>
        <v>1742</v>
      </c>
      <c r="V362" s="26">
        <v>0</v>
      </c>
      <c r="W362" s="26">
        <f>IF(Table2[[#This Row],[PMT]]="NA","NA",Table2[[#This Row],[PMT]]+8)-Table2[[#This Row],[Const]]</f>
        <v>1748</v>
      </c>
      <c r="X362" s="26" t="str">
        <f>IF(W362="NA","",CONCATENATE("0B 04 00 ",DEC2HEX($G362,2)," ",LEFT(DEC2HEX(W362,4),2)," ",RIGHT(DEC2HEX(W362,4),2)))</f>
        <v>0B 04 00 02 06 D4</v>
      </c>
      <c r="Y362" s="26">
        <f>IF(Table2[[#This Row],[PMT]]="NA","NA",Table2[[#This Row],[PMT]]+14)-Table2[[#This Row],[Const]]</f>
        <v>1754</v>
      </c>
      <c r="Z362" s="26" t="str">
        <f>IF(Y362="NA","",CONCATENATE("0B 04 00 ",DEC2HEX($G362,2)," ",LEFT(DEC2HEX(Y362,4),2)," ",RIGHT(DEC2HEX(Y362,4),2)))</f>
        <v>0B 04 00 02 06 DA</v>
      </c>
      <c r="AA362" s="26" t="s">
        <v>349</v>
      </c>
      <c r="AB362" s="26"/>
      <c r="AC362" s="26">
        <v>27500</v>
      </c>
      <c r="AD362" s="26" t="s">
        <v>814</v>
      </c>
      <c r="AE362" s="26"/>
      <c r="AG362" s="35"/>
      <c r="AH362" s="35"/>
      <c r="AI362" s="26"/>
      <c r="AJ362" s="26"/>
      <c r="AL362" s="26"/>
      <c r="AW362" s="26"/>
      <c r="AX362" s="26"/>
      <c r="AY362" s="26"/>
    </row>
    <row r="363" spans="1:51" hidden="1" x14ac:dyDescent="0.3">
      <c r="A363" s="26">
        <v>358</v>
      </c>
      <c r="B363" s="26" t="s">
        <v>346</v>
      </c>
      <c r="C363" s="26" t="s">
        <v>346</v>
      </c>
      <c r="D363" s="27" t="s">
        <v>1104</v>
      </c>
      <c r="E363" s="26">
        <v>851</v>
      </c>
      <c r="F363" s="26" t="s">
        <v>346</v>
      </c>
      <c r="G363" s="26">
        <v>2</v>
      </c>
      <c r="H363" s="26" t="s">
        <v>349</v>
      </c>
      <c r="I363" s="26" t="s">
        <v>1357</v>
      </c>
      <c r="J363" s="26" t="s">
        <v>1038</v>
      </c>
      <c r="K363" s="26" t="s">
        <v>1039</v>
      </c>
      <c r="L363" s="26" t="s">
        <v>931</v>
      </c>
      <c r="M363" s="26" t="s">
        <v>1376</v>
      </c>
      <c r="N363" s="26" t="s">
        <v>1080</v>
      </c>
      <c r="O363" s="26" t="s">
        <v>1384</v>
      </c>
      <c r="P363" s="26">
        <v>3968</v>
      </c>
      <c r="Q363" s="27" t="s">
        <v>1385</v>
      </c>
      <c r="R363" s="31">
        <v>12176</v>
      </c>
      <c r="S363" s="31">
        <v>1120</v>
      </c>
      <c r="T363" s="31">
        <f>IF(Table2[[#This Row],[PMT]]="NA","NA",Table2[[#This Row],[PMT]]+1)</f>
        <v>1121</v>
      </c>
      <c r="U363" s="31">
        <f>IF(Table2[[#This Row],[PMT]]="NA","NA",Table2[[#This Row],[PMT]]+2)</f>
        <v>1122</v>
      </c>
      <c r="V363" s="26">
        <v>0</v>
      </c>
      <c r="W363" s="31">
        <f>IF(Table2[[#This Row],[PMT]]="NA","NA",Table2[[#This Row],[PMT]]+8)-Table2[[#This Row],[Const]]</f>
        <v>1128</v>
      </c>
      <c r="X363" s="31" t="str">
        <f>IF(W363="NA","",CONCATENATE("0B 04 00 ",DEC2HEX($G363,2)," ",LEFT(DEC2HEX(W363,4),2)," ",RIGHT(DEC2HEX(W363,4),2)))</f>
        <v>0B 04 00 02 04 68</v>
      </c>
      <c r="Y363" s="31">
        <f>IF(Table2[[#This Row],[PMT]]="NA","NA",Table2[[#This Row],[PMT]]+14)-Table2[[#This Row],[Const]]</f>
        <v>1134</v>
      </c>
      <c r="Z363" s="31" t="str">
        <f>IF(Y363="NA","",CONCATENATE("0B 04 00 ",DEC2HEX($G363,2)," ",LEFT(DEC2HEX(Y363,4),2)," ",RIGHT(DEC2HEX(Y363,4),2)))</f>
        <v>0B 04 00 02 04 6E</v>
      </c>
      <c r="AA363" s="26"/>
      <c r="AB363" s="26"/>
      <c r="AC363" s="31"/>
      <c r="AD363" s="31"/>
      <c r="AE363" s="26"/>
      <c r="AG363" s="35"/>
      <c r="AH363" s="35"/>
      <c r="AI363" s="26"/>
      <c r="AJ363" s="26"/>
      <c r="AL363" s="26"/>
      <c r="AW363" s="26"/>
      <c r="AX363" s="26"/>
      <c r="AY363" s="26"/>
    </row>
    <row r="364" spans="1:51" x14ac:dyDescent="0.3">
      <c r="A364" s="26">
        <v>78</v>
      </c>
      <c r="B364" s="26" t="s">
        <v>181</v>
      </c>
      <c r="C364" s="26">
        <v>5180</v>
      </c>
      <c r="D364" s="27" t="s">
        <v>406</v>
      </c>
      <c r="E364" s="26">
        <v>204</v>
      </c>
      <c r="F364" s="26">
        <v>11</v>
      </c>
      <c r="G364" s="26">
        <v>11</v>
      </c>
      <c r="H364" s="26" t="s">
        <v>1053</v>
      </c>
      <c r="I364" s="26" t="s">
        <v>1084</v>
      </c>
      <c r="J364" s="26" t="s">
        <v>1040</v>
      </c>
      <c r="K364" s="26" t="s">
        <v>953</v>
      </c>
      <c r="L364" s="26" t="s">
        <v>1002</v>
      </c>
      <c r="M364" s="26" t="s">
        <v>1377</v>
      </c>
      <c r="N364" s="26" t="s">
        <v>1086</v>
      </c>
      <c r="O364" s="26" t="s">
        <v>1087</v>
      </c>
      <c r="P364" s="26">
        <v>3732</v>
      </c>
      <c r="Q364" s="27" t="s">
        <v>1044</v>
      </c>
      <c r="R364" s="26">
        <v>5193</v>
      </c>
      <c r="S364" s="26">
        <v>7300</v>
      </c>
      <c r="T364" s="26">
        <f>IF(Table2[[#This Row],[PMT]]="NA","NA",Table2[[#This Row],[PMT]]+1)</f>
        <v>7301</v>
      </c>
      <c r="U364" s="26">
        <f>IF(Table2[[#This Row],[PMT]]="NA","NA",Table2[[#This Row],[PMT]]+2)</f>
        <v>7302</v>
      </c>
      <c r="V364" s="26">
        <v>0</v>
      </c>
      <c r="W364" s="26">
        <f>IF(Table2[[#This Row],[PMT]]="NA","NA",Table2[[#This Row],[PMT]]+8)-Table2[[#This Row],[Const]]</f>
        <v>7308</v>
      </c>
      <c r="X364" s="26" t="str">
        <f>IF(W364="NA","",CONCATENATE("0B 04 00 ",DEC2HEX($G364,2)," ",LEFT(DEC2HEX(W364,4),2)," ",RIGHT(DEC2HEX(W364,4),2)))</f>
        <v>0B 04 00 0B 1C 8C</v>
      </c>
      <c r="Y364" s="26">
        <f>IF(Table2[[#This Row],[PMT]]="NA","NA",Table2[[#This Row],[PMT]]+14)-Table2[[#This Row],[Const]]</f>
        <v>7314</v>
      </c>
      <c r="Z364" s="26" t="str">
        <f>IF(Y364="NA","",CONCATENATE("0B 04 00 ",DEC2HEX($G364,2)," ",LEFT(DEC2HEX(Y364,4),2)," ",RIGHT(DEC2HEX(Y364,4),2)))</f>
        <v>0B 04 00 0B 1C 92</v>
      </c>
      <c r="AA364" s="26" t="s">
        <v>1053</v>
      </c>
      <c r="AB364" s="26" t="s">
        <v>1084</v>
      </c>
      <c r="AC364" s="26">
        <v>6500</v>
      </c>
      <c r="AD364" s="26" t="s">
        <v>346</v>
      </c>
      <c r="AE364" s="26"/>
      <c r="AG364" s="35"/>
      <c r="AH364" s="35"/>
      <c r="AI364" s="26"/>
      <c r="AJ364" s="26"/>
      <c r="AL364" s="26"/>
      <c r="AW364" s="26"/>
      <c r="AX364" s="26"/>
      <c r="AY364" s="26"/>
    </row>
    <row r="365" spans="1:51" hidden="1" x14ac:dyDescent="0.3">
      <c r="A365" s="26">
        <v>360</v>
      </c>
      <c r="B365" s="26" t="s">
        <v>346</v>
      </c>
      <c r="C365" s="26" t="s">
        <v>346</v>
      </c>
      <c r="D365" s="27" t="s">
        <v>1284</v>
      </c>
      <c r="E365" s="26">
        <v>853</v>
      </c>
      <c r="F365" s="26" t="s">
        <v>346</v>
      </c>
      <c r="G365" s="26">
        <v>1</v>
      </c>
      <c r="H365" s="26" t="s">
        <v>1061</v>
      </c>
      <c r="I365" s="26" t="s">
        <v>1357</v>
      </c>
      <c r="J365" s="26" t="s">
        <v>1038</v>
      </c>
      <c r="K365" s="26" t="s">
        <v>1039</v>
      </c>
      <c r="L365" s="26" t="s">
        <v>931</v>
      </c>
      <c r="M365" s="26" t="s">
        <v>1377</v>
      </c>
      <c r="N365" s="26" t="s">
        <v>1080</v>
      </c>
      <c r="O365" s="26" t="s">
        <v>1384</v>
      </c>
      <c r="P365" s="26">
        <v>3925</v>
      </c>
      <c r="Q365" s="27" t="s">
        <v>1385</v>
      </c>
      <c r="R365" s="31">
        <v>12186</v>
      </c>
      <c r="S365" s="31">
        <v>960</v>
      </c>
      <c r="T365" s="31">
        <f>IF(Table2[[#This Row],[PMT]]="NA","NA",Table2[[#This Row],[PMT]]+1)</f>
        <v>961</v>
      </c>
      <c r="U365" s="31">
        <f>IF(Table2[[#This Row],[PMT]]="NA","NA",Table2[[#This Row],[PMT]]+2)</f>
        <v>962</v>
      </c>
      <c r="V365" s="26">
        <v>0</v>
      </c>
      <c r="W365" s="31">
        <f>IF(Table2[[#This Row],[PMT]]="NA","NA",Table2[[#This Row],[PMT]]+8)-Table2[[#This Row],[Const]]</f>
        <v>968</v>
      </c>
      <c r="X365" s="31" t="str">
        <f>IF(W365="NA","",CONCATENATE("0B 04 00 ",DEC2HEX($G365,2)," ",LEFT(DEC2HEX(W365,4),2)," ",RIGHT(DEC2HEX(W365,4),2)))</f>
        <v>0B 04 00 01 03 C8</v>
      </c>
      <c r="Y365" s="31">
        <f>IF(Table2[[#This Row],[PMT]]="NA","NA",Table2[[#This Row],[PMT]]+14)-Table2[[#This Row],[Const]]</f>
        <v>974</v>
      </c>
      <c r="Z365" s="31" t="str">
        <f>IF(Y365="NA","",CONCATENATE("0B 04 00 ",DEC2HEX($G365,2)," ",LEFT(DEC2HEX(Y365,4),2)," ",RIGHT(DEC2HEX(Y365,4),2)))</f>
        <v>0B 04 00 01 03 CE</v>
      </c>
      <c r="AA365" s="26"/>
      <c r="AB365" s="26"/>
      <c r="AC365" s="31"/>
      <c r="AD365" s="31"/>
      <c r="AH365" s="27"/>
      <c r="AI365" s="26"/>
      <c r="AJ365" s="26"/>
      <c r="AL365" s="26"/>
      <c r="AS365" s="35"/>
      <c r="AT365" s="35"/>
      <c r="AU365" s="35"/>
      <c r="AW365" s="26"/>
      <c r="AX365" s="26"/>
      <c r="AY365" s="26"/>
    </row>
    <row r="366" spans="1:51" hidden="1" x14ac:dyDescent="0.3">
      <c r="A366" s="26">
        <v>361</v>
      </c>
      <c r="B366" s="26" t="s">
        <v>346</v>
      </c>
      <c r="C366" s="26" t="s">
        <v>346</v>
      </c>
      <c r="D366" s="27" t="s">
        <v>632</v>
      </c>
      <c r="E366" s="26">
        <v>854</v>
      </c>
      <c r="F366" s="26" t="s">
        <v>346</v>
      </c>
      <c r="G366" s="26">
        <v>4</v>
      </c>
      <c r="H366" s="26" t="s">
        <v>1053</v>
      </c>
      <c r="I366" s="26" t="s">
        <v>1357</v>
      </c>
      <c r="J366" s="26" t="s">
        <v>1038</v>
      </c>
      <c r="K366" s="26" t="s">
        <v>1039</v>
      </c>
      <c r="L366" s="26" t="s">
        <v>931</v>
      </c>
      <c r="M366" s="26" t="s">
        <v>1377</v>
      </c>
      <c r="N366" s="26" t="s">
        <v>1080</v>
      </c>
      <c r="O366" s="26" t="s">
        <v>1384</v>
      </c>
      <c r="P366" s="26">
        <v>3925</v>
      </c>
      <c r="Q366" s="27" t="s">
        <v>1385</v>
      </c>
      <c r="R366" s="26">
        <v>4593</v>
      </c>
      <c r="S366" s="26">
        <v>2500</v>
      </c>
      <c r="T366" s="26">
        <f>IF(Table2[[#This Row],[PMT]]="NA","NA",Table2[[#This Row],[PMT]]+1)</f>
        <v>2501</v>
      </c>
      <c r="U366" s="26">
        <f>IF(Table2[[#This Row],[PMT]]="NA","NA",Table2[[#This Row],[PMT]]+2)</f>
        <v>2502</v>
      </c>
      <c r="V366" s="26">
        <v>0</v>
      </c>
      <c r="W366" s="26">
        <f>IF(Table2[[#This Row],[PMT]]="NA","NA",Table2[[#This Row],[PMT]]+8)-Table2[[#This Row],[Const]]</f>
        <v>2508</v>
      </c>
      <c r="X366" s="26" t="str">
        <f>IF(W366="NA","",CONCATENATE("0B 04 00 ",DEC2HEX($G366,2)," ",LEFT(DEC2HEX(W366,4),2)," ",RIGHT(DEC2HEX(W366,4),2)))</f>
        <v>0B 04 00 04 09 CC</v>
      </c>
      <c r="Y366" s="26">
        <f>IF(Table2[[#This Row],[PMT]]="NA","NA",Table2[[#This Row],[PMT]]+14)-Table2[[#This Row],[Const]]</f>
        <v>2514</v>
      </c>
      <c r="Z366" s="26" t="str">
        <f>IF(Y366="NA","",CONCATENATE("0B 04 00 ",DEC2HEX($G366,2)," ",LEFT(DEC2HEX(Y366,4),2)," ",RIGHT(DEC2HEX(Y366,4),2)))</f>
        <v>0B 04 00 04 09 D2</v>
      </c>
      <c r="AA366" s="26" t="s">
        <v>1053</v>
      </c>
      <c r="AB366" s="26"/>
      <c r="AC366" s="26"/>
      <c r="AD366" s="26" t="s">
        <v>346</v>
      </c>
      <c r="AH366" s="27"/>
      <c r="AI366" s="26"/>
      <c r="AJ366" s="26"/>
      <c r="AL366" s="26"/>
      <c r="AS366" s="35"/>
      <c r="AT366" s="35"/>
      <c r="AU366" s="35"/>
      <c r="AW366" s="26"/>
      <c r="AX366" s="26"/>
      <c r="AY366" s="26"/>
    </row>
    <row r="367" spans="1:51" hidden="1" x14ac:dyDescent="0.3">
      <c r="A367" s="26">
        <v>362</v>
      </c>
      <c r="B367" s="26" t="s">
        <v>346</v>
      </c>
      <c r="C367" s="26" t="s">
        <v>346</v>
      </c>
      <c r="D367" s="27" t="s">
        <v>633</v>
      </c>
      <c r="E367" s="26">
        <v>856</v>
      </c>
      <c r="F367" s="26" t="s">
        <v>346</v>
      </c>
      <c r="G367" s="26">
        <v>2</v>
      </c>
      <c r="H367" s="26" t="s">
        <v>361</v>
      </c>
      <c r="I367" s="26" t="s">
        <v>1357</v>
      </c>
      <c r="J367" s="26" t="s">
        <v>1038</v>
      </c>
      <c r="K367" s="26" t="s">
        <v>1039</v>
      </c>
      <c r="L367" s="26" t="s">
        <v>931</v>
      </c>
      <c r="M367" s="26" t="s">
        <v>1377</v>
      </c>
      <c r="N367" s="26" t="s">
        <v>1080</v>
      </c>
      <c r="O367" s="26" t="s">
        <v>1384</v>
      </c>
      <c r="P367" s="26">
        <v>3925</v>
      </c>
      <c r="Q367" s="27" t="s">
        <v>1385</v>
      </c>
      <c r="R367" s="26">
        <v>2566</v>
      </c>
      <c r="S367" s="26">
        <v>220</v>
      </c>
      <c r="T367" s="26">
        <f>IF(Table2[[#This Row],[PMT]]="NA","NA",Table2[[#This Row],[PMT]]+1)</f>
        <v>221</v>
      </c>
      <c r="U367" s="26">
        <f>IF(Table2[[#This Row],[PMT]]="NA","NA",Table2[[#This Row],[PMT]]+2)</f>
        <v>222</v>
      </c>
      <c r="V367" s="26">
        <v>0</v>
      </c>
      <c r="W367" s="26">
        <f>IF(Table2[[#This Row],[PMT]]="NA","NA",Table2[[#This Row],[PMT]]+8)-Table2[[#This Row],[Const]]</f>
        <v>228</v>
      </c>
      <c r="X367" s="26" t="str">
        <f>IF(W367="NA","",CONCATENATE("0B 04 00 ",DEC2HEX($G367,2)," ",LEFT(DEC2HEX(W367,4),2)," ",RIGHT(DEC2HEX(W367,4),2)))</f>
        <v>0B 04 00 02 00 E4</v>
      </c>
      <c r="Y367" s="26">
        <f>IF(Table2[[#This Row],[PMT]]="NA","NA",Table2[[#This Row],[PMT]]+14)-Table2[[#This Row],[Const]]</f>
        <v>234</v>
      </c>
      <c r="Z367" s="26" t="str">
        <f>IF(Y367="NA","",CONCATENATE("0B 04 00 ",DEC2HEX($G367,2)," ",LEFT(DEC2HEX(Y367,4),2)," ",RIGHT(DEC2HEX(Y367,4),2)))</f>
        <v>0B 04 00 02 00 EA</v>
      </c>
      <c r="AA367" s="26" t="s">
        <v>361</v>
      </c>
      <c r="AB367" s="26"/>
      <c r="AC367" s="26"/>
      <c r="AD367" s="26" t="s">
        <v>346</v>
      </c>
      <c r="AH367" s="27"/>
      <c r="AI367" s="26"/>
      <c r="AJ367" s="26"/>
      <c r="AL367" s="26"/>
      <c r="AS367" s="35"/>
      <c r="AT367" s="35"/>
      <c r="AU367" s="35"/>
      <c r="AW367" s="26"/>
      <c r="AX367" s="26"/>
      <c r="AY367" s="26"/>
    </row>
    <row r="368" spans="1:51" x14ac:dyDescent="0.3">
      <c r="A368" s="26">
        <v>225</v>
      </c>
      <c r="B368" s="26" t="s">
        <v>326</v>
      </c>
      <c r="C368" s="26">
        <v>2000</v>
      </c>
      <c r="D368" s="27" t="s">
        <v>526</v>
      </c>
      <c r="E368" s="26">
        <v>524</v>
      </c>
      <c r="F368" s="26">
        <v>9</v>
      </c>
      <c r="G368" s="26">
        <v>9</v>
      </c>
      <c r="H368" s="26" t="s">
        <v>349</v>
      </c>
      <c r="I368" s="26" t="s">
        <v>523</v>
      </c>
      <c r="J368" s="26" t="s">
        <v>1002</v>
      </c>
      <c r="K368" s="26" t="s">
        <v>953</v>
      </c>
      <c r="L368" s="26" t="s">
        <v>1002</v>
      </c>
      <c r="M368" s="26" t="s">
        <v>1377</v>
      </c>
      <c r="Q368" s="27" t="s">
        <v>1044</v>
      </c>
      <c r="R368" s="26">
        <v>7524</v>
      </c>
      <c r="S368" s="26">
        <v>7900</v>
      </c>
      <c r="T368" s="26">
        <f>IF(Table2[[#This Row],[PMT]]="NA","NA",Table2[[#This Row],[PMT]]+1)</f>
        <v>7901</v>
      </c>
      <c r="U368" s="26">
        <f>IF(Table2[[#This Row],[PMT]]="NA","NA",Table2[[#This Row],[PMT]]+2)</f>
        <v>7902</v>
      </c>
      <c r="V368" s="26">
        <v>0</v>
      </c>
      <c r="W368" s="26">
        <f>IF(Table2[[#This Row],[PMT]]="NA","NA",Table2[[#This Row],[PMT]]+8)-Table2[[#This Row],[Const]]</f>
        <v>7908</v>
      </c>
      <c r="X368" s="26" t="str">
        <f>IF(W368="NA","",CONCATENATE("0B 04 00 ",DEC2HEX($G368,2)," ",LEFT(DEC2HEX(W368,4),2)," ",RIGHT(DEC2HEX(W368,4),2)))</f>
        <v>0B 04 00 09 1E E4</v>
      </c>
      <c r="Y368" s="26">
        <f>IF(Table2[[#This Row],[PMT]]="NA","NA",Table2[[#This Row],[PMT]]+14)-Table2[[#This Row],[Const]]</f>
        <v>7914</v>
      </c>
      <c r="Z368" s="26" t="str">
        <f>IF(Y368="NA","",CONCATENATE("0B 04 00 ",DEC2HEX($G368,2)," ",LEFT(DEC2HEX(Y368,4),2)," ",RIGHT(DEC2HEX(Y368,4),2)))</f>
        <v>0B 04 00 09 1E EA</v>
      </c>
      <c r="AA368" s="26" t="s">
        <v>349</v>
      </c>
      <c r="AB368" s="26"/>
      <c r="AC368" s="26"/>
      <c r="AD368" s="26" t="s">
        <v>814</v>
      </c>
      <c r="AH368" s="27"/>
      <c r="AI368" s="26"/>
      <c r="AJ368" s="26"/>
      <c r="AL368" s="26"/>
      <c r="AS368" s="35"/>
      <c r="AT368" s="35"/>
      <c r="AU368" s="35"/>
      <c r="AW368" s="26"/>
      <c r="AX368" s="26"/>
      <c r="AY368" s="26"/>
    </row>
    <row r="369" spans="1:51" hidden="1" x14ac:dyDescent="0.3">
      <c r="A369" s="26">
        <v>364</v>
      </c>
      <c r="B369" s="26" t="s">
        <v>346</v>
      </c>
      <c r="C369" s="26" t="s">
        <v>346</v>
      </c>
      <c r="D369" s="27" t="s">
        <v>635</v>
      </c>
      <c r="E369" s="26">
        <v>859</v>
      </c>
      <c r="F369" s="26" t="s">
        <v>346</v>
      </c>
      <c r="G369" s="26">
        <v>3</v>
      </c>
      <c r="H369" s="26" t="s">
        <v>1057</v>
      </c>
      <c r="I369" s="26" t="s">
        <v>1357</v>
      </c>
      <c r="J369" s="26" t="s">
        <v>1038</v>
      </c>
      <c r="K369" s="26" t="s">
        <v>1039</v>
      </c>
      <c r="L369" s="26" t="s">
        <v>931</v>
      </c>
      <c r="M369" s="28"/>
      <c r="Q369" s="27"/>
      <c r="R369" s="26">
        <v>12132</v>
      </c>
      <c r="S369" s="26">
        <v>7800</v>
      </c>
      <c r="T369" s="26">
        <f>IF(Table2[[#This Row],[PMT]]="NA","NA",Table2[[#This Row],[PMT]]+1)</f>
        <v>7801</v>
      </c>
      <c r="U369" s="26">
        <f>IF(Table2[[#This Row],[PMT]]="NA","NA",Table2[[#This Row],[PMT]]+2)</f>
        <v>7802</v>
      </c>
      <c r="V369" s="26">
        <v>0</v>
      </c>
      <c r="W369" s="26">
        <f>IF(Table2[[#This Row],[PMT]]="NA","NA",Table2[[#This Row],[PMT]]+8)-Table2[[#This Row],[Const]]</f>
        <v>7808</v>
      </c>
      <c r="X369" s="26" t="str">
        <f>IF(W369="NA","",CONCATENATE("0B 04 00 ",DEC2HEX($G369,2)," ",LEFT(DEC2HEX(W369,4),2)," ",RIGHT(DEC2HEX(W369,4),2)))</f>
        <v>0B 04 00 03 1E 80</v>
      </c>
      <c r="Y369" s="26">
        <f>IF(Table2[[#This Row],[PMT]]="NA","NA",Table2[[#This Row],[PMT]]+14)-Table2[[#This Row],[Const]]</f>
        <v>7814</v>
      </c>
      <c r="Z369" s="26" t="str">
        <f>IF(Y369="NA","",CONCATENATE("0B 04 00 ",DEC2HEX($G369,2)," ",LEFT(DEC2HEX(Y369,4),2)," ",RIGHT(DEC2HEX(Y369,4),2)))</f>
        <v>0B 04 00 03 1E 86</v>
      </c>
      <c r="AA369" s="26" t="s">
        <v>1057</v>
      </c>
      <c r="AB369" s="26"/>
      <c r="AC369" s="26"/>
      <c r="AD369" s="26" t="s">
        <v>346</v>
      </c>
      <c r="AH369" s="27"/>
      <c r="AI369" s="26"/>
      <c r="AJ369" s="26"/>
      <c r="AL369" s="26"/>
      <c r="AS369" s="35"/>
      <c r="AT369" s="35"/>
      <c r="AU369" s="35"/>
      <c r="AW369" s="26"/>
      <c r="AX369" s="26"/>
      <c r="AY369" s="26"/>
    </row>
    <row r="370" spans="1:51" hidden="1" x14ac:dyDescent="0.3">
      <c r="A370" s="26">
        <v>365</v>
      </c>
      <c r="B370" s="26" t="s">
        <v>346</v>
      </c>
      <c r="C370" s="26" t="s">
        <v>346</v>
      </c>
      <c r="D370" s="27" t="s">
        <v>636</v>
      </c>
      <c r="E370" s="26">
        <v>860</v>
      </c>
      <c r="F370" s="26" t="s">
        <v>346</v>
      </c>
      <c r="G370" s="26">
        <v>1</v>
      </c>
      <c r="H370" s="26" t="s">
        <v>1057</v>
      </c>
      <c r="I370" s="26" t="s">
        <v>1357</v>
      </c>
      <c r="J370" s="26" t="s">
        <v>1038</v>
      </c>
      <c r="K370" s="26" t="s">
        <v>1039</v>
      </c>
      <c r="L370" s="26" t="s">
        <v>931</v>
      </c>
      <c r="M370" s="26" t="s">
        <v>1377</v>
      </c>
      <c r="N370" s="26" t="s">
        <v>1080</v>
      </c>
      <c r="O370" s="26" t="s">
        <v>1384</v>
      </c>
      <c r="P370" s="26">
        <v>3885</v>
      </c>
      <c r="Q370" s="27" t="s">
        <v>1385</v>
      </c>
      <c r="R370" s="26">
        <v>6569</v>
      </c>
      <c r="S370" s="26">
        <v>220</v>
      </c>
      <c r="T370" s="26">
        <f>IF(Table2[[#This Row],[PMT]]="NA","NA",Table2[[#This Row],[PMT]]+1)</f>
        <v>221</v>
      </c>
      <c r="U370" s="26">
        <f>IF(Table2[[#This Row],[PMT]]="NA","NA",Table2[[#This Row],[PMT]]+2)</f>
        <v>222</v>
      </c>
      <c r="V370" s="26">
        <v>0</v>
      </c>
      <c r="W370" s="26">
        <f>IF(Table2[[#This Row],[PMT]]="NA","NA",Table2[[#This Row],[PMT]]+8)-Table2[[#This Row],[Const]]</f>
        <v>228</v>
      </c>
      <c r="X370" s="26" t="str">
        <f>IF(W370="NA","",CONCATENATE("0B 04 00 ",DEC2HEX($G370,2)," ",LEFT(DEC2HEX(W370,4),2)," ",RIGHT(DEC2HEX(W370,4),2)))</f>
        <v>0B 04 00 01 00 E4</v>
      </c>
      <c r="Y370" s="26">
        <f>IF(Table2[[#This Row],[PMT]]="NA","NA",Table2[[#This Row],[PMT]]+14)-Table2[[#This Row],[Const]]</f>
        <v>234</v>
      </c>
      <c r="Z370" s="26" t="str">
        <f>IF(Y370="NA","",CONCATENATE("0B 04 00 ",DEC2HEX($G370,2)," ",LEFT(DEC2HEX(Y370,4),2)," ",RIGHT(DEC2HEX(Y370,4),2)))</f>
        <v>0B 04 00 01 00 EA</v>
      </c>
      <c r="AA370" s="26" t="s">
        <v>1057</v>
      </c>
      <c r="AB370" s="26"/>
      <c r="AC370" s="26"/>
      <c r="AD370" s="26" t="s">
        <v>346</v>
      </c>
      <c r="AH370" s="27"/>
      <c r="AI370" s="26"/>
      <c r="AJ370" s="26"/>
      <c r="AL370" s="26"/>
      <c r="AS370" s="35"/>
      <c r="AT370" s="35"/>
      <c r="AU370" s="35"/>
      <c r="AW370" s="26"/>
      <c r="AX370" s="26"/>
      <c r="AY370" s="26"/>
    </row>
    <row r="371" spans="1:51" hidden="1" x14ac:dyDescent="0.3">
      <c r="A371" s="26">
        <v>366</v>
      </c>
      <c r="B371" s="26" t="s">
        <v>346</v>
      </c>
      <c r="C371" s="26" t="s">
        <v>346</v>
      </c>
      <c r="D371" s="27" t="s">
        <v>637</v>
      </c>
      <c r="E371" s="26">
        <v>861</v>
      </c>
      <c r="F371" s="26" t="s">
        <v>346</v>
      </c>
      <c r="G371" s="26">
        <v>4</v>
      </c>
      <c r="H371" s="26" t="s">
        <v>1057</v>
      </c>
      <c r="I371" s="26" t="s">
        <v>1357</v>
      </c>
      <c r="J371" s="26" t="s">
        <v>1038</v>
      </c>
      <c r="K371" s="26" t="s">
        <v>1039</v>
      </c>
      <c r="L371" s="26" t="s">
        <v>931</v>
      </c>
      <c r="M371" s="28" t="s">
        <v>1377</v>
      </c>
      <c r="Q371" s="27"/>
      <c r="R371" s="26">
        <v>12150</v>
      </c>
      <c r="S371" s="26">
        <v>520</v>
      </c>
      <c r="T371" s="26">
        <f>IF(Table2[[#This Row],[PMT]]="NA","NA",Table2[[#This Row],[PMT]]+1)</f>
        <v>521</v>
      </c>
      <c r="U371" s="26">
        <f>IF(Table2[[#This Row],[PMT]]="NA","NA",Table2[[#This Row],[PMT]]+2)</f>
        <v>522</v>
      </c>
      <c r="V371" s="26">
        <v>0</v>
      </c>
      <c r="W371" s="26">
        <f>IF(Table2[[#This Row],[PMT]]="NA","NA",Table2[[#This Row],[PMT]]+8)-Table2[[#This Row],[Const]]</f>
        <v>528</v>
      </c>
      <c r="X371" s="26" t="str">
        <f>IF(W371="NA","",CONCATENATE("0B 04 00 ",DEC2HEX($G371,2)," ",LEFT(DEC2HEX(W371,4),2)," ",RIGHT(DEC2HEX(W371,4),2)))</f>
        <v>0B 04 00 04 02 10</v>
      </c>
      <c r="Y371" s="26">
        <f>IF(Table2[[#This Row],[PMT]]="NA","NA",Table2[[#This Row],[PMT]]+14)-Table2[[#This Row],[Const]]</f>
        <v>534</v>
      </c>
      <c r="Z371" s="26" t="str">
        <f>IF(Y371="NA","",CONCATENATE("0B 04 00 ",DEC2HEX($G371,2)," ",LEFT(DEC2HEX(Y371,4),2)," ",RIGHT(DEC2HEX(Y371,4),2)))</f>
        <v>0B 04 00 04 02 16</v>
      </c>
      <c r="AA371" s="26" t="s">
        <v>1057</v>
      </c>
      <c r="AB371" s="26"/>
      <c r="AC371" s="26"/>
      <c r="AD371" s="26" t="s">
        <v>346</v>
      </c>
      <c r="AH371" s="27"/>
      <c r="AI371" s="26"/>
      <c r="AJ371" s="26"/>
      <c r="AL371" s="26"/>
      <c r="AS371" s="35"/>
      <c r="AT371" s="35"/>
      <c r="AU371" s="35"/>
      <c r="AW371" s="26"/>
      <c r="AX371" s="26"/>
      <c r="AY371" s="26"/>
    </row>
    <row r="372" spans="1:51" x14ac:dyDescent="0.3">
      <c r="A372" s="26">
        <v>6</v>
      </c>
      <c r="B372" s="26" t="s">
        <v>211</v>
      </c>
      <c r="C372" s="26">
        <v>5180</v>
      </c>
      <c r="D372" s="27" t="s">
        <v>351</v>
      </c>
      <c r="E372" s="26">
        <v>104</v>
      </c>
      <c r="F372" s="26">
        <v>11</v>
      </c>
      <c r="G372" s="26">
        <v>11</v>
      </c>
      <c r="H372" s="26" t="s">
        <v>349</v>
      </c>
      <c r="I372" s="26" t="s">
        <v>443</v>
      </c>
      <c r="J372" s="26" t="s">
        <v>1040</v>
      </c>
      <c r="K372" s="26" t="s">
        <v>953</v>
      </c>
      <c r="L372" s="26" t="s">
        <v>1002</v>
      </c>
      <c r="M372" s="26" t="s">
        <v>1377</v>
      </c>
      <c r="N372" s="26" t="s">
        <v>1086</v>
      </c>
      <c r="O372" s="26" t="s">
        <v>1095</v>
      </c>
      <c r="P372" s="26">
        <v>4140</v>
      </c>
      <c r="Q372" s="27" t="s">
        <v>1044</v>
      </c>
      <c r="R372" s="26">
        <v>1102</v>
      </c>
      <c r="S372" s="26">
        <v>7200</v>
      </c>
      <c r="T372" s="26">
        <f>IF(Table2[[#This Row],[PMT]]="NA","NA",Table2[[#This Row],[PMT]]+1)</f>
        <v>7201</v>
      </c>
      <c r="U372" s="26">
        <f>IF(Table2[[#This Row],[PMT]]="NA","NA",Table2[[#This Row],[PMT]]+2)</f>
        <v>7202</v>
      </c>
      <c r="V372" s="26">
        <v>0</v>
      </c>
      <c r="W372" s="26">
        <f>IF(Table2[[#This Row],[PMT]]="NA","NA",Table2[[#This Row],[PMT]]+8)-Table2[[#This Row],[Const]]</f>
        <v>7208</v>
      </c>
      <c r="X372" s="26" t="str">
        <f>IF(W372="NA","",CONCATENATE("0B 04 00 ",DEC2HEX($G372,2)," ",LEFT(DEC2HEX(W372,4),2)," ",RIGHT(DEC2HEX(W372,4),2)))</f>
        <v>0B 04 00 0B 1C 28</v>
      </c>
      <c r="Y372" s="26">
        <f>IF(Table2[[#This Row],[PMT]]="NA","NA",Table2[[#This Row],[PMT]]+14)-Table2[[#This Row],[Const]]</f>
        <v>7214</v>
      </c>
      <c r="Z372" s="26" t="str">
        <f>IF(Y372="NA","",CONCATENATE("0B 04 00 ",DEC2HEX($G372,2)," ",LEFT(DEC2HEX(Y372,4),2)," ",RIGHT(DEC2HEX(Y372,4),2)))</f>
        <v>0B 04 00 0B 1C 2E</v>
      </c>
      <c r="AA372" s="26" t="s">
        <v>349</v>
      </c>
      <c r="AB372" s="26" t="s">
        <v>443</v>
      </c>
      <c r="AC372" s="26">
        <v>27500</v>
      </c>
      <c r="AD372" s="26" t="s">
        <v>346</v>
      </c>
      <c r="AH372" s="27"/>
      <c r="AI372" s="26"/>
      <c r="AJ372" s="26"/>
      <c r="AL372" s="26"/>
      <c r="AS372" s="35"/>
      <c r="AT372" s="35"/>
      <c r="AU372" s="35"/>
      <c r="AW372" s="26"/>
      <c r="AX372" s="26"/>
      <c r="AY372" s="26"/>
    </row>
    <row r="373" spans="1:51" hidden="1" x14ac:dyDescent="0.3">
      <c r="A373" s="26">
        <v>368</v>
      </c>
      <c r="B373" s="26" t="s">
        <v>346</v>
      </c>
      <c r="C373" s="26" t="s">
        <v>346</v>
      </c>
      <c r="D373" s="27" t="s">
        <v>1285</v>
      </c>
      <c r="E373" s="26">
        <v>864</v>
      </c>
      <c r="F373" s="26" t="s">
        <v>346</v>
      </c>
      <c r="G373" s="26">
        <v>4</v>
      </c>
      <c r="H373" s="26" t="s">
        <v>1057</v>
      </c>
      <c r="I373" s="26" t="s">
        <v>1357</v>
      </c>
      <c r="J373" s="26" t="s">
        <v>1038</v>
      </c>
      <c r="K373" s="26" t="s">
        <v>1039</v>
      </c>
      <c r="L373" s="26" t="s">
        <v>931</v>
      </c>
      <c r="M373" s="28"/>
      <c r="N373" s="31"/>
      <c r="O373" s="31"/>
      <c r="P373" s="31"/>
      <c r="Q373" s="32"/>
      <c r="R373" s="31">
        <v>12188</v>
      </c>
      <c r="S373" s="31">
        <v>1020</v>
      </c>
      <c r="T373" s="31">
        <f>IF(Table2[[#This Row],[PMT]]="NA","NA",Table2[[#This Row],[PMT]]+1)</f>
        <v>1021</v>
      </c>
      <c r="U373" s="31">
        <f>IF(Table2[[#This Row],[PMT]]="NA","NA",Table2[[#This Row],[PMT]]+2)</f>
        <v>1022</v>
      </c>
      <c r="V373" s="26">
        <v>0</v>
      </c>
      <c r="W373" s="31">
        <f>IF(Table2[[#This Row],[PMT]]="NA","NA",Table2[[#This Row],[PMT]]+8)-Table2[[#This Row],[Const]]</f>
        <v>1028</v>
      </c>
      <c r="X373" s="31" t="str">
        <f>IF(W373="NA","",CONCATENATE("0B 04 00 ",DEC2HEX($G373,2)," ",LEFT(DEC2HEX(W373,4),2)," ",RIGHT(DEC2HEX(W373,4),2)))</f>
        <v>0B 04 00 04 04 04</v>
      </c>
      <c r="Y373" s="31">
        <f>IF(Table2[[#This Row],[PMT]]="NA","NA",Table2[[#This Row],[PMT]]+14)-Table2[[#This Row],[Const]]</f>
        <v>1034</v>
      </c>
      <c r="Z373" s="31" t="str">
        <f>IF(Y373="NA","",CONCATENATE("0B 04 00 ",DEC2HEX($G373,2)," ",LEFT(DEC2HEX(Y373,4),2)," ",RIGHT(DEC2HEX(Y373,4),2)))</f>
        <v>0B 04 00 04 04 0A</v>
      </c>
      <c r="AA373" s="26"/>
      <c r="AB373" s="26"/>
      <c r="AC373" s="31"/>
      <c r="AD373" s="31"/>
      <c r="AH373" s="27"/>
      <c r="AI373" s="26"/>
      <c r="AJ373" s="26"/>
      <c r="AL373" s="26"/>
      <c r="AS373" s="35"/>
      <c r="AT373" s="35"/>
      <c r="AU373" s="35"/>
      <c r="AW373" s="26"/>
      <c r="AX373" s="26"/>
      <c r="AY373" s="26"/>
    </row>
    <row r="374" spans="1:51" x14ac:dyDescent="0.3">
      <c r="A374" s="26">
        <v>29</v>
      </c>
      <c r="B374" s="26" t="s">
        <v>328</v>
      </c>
      <c r="C374" s="26">
        <v>2000</v>
      </c>
      <c r="D374" s="27" t="s">
        <v>366</v>
      </c>
      <c r="E374" s="26">
        <v>128</v>
      </c>
      <c r="F374" s="26">
        <v>6</v>
      </c>
      <c r="G374" s="26">
        <v>6</v>
      </c>
      <c r="H374" s="26" t="s">
        <v>349</v>
      </c>
      <c r="I374" s="26" t="s">
        <v>443</v>
      </c>
      <c r="J374" s="26" t="s">
        <v>1002</v>
      </c>
      <c r="K374" s="26" t="s">
        <v>953</v>
      </c>
      <c r="L374" s="26" t="s">
        <v>931</v>
      </c>
      <c r="M374" s="28"/>
      <c r="Q374" s="27"/>
      <c r="R374" s="26">
        <v>6110</v>
      </c>
      <c r="S374" s="26">
        <v>260</v>
      </c>
      <c r="T374" s="26">
        <f>IF(Table2[[#This Row],[PMT]]="NA","NA",Table2[[#This Row],[PMT]]+1)</f>
        <v>261</v>
      </c>
      <c r="U374" s="26">
        <f>IF(Table2[[#This Row],[PMT]]="NA","NA",Table2[[#This Row],[PMT]]+2)</f>
        <v>262</v>
      </c>
      <c r="V374" s="26">
        <v>0</v>
      </c>
      <c r="W374" s="26">
        <f>IF(Table2[[#This Row],[PMT]]="NA","NA",Table2[[#This Row],[PMT]]+8)-Table2[[#This Row],[Const]]</f>
        <v>268</v>
      </c>
      <c r="X374" s="26" t="str">
        <f>IF(W374="NA","",CONCATENATE("0B 04 00 ",DEC2HEX($G374,2)," ",LEFT(DEC2HEX(W374,4),2)," ",RIGHT(DEC2HEX(W374,4),2)))</f>
        <v>0B 04 00 06 01 0C</v>
      </c>
      <c r="Y374" s="26">
        <f>IF(Table2[[#This Row],[PMT]]="NA","NA",Table2[[#This Row],[PMT]]+14)-Table2[[#This Row],[Const]]</f>
        <v>274</v>
      </c>
      <c r="Z374" s="26" t="str">
        <f>IF(Y374="NA","",CONCATENATE("0B 04 00 ",DEC2HEX($G374,2)," ",LEFT(DEC2HEX(Y374,4),2)," ",RIGHT(DEC2HEX(Y374,4),2)))</f>
        <v>0B 04 00 06 01 12</v>
      </c>
      <c r="AA374" s="26" t="s">
        <v>349</v>
      </c>
      <c r="AB374" s="26" t="s">
        <v>443</v>
      </c>
      <c r="AC374" s="26"/>
      <c r="AD374" s="26" t="s">
        <v>814</v>
      </c>
      <c r="AH374" s="27"/>
      <c r="AI374" s="26"/>
      <c r="AJ374" s="26"/>
      <c r="AL374" s="26"/>
      <c r="AS374" s="35"/>
      <c r="AT374" s="35"/>
      <c r="AU374" s="35"/>
      <c r="AW374" s="26"/>
      <c r="AX374" s="26"/>
      <c r="AY374" s="26"/>
    </row>
    <row r="375" spans="1:51" hidden="1" x14ac:dyDescent="0.3">
      <c r="C375" s="31"/>
      <c r="D375" s="27"/>
      <c r="E375" s="26"/>
      <c r="G375" s="26"/>
      <c r="H375" s="26"/>
      <c r="I375" s="26"/>
      <c r="J375" s="31"/>
      <c r="K375" s="31"/>
      <c r="L375" s="26"/>
      <c r="M375" s="28"/>
      <c r="N375" s="31"/>
      <c r="O375" s="31"/>
      <c r="P375" s="31"/>
      <c r="Q375" s="32"/>
      <c r="R375" s="31"/>
      <c r="S375" s="31"/>
      <c r="T375" s="31">
        <f>IF(Table2[[#This Row],[PMT]]="NA","NA",Table2[[#This Row],[PMT]]+1)</f>
        <v>1</v>
      </c>
      <c r="U375" s="31">
        <f>IF(Table2[[#This Row],[PMT]]="NA","NA",Table2[[#This Row],[PMT]]+2)</f>
        <v>2</v>
      </c>
      <c r="V375" s="26">
        <v>0</v>
      </c>
      <c r="W375" s="31">
        <f>IF(Table2[[#This Row],[PMT]]="NA","NA",Table2[[#This Row],[PMT]]+8)-Table2[[#This Row],[Const]]</f>
        <v>8</v>
      </c>
      <c r="X375" s="31" t="str">
        <f t="shared" ref="X320:X375" si="2">IF(W375="NA","",CONCATENATE("0B 04 00 ",DEC2HEX($G375,2)," ",LEFT(DEC2HEX(W375,4),2)," ",RIGHT(DEC2HEX(W375,4),2)))</f>
        <v>0B 04 00 00 00 08</v>
      </c>
      <c r="Y375" s="31">
        <f>IF(Table2[[#This Row],[PMT]]="NA","NA",Table2[[#This Row],[PMT]]+14)-Table2[[#This Row],[Const]]</f>
        <v>14</v>
      </c>
      <c r="Z375" s="31" t="str">
        <f t="shared" ref="Z320:Z375" si="3">IF(Y375="NA","",CONCATENATE("0B 04 00 ",DEC2HEX($G375,2)," ",LEFT(DEC2HEX(Y375,4),2)," ",RIGHT(DEC2HEX(Y375,4),2)))</f>
        <v>0B 04 00 00 00 0E</v>
      </c>
      <c r="AA375" s="26"/>
      <c r="AB375" s="26"/>
      <c r="AC375" s="31"/>
      <c r="AD375" s="31"/>
      <c r="AH375" s="27"/>
      <c r="AI375" s="26"/>
      <c r="AJ375" s="26"/>
      <c r="AL375" s="26"/>
      <c r="AS375" s="35"/>
      <c r="AT375" s="35"/>
      <c r="AU375" s="35"/>
      <c r="AW375" s="26"/>
      <c r="AX375" s="26"/>
      <c r="AY375" s="26"/>
    </row>
  </sheetData>
  <dataValidations disablePrompts="1" count="1">
    <dataValidation type="list" allowBlank="1" showInputMessage="1" showErrorMessage="1" sqref="G1:I1">
      <formula1>$D$6:$D$512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I196" sqref="I196"/>
    </sheetView>
  </sheetViews>
  <sheetFormatPr defaultRowHeight="15" x14ac:dyDescent="0.25"/>
  <cols>
    <col min="1" max="1" width="4.85546875" style="1" bestFit="1" customWidth="1"/>
    <col min="2" max="2" width="10.28515625" bestFit="1" customWidth="1"/>
    <col min="3" max="3" width="15.28515625" bestFit="1" customWidth="1"/>
    <col min="4" max="4" width="55.42578125" bestFit="1" customWidth="1"/>
    <col min="5" max="5" width="9.7109375" bestFit="1" customWidth="1"/>
  </cols>
  <sheetData>
    <row r="1" spans="1:5" x14ac:dyDescent="0.25">
      <c r="A1" s="1" t="s">
        <v>334</v>
      </c>
      <c r="B1" t="s">
        <v>1027</v>
      </c>
      <c r="C1" t="s">
        <v>1028</v>
      </c>
      <c r="D1" t="s">
        <v>1031</v>
      </c>
      <c r="E1" t="s">
        <v>1032</v>
      </c>
    </row>
    <row r="2" spans="1:5" x14ac:dyDescent="0.25">
      <c r="A2" s="1">
        <v>1</v>
      </c>
      <c r="B2" t="s">
        <v>1026</v>
      </c>
      <c r="C2" t="s">
        <v>1029</v>
      </c>
      <c r="D2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ABBR</vt:lpstr>
      <vt:lpstr>DB Calc</vt:lpstr>
      <vt:lpstr>LOG</vt:lpstr>
      <vt:lpstr>RF Frequency</vt:lpstr>
      <vt:lpstr>Platform View</vt:lpstr>
      <vt:lpstr>IP Ports View</vt:lpstr>
      <vt:lpstr>ASI Ports View</vt:lpstr>
      <vt:lpstr>Cross Connect View</vt:lpstr>
      <vt:lpstr>Channel Line-up</vt:lpstr>
      <vt:lpstr>ASSETS Properties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Tripathi</dc:creator>
  <cp:lastModifiedBy>Janardhan</cp:lastModifiedBy>
  <dcterms:created xsi:type="dcterms:W3CDTF">2014-07-04T04:30:24Z</dcterms:created>
  <dcterms:modified xsi:type="dcterms:W3CDTF">2015-07-16T04:17:55Z</dcterms:modified>
</cp:coreProperties>
</file>