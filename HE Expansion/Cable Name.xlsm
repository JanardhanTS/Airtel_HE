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b0074386\Desktop\"/>
    </mc:Choice>
  </mc:AlternateContent>
  <bookViews>
    <workbookView xWindow="0" yWindow="0" windowWidth="20490" windowHeight="7755" activeTab="1"/>
  </bookViews>
  <sheets>
    <sheet name="Rack 1" sheetId="1" r:id="rId1"/>
    <sheet name="Rack 4 &amp; 5" sheetId="6" r:id="rId2"/>
    <sheet name="Color Code" sheetId="2" r:id="rId3"/>
    <sheet name="Rack 6" sheetId="5" r:id="rId4"/>
    <sheet name="Mux" sheetId="4" r:id="rId5"/>
    <sheet name="Channel list" sheetId="7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1" i="6" l="1"/>
  <c r="G21" i="6"/>
  <c r="F22" i="6"/>
  <c r="G22" i="6"/>
  <c r="F23" i="6"/>
  <c r="G23" i="6"/>
  <c r="F24" i="6"/>
  <c r="G24" i="6"/>
  <c r="F25" i="6"/>
  <c r="G25" i="6"/>
  <c r="F26" i="6"/>
  <c r="G26" i="6"/>
  <c r="F27" i="6"/>
  <c r="G27" i="6"/>
  <c r="F28" i="6"/>
  <c r="G28" i="6"/>
  <c r="F29" i="6"/>
  <c r="G29" i="6"/>
  <c r="F30" i="6"/>
  <c r="G30" i="6"/>
  <c r="F31" i="6"/>
  <c r="G31" i="6"/>
  <c r="F32" i="6"/>
  <c r="G32" i="6"/>
  <c r="F33" i="6"/>
  <c r="G3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20" i="6"/>
  <c r="F20" i="6"/>
  <c r="F5" i="6"/>
  <c r="F6" i="6"/>
  <c r="F7" i="6"/>
  <c r="F8" i="6"/>
  <c r="F9" i="6"/>
  <c r="F10" i="6"/>
  <c r="F11" i="6"/>
  <c r="F12" i="6"/>
  <c r="F13" i="6"/>
  <c r="F14" i="6"/>
  <c r="F15" i="6"/>
  <c r="F16" i="6"/>
  <c r="F4" i="6"/>
  <c r="O28" i="6"/>
  <c r="O12" i="6"/>
  <c r="C8" i="1" l="1"/>
  <c r="C10" i="1" s="1"/>
  <c r="C12" i="1" s="1"/>
  <c r="C14" i="1" s="1"/>
  <c r="C16" i="1" s="1"/>
  <c r="C18" i="1" s="1"/>
  <c r="C7" i="1"/>
  <c r="C9" i="1" s="1"/>
  <c r="C11" i="1" s="1"/>
  <c r="C13" i="1" s="1"/>
  <c r="C15" i="1" s="1"/>
  <c r="C17" i="1" s="1"/>
  <c r="O22" i="1"/>
  <c r="N22" i="1"/>
  <c r="V22" i="1"/>
  <c r="W22" i="1"/>
  <c r="Y22" i="1"/>
  <c r="Q23" i="1"/>
  <c r="Z22" i="1"/>
  <c r="U23" i="1"/>
  <c r="Q22" i="1"/>
  <c r="P22" i="1"/>
  <c r="T23" i="1"/>
  <c r="P23" i="1"/>
  <c r="V23" i="1"/>
  <c r="Z23" i="1"/>
  <c r="Y23" i="1"/>
  <c r="X23" i="1"/>
  <c r="N23" i="1"/>
  <c r="O23" i="1"/>
  <c r="X22" i="1"/>
  <c r="U22" i="1"/>
  <c r="W23" i="1"/>
  <c r="T22" i="1"/>
  <c r="D1" i="1"/>
  <c r="AA23" i="1" l="1"/>
  <c r="AA22" i="1"/>
  <c r="R22" i="1"/>
  <c r="R23" i="1"/>
</calcChain>
</file>

<file path=xl/connections.xml><?xml version="1.0" encoding="utf-8"?>
<connections xmlns="http://schemas.openxmlformats.org/spreadsheetml/2006/main">
  <connection id="1" keepAlive="1" name="ThisWorkbookDataModel" description="Data Model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<sst xmlns="http://schemas.openxmlformats.org/spreadsheetml/2006/main" count="1249" uniqueCount="615">
  <si>
    <t>SAT 11</t>
  </si>
  <si>
    <t>SAT 12</t>
  </si>
  <si>
    <t>SAT 21</t>
  </si>
  <si>
    <t>SAT 22</t>
  </si>
  <si>
    <t>SAT 31</t>
  </si>
  <si>
    <t>SAT 32</t>
  </si>
  <si>
    <t>SAT 41</t>
  </si>
  <si>
    <t>SAT 42</t>
  </si>
  <si>
    <t>SAT 51</t>
  </si>
  <si>
    <t>SAT 52</t>
  </si>
  <si>
    <t>SAT 61</t>
  </si>
  <si>
    <t>SAT 62</t>
  </si>
  <si>
    <t>SAT 71</t>
  </si>
  <si>
    <t>SAT 72</t>
  </si>
  <si>
    <t>LNB 11</t>
  </si>
  <si>
    <t>LNB 12</t>
  </si>
  <si>
    <t>LNB 21</t>
  </si>
  <si>
    <t>LNB 22</t>
  </si>
  <si>
    <t>LNB 31</t>
  </si>
  <si>
    <t>LNB 32</t>
  </si>
  <si>
    <t>LNB 41</t>
  </si>
  <si>
    <t>LNB 42</t>
  </si>
  <si>
    <t>LNB 51</t>
  </si>
  <si>
    <t>LNB 52</t>
  </si>
  <si>
    <t>LNB 61</t>
  </si>
  <si>
    <t>LNB 62</t>
  </si>
  <si>
    <t>LNB 71</t>
  </si>
  <si>
    <t>LNB 72</t>
  </si>
  <si>
    <t>HOR</t>
  </si>
  <si>
    <t>VER</t>
  </si>
  <si>
    <t>Antena No</t>
  </si>
  <si>
    <t>Passive Splitter</t>
  </si>
  <si>
    <t>Cable Name</t>
  </si>
  <si>
    <t>Polarity</t>
  </si>
  <si>
    <t>Satellite name</t>
  </si>
  <si>
    <t>7 O/P cables</t>
  </si>
  <si>
    <t>B</t>
  </si>
  <si>
    <t>Br</t>
  </si>
  <si>
    <t>Bl</t>
  </si>
  <si>
    <t>Red</t>
  </si>
  <si>
    <t>Orange</t>
  </si>
  <si>
    <t>Yellow</t>
  </si>
  <si>
    <t>Green</t>
  </si>
  <si>
    <t>Blue</t>
  </si>
  <si>
    <t>Gray</t>
  </si>
  <si>
    <t>Voilet</t>
  </si>
  <si>
    <t>White</t>
  </si>
  <si>
    <t>Black</t>
  </si>
  <si>
    <t>Brown</t>
  </si>
  <si>
    <t>Re</t>
  </si>
  <si>
    <t>Or</t>
  </si>
  <si>
    <t>Ye</t>
  </si>
  <si>
    <t>Gr</t>
  </si>
  <si>
    <t>Vo</t>
  </si>
  <si>
    <t>Wh</t>
  </si>
  <si>
    <t>Primary</t>
  </si>
  <si>
    <t>Secondery</t>
  </si>
  <si>
    <t>Mode of use</t>
  </si>
  <si>
    <t>Input Ports</t>
  </si>
  <si>
    <t>Mon port</t>
  </si>
  <si>
    <t>Common port</t>
  </si>
  <si>
    <t>LNB 81</t>
  </si>
  <si>
    <t>LNB 82</t>
  </si>
  <si>
    <t>A</t>
  </si>
  <si>
    <t>C</t>
  </si>
  <si>
    <t>D</t>
  </si>
  <si>
    <t>SRF01A1A</t>
  </si>
  <si>
    <t>SRF02A1A</t>
  </si>
  <si>
    <t>Quin Switch</t>
  </si>
  <si>
    <t xml:space="preserve">OutPut Ports </t>
  </si>
  <si>
    <t>Color</t>
  </si>
  <si>
    <t>Value</t>
  </si>
  <si>
    <t xml:space="preserve"> Monitor Ports</t>
  </si>
  <si>
    <t>Input</t>
  </si>
  <si>
    <t xml:space="preserve"> 7 I/P Cables</t>
  </si>
  <si>
    <t>Antenna - PATCH PANEL - RPS</t>
  </si>
  <si>
    <t>SRF03A1A</t>
  </si>
  <si>
    <t>A6M34L</t>
  </si>
  <si>
    <t>SRF04A1A</t>
  </si>
  <si>
    <t>SRF05A1A</t>
  </si>
  <si>
    <t>SRF06A1A</t>
  </si>
  <si>
    <t>Unused</t>
  </si>
  <si>
    <t>SRF07A1A</t>
  </si>
  <si>
    <t>SRF08A1A</t>
  </si>
  <si>
    <t>SRF09A1B</t>
  </si>
  <si>
    <t>SRF10A1B</t>
  </si>
  <si>
    <t>SRF11A1B</t>
  </si>
  <si>
    <t>SRF12A1B</t>
  </si>
  <si>
    <t>SRF13A1B</t>
  </si>
  <si>
    <t>SRF14A1B</t>
  </si>
  <si>
    <t>Intelsat 7/10</t>
  </si>
  <si>
    <t>Asisat 7</t>
  </si>
  <si>
    <t>InSat 4A/2E</t>
  </si>
  <si>
    <t xml:space="preserve">Measat 3S </t>
  </si>
  <si>
    <t xml:space="preserve">Intelsat 17 </t>
  </si>
  <si>
    <t>Total No of  unsed/empty ports</t>
  </si>
  <si>
    <t>Total No of used ports</t>
  </si>
  <si>
    <t>Total No of unsed/empty ports</t>
  </si>
  <si>
    <t>Output Port</t>
  </si>
  <si>
    <t>Card 1</t>
  </si>
  <si>
    <t>Card 2</t>
  </si>
  <si>
    <t>Card 3</t>
  </si>
  <si>
    <t>Card 4</t>
  </si>
  <si>
    <t>Card 5</t>
  </si>
  <si>
    <t>Card 6</t>
  </si>
  <si>
    <t>Card 7</t>
  </si>
  <si>
    <t>Input ports</t>
  </si>
  <si>
    <t>Unnamed</t>
  </si>
  <si>
    <t>TLT output</t>
  </si>
  <si>
    <t>SRF19A1B</t>
  </si>
  <si>
    <t>A6B27L</t>
  </si>
  <si>
    <t>A6B28L</t>
  </si>
  <si>
    <t>A6B32L</t>
  </si>
  <si>
    <t>A6M40L</t>
  </si>
  <si>
    <t>A6M32L</t>
  </si>
  <si>
    <t>A6M28L</t>
  </si>
  <si>
    <t>A6M23L</t>
  </si>
  <si>
    <t>A6B23L</t>
  </si>
  <si>
    <t>A6B25L</t>
  </si>
  <si>
    <t>A6B41L</t>
  </si>
  <si>
    <t>A5B52L</t>
  </si>
  <si>
    <t>A4M14L</t>
  </si>
  <si>
    <t>A6M41L</t>
  </si>
  <si>
    <t>A4B11L</t>
  </si>
  <si>
    <t>A4B14L</t>
  </si>
  <si>
    <t>A5M54L</t>
  </si>
  <si>
    <t>A5M52L</t>
  </si>
  <si>
    <t>A5B53L</t>
  </si>
  <si>
    <t>A5B50L</t>
  </si>
  <si>
    <t>A4B10L</t>
  </si>
  <si>
    <t>A5B51L</t>
  </si>
  <si>
    <t>A4B15L</t>
  </si>
  <si>
    <t>A6M39L</t>
  </si>
  <si>
    <t>A4M15L</t>
  </si>
  <si>
    <t>A6M26L</t>
  </si>
  <si>
    <t>A5M51L</t>
  </si>
  <si>
    <t>A6M27L</t>
  </si>
  <si>
    <t>A6M25L</t>
  </si>
  <si>
    <t>A6B26L</t>
  </si>
  <si>
    <t>A4M13L</t>
  </si>
  <si>
    <t>A6B42L</t>
  </si>
  <si>
    <t>A4B13L</t>
  </si>
  <si>
    <t>A4M10L</t>
  </si>
  <si>
    <t>A5M11L</t>
  </si>
  <si>
    <t>A4M11L</t>
  </si>
  <si>
    <t>A4B12L</t>
  </si>
  <si>
    <t>A6M42L</t>
  </si>
  <si>
    <t>A5M50L</t>
  </si>
  <si>
    <t>A4B09L</t>
  </si>
  <si>
    <t>A6B40L</t>
  </si>
  <si>
    <t>A6M29L</t>
  </si>
  <si>
    <t>A6B29L</t>
  </si>
  <si>
    <t>A6B31L</t>
  </si>
  <si>
    <t>A6M22L</t>
  </si>
  <si>
    <t>A6B22L</t>
  </si>
  <si>
    <t>A6B43L</t>
  </si>
  <si>
    <t>A5B56L</t>
  </si>
  <si>
    <t>A6M43L</t>
  </si>
  <si>
    <t>A6M30L</t>
  </si>
  <si>
    <t>A6M55L</t>
  </si>
  <si>
    <t>A6B30L</t>
  </si>
  <si>
    <t>A5B55L</t>
  </si>
  <si>
    <t>A5B31L</t>
  </si>
  <si>
    <t>A5B54L</t>
  </si>
  <si>
    <t>A5M56L</t>
  </si>
  <si>
    <t>A6B24L</t>
  </si>
  <si>
    <t>A6B21L</t>
  </si>
  <si>
    <t>A6M21L</t>
  </si>
  <si>
    <t>A6B44L</t>
  </si>
  <si>
    <t>A6B33L</t>
  </si>
  <si>
    <t>A6B35L</t>
  </si>
  <si>
    <t>A6M24L</t>
  </si>
  <si>
    <t>A6B38L</t>
  </si>
  <si>
    <t>A6B36L</t>
  </si>
  <si>
    <t>A6M44L</t>
  </si>
  <si>
    <t>A6M36L</t>
  </si>
  <si>
    <t>A6M35L</t>
  </si>
  <si>
    <t>A6M38L</t>
  </si>
  <si>
    <t>A6M37L</t>
  </si>
  <si>
    <t>To TLT STB</t>
  </si>
  <si>
    <r>
      <rPr>
        <sz val="11"/>
        <rFont val="Calibri"/>
        <family val="2"/>
        <scheme val="minor"/>
      </rPr>
      <t xml:space="preserve">2. </t>
    </r>
    <r>
      <rPr>
        <sz val="11"/>
        <color rgb="FF008000"/>
        <rFont val="Calibri"/>
        <family val="2"/>
        <scheme val="minor"/>
      </rPr>
      <t xml:space="preserve">Unused </t>
    </r>
    <r>
      <rPr>
        <sz val="11"/>
        <rFont val="Calibri"/>
        <family val="2"/>
        <scheme val="minor"/>
      </rPr>
      <t>indicate Empty ports</t>
    </r>
  </si>
  <si>
    <t>Code</t>
  </si>
  <si>
    <t>Frame LNB Power Suppy -10.4.1.30</t>
  </si>
  <si>
    <t>SL No</t>
  </si>
  <si>
    <t>Input Cable from DA</t>
  </si>
  <si>
    <t>STB  OutPut</t>
  </si>
  <si>
    <t>Video</t>
  </si>
  <si>
    <t>Audio L</t>
  </si>
  <si>
    <t>Audio R</t>
  </si>
  <si>
    <t>A4M09L</t>
  </si>
  <si>
    <t>Star Jalsa</t>
  </si>
  <si>
    <t>Big Magic</t>
  </si>
  <si>
    <t>AXN</t>
  </si>
  <si>
    <t>Sony Mix</t>
  </si>
  <si>
    <t>Neo Prime</t>
  </si>
  <si>
    <t>Comedy Central</t>
  </si>
  <si>
    <t>Zee Bangla</t>
  </si>
  <si>
    <t>Zee News</t>
  </si>
  <si>
    <t>Zee Bangla Cinema</t>
  </si>
  <si>
    <t>History TV 18</t>
  </si>
  <si>
    <t>Nick Junior</t>
  </si>
  <si>
    <t>Sony Pix</t>
  </si>
  <si>
    <t>SAB TV</t>
  </si>
  <si>
    <t>STB Name/   Channel Name</t>
  </si>
  <si>
    <t>STBV04M</t>
  </si>
  <si>
    <t>STBV01M</t>
  </si>
  <si>
    <t>STBV02M</t>
  </si>
  <si>
    <t>STBV03M</t>
  </si>
  <si>
    <t>STBV02B</t>
  </si>
  <si>
    <t>STBV03B</t>
  </si>
  <si>
    <t>STBV05M</t>
  </si>
  <si>
    <t>STBV04B</t>
  </si>
  <si>
    <t>STBV05B</t>
  </si>
  <si>
    <t>STBV06B</t>
  </si>
  <si>
    <t>STBV07M</t>
  </si>
  <si>
    <t>STBV07B</t>
  </si>
  <si>
    <t>STBV01B</t>
  </si>
  <si>
    <t>A5M53L</t>
  </si>
  <si>
    <t>A5M55L</t>
  </si>
  <si>
    <t>Sony Aath</t>
  </si>
  <si>
    <t>Rishtey</t>
  </si>
  <si>
    <t>Discovery Kids</t>
  </si>
  <si>
    <t>Zoom</t>
  </si>
  <si>
    <t>Romedy Now</t>
  </si>
  <si>
    <t>Zee Khana Khazana</t>
  </si>
  <si>
    <t>Zee Marathi</t>
  </si>
  <si>
    <t>Discovery Tamil</t>
  </si>
  <si>
    <t>Movies Now SD</t>
  </si>
  <si>
    <t>Zee Telugu</t>
  </si>
  <si>
    <t>Zee Kannada</t>
  </si>
  <si>
    <t>Zee 24 Taas</t>
  </si>
  <si>
    <t>Zee 24 Ghanta</t>
  </si>
  <si>
    <t>Zee Kalinga</t>
  </si>
  <si>
    <t>STBV06M</t>
  </si>
  <si>
    <t>Cards No</t>
  </si>
  <si>
    <t>1B</t>
  </si>
  <si>
    <t>1A</t>
  </si>
  <si>
    <t>2A</t>
  </si>
  <si>
    <t>SDI OUT  - A</t>
  </si>
  <si>
    <t>SDI OUT  - B</t>
  </si>
  <si>
    <t>2B</t>
  </si>
  <si>
    <t>1. All AES In/Out ports are empty</t>
  </si>
  <si>
    <t>ANALOG INPUT from STB</t>
  </si>
  <si>
    <t>A4SD109M</t>
  </si>
  <si>
    <t>A4SD110M</t>
  </si>
  <si>
    <t>A4SD112M</t>
  </si>
  <si>
    <t>A4SD113M</t>
  </si>
  <si>
    <t>A4SD114M</t>
  </si>
  <si>
    <t>A4SD115M</t>
  </si>
  <si>
    <t>A4SD209B</t>
  </si>
  <si>
    <t>A4SD210B</t>
  </si>
  <si>
    <t>A4SD211B</t>
  </si>
  <si>
    <t>A4SD212B</t>
  </si>
  <si>
    <t>A4SD214B</t>
  </si>
  <si>
    <t>A4SD215B</t>
  </si>
  <si>
    <t>A4SD213B</t>
  </si>
  <si>
    <t>A5SD116M</t>
  </si>
  <si>
    <t>A5SD117M</t>
  </si>
  <si>
    <t>A5SD118M</t>
  </si>
  <si>
    <t>A5SD119M</t>
  </si>
  <si>
    <t>A5SD120M</t>
  </si>
  <si>
    <t>A5SD121M</t>
  </si>
  <si>
    <t>A5SD112M</t>
  </si>
  <si>
    <t>A5SD216B</t>
  </si>
  <si>
    <t>A4SD217B</t>
  </si>
  <si>
    <t>A4SD218B</t>
  </si>
  <si>
    <t>A5SD219B</t>
  </si>
  <si>
    <t>A4SD220B</t>
  </si>
  <si>
    <t>A5SD221B</t>
  </si>
  <si>
    <t>A4SD222B</t>
  </si>
  <si>
    <t>ADC-1 (IP 10.4.1.12)</t>
  </si>
  <si>
    <t>Distriution Amplifier 1 - (IP 10.4.1.40)</t>
  </si>
  <si>
    <t>Distriution Amplifier 1 (IP 10.4.1.41)</t>
  </si>
  <si>
    <t>Total No of unused ports</t>
  </si>
  <si>
    <t>Total no of unused ports</t>
  </si>
  <si>
    <r>
      <t xml:space="preserve">1. The </t>
    </r>
    <r>
      <rPr>
        <sz val="11"/>
        <color rgb="FF008000"/>
        <rFont val="Calibri"/>
        <family val="2"/>
        <scheme val="minor"/>
      </rPr>
      <t>Green</t>
    </r>
    <r>
      <rPr>
        <sz val="11"/>
        <color theme="1"/>
        <rFont val="Calibri"/>
        <family val="2"/>
        <scheme val="minor"/>
      </rPr>
      <t xml:space="preserve"> lable indicates - Free End cable</t>
    </r>
  </si>
  <si>
    <t>2. All clock SYNC ports are empty except main SYNC and Reff. sync on 7th card</t>
  </si>
  <si>
    <t>ADC -2 (IP 10.4.1.12) - IP switch 1-P18 (N0918)</t>
  </si>
  <si>
    <t>STB Name/      Channel Name</t>
  </si>
  <si>
    <r>
      <t>2. All clock SYNC ports are empty except main SYNC -</t>
    </r>
    <r>
      <rPr>
        <b/>
        <sz val="11"/>
        <color theme="1"/>
        <rFont val="Calibri"/>
        <family val="2"/>
        <scheme val="minor"/>
      </rPr>
      <t>SYNC07</t>
    </r>
  </si>
  <si>
    <t>SR. NO.</t>
  </si>
  <si>
    <t>CHANNEL NAME</t>
  </si>
  <si>
    <t>TS</t>
  </si>
  <si>
    <t>SOURCE</t>
  </si>
  <si>
    <t>Star Plus</t>
  </si>
  <si>
    <t>IPTV</t>
  </si>
  <si>
    <t>Dd National</t>
  </si>
  <si>
    <t>Dd Bharti</t>
  </si>
  <si>
    <t>Star Movies</t>
  </si>
  <si>
    <t>Star Sports 2</t>
  </si>
  <si>
    <t>Star Sports 4</t>
  </si>
  <si>
    <t>Aaj Tak</t>
  </si>
  <si>
    <t>Ibn 7</t>
  </si>
  <si>
    <t>Bbc World News</t>
  </si>
  <si>
    <t>Disney Xd</t>
  </si>
  <si>
    <t>Vh-1</t>
  </si>
  <si>
    <t>Polimer</t>
  </si>
  <si>
    <t>DR HE</t>
  </si>
  <si>
    <t>ETV Andhra Pradesh</t>
  </si>
  <si>
    <t>Maa Movies</t>
  </si>
  <si>
    <t>ETV Urdu</t>
  </si>
  <si>
    <t>Dd Urdu</t>
  </si>
  <si>
    <t>Mh-1 Shraddha</t>
  </si>
  <si>
    <t>Life Ok</t>
  </si>
  <si>
    <t>Star Sports 3</t>
  </si>
  <si>
    <t>Dd Sports</t>
  </si>
  <si>
    <t>FOCUS NEWS</t>
  </si>
  <si>
    <t>News Nation</t>
  </si>
  <si>
    <t>CNBC Awaaz</t>
  </si>
  <si>
    <t>Etv Rajasthan</t>
  </si>
  <si>
    <t>Et Now</t>
  </si>
  <si>
    <t>Kalaignar Tv</t>
  </si>
  <si>
    <t>Jaya Tv</t>
  </si>
  <si>
    <t>Siripoli</t>
  </si>
  <si>
    <t>DD Saptagiri/Yadagiri</t>
  </si>
  <si>
    <t>Maa Music</t>
  </si>
  <si>
    <t>Chardiklatime Tv</t>
  </si>
  <si>
    <t>Ptc ChakDe</t>
  </si>
  <si>
    <t>Tarang</t>
  </si>
  <si>
    <t>Tarang Music</t>
  </si>
  <si>
    <t>Zee Salaam</t>
  </si>
  <si>
    <t>Jinvani</t>
  </si>
  <si>
    <t>Aakash Aath</t>
  </si>
  <si>
    <t>Sangeet Bangla</t>
  </si>
  <si>
    <t>Kairali We</t>
  </si>
  <si>
    <t>AsiaNet News</t>
  </si>
  <si>
    <t>Kasturi</t>
  </si>
  <si>
    <t>Sony</t>
  </si>
  <si>
    <t>Bindass</t>
  </si>
  <si>
    <t>Star World</t>
  </si>
  <si>
    <t>Star Gold</t>
  </si>
  <si>
    <t>Utv Movies</t>
  </si>
  <si>
    <t>Star Sports 1</t>
  </si>
  <si>
    <t>Sony Six</t>
  </si>
  <si>
    <t>ETV Bihar</t>
  </si>
  <si>
    <t>Times Now</t>
  </si>
  <si>
    <t>Discovery</t>
  </si>
  <si>
    <t>Animal Planet</t>
  </si>
  <si>
    <t>Cartoon Network</t>
  </si>
  <si>
    <t>Nick</t>
  </si>
  <si>
    <t>Disney</t>
  </si>
  <si>
    <t>Mtv</t>
  </si>
  <si>
    <t>Etv Marathi</t>
  </si>
  <si>
    <t>Ptc News</t>
  </si>
  <si>
    <t>ETV Oriya</t>
  </si>
  <si>
    <t>Isai Aruvi</t>
  </si>
  <si>
    <t>News Time Assam</t>
  </si>
  <si>
    <t>Sadhna</t>
  </si>
  <si>
    <t>Adhaytam</t>
  </si>
  <si>
    <t>Aastha</t>
  </si>
  <si>
    <t>Sanskar</t>
  </si>
  <si>
    <t>Etv Bangla</t>
  </si>
  <si>
    <t>Star Jalsha</t>
  </si>
  <si>
    <t>News Time Bengla</t>
  </si>
  <si>
    <t>Star Cj alive</t>
  </si>
  <si>
    <t>Movies Now Sd</t>
  </si>
  <si>
    <t>Live india</t>
  </si>
  <si>
    <t>Cnbc Tv18</t>
  </si>
  <si>
    <t>Pogo</t>
  </si>
  <si>
    <t>Masti</t>
  </si>
  <si>
    <t>Puthu Yugam</t>
  </si>
  <si>
    <t>Vendhar Tv</t>
  </si>
  <si>
    <t>Vasanth</t>
  </si>
  <si>
    <t>Bhakti</t>
  </si>
  <si>
    <t>Mathrubhumi News</t>
  </si>
  <si>
    <t>Suvarna News</t>
  </si>
  <si>
    <t>Enterr10</t>
  </si>
  <si>
    <t>Max</t>
  </si>
  <si>
    <t>Neo Sports</t>
  </si>
  <si>
    <t>CNN-Ibn</t>
  </si>
  <si>
    <t>Headlines Today</t>
  </si>
  <si>
    <t>Sonic</t>
  </si>
  <si>
    <t>PTC Punjabi</t>
  </si>
  <si>
    <t>Otv</t>
  </si>
  <si>
    <t>Rupashi Bangla</t>
  </si>
  <si>
    <t>24 Ghanta</t>
  </si>
  <si>
    <t>Amrita Tv</t>
  </si>
  <si>
    <t>Manorama News</t>
  </si>
  <si>
    <t>Tv9 Kannada</t>
  </si>
  <si>
    <t>Sahara One</t>
  </si>
  <si>
    <t>Sahara Filmy</t>
  </si>
  <si>
    <t>Pix</t>
  </si>
  <si>
    <t>India Tv</t>
  </si>
  <si>
    <t>ETV UP</t>
  </si>
  <si>
    <t>ETV MP</t>
  </si>
  <si>
    <t>Dd News</t>
  </si>
  <si>
    <t>Loksabha Television</t>
  </si>
  <si>
    <t>Rajya Sabha Tv</t>
  </si>
  <si>
    <t>Utv Bloomberg</t>
  </si>
  <si>
    <t>Cnn</t>
  </si>
  <si>
    <t>Tlc</t>
  </si>
  <si>
    <t>Fox life</t>
  </si>
  <si>
    <t>Etc</t>
  </si>
  <si>
    <t>Makkal Tv</t>
  </si>
  <si>
    <t>Dd Podhigai</t>
  </si>
  <si>
    <t>Maa Tv</t>
  </si>
  <si>
    <t>Tv9 Telugu</t>
  </si>
  <si>
    <t>Maa Gold</t>
  </si>
  <si>
    <t>Dd Odia</t>
  </si>
  <si>
    <t>DD North East</t>
  </si>
  <si>
    <t>Dd Punjabi</t>
  </si>
  <si>
    <t>Disha Tv</t>
  </si>
  <si>
    <t>JaiHind</t>
  </si>
  <si>
    <t>Dd Malyalam</t>
  </si>
  <si>
    <t>Shalom</t>
  </si>
  <si>
    <t>Dd Chandana</t>
  </si>
  <si>
    <t>Public Tv</t>
  </si>
  <si>
    <t>Star Utsav</t>
  </si>
  <si>
    <t>Axn</t>
  </si>
  <si>
    <t>Utv Action</t>
  </si>
  <si>
    <t>Hbo</t>
  </si>
  <si>
    <t>Abp News</t>
  </si>
  <si>
    <t>Ibc 24</t>
  </si>
  <si>
    <t>Russia Today</t>
  </si>
  <si>
    <t>Puthiya Thalaimurai</t>
  </si>
  <si>
    <t>Eenadu TV</t>
  </si>
  <si>
    <t>MH-1</t>
  </si>
  <si>
    <t>DD Gujarati</t>
  </si>
  <si>
    <t>Tv9 Gujarati</t>
  </si>
  <si>
    <t>Kairali Tv</t>
  </si>
  <si>
    <t>Etv Kannada</t>
  </si>
  <si>
    <t>News X</t>
  </si>
  <si>
    <t>Telebrand(HBN)</t>
  </si>
  <si>
    <t>Zee Classic</t>
  </si>
  <si>
    <t>Ten Cricket</t>
  </si>
  <si>
    <t>Zee khana khazana</t>
  </si>
  <si>
    <t>Discovery Science</t>
  </si>
  <si>
    <t>Discovery Turbo</t>
  </si>
  <si>
    <t>History Tv 18 Sd</t>
  </si>
  <si>
    <t>ZEE telugu</t>
  </si>
  <si>
    <t>Zee 24 taas</t>
  </si>
  <si>
    <t>Zee bangla cinema</t>
  </si>
  <si>
    <t>Movies Now Hd</t>
  </si>
  <si>
    <t>Ngc Hd</t>
  </si>
  <si>
    <t>Zee Tv</t>
  </si>
  <si>
    <t>Colors</t>
  </si>
  <si>
    <t>Channel V</t>
  </si>
  <si>
    <t>Zee Cafe</t>
  </si>
  <si>
    <t>Zee Cinema</t>
  </si>
  <si>
    <t>Zee Action</t>
  </si>
  <si>
    <t>Zee Premier</t>
  </si>
  <si>
    <t>Zee Studio</t>
  </si>
  <si>
    <t>Ten Sports</t>
  </si>
  <si>
    <t>Ten Action</t>
  </si>
  <si>
    <t>Zee Business</t>
  </si>
  <si>
    <t>Murasu</t>
  </si>
  <si>
    <t>Kalaignar Seithigal</t>
  </si>
  <si>
    <t>Angel Tv</t>
  </si>
  <si>
    <t>Zee Punjabi</t>
  </si>
  <si>
    <t>Sri Sankara</t>
  </si>
  <si>
    <t>Sony 8</t>
  </si>
  <si>
    <t>National Geographic(NGC)</t>
  </si>
  <si>
    <t>Sl No.</t>
  </si>
  <si>
    <t>RF Patch Panel</t>
  </si>
  <si>
    <t>A6M31L</t>
  </si>
  <si>
    <t>A6B32</t>
  </si>
  <si>
    <t>A6B311L</t>
  </si>
  <si>
    <t>RF IN1</t>
  </si>
  <si>
    <t>RF IN2</t>
  </si>
  <si>
    <t>RF IN3</t>
  </si>
  <si>
    <t>RF IN4</t>
  </si>
  <si>
    <t>PVR 1M</t>
  </si>
  <si>
    <t>PVR 1R</t>
  </si>
  <si>
    <t>PVR 2M</t>
  </si>
  <si>
    <t>PVR 2R</t>
  </si>
  <si>
    <t>PVR 3M</t>
  </si>
  <si>
    <t>O/P Cable Name</t>
  </si>
  <si>
    <t>A6M3L</t>
  </si>
  <si>
    <t>F0005 /PVR1/R  /RF IN1</t>
  </si>
  <si>
    <t>F0006 /PVR1/R  /RF IN2</t>
  </si>
  <si>
    <t>F0007 /PVR1/R  /RF IN3</t>
  </si>
  <si>
    <t>F0008 /PVR1/R  /RF IN4</t>
  </si>
  <si>
    <t>F0021 /PVR3/R /RF IN1</t>
  </si>
  <si>
    <t>F0022 /PVR3/R /RF IN2</t>
  </si>
  <si>
    <t>F0023 /PVR3/R /RF IN3</t>
  </si>
  <si>
    <t>F0024 /PVR3/R /RF IN4</t>
  </si>
  <si>
    <r>
      <rPr>
        <b/>
        <sz val="11"/>
        <color theme="1"/>
        <rFont val="Calibri"/>
        <family val="2"/>
        <scheme val="minor"/>
      </rPr>
      <t>F0005</t>
    </r>
    <r>
      <rPr>
        <sz val="11"/>
        <color theme="1"/>
        <rFont val="Calibri"/>
        <family val="2"/>
        <scheme val="minor"/>
      </rPr>
      <t xml:space="preserve"> /PVR1/R  /RF IN1</t>
    </r>
  </si>
  <si>
    <r>
      <rPr>
        <b/>
        <sz val="11"/>
        <color theme="1"/>
        <rFont val="Calibri"/>
        <family val="2"/>
        <scheme val="minor"/>
      </rPr>
      <t xml:space="preserve">F0006 </t>
    </r>
    <r>
      <rPr>
        <sz val="11"/>
        <color theme="1"/>
        <rFont val="Calibri"/>
        <family val="2"/>
        <scheme val="minor"/>
      </rPr>
      <t>/PVR1/R  /RF IN2</t>
    </r>
  </si>
  <si>
    <r>
      <rPr>
        <b/>
        <sz val="11"/>
        <color theme="1"/>
        <rFont val="Calibri"/>
        <family val="2"/>
        <scheme val="minor"/>
      </rPr>
      <t>F0007</t>
    </r>
    <r>
      <rPr>
        <sz val="11"/>
        <color theme="1"/>
        <rFont val="Calibri"/>
        <family val="2"/>
        <scheme val="minor"/>
      </rPr>
      <t xml:space="preserve"> /PVR1/R  /RF IN3</t>
    </r>
  </si>
  <si>
    <r>
      <rPr>
        <b/>
        <sz val="11"/>
        <color theme="1"/>
        <rFont val="Calibri"/>
        <family val="2"/>
        <scheme val="minor"/>
      </rPr>
      <t>F0008</t>
    </r>
    <r>
      <rPr>
        <sz val="11"/>
        <color theme="1"/>
        <rFont val="Calibri"/>
        <family val="2"/>
        <scheme val="minor"/>
      </rPr>
      <t xml:space="preserve"> /PVR1/R  /RF IN4</t>
    </r>
  </si>
  <si>
    <r>
      <rPr>
        <b/>
        <sz val="11"/>
        <color theme="1"/>
        <rFont val="Calibri"/>
        <family val="2"/>
        <scheme val="minor"/>
      </rPr>
      <t>F0021</t>
    </r>
    <r>
      <rPr>
        <sz val="11"/>
        <color theme="1"/>
        <rFont val="Calibri"/>
        <family val="2"/>
        <scheme val="minor"/>
      </rPr>
      <t xml:space="preserve"> /PVR3/R /RF IN1</t>
    </r>
  </si>
  <si>
    <r>
      <rPr>
        <b/>
        <sz val="11"/>
        <color theme="1"/>
        <rFont val="Calibri"/>
        <family val="2"/>
        <scheme val="minor"/>
      </rPr>
      <t>F0022</t>
    </r>
    <r>
      <rPr>
        <sz val="11"/>
        <color theme="1"/>
        <rFont val="Calibri"/>
        <family val="2"/>
        <scheme val="minor"/>
      </rPr>
      <t xml:space="preserve"> /PVR3/R /RF IN2</t>
    </r>
  </si>
  <si>
    <r>
      <rPr>
        <b/>
        <sz val="11"/>
        <color theme="1"/>
        <rFont val="Calibri"/>
        <family val="2"/>
        <scheme val="minor"/>
      </rPr>
      <t>F0023</t>
    </r>
    <r>
      <rPr>
        <sz val="11"/>
        <color theme="1"/>
        <rFont val="Calibri"/>
        <family val="2"/>
        <scheme val="minor"/>
      </rPr>
      <t xml:space="preserve"> /PVR3/R /RF IN3</t>
    </r>
  </si>
  <si>
    <r>
      <rPr>
        <b/>
        <sz val="11"/>
        <color theme="1"/>
        <rFont val="Calibri"/>
        <family val="2"/>
        <scheme val="minor"/>
      </rPr>
      <t>F0024</t>
    </r>
    <r>
      <rPr>
        <sz val="11"/>
        <color theme="1"/>
        <rFont val="Calibri"/>
        <family val="2"/>
        <scheme val="minor"/>
      </rPr>
      <t xml:space="preserve"> /PVR3/R /RF IN4</t>
    </r>
  </si>
  <si>
    <t>A6B34L</t>
  </si>
  <si>
    <t>A6B37L</t>
  </si>
  <si>
    <t>A6B39L</t>
  </si>
  <si>
    <t>A6M33L</t>
  </si>
  <si>
    <r>
      <rPr>
        <b/>
        <sz val="11"/>
        <color theme="1"/>
        <rFont val="Calibri"/>
        <family val="2"/>
        <scheme val="minor"/>
      </rPr>
      <t>F0001</t>
    </r>
    <r>
      <rPr>
        <sz val="11"/>
        <color theme="1"/>
        <rFont val="Calibri"/>
        <family val="2"/>
        <scheme val="minor"/>
      </rPr>
      <t xml:space="preserve"> /PVR1 RF IN1</t>
    </r>
  </si>
  <si>
    <r>
      <rPr>
        <b/>
        <sz val="11"/>
        <color theme="1"/>
        <rFont val="Calibri"/>
        <family val="2"/>
        <scheme val="minor"/>
      </rPr>
      <t>F0002</t>
    </r>
    <r>
      <rPr>
        <sz val="11"/>
        <color theme="1"/>
        <rFont val="Calibri"/>
        <family val="2"/>
        <scheme val="minor"/>
      </rPr>
      <t xml:space="preserve"> /PVR1 RF IN2</t>
    </r>
  </si>
  <si>
    <r>
      <rPr>
        <b/>
        <sz val="11"/>
        <color theme="1"/>
        <rFont val="Calibri"/>
        <family val="2"/>
        <scheme val="minor"/>
      </rPr>
      <t>F0003</t>
    </r>
    <r>
      <rPr>
        <sz val="11"/>
        <color theme="1"/>
        <rFont val="Calibri"/>
        <family val="2"/>
        <scheme val="minor"/>
      </rPr>
      <t xml:space="preserve"> /PVR1 RF IN3</t>
    </r>
  </si>
  <si>
    <r>
      <rPr>
        <b/>
        <sz val="11"/>
        <color theme="1"/>
        <rFont val="Calibri"/>
        <family val="2"/>
        <scheme val="minor"/>
      </rPr>
      <t>F0004</t>
    </r>
    <r>
      <rPr>
        <sz val="11"/>
        <color theme="1"/>
        <rFont val="Calibri"/>
        <family val="2"/>
        <scheme val="minor"/>
      </rPr>
      <t xml:space="preserve"> /PVR1 RF IN4</t>
    </r>
  </si>
  <si>
    <r>
      <rPr>
        <b/>
        <sz val="11"/>
        <color theme="1"/>
        <rFont val="Calibri"/>
        <family val="2"/>
        <scheme val="minor"/>
      </rPr>
      <t>F0009</t>
    </r>
    <r>
      <rPr>
        <sz val="11"/>
        <color theme="1"/>
        <rFont val="Calibri"/>
        <family val="2"/>
        <scheme val="minor"/>
      </rPr>
      <t xml:space="preserve"> /PVR2 RF IN1</t>
    </r>
  </si>
  <si>
    <r>
      <rPr>
        <b/>
        <sz val="11"/>
        <color theme="1"/>
        <rFont val="Calibri"/>
        <family val="2"/>
        <scheme val="minor"/>
      </rPr>
      <t>F0010</t>
    </r>
    <r>
      <rPr>
        <sz val="11"/>
        <color theme="1"/>
        <rFont val="Calibri"/>
        <family val="2"/>
        <scheme val="minor"/>
      </rPr>
      <t xml:space="preserve"> /PVR2 RF IN2</t>
    </r>
  </si>
  <si>
    <r>
      <rPr>
        <b/>
        <sz val="11"/>
        <color theme="1"/>
        <rFont val="Calibri"/>
        <family val="2"/>
        <scheme val="minor"/>
      </rPr>
      <t>F0011</t>
    </r>
    <r>
      <rPr>
        <sz val="11"/>
        <color theme="1"/>
        <rFont val="Calibri"/>
        <family val="2"/>
        <scheme val="minor"/>
      </rPr>
      <t xml:space="preserve"> /PVR2 RF IN3</t>
    </r>
  </si>
  <si>
    <r>
      <rPr>
        <b/>
        <sz val="11"/>
        <color theme="1"/>
        <rFont val="Calibri"/>
        <family val="2"/>
        <scheme val="minor"/>
      </rPr>
      <t>F0012</t>
    </r>
    <r>
      <rPr>
        <sz val="11"/>
        <color theme="1"/>
        <rFont val="Calibri"/>
        <family val="2"/>
        <scheme val="minor"/>
      </rPr>
      <t xml:space="preserve"> /PVR2 RF IN4</t>
    </r>
  </si>
  <si>
    <r>
      <rPr>
        <b/>
        <sz val="11"/>
        <color theme="1"/>
        <rFont val="Calibri"/>
        <family val="2"/>
        <scheme val="minor"/>
      </rPr>
      <t xml:space="preserve">F0013 </t>
    </r>
    <r>
      <rPr>
        <sz val="11"/>
        <color theme="1"/>
        <rFont val="Calibri"/>
        <family val="2"/>
        <scheme val="minor"/>
      </rPr>
      <t>/PVR2/R RF IN1</t>
    </r>
  </si>
  <si>
    <r>
      <rPr>
        <b/>
        <sz val="11"/>
        <color theme="1"/>
        <rFont val="Calibri"/>
        <family val="2"/>
        <scheme val="minor"/>
      </rPr>
      <t>F0014</t>
    </r>
    <r>
      <rPr>
        <sz val="11"/>
        <color theme="1"/>
        <rFont val="Calibri"/>
        <family val="2"/>
        <scheme val="minor"/>
      </rPr>
      <t xml:space="preserve"> /PVR2/R RF IN2</t>
    </r>
  </si>
  <si>
    <r>
      <rPr>
        <b/>
        <sz val="11"/>
        <color theme="1"/>
        <rFont val="Calibri"/>
        <family val="2"/>
        <scheme val="minor"/>
      </rPr>
      <t>F0015</t>
    </r>
    <r>
      <rPr>
        <sz val="11"/>
        <color theme="1"/>
        <rFont val="Calibri"/>
        <family val="2"/>
        <scheme val="minor"/>
      </rPr>
      <t xml:space="preserve"> /PVR2/R RF IN3</t>
    </r>
  </si>
  <si>
    <r>
      <rPr>
        <b/>
        <sz val="11"/>
        <color theme="1"/>
        <rFont val="Calibri"/>
        <family val="2"/>
        <scheme val="minor"/>
      </rPr>
      <t>F0016</t>
    </r>
    <r>
      <rPr>
        <sz val="11"/>
        <color theme="1"/>
        <rFont val="Calibri"/>
        <family val="2"/>
        <scheme val="minor"/>
      </rPr>
      <t xml:space="preserve"> /PVR2/R RF IN4</t>
    </r>
  </si>
  <si>
    <r>
      <rPr>
        <b/>
        <sz val="11"/>
        <color theme="1"/>
        <rFont val="Calibri"/>
        <family val="2"/>
        <scheme val="minor"/>
      </rPr>
      <t>F0017</t>
    </r>
    <r>
      <rPr>
        <sz val="11"/>
        <color theme="1"/>
        <rFont val="Calibri"/>
        <family val="2"/>
        <scheme val="minor"/>
      </rPr>
      <t xml:space="preserve"> /PVR3 RF IN1</t>
    </r>
  </si>
  <si>
    <r>
      <rPr>
        <b/>
        <sz val="11"/>
        <color theme="1"/>
        <rFont val="Calibri"/>
        <family val="2"/>
        <scheme val="minor"/>
      </rPr>
      <t>F0018</t>
    </r>
    <r>
      <rPr>
        <sz val="11"/>
        <color theme="1"/>
        <rFont val="Calibri"/>
        <family val="2"/>
        <scheme val="minor"/>
      </rPr>
      <t xml:space="preserve"> /PVR3 RF IN2</t>
    </r>
  </si>
  <si>
    <r>
      <rPr>
        <b/>
        <sz val="11"/>
        <color theme="1"/>
        <rFont val="Calibri"/>
        <family val="2"/>
        <scheme val="minor"/>
      </rPr>
      <t>F0019</t>
    </r>
    <r>
      <rPr>
        <sz val="11"/>
        <color theme="1"/>
        <rFont val="Calibri"/>
        <family val="2"/>
        <scheme val="minor"/>
      </rPr>
      <t xml:space="preserve"> /PVR3 RF IN3</t>
    </r>
  </si>
  <si>
    <r>
      <rPr>
        <b/>
        <sz val="11"/>
        <color theme="1"/>
        <rFont val="Calibri"/>
        <family val="2"/>
        <scheme val="minor"/>
      </rPr>
      <t>F0020</t>
    </r>
    <r>
      <rPr>
        <sz val="11"/>
        <color theme="1"/>
        <rFont val="Calibri"/>
        <family val="2"/>
        <scheme val="minor"/>
      </rPr>
      <t xml:space="preserve"> /PVR3 RF IN4</t>
    </r>
  </si>
  <si>
    <t>F0001 /PVR4 RF IN1</t>
  </si>
  <si>
    <t>F0002 /PVR4 RF IN2</t>
  </si>
  <si>
    <t>F0003 /PVR4 RF IN3</t>
  </si>
  <si>
    <t>F0004 /PVR4 RF IN4</t>
  </si>
  <si>
    <t>F0005 /PVR4/R RF IN1</t>
  </si>
  <si>
    <t>F0006 /PVR4/R RF IN2</t>
  </si>
  <si>
    <t>F0007 /PVR4/R RF IN3</t>
  </si>
  <si>
    <t>F0008 /PVR4/R RF IN4</t>
  </si>
  <si>
    <t>F0009 /PVR5 RF IN1</t>
  </si>
  <si>
    <t>F0010 /PVR5 RF IN2</t>
  </si>
  <si>
    <t>F0011 /PVR5 RF IN3</t>
  </si>
  <si>
    <t>F0012 /PVR5 RF IN4</t>
  </si>
  <si>
    <t>F0013 /PVR5/R RF IN1</t>
  </si>
  <si>
    <t>F0014 /PVR5/R RF IN2</t>
  </si>
  <si>
    <t>F0015 /PVR5/R RF IN3</t>
  </si>
  <si>
    <t>F0016 /PVR5/R RF IN4</t>
  </si>
  <si>
    <t>F0017 /PVR6 RF IN1</t>
  </si>
  <si>
    <t>F0018 /PVR6 RF IN2</t>
  </si>
  <si>
    <t>F0019 /PVR6 RF IN3</t>
  </si>
  <si>
    <t>F0020 /PVR6 RF IN4</t>
  </si>
  <si>
    <t>F0021 /PVR6/R RF IN1</t>
  </si>
  <si>
    <t>F0022 /PVR6/R RF IN2</t>
  </si>
  <si>
    <t>F0023 /PVR6/R RF IN3</t>
  </si>
  <si>
    <t>F0024 /PVR6/R RF IN4</t>
  </si>
  <si>
    <r>
      <rPr>
        <b/>
        <sz val="11"/>
        <color theme="1"/>
        <rFont val="Calibri"/>
        <family val="2"/>
        <scheme val="minor"/>
      </rPr>
      <t>F0001</t>
    </r>
    <r>
      <rPr>
        <sz val="11"/>
        <color theme="1"/>
        <rFont val="Calibri"/>
        <family val="2"/>
        <scheme val="minor"/>
      </rPr>
      <t xml:space="preserve"> /PVR4 RF IN1</t>
    </r>
  </si>
  <si>
    <r>
      <rPr>
        <b/>
        <sz val="11"/>
        <color theme="1"/>
        <rFont val="Calibri"/>
        <family val="2"/>
        <scheme val="minor"/>
      </rPr>
      <t>F0002</t>
    </r>
    <r>
      <rPr>
        <sz val="11"/>
        <color theme="1"/>
        <rFont val="Calibri"/>
        <family val="2"/>
        <scheme val="minor"/>
      </rPr>
      <t xml:space="preserve"> /PVR4 RF IN2</t>
    </r>
  </si>
  <si>
    <r>
      <rPr>
        <b/>
        <sz val="11"/>
        <color theme="1"/>
        <rFont val="Calibri"/>
        <family val="2"/>
        <scheme val="minor"/>
      </rPr>
      <t>F0003</t>
    </r>
    <r>
      <rPr>
        <sz val="11"/>
        <color theme="1"/>
        <rFont val="Calibri"/>
        <family val="2"/>
        <scheme val="minor"/>
      </rPr>
      <t xml:space="preserve"> /PVR4 RF IN3</t>
    </r>
  </si>
  <si>
    <r>
      <rPr>
        <b/>
        <sz val="11"/>
        <color theme="1"/>
        <rFont val="Calibri"/>
        <family val="2"/>
        <scheme val="minor"/>
      </rPr>
      <t>F0004</t>
    </r>
    <r>
      <rPr>
        <sz val="11"/>
        <color theme="1"/>
        <rFont val="Calibri"/>
        <family val="2"/>
        <scheme val="minor"/>
      </rPr>
      <t xml:space="preserve"> /PVR4 RF IN4</t>
    </r>
  </si>
  <si>
    <r>
      <rPr>
        <b/>
        <sz val="11"/>
        <color theme="1"/>
        <rFont val="Calibri"/>
        <family val="2"/>
        <scheme val="minor"/>
      </rPr>
      <t>F0005</t>
    </r>
    <r>
      <rPr>
        <sz val="11"/>
        <color theme="1"/>
        <rFont val="Calibri"/>
        <family val="2"/>
        <scheme val="minor"/>
      </rPr>
      <t xml:space="preserve"> /PVR4/R RF IN1</t>
    </r>
  </si>
  <si>
    <r>
      <rPr>
        <b/>
        <sz val="11"/>
        <color theme="1"/>
        <rFont val="Calibri"/>
        <family val="2"/>
        <scheme val="minor"/>
      </rPr>
      <t>F0006</t>
    </r>
    <r>
      <rPr>
        <sz val="11"/>
        <color theme="1"/>
        <rFont val="Calibri"/>
        <family val="2"/>
        <scheme val="minor"/>
      </rPr>
      <t xml:space="preserve"> /PVR4/R RF IN2</t>
    </r>
  </si>
  <si>
    <r>
      <rPr>
        <b/>
        <sz val="11"/>
        <color theme="1"/>
        <rFont val="Calibri"/>
        <family val="2"/>
        <scheme val="minor"/>
      </rPr>
      <t>F0007</t>
    </r>
    <r>
      <rPr>
        <sz val="11"/>
        <color theme="1"/>
        <rFont val="Calibri"/>
        <family val="2"/>
        <scheme val="minor"/>
      </rPr>
      <t xml:space="preserve"> /PVR4/R RF IN3</t>
    </r>
  </si>
  <si>
    <r>
      <rPr>
        <b/>
        <sz val="11"/>
        <color theme="1"/>
        <rFont val="Calibri"/>
        <family val="2"/>
        <scheme val="minor"/>
      </rPr>
      <t>F0008</t>
    </r>
    <r>
      <rPr>
        <sz val="11"/>
        <color theme="1"/>
        <rFont val="Calibri"/>
        <family val="2"/>
        <scheme val="minor"/>
      </rPr>
      <t xml:space="preserve"> /PVR4/R RF IN4</t>
    </r>
  </si>
  <si>
    <r>
      <rPr>
        <b/>
        <sz val="11"/>
        <color theme="1"/>
        <rFont val="Calibri"/>
        <family val="2"/>
        <scheme val="minor"/>
      </rPr>
      <t>F0009</t>
    </r>
    <r>
      <rPr>
        <sz val="11"/>
        <color theme="1"/>
        <rFont val="Calibri"/>
        <family val="2"/>
        <scheme val="minor"/>
      </rPr>
      <t xml:space="preserve"> /PVR5 RF IN1</t>
    </r>
  </si>
  <si>
    <r>
      <rPr>
        <b/>
        <sz val="11"/>
        <color theme="1"/>
        <rFont val="Calibri"/>
        <family val="2"/>
        <scheme val="minor"/>
      </rPr>
      <t>F0010</t>
    </r>
    <r>
      <rPr>
        <sz val="11"/>
        <color theme="1"/>
        <rFont val="Calibri"/>
        <family val="2"/>
        <scheme val="minor"/>
      </rPr>
      <t xml:space="preserve"> /PVR5 RF IN2</t>
    </r>
  </si>
  <si>
    <r>
      <rPr>
        <b/>
        <sz val="11"/>
        <color theme="1"/>
        <rFont val="Calibri"/>
        <family val="2"/>
        <scheme val="minor"/>
      </rPr>
      <t>F0011</t>
    </r>
    <r>
      <rPr>
        <sz val="11"/>
        <color theme="1"/>
        <rFont val="Calibri"/>
        <family val="2"/>
        <scheme val="minor"/>
      </rPr>
      <t xml:space="preserve"> /PVR5 RF IN3</t>
    </r>
  </si>
  <si>
    <r>
      <rPr>
        <b/>
        <sz val="11"/>
        <color theme="1"/>
        <rFont val="Calibri"/>
        <family val="2"/>
        <scheme val="minor"/>
      </rPr>
      <t>F0012</t>
    </r>
    <r>
      <rPr>
        <sz val="11"/>
        <color theme="1"/>
        <rFont val="Calibri"/>
        <family val="2"/>
        <scheme val="minor"/>
      </rPr>
      <t xml:space="preserve"> /PVR5 RF IN4</t>
    </r>
  </si>
  <si>
    <r>
      <rPr>
        <b/>
        <sz val="11"/>
        <color theme="1"/>
        <rFont val="Calibri"/>
        <family val="2"/>
        <scheme val="minor"/>
      </rPr>
      <t>F0013</t>
    </r>
    <r>
      <rPr>
        <sz val="11"/>
        <color theme="1"/>
        <rFont val="Calibri"/>
        <family val="2"/>
        <scheme val="minor"/>
      </rPr>
      <t xml:space="preserve"> /PVR5/R RF IN1</t>
    </r>
  </si>
  <si>
    <r>
      <rPr>
        <b/>
        <sz val="11"/>
        <color theme="1"/>
        <rFont val="Calibri"/>
        <family val="2"/>
        <scheme val="minor"/>
      </rPr>
      <t>F0014</t>
    </r>
    <r>
      <rPr>
        <sz val="11"/>
        <color theme="1"/>
        <rFont val="Calibri"/>
        <family val="2"/>
        <scheme val="minor"/>
      </rPr>
      <t xml:space="preserve"> /PVR5/R RF IN2</t>
    </r>
  </si>
  <si>
    <r>
      <rPr>
        <b/>
        <sz val="11"/>
        <color theme="1"/>
        <rFont val="Calibri"/>
        <family val="2"/>
        <scheme val="minor"/>
      </rPr>
      <t>F0015</t>
    </r>
    <r>
      <rPr>
        <sz val="11"/>
        <color theme="1"/>
        <rFont val="Calibri"/>
        <family val="2"/>
        <scheme val="minor"/>
      </rPr>
      <t xml:space="preserve"> /PVR5/R RF IN3</t>
    </r>
  </si>
  <si>
    <r>
      <rPr>
        <b/>
        <sz val="11"/>
        <color theme="1"/>
        <rFont val="Calibri"/>
        <family val="2"/>
        <scheme val="minor"/>
      </rPr>
      <t>F0016</t>
    </r>
    <r>
      <rPr>
        <sz val="11"/>
        <color theme="1"/>
        <rFont val="Calibri"/>
        <family val="2"/>
        <scheme val="minor"/>
      </rPr>
      <t xml:space="preserve"> /PVR5/R RF IN4</t>
    </r>
  </si>
  <si>
    <r>
      <rPr>
        <b/>
        <sz val="11"/>
        <color theme="1"/>
        <rFont val="Calibri"/>
        <family val="2"/>
        <scheme val="minor"/>
      </rPr>
      <t>F0017</t>
    </r>
    <r>
      <rPr>
        <sz val="11"/>
        <color theme="1"/>
        <rFont val="Calibri"/>
        <family val="2"/>
        <scheme val="minor"/>
      </rPr>
      <t xml:space="preserve"> /PVR6 RF IN1</t>
    </r>
  </si>
  <si>
    <r>
      <rPr>
        <b/>
        <sz val="11"/>
        <color theme="1"/>
        <rFont val="Calibri"/>
        <family val="2"/>
        <scheme val="minor"/>
      </rPr>
      <t>F0018</t>
    </r>
    <r>
      <rPr>
        <sz val="11"/>
        <color theme="1"/>
        <rFont val="Calibri"/>
        <family val="2"/>
        <scheme val="minor"/>
      </rPr>
      <t xml:space="preserve"> /PVR6 RF IN2</t>
    </r>
  </si>
  <si>
    <r>
      <rPr>
        <b/>
        <sz val="11"/>
        <color theme="1"/>
        <rFont val="Calibri"/>
        <family val="2"/>
        <scheme val="minor"/>
      </rPr>
      <t>F0019</t>
    </r>
    <r>
      <rPr>
        <sz val="11"/>
        <color theme="1"/>
        <rFont val="Calibri"/>
        <family val="2"/>
        <scheme val="minor"/>
      </rPr>
      <t xml:space="preserve"> /PVR6 RF IN3</t>
    </r>
  </si>
  <si>
    <r>
      <rPr>
        <b/>
        <sz val="11"/>
        <color theme="1"/>
        <rFont val="Calibri"/>
        <family val="2"/>
        <scheme val="minor"/>
      </rPr>
      <t>F0020</t>
    </r>
    <r>
      <rPr>
        <sz val="11"/>
        <color theme="1"/>
        <rFont val="Calibri"/>
        <family val="2"/>
        <scheme val="minor"/>
      </rPr>
      <t xml:space="preserve"> /PVR6 RF IN4</t>
    </r>
  </si>
  <si>
    <r>
      <rPr>
        <b/>
        <sz val="11"/>
        <color theme="1"/>
        <rFont val="Calibri"/>
        <family val="2"/>
        <scheme val="minor"/>
      </rPr>
      <t>F0021</t>
    </r>
    <r>
      <rPr>
        <sz val="11"/>
        <color theme="1"/>
        <rFont val="Calibri"/>
        <family val="2"/>
        <scheme val="minor"/>
      </rPr>
      <t xml:space="preserve"> /PVR6/R RF IN1</t>
    </r>
  </si>
  <si>
    <r>
      <rPr>
        <b/>
        <sz val="11"/>
        <color theme="1"/>
        <rFont val="Calibri"/>
        <family val="2"/>
        <scheme val="minor"/>
      </rPr>
      <t>F0022</t>
    </r>
    <r>
      <rPr>
        <sz val="11"/>
        <color theme="1"/>
        <rFont val="Calibri"/>
        <family val="2"/>
        <scheme val="minor"/>
      </rPr>
      <t xml:space="preserve"> /PVR6/R RF IN2</t>
    </r>
  </si>
  <si>
    <r>
      <rPr>
        <b/>
        <sz val="11"/>
        <color theme="1"/>
        <rFont val="Calibri"/>
        <family val="2"/>
        <scheme val="minor"/>
      </rPr>
      <t>F0023</t>
    </r>
    <r>
      <rPr>
        <sz val="11"/>
        <color theme="1"/>
        <rFont val="Calibri"/>
        <family val="2"/>
        <scheme val="minor"/>
      </rPr>
      <t xml:space="preserve"> /PVR6/R RF IN3</t>
    </r>
  </si>
  <si>
    <r>
      <rPr>
        <b/>
        <sz val="11"/>
        <color theme="1"/>
        <rFont val="Calibri"/>
        <family val="2"/>
        <scheme val="minor"/>
      </rPr>
      <t>F0024</t>
    </r>
    <r>
      <rPr>
        <sz val="11"/>
        <color theme="1"/>
        <rFont val="Calibri"/>
        <family val="2"/>
        <scheme val="minor"/>
      </rPr>
      <t xml:space="preserve"> /PVR6/R RF IN4</t>
    </r>
  </si>
  <si>
    <r>
      <rPr>
        <b/>
        <sz val="11"/>
        <color rgb="FFFF0000"/>
        <rFont val="Calibri"/>
        <family val="2"/>
        <scheme val="minor"/>
      </rPr>
      <t>RFTP 1</t>
    </r>
    <r>
      <rPr>
        <sz val="11"/>
        <color theme="1"/>
        <rFont val="Calibri"/>
        <family val="2"/>
        <scheme val="minor"/>
      </rPr>
      <t xml:space="preserve"> 24 Port</t>
    </r>
  </si>
  <si>
    <r>
      <rPr>
        <b/>
        <sz val="11"/>
        <color rgb="FFFF0000"/>
        <rFont val="Calibri"/>
        <family val="2"/>
        <scheme val="minor"/>
      </rPr>
      <t>RFTP 2</t>
    </r>
    <r>
      <rPr>
        <sz val="11"/>
        <color theme="1"/>
        <rFont val="Calibri"/>
        <family val="2"/>
        <scheme val="minor"/>
      </rPr>
      <t xml:space="preserve"> 24 Port</t>
    </r>
  </si>
  <si>
    <t>Port Lable</t>
  </si>
  <si>
    <t>F0001 /PVR1 RF IN1</t>
  </si>
  <si>
    <t>F0002 /PVR1 RF IN2</t>
  </si>
  <si>
    <t>F0003 /PVR1 RF IN3</t>
  </si>
  <si>
    <t>F0004 /PVR1 RF IN4</t>
  </si>
  <si>
    <t>F0009 /PVR2 RF IN1</t>
  </si>
  <si>
    <t>F0010 /PVR2 RF IN2</t>
  </si>
  <si>
    <t>F0011 /PVR2 RF IN3</t>
  </si>
  <si>
    <t>F0012 /PVR2 RF IN4</t>
  </si>
  <si>
    <t>F0013 /PVR2/R RF IN1</t>
  </si>
  <si>
    <t>F0014 /PVR2/R RF IN2</t>
  </si>
  <si>
    <t>F0015 /PVR2/R RF IN3</t>
  </si>
  <si>
    <t>F0016 /PVR2/R RF IN4</t>
  </si>
  <si>
    <t>F0017 /PVR3 RF IN1</t>
  </si>
  <si>
    <t>F0018 /PVR3 RF IN2</t>
  </si>
  <si>
    <t>F0019 /PVR3 RF IN3</t>
  </si>
  <si>
    <t>F0020 /PVR3 RF IN4</t>
  </si>
  <si>
    <t>Cable Lable</t>
  </si>
  <si>
    <t>SL No.</t>
  </si>
  <si>
    <t>Device Name</t>
  </si>
  <si>
    <t>RF I/P Port Lable</t>
  </si>
  <si>
    <t>RF1</t>
  </si>
  <si>
    <t>RF2</t>
  </si>
  <si>
    <t>RF3</t>
  </si>
  <si>
    <t>RF4</t>
  </si>
  <si>
    <t>PVR 3R</t>
  </si>
  <si>
    <t>PVR 4M</t>
  </si>
  <si>
    <t>PVR 5M</t>
  </si>
  <si>
    <t>PVR 6M</t>
  </si>
  <si>
    <t>I/P Cable Name</t>
  </si>
  <si>
    <t>RF Inputs</t>
  </si>
  <si>
    <t>IP output</t>
  </si>
  <si>
    <t>Control Cable Nane</t>
  </si>
  <si>
    <t>Data Cable Name</t>
  </si>
  <si>
    <t>MGSW1-P1-N0601</t>
  </si>
  <si>
    <t>MGSW1-P2-N0602</t>
  </si>
  <si>
    <t>MGSW1-P3-N0603</t>
  </si>
  <si>
    <t>MGSW1-P5-N0605</t>
  </si>
  <si>
    <t>MGSW1-P6-N0604</t>
  </si>
  <si>
    <t>MGSW1-P7-N0606</t>
  </si>
  <si>
    <t>MGSW1-P8-N0607</t>
  </si>
  <si>
    <t>MGSW1-P9-N0608</t>
  </si>
  <si>
    <t>MGSW1-P10-N0609</t>
  </si>
  <si>
    <t>MGSW1-P11-N0610</t>
  </si>
  <si>
    <t>MGSW1-P12-N0611</t>
  </si>
  <si>
    <t>MGSW1-P13-N0612</t>
  </si>
  <si>
    <t>IPSW2-P2-N752</t>
  </si>
  <si>
    <t>IPSW1-P1-N0701</t>
  </si>
  <si>
    <t>IPSW2-P1-N0751</t>
  </si>
  <si>
    <t>IPSW1-P2-N0702</t>
  </si>
  <si>
    <t>IPSW1-P3-N0703</t>
  </si>
  <si>
    <t>IPSW2-P3-N0753</t>
  </si>
  <si>
    <t>IPSW6-P15-N0965</t>
  </si>
  <si>
    <t>IPSW2-P4-N754</t>
  </si>
  <si>
    <t>IPSW6-P19-N0971</t>
  </si>
  <si>
    <t>IPSW2-P5-N0755</t>
  </si>
  <si>
    <t>IPSW1-P6-N0706</t>
  </si>
  <si>
    <t>IPSW2-P6-N0756</t>
  </si>
  <si>
    <t>No device (PVR 4R)</t>
  </si>
  <si>
    <t>No device  (PVR 5R)</t>
  </si>
  <si>
    <t>No device  (PVR 6R)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</si>
</sst>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5" tint="0.3999755851924192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5" tint="-0.499984740745262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7030A0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rgb="FF008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</fills>
  <borders count="7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/>
      <bottom/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4">
    <xf numFmtId="0" fontId="0" fillId="0" borderId="0"/>
    <xf numFmtId="0" fontId="18" fillId="4" borderId="0" applyNumberFormat="0" applyBorder="0" applyAlignment="0" applyProtection="0"/>
    <xf numFmtId="0" fontId="19" fillId="5" borderId="63" applyNumberFormat="0" applyAlignment="0" applyProtection="0"/>
    <xf numFmtId="0" fontId="17" fillId="6" borderId="64" applyNumberFormat="0" applyFont="0" applyAlignment="0" applyProtection="0"/>
  </cellStyleXfs>
  <cellXfs count="298">
    <xf numFmtId="0" fontId="0" fillId="0" borderId="0" xfId="0"/>
    <xf numFmtId="0" fontId="3" fillId="2" borderId="5" xfId="0" applyFont="1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31" xfId="0" applyFill="1" applyBorder="1" applyAlignment="1">
      <alignment horizontal="center" vertical="center"/>
    </xf>
    <xf numFmtId="0" fontId="0" fillId="2" borderId="32" xfId="0" applyFill="1" applyBorder="1" applyAlignment="1">
      <alignment horizontal="center" vertical="center"/>
    </xf>
    <xf numFmtId="0" fontId="0" fillId="2" borderId="33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0" fontId="0" fillId="2" borderId="21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0" fillId="2" borderId="26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35" xfId="0" applyFill="1" applyBorder="1" applyAlignment="1">
      <alignment horizontal="center" vertical="center"/>
    </xf>
    <xf numFmtId="0" fontId="0" fillId="2" borderId="36" xfId="0" applyFill="1" applyBorder="1" applyAlignment="1">
      <alignment horizontal="center" vertical="center"/>
    </xf>
    <xf numFmtId="0" fontId="0" fillId="2" borderId="30" xfId="0" applyFill="1" applyBorder="1" applyAlignment="1">
      <alignment horizontal="center" vertical="center"/>
    </xf>
    <xf numFmtId="0" fontId="0" fillId="2" borderId="37" xfId="0" applyFill="1" applyBorder="1" applyAlignment="1">
      <alignment horizontal="center" vertical="center"/>
    </xf>
    <xf numFmtId="0" fontId="0" fillId="2" borderId="38" xfId="0" applyFill="1" applyBorder="1" applyAlignment="1">
      <alignment horizontal="center" vertical="center"/>
    </xf>
    <xf numFmtId="0" fontId="9" fillId="3" borderId="39" xfId="0" applyFont="1" applyFill="1" applyBorder="1" applyAlignment="1">
      <alignment horizontal="center" vertical="center"/>
    </xf>
    <xf numFmtId="0" fontId="9" fillId="3" borderId="40" xfId="0" applyFont="1" applyFill="1" applyBorder="1" applyAlignment="1">
      <alignment horizontal="center" vertical="center"/>
    </xf>
    <xf numFmtId="0" fontId="1" fillId="3" borderId="39" xfId="0" applyFont="1" applyFill="1" applyBorder="1" applyAlignment="1">
      <alignment horizontal="center" vertical="center"/>
    </xf>
    <xf numFmtId="0" fontId="1" fillId="3" borderId="40" xfId="0" applyFont="1" applyFill="1" applyBorder="1" applyAlignment="1">
      <alignment horizontal="center" vertical="center"/>
    </xf>
    <xf numFmtId="0" fontId="5" fillId="3" borderId="39" xfId="0" applyFont="1" applyFill="1" applyBorder="1" applyAlignment="1">
      <alignment horizontal="center" vertical="center"/>
    </xf>
    <xf numFmtId="0" fontId="5" fillId="3" borderId="40" xfId="0" applyFont="1" applyFill="1" applyBorder="1" applyAlignment="1">
      <alignment horizontal="center" vertical="center"/>
    </xf>
    <xf numFmtId="0" fontId="7" fillId="3" borderId="39" xfId="0" applyFont="1" applyFill="1" applyBorder="1" applyAlignment="1">
      <alignment horizontal="center" vertical="center"/>
    </xf>
    <xf numFmtId="0" fontId="7" fillId="3" borderId="40" xfId="0" applyFont="1" applyFill="1" applyBorder="1" applyAlignment="1">
      <alignment horizontal="center" vertical="center"/>
    </xf>
    <xf numFmtId="0" fontId="8" fillId="3" borderId="42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10" fillId="3" borderId="41" xfId="0" applyFont="1" applyFill="1" applyBorder="1" applyAlignment="1">
      <alignment horizontal="center" vertical="center"/>
    </xf>
    <xf numFmtId="0" fontId="10" fillId="3" borderId="43" xfId="0" applyFont="1" applyFill="1" applyBorder="1" applyAlignment="1">
      <alignment horizontal="center" vertical="center"/>
    </xf>
    <xf numFmtId="0" fontId="11" fillId="3" borderId="42" xfId="0" applyFont="1" applyFill="1" applyBorder="1" applyAlignment="1">
      <alignment horizontal="center" vertical="center"/>
    </xf>
    <xf numFmtId="0" fontId="11" fillId="3" borderId="6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6" fillId="3" borderId="43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3" fillId="2" borderId="15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48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13" fillId="2" borderId="49" xfId="0" applyFont="1" applyFill="1" applyBorder="1" applyAlignment="1">
      <alignment horizontal="center" vertical="center"/>
    </xf>
    <xf numFmtId="0" fontId="13" fillId="2" borderId="16" xfId="0" applyFont="1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0" fontId="13" fillId="2" borderId="0" xfId="0" applyFont="1" applyFill="1" applyBorder="1" applyAlignment="1">
      <alignment horizontal="center" vertical="center"/>
    </xf>
    <xf numFmtId="0" fontId="13" fillId="2" borderId="9" xfId="0" applyFont="1" applyFill="1" applyBorder="1" applyAlignment="1">
      <alignment horizontal="center" vertical="center"/>
    </xf>
    <xf numFmtId="0" fontId="13" fillId="2" borderId="20" xfId="0" applyFont="1" applyFill="1" applyBorder="1" applyAlignment="1">
      <alignment horizontal="center" vertical="center"/>
    </xf>
    <xf numFmtId="0" fontId="13" fillId="2" borderId="14" xfId="0" applyFont="1" applyFill="1" applyBorder="1" applyAlignment="1">
      <alignment horizontal="center" vertical="center"/>
    </xf>
    <xf numFmtId="0" fontId="13" fillId="2" borderId="29" xfId="0" applyFont="1" applyFill="1" applyBorder="1" applyAlignment="1">
      <alignment horizontal="center"/>
    </xf>
    <xf numFmtId="0" fontId="13" fillId="2" borderId="0" xfId="0" applyFont="1" applyFill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14" fillId="2" borderId="35" xfId="0" applyFont="1" applyFill="1" applyBorder="1" applyAlignment="1">
      <alignment horizontal="center" vertical="center"/>
    </xf>
    <xf numFmtId="0" fontId="14" fillId="2" borderId="30" xfId="0" applyFont="1" applyFill="1" applyBorder="1" applyAlignment="1">
      <alignment horizontal="center" vertical="center"/>
    </xf>
    <xf numFmtId="0" fontId="14" fillId="2" borderId="21" xfId="0" applyFont="1" applyFill="1" applyBorder="1" applyAlignment="1">
      <alignment horizontal="center" vertical="center"/>
    </xf>
    <xf numFmtId="0" fontId="14" fillId="2" borderId="26" xfId="0" applyFont="1" applyFill="1" applyBorder="1" applyAlignment="1">
      <alignment horizontal="center" vertical="center"/>
    </xf>
    <xf numFmtId="0" fontId="14" fillId="2" borderId="22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2" borderId="34" xfId="0" applyFill="1" applyBorder="1" applyAlignment="1">
      <alignment horizontal="center" vertical="center"/>
    </xf>
    <xf numFmtId="0" fontId="0" fillId="2" borderId="32" xfId="0" applyFill="1" applyBorder="1" applyAlignment="1">
      <alignment horizontal="center" vertical="center"/>
    </xf>
    <xf numFmtId="0" fontId="0" fillId="2" borderId="33" xfId="0" applyFill="1" applyBorder="1" applyAlignment="1">
      <alignment horizontal="center" vertical="center"/>
    </xf>
    <xf numFmtId="0" fontId="14" fillId="2" borderId="55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3" fillId="2" borderId="17" xfId="0" applyFont="1" applyFill="1" applyBorder="1" applyAlignment="1">
      <alignment horizontal="center" vertical="center"/>
    </xf>
    <xf numFmtId="0" fontId="13" fillId="2" borderId="5" xfId="0" applyFont="1" applyFill="1" applyBorder="1" applyAlignment="1">
      <alignment horizontal="center" vertical="center"/>
    </xf>
    <xf numFmtId="0" fontId="14" fillId="2" borderId="25" xfId="0" applyFont="1" applyFill="1" applyBorder="1" applyAlignment="1">
      <alignment horizontal="center" vertical="center"/>
    </xf>
    <xf numFmtId="0" fontId="13" fillId="2" borderId="24" xfId="0" applyFont="1" applyFill="1" applyBorder="1" applyAlignment="1">
      <alignment horizontal="center" vertical="center"/>
    </xf>
    <xf numFmtId="0" fontId="13" fillId="2" borderId="11" xfId="0" applyFont="1" applyFill="1" applyBorder="1" applyAlignment="1">
      <alignment horizontal="center" vertical="center"/>
    </xf>
    <xf numFmtId="0" fontId="13" fillId="2" borderId="13" xfId="0" applyFont="1" applyFill="1" applyBorder="1" applyAlignment="1">
      <alignment horizontal="center" vertical="center"/>
    </xf>
    <xf numFmtId="0" fontId="13" fillId="2" borderId="48" xfId="0" applyFont="1" applyFill="1" applyBorder="1" applyAlignment="1">
      <alignment horizontal="center" vertical="center"/>
    </xf>
    <xf numFmtId="0" fontId="13" fillId="2" borderId="10" xfId="0" applyFont="1" applyFill="1" applyBorder="1" applyAlignment="1">
      <alignment horizontal="center" vertical="center"/>
    </xf>
    <xf numFmtId="0" fontId="13" fillId="2" borderId="12" xfId="0" applyFont="1" applyFill="1" applyBorder="1" applyAlignment="1">
      <alignment horizontal="center" vertical="center"/>
    </xf>
    <xf numFmtId="0" fontId="13" fillId="2" borderId="56" xfId="0" applyFont="1" applyFill="1" applyBorder="1" applyAlignment="1">
      <alignment horizontal="center" vertical="center"/>
    </xf>
    <xf numFmtId="0" fontId="13" fillId="2" borderId="8" xfId="0" applyFont="1" applyFill="1" applyBorder="1" applyAlignment="1">
      <alignment horizontal="center" vertical="center"/>
    </xf>
    <xf numFmtId="0" fontId="0" fillId="0" borderId="7" xfId="0" applyBorder="1"/>
    <xf numFmtId="0" fontId="0" fillId="0" borderId="9" xfId="0" applyBorder="1"/>
    <xf numFmtId="0" fontId="0" fillId="2" borderId="10" xfId="0" applyFill="1" applyBorder="1"/>
    <xf numFmtId="0" fontId="0" fillId="2" borderId="11" xfId="0" applyFill="1" applyBorder="1"/>
    <xf numFmtId="0" fontId="9" fillId="2" borderId="10" xfId="0" applyFont="1" applyFill="1" applyBorder="1"/>
    <xf numFmtId="0" fontId="1" fillId="2" borderId="10" xfId="0" applyFont="1" applyFill="1" applyBorder="1"/>
    <xf numFmtId="0" fontId="5" fillId="2" borderId="10" xfId="0" applyFont="1" applyFill="1" applyBorder="1"/>
    <xf numFmtId="0" fontId="7" fillId="2" borderId="10" xfId="0" applyFont="1" applyFill="1" applyBorder="1"/>
    <xf numFmtId="0" fontId="0" fillId="2" borderId="12" xfId="0" applyFill="1" applyBorder="1"/>
    <xf numFmtId="0" fontId="0" fillId="2" borderId="14" xfId="0" applyFill="1" applyBorder="1"/>
    <xf numFmtId="0" fontId="15" fillId="2" borderId="5" xfId="0" applyFont="1" applyFill="1" applyBorder="1" applyAlignment="1">
      <alignment horizontal="center" vertical="center"/>
    </xf>
    <xf numFmtId="0" fontId="14" fillId="2" borderId="51" xfId="0" applyFont="1" applyFill="1" applyBorder="1" applyAlignment="1">
      <alignment horizontal="center" vertical="center"/>
    </xf>
    <xf numFmtId="0" fontId="14" fillId="2" borderId="52" xfId="0" applyFont="1" applyFill="1" applyBorder="1" applyAlignment="1">
      <alignment horizontal="center" vertical="center"/>
    </xf>
    <xf numFmtId="0" fontId="14" fillId="2" borderId="53" xfId="0" applyFont="1" applyFill="1" applyBorder="1" applyAlignment="1">
      <alignment horizontal="center" vertical="center"/>
    </xf>
    <xf numFmtId="0" fontId="0" fillId="2" borderId="5" xfId="0" applyFill="1" applyBorder="1"/>
    <xf numFmtId="0" fontId="0" fillId="0" borderId="0" xfId="0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14" fillId="0" borderId="52" xfId="0" applyFont="1" applyBorder="1" applyAlignment="1">
      <alignment horizontal="center" vertical="center"/>
    </xf>
    <xf numFmtId="0" fontId="14" fillId="0" borderId="53" xfId="0" applyFont="1" applyBorder="1" applyAlignment="1">
      <alignment horizontal="center" vertical="center"/>
    </xf>
    <xf numFmtId="0" fontId="14" fillId="0" borderId="21" xfId="0" applyFont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15" fillId="0" borderId="8" xfId="0" applyFont="1" applyFill="1" applyBorder="1" applyAlignment="1">
      <alignment horizontal="center" vertical="center"/>
    </xf>
    <xf numFmtId="0" fontId="0" fillId="0" borderId="10" xfId="0" applyFont="1" applyFill="1" applyBorder="1" applyAlignment="1">
      <alignment horizontal="center" vertical="center"/>
    </xf>
    <xf numFmtId="0" fontId="15" fillId="0" borderId="5" xfId="0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/>
    </xf>
    <xf numFmtId="0" fontId="15" fillId="0" borderId="5" xfId="2" applyFont="1" applyFill="1" applyBorder="1" applyAlignment="1">
      <alignment horizontal="center" vertical="center"/>
    </xf>
    <xf numFmtId="0" fontId="15" fillId="0" borderId="5" xfId="1" applyFont="1" applyFill="1" applyBorder="1" applyAlignment="1">
      <alignment horizontal="center" vertical="center"/>
    </xf>
    <xf numFmtId="0" fontId="0" fillId="0" borderId="12" xfId="0" applyFont="1" applyFill="1" applyBorder="1" applyAlignment="1">
      <alignment horizontal="center" vertical="center"/>
    </xf>
    <xf numFmtId="0" fontId="15" fillId="0" borderId="13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NumberFormat="1" applyFont="1" applyFill="1" applyBorder="1"/>
    <xf numFmtId="0" fontId="14" fillId="7" borderId="9" xfId="0" applyNumberFormat="1" applyFont="1" applyFill="1" applyBorder="1"/>
    <xf numFmtId="0" fontId="15" fillId="0" borderId="11" xfId="0" applyFont="1" applyFill="1" applyBorder="1" applyAlignment="1">
      <alignment horizontal="center" vertical="center"/>
    </xf>
    <xf numFmtId="0" fontId="15" fillId="0" borderId="11" xfId="1" applyFont="1" applyFill="1" applyBorder="1" applyAlignment="1">
      <alignment horizontal="center" vertical="center"/>
    </xf>
    <xf numFmtId="0" fontId="15" fillId="0" borderId="14" xfId="0" applyFont="1" applyFill="1" applyBorder="1" applyAlignment="1">
      <alignment horizontal="center" vertical="center"/>
    </xf>
    <xf numFmtId="0" fontId="14" fillId="7" borderId="54" xfId="0" applyFont="1" applyFill="1" applyBorder="1" applyAlignment="1">
      <alignment horizontal="center" vertical="center"/>
    </xf>
    <xf numFmtId="0" fontId="14" fillId="7" borderId="35" xfId="0" applyNumberFormat="1" applyFont="1" applyFill="1" applyBorder="1"/>
    <xf numFmtId="0" fontId="14" fillId="7" borderId="30" xfId="0" applyNumberFormat="1" applyFont="1" applyFill="1" applyBorder="1"/>
    <xf numFmtId="0" fontId="0" fillId="0" borderId="48" xfId="0" applyFont="1" applyFill="1" applyBorder="1" applyAlignment="1">
      <alignment horizontal="center" vertical="center"/>
    </xf>
    <xf numFmtId="0" fontId="15" fillId="0" borderId="24" xfId="0" applyFont="1" applyFill="1" applyBorder="1" applyAlignment="1">
      <alignment horizontal="center" vertical="center"/>
    </xf>
    <xf numFmtId="0" fontId="15" fillId="0" borderId="20" xfId="0" applyFont="1" applyFill="1" applyBorder="1" applyAlignment="1">
      <alignment horizontal="center" vertical="center"/>
    </xf>
    <xf numFmtId="0" fontId="15" fillId="0" borderId="9" xfId="0" applyFont="1" applyFill="1" applyBorder="1" applyAlignment="1">
      <alignment horizontal="center" vertical="center"/>
    </xf>
    <xf numFmtId="0" fontId="0" fillId="0" borderId="65" xfId="0" applyFont="1" applyFill="1" applyBorder="1" applyAlignment="1">
      <alignment horizontal="center" vertical="center"/>
    </xf>
    <xf numFmtId="0" fontId="15" fillId="0" borderId="66" xfId="0" applyFont="1" applyFill="1" applyBorder="1" applyAlignment="1">
      <alignment horizontal="center" vertical="center"/>
    </xf>
    <xf numFmtId="0" fontId="15" fillId="0" borderId="67" xfId="0" applyFont="1" applyFill="1" applyBorder="1" applyAlignment="1">
      <alignment horizontal="center" vertical="center"/>
    </xf>
    <xf numFmtId="0" fontId="15" fillId="0" borderId="20" xfId="1" applyFont="1" applyFill="1" applyBorder="1" applyAlignment="1">
      <alignment horizontal="center" vertical="center"/>
    </xf>
    <xf numFmtId="0" fontId="15" fillId="0" borderId="14" xfId="1" applyFont="1" applyFill="1" applyBorder="1" applyAlignment="1">
      <alignment horizontal="center" vertical="center"/>
    </xf>
    <xf numFmtId="0" fontId="15" fillId="0" borderId="66" xfId="1" applyFont="1" applyFill="1" applyBorder="1" applyAlignment="1">
      <alignment horizontal="center" vertical="center"/>
    </xf>
    <xf numFmtId="0" fontId="15" fillId="0" borderId="67" xfId="1" applyFont="1" applyFill="1" applyBorder="1" applyAlignment="1">
      <alignment horizontal="center" vertical="center"/>
    </xf>
    <xf numFmtId="0" fontId="15" fillId="0" borderId="8" xfId="0" applyFont="1" applyFill="1" applyBorder="1" applyAlignment="1">
      <alignment horizontal="left" vertical="center"/>
    </xf>
    <xf numFmtId="0" fontId="15" fillId="0" borderId="5" xfId="0" applyFont="1" applyFill="1" applyBorder="1" applyAlignment="1">
      <alignment horizontal="left" vertical="center"/>
    </xf>
    <xf numFmtId="0" fontId="15" fillId="0" borderId="13" xfId="0" applyFont="1" applyFill="1" applyBorder="1" applyAlignment="1">
      <alignment horizontal="left" vertical="center"/>
    </xf>
    <xf numFmtId="0" fontId="15" fillId="0" borderId="24" xfId="0" applyFont="1" applyFill="1" applyBorder="1" applyAlignment="1">
      <alignment horizontal="left" vertical="center"/>
    </xf>
    <xf numFmtId="0" fontId="15" fillId="0" borderId="5" xfId="3" applyFont="1" applyFill="1" applyBorder="1" applyAlignment="1">
      <alignment horizontal="left" vertical="center"/>
    </xf>
    <xf numFmtId="0" fontId="15" fillId="0" borderId="66" xfId="0" applyFont="1" applyFill="1" applyBorder="1" applyAlignment="1">
      <alignment horizontal="left" vertical="center"/>
    </xf>
    <xf numFmtId="0" fontId="15" fillId="0" borderId="13" xfId="1" applyFont="1" applyFill="1" applyBorder="1" applyAlignment="1">
      <alignment horizontal="left" vertical="center"/>
    </xf>
    <xf numFmtId="0" fontId="15" fillId="0" borderId="24" xfId="1" applyFont="1" applyFill="1" applyBorder="1" applyAlignment="1">
      <alignment horizontal="left" vertical="center"/>
    </xf>
    <xf numFmtId="0" fontId="15" fillId="0" borderId="5" xfId="1" applyFont="1" applyFill="1" applyBorder="1" applyAlignment="1">
      <alignment horizontal="left" vertical="center"/>
    </xf>
    <xf numFmtId="0" fontId="15" fillId="0" borderId="66" xfId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4" fillId="7" borderId="35" xfId="0" applyNumberFormat="1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14" fillId="0" borderId="21" xfId="0" applyFont="1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14" fillId="0" borderId="51" xfId="0" applyFont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3" fillId="0" borderId="70" xfId="0" applyFont="1" applyBorder="1" applyAlignment="1">
      <alignment horizontal="left" vertical="center"/>
    </xf>
    <xf numFmtId="0" fontId="3" fillId="0" borderId="71" xfId="0" applyFont="1" applyBorder="1" applyAlignment="1">
      <alignment horizontal="left" vertical="center"/>
    </xf>
    <xf numFmtId="0" fontId="3" fillId="0" borderId="72" xfId="0" applyFont="1" applyBorder="1" applyAlignment="1">
      <alignment horizontal="left" vertical="center"/>
    </xf>
    <xf numFmtId="0" fontId="0" fillId="0" borderId="19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29" xfId="0" applyBorder="1" applyAlignment="1">
      <alignment horizontal="left" vertical="center"/>
    </xf>
    <xf numFmtId="0" fontId="0" fillId="0" borderId="32" xfId="0" applyBorder="1" applyAlignment="1">
      <alignment horizontal="left" vertical="center"/>
    </xf>
    <xf numFmtId="0" fontId="0" fillId="0" borderId="33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68" xfId="0" applyFont="1" applyBorder="1" applyAlignment="1">
      <alignment horizontal="left" vertical="center"/>
    </xf>
    <xf numFmtId="0" fontId="0" fillId="0" borderId="73" xfId="0" applyFont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70" xfId="0" applyBorder="1" applyAlignment="1">
      <alignment horizontal="center" vertical="center"/>
    </xf>
    <xf numFmtId="0" fontId="0" fillId="0" borderId="34" xfId="0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14" fillId="0" borderId="26" xfId="0" applyFont="1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14" fillId="0" borderId="74" xfId="0" applyFont="1" applyBorder="1" applyAlignment="1">
      <alignment horizontal="center" vertical="center"/>
    </xf>
    <xf numFmtId="0" fontId="0" fillId="0" borderId="16" xfId="0" applyFont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15" xfId="0" applyFont="1" applyBorder="1" applyAlignment="1">
      <alignment horizontal="left" vertical="center"/>
    </xf>
    <xf numFmtId="0" fontId="0" fillId="0" borderId="75" xfId="0" applyBorder="1" applyAlignment="1">
      <alignment horizontal="center" vertical="center"/>
    </xf>
    <xf numFmtId="0" fontId="0" fillId="0" borderId="66" xfId="0" applyBorder="1" applyAlignment="1">
      <alignment horizontal="left" vertical="center"/>
    </xf>
    <xf numFmtId="0" fontId="0" fillId="2" borderId="17" xfId="0" applyFill="1" applyBorder="1" applyAlignment="1">
      <alignment horizontal="center" vertical="center"/>
    </xf>
    <xf numFmtId="0" fontId="0" fillId="2" borderId="27" xfId="0" applyFill="1" applyBorder="1" applyAlignment="1">
      <alignment horizontal="center" vertical="center"/>
    </xf>
    <xf numFmtId="0" fontId="0" fillId="2" borderId="28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 textRotation="255" wrapText="1"/>
    </xf>
    <xf numFmtId="0" fontId="3" fillId="2" borderId="10" xfId="0" applyFont="1" applyFill="1" applyBorder="1" applyAlignment="1">
      <alignment horizontal="center" vertical="center" textRotation="255" wrapText="1"/>
    </xf>
    <xf numFmtId="0" fontId="3" fillId="2" borderId="12" xfId="0" applyFont="1" applyFill="1" applyBorder="1" applyAlignment="1">
      <alignment horizontal="center" vertical="center" textRotation="255" wrapText="1"/>
    </xf>
    <xf numFmtId="0" fontId="14" fillId="2" borderId="27" xfId="0" applyFont="1" applyFill="1" applyBorder="1" applyAlignment="1">
      <alignment horizontal="center" vertical="center"/>
    </xf>
    <xf numFmtId="0" fontId="14" fillId="2" borderId="28" xfId="0" applyFont="1" applyFill="1" applyBorder="1" applyAlignment="1">
      <alignment horizontal="center" vertical="center"/>
    </xf>
    <xf numFmtId="0" fontId="14" fillId="2" borderId="29" xfId="0" applyFont="1" applyFill="1" applyBorder="1" applyAlignment="1">
      <alignment horizontal="center" vertical="center"/>
    </xf>
    <xf numFmtId="0" fontId="0" fillId="2" borderId="34" xfId="0" applyFill="1" applyBorder="1" applyAlignment="1">
      <alignment horizontal="center" vertical="center"/>
    </xf>
    <xf numFmtId="0" fontId="0" fillId="2" borderId="32" xfId="0" applyFill="1" applyBorder="1" applyAlignment="1">
      <alignment horizontal="center" vertical="center"/>
    </xf>
    <xf numFmtId="0" fontId="0" fillId="2" borderId="33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13" fillId="2" borderId="0" xfId="0" applyFon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0" fillId="2" borderId="5" xfId="0" applyFill="1" applyBorder="1" applyAlignment="1">
      <alignment horizontal="center" vertical="center"/>
    </xf>
    <xf numFmtId="0" fontId="14" fillId="2" borderId="25" xfId="0" applyFont="1" applyFill="1" applyBorder="1" applyAlignment="1">
      <alignment horizontal="center" vertical="center"/>
    </xf>
    <xf numFmtId="0" fontId="14" fillId="2" borderId="26" xfId="0" applyFont="1" applyFill="1" applyBorder="1" applyAlignment="1">
      <alignment horizontal="center" vertical="center"/>
    </xf>
    <xf numFmtId="0" fontId="14" fillId="2" borderId="22" xfId="0" applyFont="1" applyFill="1" applyBorder="1" applyAlignment="1">
      <alignment horizontal="center" vertical="center"/>
    </xf>
    <xf numFmtId="0" fontId="14" fillId="2" borderId="54" xfId="0" applyFont="1" applyFill="1" applyBorder="1" applyAlignment="1">
      <alignment horizontal="center" vertical="center"/>
    </xf>
    <xf numFmtId="0" fontId="14" fillId="2" borderId="35" xfId="0" applyFont="1" applyFill="1" applyBorder="1" applyAlignment="1">
      <alignment horizontal="center" vertical="center"/>
    </xf>
    <xf numFmtId="0" fontId="14" fillId="2" borderId="30" xfId="0" applyFont="1" applyFill="1" applyBorder="1" applyAlignment="1">
      <alignment horizontal="center" vertical="center"/>
    </xf>
    <xf numFmtId="0" fontId="4" fillId="2" borderId="46" xfId="0" applyFont="1" applyFill="1" applyBorder="1" applyAlignment="1">
      <alignment horizontal="center" vertical="center" textRotation="255"/>
    </xf>
    <xf numFmtId="0" fontId="4" fillId="2" borderId="19" xfId="0" applyFont="1" applyFill="1" applyBorder="1" applyAlignment="1">
      <alignment horizontal="center" vertical="center" textRotation="255"/>
    </xf>
    <xf numFmtId="0" fontId="4" fillId="2" borderId="47" xfId="0" applyFont="1" applyFill="1" applyBorder="1" applyAlignment="1">
      <alignment horizontal="center" vertical="center" textRotation="255"/>
    </xf>
    <xf numFmtId="0" fontId="0" fillId="2" borderId="46" xfId="0" applyFont="1" applyFill="1" applyBorder="1" applyAlignment="1">
      <alignment horizontal="center" vertical="center" textRotation="255"/>
    </xf>
    <xf numFmtId="0" fontId="0" fillId="2" borderId="19" xfId="0" applyFont="1" applyFill="1" applyBorder="1" applyAlignment="1">
      <alignment horizontal="center" vertical="center" textRotation="255"/>
    </xf>
    <xf numFmtId="0" fontId="0" fillId="2" borderId="47" xfId="0" applyFont="1" applyFill="1" applyBorder="1" applyAlignment="1">
      <alignment horizontal="center" vertical="center" textRotation="255"/>
    </xf>
    <xf numFmtId="0" fontId="16" fillId="2" borderId="27" xfId="0" applyFont="1" applyFill="1" applyBorder="1" applyAlignment="1">
      <alignment horizontal="center" vertical="center" wrapText="1"/>
    </xf>
    <xf numFmtId="0" fontId="16" fillId="2" borderId="28" xfId="0" applyFont="1" applyFill="1" applyBorder="1" applyAlignment="1">
      <alignment horizontal="center" vertical="center" wrapText="1"/>
    </xf>
    <xf numFmtId="0" fontId="16" fillId="2" borderId="29" xfId="0" applyFont="1" applyFill="1" applyBorder="1" applyAlignment="1">
      <alignment horizontal="center" vertical="center" wrapText="1"/>
    </xf>
    <xf numFmtId="0" fontId="12" fillId="2" borderId="46" xfId="0" applyFont="1" applyFill="1" applyBorder="1" applyAlignment="1">
      <alignment horizontal="center" vertical="center" textRotation="255" wrapText="1"/>
    </xf>
    <xf numFmtId="0" fontId="12" fillId="2" borderId="19" xfId="0" applyFont="1" applyFill="1" applyBorder="1" applyAlignment="1">
      <alignment horizontal="center" vertical="center" textRotation="255" wrapText="1"/>
    </xf>
    <xf numFmtId="0" fontId="12" fillId="2" borderId="47" xfId="0" applyFont="1" applyFill="1" applyBorder="1" applyAlignment="1">
      <alignment horizontal="center" vertical="center" textRotation="255" wrapText="1"/>
    </xf>
    <xf numFmtId="0" fontId="14" fillId="2" borderId="2" xfId="0" applyFont="1" applyFill="1" applyBorder="1" applyAlignment="1">
      <alignment horizontal="center" vertical="center"/>
    </xf>
    <xf numFmtId="0" fontId="14" fillId="2" borderId="3" xfId="0" applyFont="1" applyFill="1" applyBorder="1" applyAlignment="1">
      <alignment horizontal="center" vertical="center"/>
    </xf>
    <xf numFmtId="0" fontId="14" fillId="2" borderId="4" xfId="0" applyFont="1" applyFill="1" applyBorder="1" applyAlignment="1">
      <alignment horizontal="center" vertical="center"/>
    </xf>
    <xf numFmtId="0" fontId="14" fillId="2" borderId="46" xfId="0" applyFont="1" applyFill="1" applyBorder="1" applyAlignment="1">
      <alignment horizontal="center" vertical="center"/>
    </xf>
    <xf numFmtId="0" fontId="14" fillId="2" borderId="19" xfId="0" applyFont="1" applyFill="1" applyBorder="1" applyAlignment="1">
      <alignment horizontal="center" vertical="center"/>
    </xf>
    <xf numFmtId="0" fontId="14" fillId="2" borderId="47" xfId="0" applyFont="1" applyFill="1" applyBorder="1" applyAlignment="1">
      <alignment horizontal="center" vertical="center"/>
    </xf>
    <xf numFmtId="0" fontId="0" fillId="2" borderId="50" xfId="0" applyFill="1" applyBorder="1" applyAlignment="1">
      <alignment horizontal="center" vertical="center"/>
    </xf>
    <xf numFmtId="0" fontId="14" fillId="0" borderId="57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46" xfId="0" applyFont="1" applyBorder="1" applyAlignment="1">
      <alignment horizontal="center" vertical="center" wrapText="1"/>
    </xf>
    <xf numFmtId="0" fontId="14" fillId="0" borderId="47" xfId="0" applyFont="1" applyBorder="1" applyAlignment="1">
      <alignment horizontal="center" vertical="center" wrapText="1"/>
    </xf>
    <xf numFmtId="0" fontId="14" fillId="0" borderId="50" xfId="0" applyFont="1" applyBorder="1" applyAlignment="1">
      <alignment horizontal="center" vertical="center" wrapText="1"/>
    </xf>
    <xf numFmtId="0" fontId="14" fillId="0" borderId="3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14" fillId="0" borderId="27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14" fillId="0" borderId="21" xfId="0" applyFont="1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0" fontId="0" fillId="0" borderId="11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46" xfId="0" applyFont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0" fontId="0" fillId="0" borderId="47" xfId="0" applyFont="1" applyBorder="1" applyAlignment="1">
      <alignment horizontal="center" vertical="center"/>
    </xf>
    <xf numFmtId="0" fontId="0" fillId="0" borderId="65" xfId="0" applyFont="1" applyBorder="1" applyAlignment="1">
      <alignment horizontal="center" vertical="center"/>
    </xf>
    <xf numFmtId="0" fontId="0" fillId="0" borderId="67" xfId="0" applyFont="1" applyBorder="1" applyAlignment="1">
      <alignment horizontal="center" vertical="center"/>
    </xf>
  </cellXfs>
  <cellStyles count="4">
    <cellStyle name="Good" xfId="1" builtinId="26"/>
    <cellStyle name="Input" xfId="2" builtinId="20"/>
    <cellStyle name="Normal" xfId="0" builtinId="0"/>
    <cellStyle name="Note" xfId="3" builtinId="10"/>
  </cellStyles>
  <dxfs count="5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561975</xdr:colOff>
          <xdr:row>1</xdr:row>
          <xdr:rowOff>180975</xdr:rowOff>
        </xdr:from>
        <xdr:to>
          <xdr:col>18</xdr:col>
          <xdr:colOff>200025</xdr:colOff>
          <xdr:row>3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E40"/>
  <sheetViews>
    <sheetView zoomScaleNormal="100" workbookViewId="0">
      <selection activeCell="F28" sqref="F28"/>
    </sheetView>
  </sheetViews>
  <sheetFormatPr defaultRowHeight="15" x14ac:dyDescent="0.25"/>
  <cols>
    <col min="1" max="1" width="10.42578125" style="9" bestFit="1" customWidth="1"/>
    <col min="2" max="2" width="14" style="9" bestFit="1" customWidth="1"/>
    <col min="3" max="3" width="11.7109375" style="9" bestFit="1" customWidth="1"/>
    <col min="4" max="4" width="11.85546875" style="9" bestFit="1" customWidth="1"/>
    <col min="5" max="5" width="6.42578125" style="9" customWidth="1"/>
    <col min="6" max="6" width="9.85546875" style="9" customWidth="1"/>
    <col min="7" max="7" width="9.7109375" style="9" customWidth="1"/>
    <col min="8" max="8" width="13.140625" style="9" customWidth="1"/>
    <col min="9" max="9" width="5.28515625" style="9" customWidth="1"/>
    <col min="10" max="10" width="12" style="9" bestFit="1" customWidth="1"/>
    <col min="11" max="11" width="8.5703125" style="9" customWidth="1"/>
    <col min="12" max="12" width="13.28515625" style="9" bestFit="1" customWidth="1"/>
    <col min="13" max="13" width="11.7109375" style="9" bestFit="1" customWidth="1"/>
    <col min="14" max="14" width="9.7109375" style="9" bestFit="1" customWidth="1"/>
    <col min="15" max="15" width="11.5703125" style="9" bestFit="1" customWidth="1"/>
    <col min="16" max="16" width="9.7109375" style="9" bestFit="1" customWidth="1"/>
    <col min="17" max="17" width="11.5703125" style="9" bestFit="1" customWidth="1"/>
    <col min="18" max="18" width="3" style="9" bestFit="1" customWidth="1"/>
    <col min="19" max="19" width="11.42578125" style="9" bestFit="1" customWidth="1"/>
    <col min="20" max="20" width="9.5703125" style="9" bestFit="1" customWidth="1"/>
    <col min="21" max="25" width="9.7109375" style="9" bestFit="1" customWidth="1"/>
    <col min="26" max="26" width="9.5703125" style="9" bestFit="1" customWidth="1"/>
    <col min="27" max="27" width="3" style="53" bestFit="1" customWidth="1"/>
    <col min="28" max="28" width="11" style="9" customWidth="1"/>
    <col min="29" max="29" width="10.5703125" style="9" customWidth="1"/>
    <col min="30" max="30" width="11.140625" style="9" customWidth="1"/>
    <col min="31" max="16384" width="9.140625" style="9"/>
  </cols>
  <sheetData>
    <row r="1" spans="1:31" ht="16.5" customHeight="1" thickBot="1" x14ac:dyDescent="0.3">
      <c r="A1" s="218" t="s">
        <v>97</v>
      </c>
      <c r="B1" s="219"/>
      <c r="C1" s="219"/>
      <c r="D1" s="63">
        <f>SC(A3:CE20,N5)</f>
        <v>129</v>
      </c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</row>
    <row r="2" spans="1:31" ht="16.5" thickBot="1" x14ac:dyDescent="0.3">
      <c r="A2" s="59"/>
      <c r="I2" s="10"/>
      <c r="J2" s="246" t="s">
        <v>31</v>
      </c>
      <c r="K2" s="247"/>
      <c r="L2" s="247"/>
      <c r="M2" s="247"/>
      <c r="N2" s="247"/>
      <c r="O2" s="247"/>
      <c r="P2" s="247"/>
      <c r="Q2" s="248"/>
      <c r="S2" s="224" t="s">
        <v>271</v>
      </c>
      <c r="T2" s="225"/>
      <c r="U2" s="225"/>
      <c r="V2" s="225"/>
      <c r="W2" s="225"/>
      <c r="X2" s="225"/>
      <c r="Y2" s="225"/>
      <c r="Z2" s="226"/>
      <c r="AB2" s="224" t="s">
        <v>272</v>
      </c>
      <c r="AC2" s="225"/>
      <c r="AD2" s="226"/>
      <c r="AE2" s="58"/>
    </row>
    <row r="3" spans="1:31" ht="15" customHeight="1" thickBot="1" x14ac:dyDescent="0.3">
      <c r="A3" s="224" t="s">
        <v>75</v>
      </c>
      <c r="B3" s="225"/>
      <c r="C3" s="225"/>
      <c r="D3" s="226"/>
      <c r="E3" s="10"/>
      <c r="F3" s="224" t="s">
        <v>182</v>
      </c>
      <c r="G3" s="225"/>
      <c r="H3" s="226"/>
      <c r="I3" s="11"/>
      <c r="J3" s="51"/>
      <c r="K3" s="252" t="s">
        <v>58</v>
      </c>
      <c r="L3" s="253"/>
      <c r="M3" s="254"/>
      <c r="N3" s="252" t="s">
        <v>69</v>
      </c>
      <c r="O3" s="253"/>
      <c r="P3" s="253"/>
      <c r="Q3" s="254"/>
      <c r="S3" s="255" t="s">
        <v>98</v>
      </c>
      <c r="T3" s="234" t="s">
        <v>106</v>
      </c>
      <c r="U3" s="235"/>
      <c r="V3" s="235"/>
      <c r="W3" s="235"/>
      <c r="X3" s="235"/>
      <c r="Y3" s="235"/>
      <c r="Z3" s="236"/>
      <c r="AB3" s="237" t="s">
        <v>106</v>
      </c>
      <c r="AC3" s="238"/>
      <c r="AD3" s="239"/>
    </row>
    <row r="4" spans="1:31" ht="15.75" customHeight="1" thickBot="1" x14ac:dyDescent="0.3">
      <c r="A4" s="51" t="s">
        <v>30</v>
      </c>
      <c r="B4" s="22" t="s">
        <v>34</v>
      </c>
      <c r="C4" s="23" t="s">
        <v>74</v>
      </c>
      <c r="D4" s="7" t="s">
        <v>35</v>
      </c>
      <c r="E4" s="11"/>
      <c r="F4" s="51" t="s">
        <v>73</v>
      </c>
      <c r="G4" s="29" t="s">
        <v>33</v>
      </c>
      <c r="H4" s="30" t="s">
        <v>32</v>
      </c>
      <c r="I4" s="11"/>
      <c r="J4" s="21" t="s">
        <v>57</v>
      </c>
      <c r="K4" s="23" t="s">
        <v>59</v>
      </c>
      <c r="L4" s="26" t="s">
        <v>60</v>
      </c>
      <c r="M4" s="26" t="s">
        <v>32</v>
      </c>
      <c r="N4" s="27" t="s">
        <v>63</v>
      </c>
      <c r="O4" s="27" t="s">
        <v>36</v>
      </c>
      <c r="P4" s="27" t="s">
        <v>64</v>
      </c>
      <c r="Q4" s="28" t="s">
        <v>65</v>
      </c>
      <c r="S4" s="256"/>
      <c r="T4" s="77" t="s">
        <v>99</v>
      </c>
      <c r="U4" s="66" t="s">
        <v>100</v>
      </c>
      <c r="V4" s="66" t="s">
        <v>101</v>
      </c>
      <c r="W4" s="66" t="s">
        <v>102</v>
      </c>
      <c r="X4" s="66" t="s">
        <v>103</v>
      </c>
      <c r="Y4" s="66" t="s">
        <v>104</v>
      </c>
      <c r="Z4" s="67" t="s">
        <v>105</v>
      </c>
      <c r="AB4" s="68" t="s">
        <v>99</v>
      </c>
      <c r="AC4" s="69" t="s">
        <v>100</v>
      </c>
      <c r="AD4" s="70" t="s">
        <v>101</v>
      </c>
    </row>
    <row r="5" spans="1:31" ht="16.5" thickBot="1" x14ac:dyDescent="0.3">
      <c r="A5" s="227">
        <v>1</v>
      </c>
      <c r="B5" s="230"/>
      <c r="C5" s="6">
        <v>11</v>
      </c>
      <c r="D5" s="5" t="s">
        <v>0</v>
      </c>
      <c r="E5" s="11"/>
      <c r="F5" s="16" t="s">
        <v>0</v>
      </c>
      <c r="G5" s="221" t="s">
        <v>28</v>
      </c>
      <c r="H5" s="25" t="s">
        <v>14</v>
      </c>
      <c r="I5" s="11"/>
      <c r="J5" s="243" t="s">
        <v>55</v>
      </c>
      <c r="K5" s="249" t="s">
        <v>72</v>
      </c>
      <c r="L5" s="13">
        <v>1</v>
      </c>
      <c r="M5" s="15" t="s">
        <v>26</v>
      </c>
      <c r="N5" s="52" t="s">
        <v>66</v>
      </c>
      <c r="O5" s="52" t="s">
        <v>81</v>
      </c>
      <c r="P5" s="52" t="s">
        <v>81</v>
      </c>
      <c r="Q5" s="60" t="s">
        <v>81</v>
      </c>
      <c r="S5" s="257"/>
      <c r="T5" s="81" t="s">
        <v>89</v>
      </c>
      <c r="U5" s="69" t="s">
        <v>76</v>
      </c>
      <c r="V5" s="69" t="s">
        <v>78</v>
      </c>
      <c r="W5" s="69" t="s">
        <v>79</v>
      </c>
      <c r="X5" s="69" t="s">
        <v>80</v>
      </c>
      <c r="Y5" s="69" t="s">
        <v>83</v>
      </c>
      <c r="Z5" s="70" t="s">
        <v>109</v>
      </c>
      <c r="AA5" s="11"/>
      <c r="AB5" s="101" t="s">
        <v>88</v>
      </c>
      <c r="AC5" s="102" t="s">
        <v>107</v>
      </c>
      <c r="AD5" s="103" t="s">
        <v>108</v>
      </c>
    </row>
    <row r="6" spans="1:31" ht="16.5" thickBot="1" x14ac:dyDescent="0.3">
      <c r="A6" s="228"/>
      <c r="B6" s="217"/>
      <c r="C6" s="1">
        <v>12</v>
      </c>
      <c r="D6" s="2" t="s">
        <v>1</v>
      </c>
      <c r="E6" s="11"/>
      <c r="F6" s="17" t="s">
        <v>2</v>
      </c>
      <c r="G6" s="222"/>
      <c r="H6" s="2" t="s">
        <v>16</v>
      </c>
      <c r="I6" s="11"/>
      <c r="J6" s="244"/>
      <c r="K6" s="250"/>
      <c r="L6" s="14">
        <v>2</v>
      </c>
      <c r="M6" s="12" t="s">
        <v>27</v>
      </c>
      <c r="N6" s="57" t="s">
        <v>67</v>
      </c>
      <c r="O6" s="57" t="s">
        <v>81</v>
      </c>
      <c r="P6" s="57" t="s">
        <v>81</v>
      </c>
      <c r="Q6" s="4" t="s">
        <v>68</v>
      </c>
      <c r="S6" s="16">
        <v>1</v>
      </c>
      <c r="T6" s="88" t="s">
        <v>81</v>
      </c>
      <c r="U6" s="15" t="s">
        <v>116</v>
      </c>
      <c r="V6" s="89" t="s">
        <v>81</v>
      </c>
      <c r="W6" s="15" t="s">
        <v>139</v>
      </c>
      <c r="X6" s="89" t="s">
        <v>81</v>
      </c>
      <c r="Y6" s="15" t="s">
        <v>150</v>
      </c>
      <c r="Z6" s="25" t="s">
        <v>166</v>
      </c>
      <c r="AA6" s="11"/>
      <c r="AB6" s="85" t="s">
        <v>81</v>
      </c>
      <c r="AC6" s="82" t="s">
        <v>81</v>
      </c>
      <c r="AD6" s="61" t="s">
        <v>81</v>
      </c>
    </row>
    <row r="7" spans="1:31" ht="15.75" x14ac:dyDescent="0.25">
      <c r="A7" s="228">
        <v>2</v>
      </c>
      <c r="B7" s="217" t="s">
        <v>90</v>
      </c>
      <c r="C7" s="1">
        <f>C5+10</f>
        <v>21</v>
      </c>
      <c r="D7" s="2" t="s">
        <v>2</v>
      </c>
      <c r="E7" s="11"/>
      <c r="F7" s="17" t="s">
        <v>4</v>
      </c>
      <c r="G7" s="222"/>
      <c r="H7" s="2" t="s">
        <v>18</v>
      </c>
      <c r="I7" s="11"/>
      <c r="J7" s="244"/>
      <c r="K7" s="250"/>
      <c r="L7" s="13">
        <v>3</v>
      </c>
      <c r="M7" s="15" t="s">
        <v>16</v>
      </c>
      <c r="N7" s="52" t="s">
        <v>81</v>
      </c>
      <c r="O7" s="52" t="s">
        <v>81</v>
      </c>
      <c r="P7" s="19" t="s">
        <v>76</v>
      </c>
      <c r="Q7" s="25" t="s">
        <v>68</v>
      </c>
      <c r="S7" s="75">
        <v>2</v>
      </c>
      <c r="T7" s="72" t="s">
        <v>110</v>
      </c>
      <c r="U7" s="8" t="s">
        <v>117</v>
      </c>
      <c r="V7" s="8" t="s">
        <v>129</v>
      </c>
      <c r="W7" s="80" t="s">
        <v>81</v>
      </c>
      <c r="X7" s="80" t="s">
        <v>81</v>
      </c>
      <c r="Y7" s="8" t="s">
        <v>152</v>
      </c>
      <c r="Z7" s="83" t="s">
        <v>81</v>
      </c>
      <c r="AA7" s="11"/>
      <c r="AB7" s="65" t="s">
        <v>168</v>
      </c>
      <c r="AC7" s="82" t="s">
        <v>81</v>
      </c>
      <c r="AD7" s="61" t="s">
        <v>81</v>
      </c>
    </row>
    <row r="8" spans="1:31" ht="16.5" thickBot="1" x14ac:dyDescent="0.3">
      <c r="A8" s="228"/>
      <c r="B8" s="217"/>
      <c r="C8" s="1">
        <f t="shared" ref="C8:C18" si="0">C6+10</f>
        <v>22</v>
      </c>
      <c r="D8" s="2" t="s">
        <v>3</v>
      </c>
      <c r="E8" s="11"/>
      <c r="F8" s="17" t="s">
        <v>6</v>
      </c>
      <c r="G8" s="222"/>
      <c r="H8" s="2" t="s">
        <v>20</v>
      </c>
      <c r="I8" s="11"/>
      <c r="J8" s="244"/>
      <c r="K8" s="250"/>
      <c r="L8" s="14">
        <v>4</v>
      </c>
      <c r="M8" s="12" t="s">
        <v>17</v>
      </c>
      <c r="N8" s="20" t="s">
        <v>77</v>
      </c>
      <c r="O8" s="57" t="s">
        <v>81</v>
      </c>
      <c r="P8" s="20" t="s">
        <v>78</v>
      </c>
      <c r="Q8" s="4" t="s">
        <v>68</v>
      </c>
      <c r="S8" s="75">
        <v>3</v>
      </c>
      <c r="T8" s="79" t="s">
        <v>81</v>
      </c>
      <c r="U8" s="8" t="s">
        <v>137</v>
      </c>
      <c r="V8" s="8" t="s">
        <v>130</v>
      </c>
      <c r="W8" s="80" t="s">
        <v>81</v>
      </c>
      <c r="X8" s="80" t="s">
        <v>81</v>
      </c>
      <c r="Y8" s="8" t="s">
        <v>153</v>
      </c>
      <c r="Z8" s="83" t="s">
        <v>81</v>
      </c>
      <c r="AA8" s="11"/>
      <c r="AB8" s="86" t="s">
        <v>81</v>
      </c>
      <c r="AC8" s="82" t="s">
        <v>81</v>
      </c>
      <c r="AD8" s="61" t="s">
        <v>81</v>
      </c>
    </row>
    <row r="9" spans="1:31" ht="15.75" x14ac:dyDescent="0.25">
      <c r="A9" s="228">
        <v>3</v>
      </c>
      <c r="B9" s="217" t="s">
        <v>91</v>
      </c>
      <c r="C9" s="1">
        <f t="shared" si="0"/>
        <v>31</v>
      </c>
      <c r="D9" s="2" t="s">
        <v>4</v>
      </c>
      <c r="E9" s="11"/>
      <c r="F9" s="17" t="s">
        <v>8</v>
      </c>
      <c r="G9" s="222"/>
      <c r="H9" s="2" t="s">
        <v>22</v>
      </c>
      <c r="I9" s="11"/>
      <c r="J9" s="244"/>
      <c r="K9" s="250"/>
      <c r="L9" s="13">
        <v>5</v>
      </c>
      <c r="M9" s="15" t="s">
        <v>18</v>
      </c>
      <c r="N9" s="19" t="s">
        <v>79</v>
      </c>
      <c r="O9" s="52" t="s">
        <v>81</v>
      </c>
      <c r="P9" s="52" t="s">
        <v>81</v>
      </c>
      <c r="Q9" s="25" t="s">
        <v>68</v>
      </c>
      <c r="S9" s="75">
        <v>4</v>
      </c>
      <c r="T9" s="79" t="s">
        <v>81</v>
      </c>
      <c r="U9" s="80" t="s">
        <v>81</v>
      </c>
      <c r="V9" s="8" t="s">
        <v>131</v>
      </c>
      <c r="W9" s="8" t="s">
        <v>140</v>
      </c>
      <c r="X9" s="80" t="s">
        <v>81</v>
      </c>
      <c r="Y9" s="8" t="s">
        <v>155</v>
      </c>
      <c r="Z9" s="83" t="s">
        <v>81</v>
      </c>
      <c r="AA9" s="11"/>
      <c r="AB9" s="65" t="s">
        <v>169</v>
      </c>
      <c r="AC9" s="82" t="s">
        <v>81</v>
      </c>
      <c r="AD9" s="61" t="s">
        <v>81</v>
      </c>
    </row>
    <row r="10" spans="1:31" ht="16.5" thickBot="1" x14ac:dyDescent="0.3">
      <c r="A10" s="228"/>
      <c r="B10" s="217"/>
      <c r="C10" s="1">
        <f t="shared" si="0"/>
        <v>32</v>
      </c>
      <c r="D10" s="2" t="s">
        <v>5</v>
      </c>
      <c r="E10" s="11"/>
      <c r="F10" s="17" t="s">
        <v>10</v>
      </c>
      <c r="G10" s="222"/>
      <c r="H10" s="2" t="s">
        <v>24</v>
      </c>
      <c r="I10" s="11"/>
      <c r="J10" s="244"/>
      <c r="K10" s="250"/>
      <c r="L10" s="14">
        <v>6</v>
      </c>
      <c r="M10" s="12" t="s">
        <v>19</v>
      </c>
      <c r="N10" s="20" t="s">
        <v>80</v>
      </c>
      <c r="O10" s="57" t="s">
        <v>81</v>
      </c>
      <c r="P10" s="57" t="s">
        <v>81</v>
      </c>
      <c r="Q10" s="4" t="s">
        <v>68</v>
      </c>
      <c r="S10" s="74">
        <v>5</v>
      </c>
      <c r="T10" s="79" t="s">
        <v>81</v>
      </c>
      <c r="U10" s="8" t="s">
        <v>118</v>
      </c>
      <c r="V10" s="100" t="s">
        <v>132</v>
      </c>
      <c r="W10" s="80" t="s">
        <v>81</v>
      </c>
      <c r="X10" s="80" t="s">
        <v>81</v>
      </c>
      <c r="Y10" s="8" t="s">
        <v>156</v>
      </c>
      <c r="Z10" s="83" t="s">
        <v>81</v>
      </c>
      <c r="AA10" s="11"/>
      <c r="AB10" s="65" t="s">
        <v>170</v>
      </c>
      <c r="AC10" s="82" t="s">
        <v>81</v>
      </c>
      <c r="AD10" s="61" t="s">
        <v>81</v>
      </c>
    </row>
    <row r="11" spans="1:31" ht="16.5" thickBot="1" x14ac:dyDescent="0.3">
      <c r="A11" s="228">
        <v>4</v>
      </c>
      <c r="B11" s="217" t="s">
        <v>92</v>
      </c>
      <c r="C11" s="1">
        <f t="shared" si="0"/>
        <v>41</v>
      </c>
      <c r="D11" s="2" t="s">
        <v>6</v>
      </c>
      <c r="E11" s="11"/>
      <c r="F11" s="17" t="s">
        <v>12</v>
      </c>
      <c r="G11" s="223"/>
      <c r="H11" s="4" t="s">
        <v>26</v>
      </c>
      <c r="I11" s="11"/>
      <c r="J11" s="244"/>
      <c r="K11" s="250"/>
      <c r="L11" s="54">
        <v>7</v>
      </c>
      <c r="M11" s="55" t="s">
        <v>20</v>
      </c>
      <c r="N11" s="56" t="s">
        <v>82</v>
      </c>
      <c r="O11" s="56" t="s">
        <v>81</v>
      </c>
      <c r="P11" s="56" t="s">
        <v>81</v>
      </c>
      <c r="Q11" s="61" t="s">
        <v>81</v>
      </c>
      <c r="S11" s="75">
        <v>6</v>
      </c>
      <c r="T11" s="79" t="s">
        <v>81</v>
      </c>
      <c r="U11" s="8" t="s">
        <v>119</v>
      </c>
      <c r="V11" s="80" t="s">
        <v>81</v>
      </c>
      <c r="W11" s="80" t="s">
        <v>81</v>
      </c>
      <c r="X11" s="80" t="s">
        <v>81</v>
      </c>
      <c r="Y11" s="8" t="s">
        <v>157</v>
      </c>
      <c r="Z11" s="2" t="s">
        <v>154</v>
      </c>
      <c r="AA11" s="11"/>
      <c r="AB11" s="86" t="s">
        <v>81</v>
      </c>
      <c r="AC11" s="82" t="s">
        <v>81</v>
      </c>
      <c r="AD11" s="61" t="s">
        <v>81</v>
      </c>
    </row>
    <row r="12" spans="1:31" ht="15.75" customHeight="1" thickBot="1" x14ac:dyDescent="0.3">
      <c r="A12" s="228"/>
      <c r="B12" s="217"/>
      <c r="C12" s="1">
        <f t="shared" si="0"/>
        <v>42</v>
      </c>
      <c r="D12" s="2" t="s">
        <v>7</v>
      </c>
      <c r="E12" s="11"/>
      <c r="F12" s="17" t="s">
        <v>1</v>
      </c>
      <c r="G12" s="221" t="s">
        <v>29</v>
      </c>
      <c r="H12" s="25" t="s">
        <v>15</v>
      </c>
      <c r="I12" s="11"/>
      <c r="J12" s="245"/>
      <c r="K12" s="250"/>
      <c r="L12" s="14">
        <v>8</v>
      </c>
      <c r="M12" s="12" t="s">
        <v>21</v>
      </c>
      <c r="N12" s="20" t="s">
        <v>83</v>
      </c>
      <c r="O12" s="57" t="s">
        <v>81</v>
      </c>
      <c r="P12" s="57" t="s">
        <v>81</v>
      </c>
      <c r="Q12" s="4" t="s">
        <v>68</v>
      </c>
      <c r="S12" s="75">
        <v>7</v>
      </c>
      <c r="T12" s="79" t="s">
        <v>81</v>
      </c>
      <c r="U12" s="8" t="s">
        <v>120</v>
      </c>
      <c r="V12" s="80" t="s">
        <v>81</v>
      </c>
      <c r="W12" s="8" t="s">
        <v>141</v>
      </c>
      <c r="X12" s="80" t="s">
        <v>81</v>
      </c>
      <c r="Y12" s="8" t="s">
        <v>158</v>
      </c>
      <c r="Z12" s="83" t="s">
        <v>81</v>
      </c>
      <c r="AA12" s="11"/>
      <c r="AB12" s="65" t="s">
        <v>171</v>
      </c>
      <c r="AC12" s="82" t="s">
        <v>81</v>
      </c>
      <c r="AD12" s="61" t="s">
        <v>81</v>
      </c>
    </row>
    <row r="13" spans="1:31" ht="15.75" x14ac:dyDescent="0.25">
      <c r="A13" s="228">
        <v>5</v>
      </c>
      <c r="B13" s="217" t="s">
        <v>93</v>
      </c>
      <c r="C13" s="1">
        <f t="shared" si="0"/>
        <v>51</v>
      </c>
      <c r="D13" s="2" t="s">
        <v>8</v>
      </c>
      <c r="E13" s="11"/>
      <c r="F13" s="17" t="s">
        <v>3</v>
      </c>
      <c r="G13" s="222"/>
      <c r="H13" s="2" t="s">
        <v>17</v>
      </c>
      <c r="I13" s="11"/>
      <c r="J13" s="240" t="s">
        <v>56</v>
      </c>
      <c r="K13" s="250"/>
      <c r="L13" s="13">
        <v>1</v>
      </c>
      <c r="M13" s="15" t="s">
        <v>22</v>
      </c>
      <c r="N13" s="19" t="s">
        <v>84</v>
      </c>
      <c r="O13" s="52" t="s">
        <v>81</v>
      </c>
      <c r="P13" s="52" t="s">
        <v>81</v>
      </c>
      <c r="Q13" s="25" t="s">
        <v>68</v>
      </c>
      <c r="S13" s="75">
        <v>8</v>
      </c>
      <c r="T13" s="79" t="s">
        <v>81</v>
      </c>
      <c r="U13" s="8" t="s">
        <v>121</v>
      </c>
      <c r="V13" s="8" t="s">
        <v>133</v>
      </c>
      <c r="W13" s="80" t="s">
        <v>81</v>
      </c>
      <c r="X13" s="8" t="s">
        <v>149</v>
      </c>
      <c r="Y13" s="8" t="s">
        <v>159</v>
      </c>
      <c r="Z13" s="83" t="s">
        <v>81</v>
      </c>
      <c r="AA13" s="11"/>
      <c r="AB13" s="86" t="s">
        <v>81</v>
      </c>
      <c r="AC13" s="82" t="s">
        <v>81</v>
      </c>
      <c r="AD13" s="61" t="s">
        <v>81</v>
      </c>
    </row>
    <row r="14" spans="1:31" ht="16.5" thickBot="1" x14ac:dyDescent="0.3">
      <c r="A14" s="228"/>
      <c r="B14" s="217"/>
      <c r="C14" s="1">
        <f t="shared" si="0"/>
        <v>52</v>
      </c>
      <c r="D14" s="2" t="s">
        <v>9</v>
      </c>
      <c r="E14" s="11"/>
      <c r="F14" s="17" t="s">
        <v>5</v>
      </c>
      <c r="G14" s="222"/>
      <c r="H14" s="2" t="s">
        <v>19</v>
      </c>
      <c r="I14" s="11"/>
      <c r="J14" s="241"/>
      <c r="K14" s="250"/>
      <c r="L14" s="14">
        <v>2</v>
      </c>
      <c r="M14" s="12" t="s">
        <v>23</v>
      </c>
      <c r="N14" s="20" t="s">
        <v>85</v>
      </c>
      <c r="O14" s="57" t="s">
        <v>81</v>
      </c>
      <c r="P14" s="57" t="s">
        <v>81</v>
      </c>
      <c r="Q14" s="4" t="s">
        <v>68</v>
      </c>
      <c r="S14" s="74">
        <v>9</v>
      </c>
      <c r="T14" s="79" t="s">
        <v>81</v>
      </c>
      <c r="U14" s="8" t="s">
        <v>122</v>
      </c>
      <c r="V14" s="80" t="s">
        <v>81</v>
      </c>
      <c r="W14" s="80" t="s">
        <v>81</v>
      </c>
      <c r="X14" s="80" t="s">
        <v>81</v>
      </c>
      <c r="Y14" s="8" t="s">
        <v>160</v>
      </c>
      <c r="Z14" s="83" t="s">
        <v>81</v>
      </c>
      <c r="AA14" s="11"/>
      <c r="AB14" s="65" t="s">
        <v>172</v>
      </c>
      <c r="AC14" s="82" t="s">
        <v>81</v>
      </c>
      <c r="AD14" s="61" t="s">
        <v>81</v>
      </c>
    </row>
    <row r="15" spans="1:31" ht="15.75" x14ac:dyDescent="0.25">
      <c r="A15" s="228">
        <v>6</v>
      </c>
      <c r="B15" s="217"/>
      <c r="C15" s="1">
        <f t="shared" si="0"/>
        <v>61</v>
      </c>
      <c r="D15" s="2" t="s">
        <v>10</v>
      </c>
      <c r="E15" s="11"/>
      <c r="F15" s="17" t="s">
        <v>7</v>
      </c>
      <c r="G15" s="222"/>
      <c r="H15" s="2" t="s">
        <v>21</v>
      </c>
      <c r="I15" s="11"/>
      <c r="J15" s="241"/>
      <c r="K15" s="250"/>
      <c r="L15" s="13">
        <v>3</v>
      </c>
      <c r="M15" s="15" t="s">
        <v>24</v>
      </c>
      <c r="N15" s="52" t="s">
        <v>86</v>
      </c>
      <c r="O15" s="52" t="s">
        <v>81</v>
      </c>
      <c r="P15" s="52" t="s">
        <v>81</v>
      </c>
      <c r="Q15" s="60" t="s">
        <v>81</v>
      </c>
      <c r="S15" s="75">
        <v>10</v>
      </c>
      <c r="T15" s="72" t="s">
        <v>111</v>
      </c>
      <c r="U15" s="8" t="s">
        <v>123</v>
      </c>
      <c r="V15" s="80" t="s">
        <v>81</v>
      </c>
      <c r="W15" s="8" t="s">
        <v>142</v>
      </c>
      <c r="X15" s="80" t="s">
        <v>81</v>
      </c>
      <c r="Y15" s="80" t="s">
        <v>81</v>
      </c>
      <c r="Z15" s="83" t="s">
        <v>81</v>
      </c>
      <c r="AA15" s="11"/>
      <c r="AB15" s="65" t="s">
        <v>173</v>
      </c>
      <c r="AC15" s="82" t="s">
        <v>81</v>
      </c>
      <c r="AD15" s="61" t="s">
        <v>81</v>
      </c>
    </row>
    <row r="16" spans="1:31" ht="16.5" thickBot="1" x14ac:dyDescent="0.3">
      <c r="A16" s="228"/>
      <c r="B16" s="217"/>
      <c r="C16" s="1">
        <f t="shared" si="0"/>
        <v>62</v>
      </c>
      <c r="D16" s="2" t="s">
        <v>11</v>
      </c>
      <c r="E16" s="11"/>
      <c r="F16" s="17" t="s">
        <v>9</v>
      </c>
      <c r="G16" s="222"/>
      <c r="H16" s="2" t="s">
        <v>23</v>
      </c>
      <c r="I16" s="11"/>
      <c r="J16" s="241"/>
      <c r="K16" s="250"/>
      <c r="L16" s="14">
        <v>4</v>
      </c>
      <c r="M16" s="12" t="s">
        <v>25</v>
      </c>
      <c r="N16" s="57" t="s">
        <v>87</v>
      </c>
      <c r="O16" s="57" t="s">
        <v>81</v>
      </c>
      <c r="P16" s="57" t="s">
        <v>81</v>
      </c>
      <c r="Q16" s="62" t="s">
        <v>81</v>
      </c>
      <c r="S16" s="75">
        <v>11</v>
      </c>
      <c r="T16" s="79" t="s">
        <v>81</v>
      </c>
      <c r="U16" s="8" t="s">
        <v>124</v>
      </c>
      <c r="V16" s="8" t="s">
        <v>134</v>
      </c>
      <c r="W16" s="8" t="s">
        <v>143</v>
      </c>
      <c r="X16" s="80" t="s">
        <v>81</v>
      </c>
      <c r="Y16" s="8" t="s">
        <v>163</v>
      </c>
      <c r="Z16" s="83" t="s">
        <v>81</v>
      </c>
      <c r="AA16" s="11"/>
      <c r="AB16" s="86" t="s">
        <v>81</v>
      </c>
      <c r="AC16" s="82" t="s">
        <v>81</v>
      </c>
      <c r="AD16" s="61" t="s">
        <v>81</v>
      </c>
    </row>
    <row r="17" spans="1:30" ht="15.75" x14ac:dyDescent="0.25">
      <c r="A17" s="228">
        <v>7</v>
      </c>
      <c r="B17" s="217" t="s">
        <v>94</v>
      </c>
      <c r="C17" s="1">
        <f t="shared" si="0"/>
        <v>71</v>
      </c>
      <c r="D17" s="2" t="s">
        <v>12</v>
      </c>
      <c r="E17" s="11"/>
      <c r="F17" s="17" t="s">
        <v>11</v>
      </c>
      <c r="G17" s="222"/>
      <c r="H17" s="2" t="s">
        <v>25</v>
      </c>
      <c r="I17" s="11"/>
      <c r="J17" s="241"/>
      <c r="K17" s="250"/>
      <c r="L17" s="13">
        <v>5</v>
      </c>
      <c r="M17" s="15" t="s">
        <v>14</v>
      </c>
      <c r="N17" s="19" t="s">
        <v>88</v>
      </c>
      <c r="O17" s="19" t="s">
        <v>68</v>
      </c>
      <c r="P17" s="52" t="s">
        <v>81</v>
      </c>
      <c r="Q17" s="60" t="s">
        <v>81</v>
      </c>
      <c r="S17" s="75">
        <v>12</v>
      </c>
      <c r="T17" s="72" t="s">
        <v>112</v>
      </c>
      <c r="U17" s="8" t="s">
        <v>125</v>
      </c>
      <c r="V17" s="80" t="s">
        <v>81</v>
      </c>
      <c r="W17" s="8" t="s">
        <v>144</v>
      </c>
      <c r="X17" s="80" t="s">
        <v>81</v>
      </c>
      <c r="Y17" s="8" t="s">
        <v>162</v>
      </c>
      <c r="Z17" s="83" t="s">
        <v>81</v>
      </c>
      <c r="AA17" s="11"/>
      <c r="AB17" s="65" t="s">
        <v>174</v>
      </c>
      <c r="AC17" s="82" t="s">
        <v>81</v>
      </c>
      <c r="AD17" s="61" t="s">
        <v>81</v>
      </c>
    </row>
    <row r="18" spans="1:30" ht="16.5" thickBot="1" x14ac:dyDescent="0.3">
      <c r="A18" s="229"/>
      <c r="B18" s="220"/>
      <c r="C18" s="3">
        <f t="shared" si="0"/>
        <v>72</v>
      </c>
      <c r="D18" s="4" t="s">
        <v>13</v>
      </c>
      <c r="E18" s="11"/>
      <c r="F18" s="18" t="s">
        <v>13</v>
      </c>
      <c r="G18" s="223"/>
      <c r="H18" s="4" t="s">
        <v>27</v>
      </c>
      <c r="J18" s="241"/>
      <c r="K18" s="250"/>
      <c r="L18" s="14">
        <v>6</v>
      </c>
      <c r="M18" s="12" t="s">
        <v>15</v>
      </c>
      <c r="N18" s="20" t="s">
        <v>89</v>
      </c>
      <c r="O18" s="57" t="s">
        <v>81</v>
      </c>
      <c r="P18" s="57" t="s">
        <v>81</v>
      </c>
      <c r="Q18" s="4" t="s">
        <v>68</v>
      </c>
      <c r="S18" s="74">
        <v>13</v>
      </c>
      <c r="T18" s="79" t="s">
        <v>81</v>
      </c>
      <c r="U18" s="8" t="s">
        <v>126</v>
      </c>
      <c r="V18" s="8" t="s">
        <v>136</v>
      </c>
      <c r="W18" s="8" t="s">
        <v>145</v>
      </c>
      <c r="X18" s="80" t="s">
        <v>81</v>
      </c>
      <c r="Y18" s="8" t="s">
        <v>161</v>
      </c>
      <c r="Z18" s="83" t="s">
        <v>81</v>
      </c>
      <c r="AA18" s="11"/>
      <c r="AB18" s="65" t="s">
        <v>175</v>
      </c>
      <c r="AC18" s="82" t="s">
        <v>81</v>
      </c>
      <c r="AD18" s="61" t="s">
        <v>81</v>
      </c>
    </row>
    <row r="19" spans="1:30" x14ac:dyDescent="0.25">
      <c r="J19" s="241"/>
      <c r="K19" s="250"/>
      <c r="L19" s="54">
        <v>7</v>
      </c>
      <c r="M19" s="55" t="s">
        <v>61</v>
      </c>
      <c r="N19" s="56" t="s">
        <v>81</v>
      </c>
      <c r="O19" s="56" t="s">
        <v>81</v>
      </c>
      <c r="P19" s="56" t="s">
        <v>81</v>
      </c>
      <c r="Q19" s="61" t="s">
        <v>81</v>
      </c>
      <c r="S19" s="75">
        <v>14</v>
      </c>
      <c r="T19" s="72" t="s">
        <v>113</v>
      </c>
      <c r="U19" s="8" t="s">
        <v>107</v>
      </c>
      <c r="V19" s="8" t="s">
        <v>138</v>
      </c>
      <c r="W19" s="8" t="s">
        <v>146</v>
      </c>
      <c r="X19" s="80" t="s">
        <v>81</v>
      </c>
      <c r="Y19" s="8" t="s">
        <v>164</v>
      </c>
      <c r="Z19" s="83" t="s">
        <v>81</v>
      </c>
      <c r="AA19" s="11"/>
      <c r="AB19" s="65" t="s">
        <v>176</v>
      </c>
      <c r="AC19" s="82" t="s">
        <v>81</v>
      </c>
      <c r="AD19" s="61" t="s">
        <v>81</v>
      </c>
    </row>
    <row r="20" spans="1:30" ht="15.75" thickBot="1" x14ac:dyDescent="0.3">
      <c r="J20" s="242"/>
      <c r="K20" s="251"/>
      <c r="L20" s="14">
        <v>8</v>
      </c>
      <c r="M20" s="12" t="s">
        <v>62</v>
      </c>
      <c r="N20" s="57" t="s">
        <v>81</v>
      </c>
      <c r="O20" s="57" t="s">
        <v>81</v>
      </c>
      <c r="P20" s="57" t="s">
        <v>81</v>
      </c>
      <c r="Q20" s="62" t="s">
        <v>81</v>
      </c>
      <c r="S20" s="75">
        <v>15</v>
      </c>
      <c r="T20" s="72" t="s">
        <v>114</v>
      </c>
      <c r="U20" s="8" t="s">
        <v>127</v>
      </c>
      <c r="V20" s="80" t="s">
        <v>81</v>
      </c>
      <c r="W20" s="8" t="s">
        <v>147</v>
      </c>
      <c r="X20" s="80" t="s">
        <v>81</v>
      </c>
      <c r="Y20" s="8" t="s">
        <v>165</v>
      </c>
      <c r="Z20" s="2" t="s">
        <v>167</v>
      </c>
      <c r="AA20" s="11"/>
      <c r="AB20" s="65" t="s">
        <v>177</v>
      </c>
      <c r="AC20" s="55" t="s">
        <v>178</v>
      </c>
      <c r="AD20" s="61" t="s">
        <v>81</v>
      </c>
    </row>
    <row r="21" spans="1:30" ht="15.75" thickBot="1" x14ac:dyDescent="0.3">
      <c r="B21" s="8" t="s">
        <v>70</v>
      </c>
      <c r="C21" s="24" t="s">
        <v>71</v>
      </c>
      <c r="J21" s="258"/>
      <c r="K21" s="258"/>
      <c r="L21" s="258"/>
      <c r="M21" s="258"/>
      <c r="N21" s="64"/>
      <c r="O21" s="64"/>
      <c r="P21" s="64"/>
      <c r="Q21" s="64"/>
      <c r="S21" s="76">
        <v>16</v>
      </c>
      <c r="T21" s="73" t="s">
        <v>115</v>
      </c>
      <c r="U21" s="12" t="s">
        <v>128</v>
      </c>
      <c r="V21" s="12" t="s">
        <v>135</v>
      </c>
      <c r="W21" s="12" t="s">
        <v>148</v>
      </c>
      <c r="X21" s="84" t="s">
        <v>81</v>
      </c>
      <c r="Y21" s="12" t="s">
        <v>151</v>
      </c>
      <c r="Z21" s="62" t="s">
        <v>81</v>
      </c>
      <c r="AA21" s="11"/>
      <c r="AB21" s="87" t="s">
        <v>81</v>
      </c>
      <c r="AC21" s="82" t="s">
        <v>81</v>
      </c>
      <c r="AD21" s="4" t="s">
        <v>179</v>
      </c>
    </row>
    <row r="22" spans="1:30" x14ac:dyDescent="0.25">
      <c r="B22" s="49" t="s">
        <v>47</v>
      </c>
      <c r="C22" s="50">
        <v>0</v>
      </c>
      <c r="E22" s="232" t="s">
        <v>275</v>
      </c>
      <c r="F22" s="232"/>
      <c r="G22" s="232"/>
      <c r="H22" s="232"/>
      <c r="J22" s="233" t="s">
        <v>95</v>
      </c>
      <c r="K22" s="233"/>
      <c r="L22" s="233"/>
      <c r="M22" s="233"/>
      <c r="N22" s="80">
        <f>SC(N6:N21,N20)</f>
        <v>8</v>
      </c>
      <c r="O22" s="80">
        <f>SC(O6:O21,O20)</f>
        <v>15</v>
      </c>
      <c r="P22" s="80">
        <f>SC(P6:P21,P20)</f>
        <v>14</v>
      </c>
      <c r="Q22" s="80">
        <f>SC(Q6:Q21,Q20)</f>
        <v>7</v>
      </c>
      <c r="R22" s="8">
        <f>SUM(N22:Q22)</f>
        <v>44</v>
      </c>
      <c r="T22" s="82">
        <f>SC(T6:T21,T18)</f>
        <v>10</v>
      </c>
      <c r="U22" s="82">
        <f t="shared" ref="U22:Z22" si="1">SC(U6:U21,U18)</f>
        <v>15</v>
      </c>
      <c r="V22" s="82">
        <f t="shared" si="1"/>
        <v>9</v>
      </c>
      <c r="W22" s="82">
        <f t="shared" si="1"/>
        <v>10</v>
      </c>
      <c r="X22" s="82">
        <f t="shared" si="1"/>
        <v>15</v>
      </c>
      <c r="Y22" s="82">
        <f t="shared" si="1"/>
        <v>15</v>
      </c>
      <c r="Z22" s="82">
        <f t="shared" si="1"/>
        <v>13</v>
      </c>
      <c r="AA22" s="8">
        <f>SUM(T22:Z22)</f>
        <v>87</v>
      </c>
    </row>
    <row r="23" spans="1:30" x14ac:dyDescent="0.25">
      <c r="B23" s="31" t="s">
        <v>48</v>
      </c>
      <c r="C23" s="32">
        <v>1</v>
      </c>
      <c r="E23" s="231" t="s">
        <v>180</v>
      </c>
      <c r="F23" s="232"/>
      <c r="G23" s="232"/>
      <c r="H23" s="232"/>
      <c r="J23" s="233" t="s">
        <v>96</v>
      </c>
      <c r="K23" s="233"/>
      <c r="L23" s="233"/>
      <c r="M23" s="233"/>
      <c r="N23" s="8">
        <f>SC(N5:N20,$M$19)</f>
        <v>8</v>
      </c>
      <c r="O23" s="8">
        <f>SC(O5:O20,$M$19)</f>
        <v>1</v>
      </c>
      <c r="P23" s="8">
        <f>SC(P5:P20,$M$19)</f>
        <v>2</v>
      </c>
      <c r="Q23" s="8">
        <f>SC(Q5:Q20,$M$19)</f>
        <v>9</v>
      </c>
      <c r="R23" s="8">
        <f>SUM(N23:Q23)</f>
        <v>20</v>
      </c>
      <c r="T23" s="8">
        <f t="shared" ref="T23:Z23" si="2">SC(T6:T21,$M$19)</f>
        <v>6</v>
      </c>
      <c r="U23" s="8">
        <f t="shared" si="2"/>
        <v>15</v>
      </c>
      <c r="V23" s="8">
        <f t="shared" si="2"/>
        <v>9</v>
      </c>
      <c r="W23" s="8">
        <f t="shared" si="2"/>
        <v>10</v>
      </c>
      <c r="X23" s="8">
        <f t="shared" si="2"/>
        <v>1</v>
      </c>
      <c r="Y23" s="8">
        <f t="shared" si="2"/>
        <v>15</v>
      </c>
      <c r="Z23" s="8">
        <f t="shared" si="2"/>
        <v>3</v>
      </c>
      <c r="AA23" s="8">
        <f>SUM(T23:Z23)</f>
        <v>59</v>
      </c>
    </row>
    <row r="24" spans="1:30" x14ac:dyDescent="0.25">
      <c r="B24" s="33" t="s">
        <v>39</v>
      </c>
      <c r="C24" s="34">
        <v>2</v>
      </c>
    </row>
    <row r="25" spans="1:30" x14ac:dyDescent="0.25">
      <c r="B25" s="35" t="s">
        <v>40</v>
      </c>
      <c r="C25" s="36">
        <v>3</v>
      </c>
      <c r="U25" s="71"/>
      <c r="V25" s="71"/>
      <c r="W25" s="71"/>
      <c r="X25" s="78"/>
      <c r="Y25" s="71"/>
      <c r="Z25" s="71"/>
      <c r="AB25" s="71"/>
      <c r="AC25" s="71"/>
      <c r="AD25" s="71"/>
    </row>
    <row r="26" spans="1:30" x14ac:dyDescent="0.25">
      <c r="B26" s="37" t="s">
        <v>41</v>
      </c>
      <c r="C26" s="38">
        <v>4</v>
      </c>
      <c r="T26" s="71"/>
      <c r="U26" s="71"/>
      <c r="V26" s="71"/>
      <c r="W26" s="71"/>
      <c r="X26" s="78"/>
      <c r="Y26" s="71"/>
      <c r="Z26" s="71"/>
      <c r="AB26" s="71"/>
      <c r="AC26" s="71"/>
      <c r="AD26" s="71"/>
    </row>
    <row r="27" spans="1:30" x14ac:dyDescent="0.25">
      <c r="B27" s="39" t="s">
        <v>42</v>
      </c>
      <c r="C27" s="40">
        <v>5</v>
      </c>
      <c r="T27" s="71"/>
      <c r="U27" s="71"/>
      <c r="V27" s="71"/>
      <c r="W27" s="71"/>
      <c r="X27" s="71"/>
      <c r="Y27" s="78"/>
      <c r="Z27" s="71"/>
      <c r="AB27" s="71"/>
      <c r="AC27" s="71"/>
      <c r="AD27" s="71"/>
    </row>
    <row r="28" spans="1:30" x14ac:dyDescent="0.25">
      <c r="B28" s="41" t="s">
        <v>43</v>
      </c>
      <c r="C28" s="42">
        <v>6</v>
      </c>
      <c r="T28" s="71"/>
      <c r="U28" s="71"/>
      <c r="V28" s="71"/>
      <c r="W28" s="71"/>
      <c r="X28" s="71"/>
      <c r="Y28" s="71"/>
      <c r="Z28" s="71"/>
      <c r="AB28" s="71"/>
      <c r="AC28" s="71"/>
      <c r="AD28" s="71"/>
    </row>
    <row r="29" spans="1:30" x14ac:dyDescent="0.25">
      <c r="B29" s="43" t="s">
        <v>45</v>
      </c>
      <c r="C29" s="44">
        <v>7</v>
      </c>
      <c r="T29" s="71"/>
      <c r="U29" s="71"/>
      <c r="V29" s="71"/>
      <c r="W29" s="71"/>
      <c r="X29" s="71"/>
      <c r="Y29" s="71"/>
      <c r="Z29" s="71"/>
      <c r="AB29" s="71"/>
      <c r="AC29" s="71"/>
      <c r="AD29" s="71"/>
    </row>
    <row r="30" spans="1:30" x14ac:dyDescent="0.25">
      <c r="B30" s="47" t="s">
        <v>44</v>
      </c>
      <c r="C30" s="48">
        <v>8</v>
      </c>
      <c r="T30" s="71"/>
      <c r="U30" s="71"/>
      <c r="V30" s="71"/>
      <c r="W30" s="71"/>
      <c r="X30" s="71"/>
      <c r="Y30" s="71"/>
      <c r="Z30" s="71"/>
      <c r="AB30" s="71"/>
      <c r="AC30" s="71"/>
      <c r="AD30" s="71"/>
    </row>
    <row r="31" spans="1:30" x14ac:dyDescent="0.25">
      <c r="B31" s="45" t="s">
        <v>46</v>
      </c>
      <c r="C31" s="46">
        <v>9</v>
      </c>
      <c r="T31" s="71"/>
      <c r="U31" s="71"/>
      <c r="V31" s="71"/>
      <c r="W31" s="71"/>
      <c r="X31" s="71"/>
      <c r="Y31" s="71"/>
      <c r="Z31" s="71"/>
      <c r="AB31" s="71"/>
      <c r="AC31" s="71"/>
      <c r="AD31" s="71"/>
    </row>
    <row r="32" spans="1:30" x14ac:dyDescent="0.25">
      <c r="T32" s="71"/>
      <c r="U32" s="71"/>
      <c r="V32" s="71"/>
      <c r="W32" s="71"/>
      <c r="X32" s="71"/>
      <c r="Y32" s="71"/>
      <c r="Z32" s="71"/>
      <c r="AB32" s="71"/>
      <c r="AC32" s="71"/>
      <c r="AD32" s="71"/>
    </row>
    <row r="33" spans="20:30" x14ac:dyDescent="0.25">
      <c r="T33" s="71"/>
      <c r="U33" s="71"/>
      <c r="V33" s="71"/>
      <c r="W33" s="71"/>
      <c r="X33" s="71"/>
      <c r="Y33" s="71"/>
      <c r="Z33" s="71"/>
      <c r="AB33" s="71"/>
      <c r="AC33" s="71"/>
      <c r="AD33" s="71"/>
    </row>
    <row r="34" spans="20:30" x14ac:dyDescent="0.25">
      <c r="T34" s="71"/>
      <c r="U34" s="71"/>
      <c r="V34" s="71"/>
      <c r="W34" s="71"/>
      <c r="X34" s="71"/>
      <c r="Y34" s="71"/>
      <c r="Z34" s="71"/>
      <c r="AB34" s="71"/>
      <c r="AC34" s="71"/>
      <c r="AD34" s="71"/>
    </row>
    <row r="35" spans="20:30" x14ac:dyDescent="0.25">
      <c r="T35" s="71"/>
      <c r="U35" s="71"/>
      <c r="V35" s="71"/>
      <c r="W35" s="71"/>
      <c r="X35" s="71"/>
      <c r="Y35" s="71"/>
      <c r="Z35" s="71"/>
      <c r="AB35" s="71"/>
      <c r="AC35" s="71"/>
      <c r="AD35" s="71"/>
    </row>
    <row r="36" spans="20:30" x14ac:dyDescent="0.25">
      <c r="T36" s="71"/>
      <c r="U36" s="71"/>
      <c r="V36" s="71"/>
      <c r="W36" s="71"/>
      <c r="X36" s="71"/>
      <c r="Y36" s="71"/>
      <c r="Z36" s="71"/>
      <c r="AB36" s="71"/>
      <c r="AC36" s="71"/>
      <c r="AD36" s="71"/>
    </row>
    <row r="37" spans="20:30" x14ac:dyDescent="0.25">
      <c r="T37" s="71"/>
      <c r="U37" s="71"/>
      <c r="V37" s="71"/>
      <c r="W37" s="71"/>
      <c r="X37" s="71"/>
      <c r="Y37" s="71"/>
      <c r="Z37" s="71"/>
      <c r="AB37" s="71"/>
      <c r="AC37" s="71"/>
      <c r="AD37" s="71"/>
    </row>
    <row r="38" spans="20:30" x14ac:dyDescent="0.25">
      <c r="T38" s="71"/>
      <c r="U38" s="71"/>
      <c r="V38" s="71"/>
      <c r="W38" s="71"/>
      <c r="X38" s="71"/>
      <c r="Y38" s="71"/>
      <c r="Z38" s="71"/>
      <c r="AB38" s="71"/>
      <c r="AC38" s="71"/>
      <c r="AD38" s="71"/>
    </row>
    <row r="39" spans="20:30" x14ac:dyDescent="0.25">
      <c r="T39" s="71"/>
      <c r="U39" s="71"/>
      <c r="V39" s="71"/>
      <c r="W39" s="71"/>
      <c r="X39" s="71"/>
      <c r="Y39" s="71"/>
      <c r="Z39" s="71"/>
      <c r="AB39" s="71"/>
      <c r="AC39" s="71"/>
      <c r="AD39" s="71"/>
    </row>
    <row r="40" spans="20:30" x14ac:dyDescent="0.25">
      <c r="T40" s="71"/>
      <c r="U40" s="71"/>
      <c r="V40" s="71"/>
      <c r="W40" s="71"/>
      <c r="X40" s="71"/>
      <c r="Y40" s="71"/>
      <c r="Z40" s="71"/>
      <c r="AB40" s="71"/>
      <c r="AC40" s="71"/>
      <c r="AD40" s="71"/>
    </row>
  </sheetData>
  <mergeCells count="35">
    <mergeCell ref="S2:Z2"/>
    <mergeCell ref="AB2:AD2"/>
    <mergeCell ref="T3:Z3"/>
    <mergeCell ref="AB3:AD3"/>
    <mergeCell ref="J13:J20"/>
    <mergeCell ref="J5:J12"/>
    <mergeCell ref="J2:Q2"/>
    <mergeCell ref="K5:K20"/>
    <mergeCell ref="K3:M3"/>
    <mergeCell ref="N3:Q3"/>
    <mergeCell ref="S3:S5"/>
    <mergeCell ref="A17:A18"/>
    <mergeCell ref="B5:B6"/>
    <mergeCell ref="B7:B8"/>
    <mergeCell ref="E23:H23"/>
    <mergeCell ref="J23:M23"/>
    <mergeCell ref="J22:M22"/>
    <mergeCell ref="E22:H22"/>
    <mergeCell ref="J21:M21"/>
    <mergeCell ref="B13:B14"/>
    <mergeCell ref="B15:B16"/>
    <mergeCell ref="A1:C1"/>
    <mergeCell ref="B17:B18"/>
    <mergeCell ref="G5:G11"/>
    <mergeCell ref="G12:G18"/>
    <mergeCell ref="F3:H3"/>
    <mergeCell ref="A3:D3"/>
    <mergeCell ref="A5:A6"/>
    <mergeCell ref="A7:A8"/>
    <mergeCell ref="A9:A10"/>
    <mergeCell ref="A11:A12"/>
    <mergeCell ref="B9:B10"/>
    <mergeCell ref="B11:B12"/>
    <mergeCell ref="A13:A14"/>
    <mergeCell ref="A15:A16"/>
  </mergeCells>
  <pageMargins left="0.7" right="0.7" top="0.75" bottom="0.75" header="0.3" footer="0.3"/>
  <pageSetup scale="35" fitToHeight="0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Q33"/>
  <sheetViews>
    <sheetView showGridLines="0" tabSelected="1" topLeftCell="B1" zoomScaleNormal="100" workbookViewId="0">
      <selection activeCell="P18" sqref="P18"/>
    </sheetView>
  </sheetViews>
  <sheetFormatPr defaultRowHeight="15" x14ac:dyDescent="0.25"/>
  <cols>
    <col min="1" max="1" width="9.140625" style="105"/>
    <col min="2" max="2" width="5.85546875" style="105" bestFit="1" customWidth="1"/>
    <col min="3" max="3" width="11.42578125" style="105" customWidth="1"/>
    <col min="4" max="4" width="19" style="105" customWidth="1"/>
    <col min="5" max="5" width="9.140625" style="105" bestFit="1" customWidth="1"/>
    <col min="6" max="6" width="10" style="105" bestFit="1" customWidth="1"/>
    <col min="7" max="7" width="10.28515625" style="105" bestFit="1" customWidth="1"/>
    <col min="8" max="8" width="8.85546875" style="105" customWidth="1"/>
    <col min="9" max="9" width="8.85546875" style="105" bestFit="1" customWidth="1"/>
    <col min="10" max="10" width="12.140625" style="105" customWidth="1"/>
    <col min="11" max="11" width="11.5703125" style="105" customWidth="1"/>
    <col min="12" max="13" width="10.28515625" style="105" bestFit="1" customWidth="1"/>
    <col min="14" max="14" width="7.7109375" style="105" bestFit="1" customWidth="1"/>
    <col min="15" max="15" width="10.28515625" style="105" bestFit="1" customWidth="1"/>
    <col min="16" max="16384" width="9.140625" style="105"/>
  </cols>
  <sheetData>
    <row r="1" spans="2:17" ht="15.75" thickBot="1" x14ac:dyDescent="0.3"/>
    <row r="2" spans="2:17" ht="15.75" thickBot="1" x14ac:dyDescent="0.3">
      <c r="B2" s="259" t="s">
        <v>183</v>
      </c>
      <c r="C2" s="261" t="s">
        <v>184</v>
      </c>
      <c r="D2" s="263" t="s">
        <v>278</v>
      </c>
      <c r="E2" s="274" t="s">
        <v>185</v>
      </c>
      <c r="F2" s="275"/>
      <c r="G2" s="276"/>
      <c r="I2" s="268" t="s">
        <v>270</v>
      </c>
      <c r="J2" s="269"/>
      <c r="K2" s="269"/>
      <c r="L2" s="269"/>
      <c r="M2" s="269"/>
      <c r="N2" s="269"/>
      <c r="O2" s="270"/>
    </row>
    <row r="3" spans="2:17" ht="15.75" thickBot="1" x14ac:dyDescent="0.3">
      <c r="B3" s="260"/>
      <c r="C3" s="262"/>
      <c r="D3" s="264"/>
      <c r="E3" s="187" t="s">
        <v>186</v>
      </c>
      <c r="F3" s="117" t="s">
        <v>187</v>
      </c>
      <c r="G3" s="118" t="s">
        <v>188</v>
      </c>
      <c r="I3" s="259" t="s">
        <v>234</v>
      </c>
      <c r="J3" s="274" t="s">
        <v>242</v>
      </c>
      <c r="K3" s="275"/>
      <c r="L3" s="275" t="s">
        <v>238</v>
      </c>
      <c r="M3" s="275"/>
      <c r="N3" s="275" t="s">
        <v>239</v>
      </c>
      <c r="O3" s="276"/>
    </row>
    <row r="4" spans="2:17" ht="16.5" thickBot="1" x14ac:dyDescent="0.3">
      <c r="B4" s="189">
        <v>1</v>
      </c>
      <c r="C4" s="193" t="s">
        <v>189</v>
      </c>
      <c r="D4" s="190" t="s">
        <v>190</v>
      </c>
      <c r="E4" s="109" t="s">
        <v>205</v>
      </c>
      <c r="F4" s="106" t="str">
        <f>CONCATENATE(LEFT(E4,3),"A",MID(E4,5,3),"L")</f>
        <v>STBA01ML</v>
      </c>
      <c r="G4" s="110" t="str">
        <f t="shared" ref="G4:G15" si="0">CONCATENATE(LEFT(E4,3),"A",MID(E4,5,3),"R")</f>
        <v>STBA01MR</v>
      </c>
      <c r="I4" s="260"/>
      <c r="J4" s="139" t="s">
        <v>63</v>
      </c>
      <c r="K4" s="140" t="s">
        <v>36</v>
      </c>
      <c r="L4" s="119" t="s">
        <v>236</v>
      </c>
      <c r="M4" s="120" t="s">
        <v>237</v>
      </c>
      <c r="N4" s="119" t="s">
        <v>235</v>
      </c>
      <c r="O4" s="120" t="s">
        <v>240</v>
      </c>
    </row>
    <row r="5" spans="2:17" ht="15.75" x14ac:dyDescent="0.25">
      <c r="B5" s="124">
        <v>2</v>
      </c>
      <c r="C5" s="194" t="s">
        <v>148</v>
      </c>
      <c r="D5" s="191" t="s">
        <v>191</v>
      </c>
      <c r="E5" s="109" t="s">
        <v>204</v>
      </c>
      <c r="F5" s="106" t="str">
        <f t="shared" ref="F5:F16" si="1">CONCATENATE(LEFT(E5,3),"A",MID(E5,5,3),"L")</f>
        <v>STBA04ML</v>
      </c>
      <c r="G5" s="110" t="str">
        <f t="shared" si="0"/>
        <v>STBA04MR</v>
      </c>
      <c r="I5" s="123">
        <v>1</v>
      </c>
      <c r="J5" s="130" t="s">
        <v>205</v>
      </c>
      <c r="K5" s="126" t="s">
        <v>206</v>
      </c>
      <c r="L5" s="121" t="s">
        <v>243</v>
      </c>
      <c r="M5" s="133" t="s">
        <v>81</v>
      </c>
      <c r="N5" s="137" t="s">
        <v>81</v>
      </c>
      <c r="O5" s="122" t="s">
        <v>244</v>
      </c>
    </row>
    <row r="6" spans="2:17" ht="15.75" x14ac:dyDescent="0.25">
      <c r="B6" s="124">
        <v>3</v>
      </c>
      <c r="C6" s="194" t="s">
        <v>142</v>
      </c>
      <c r="D6" s="191" t="s">
        <v>192</v>
      </c>
      <c r="E6" s="109" t="s">
        <v>206</v>
      </c>
      <c r="F6" s="106" t="str">
        <f t="shared" si="1"/>
        <v>STBA02ML</v>
      </c>
      <c r="G6" s="110" t="str">
        <f t="shared" si="0"/>
        <v>STBA02MR</v>
      </c>
      <c r="I6" s="124">
        <v>2</v>
      </c>
      <c r="J6" s="131" t="s">
        <v>207</v>
      </c>
      <c r="K6" s="127" t="s">
        <v>204</v>
      </c>
      <c r="L6" s="134" t="s">
        <v>81</v>
      </c>
      <c r="M6" s="112" t="s">
        <v>245</v>
      </c>
      <c r="N6" s="134" t="s">
        <v>81</v>
      </c>
      <c r="O6" s="112" t="s">
        <v>246</v>
      </c>
    </row>
    <row r="7" spans="2:17" ht="15.75" x14ac:dyDescent="0.25">
      <c r="B7" s="124">
        <v>4</v>
      </c>
      <c r="C7" s="194" t="s">
        <v>129</v>
      </c>
      <c r="D7" s="191" t="s">
        <v>193</v>
      </c>
      <c r="E7" s="109" t="s">
        <v>208</v>
      </c>
      <c r="F7" s="106" t="str">
        <f t="shared" si="1"/>
        <v>STBA02BL</v>
      </c>
      <c r="G7" s="110" t="str">
        <f t="shared" si="0"/>
        <v>STBA02BR</v>
      </c>
      <c r="I7" s="124">
        <v>3</v>
      </c>
      <c r="J7" s="131" t="s">
        <v>210</v>
      </c>
      <c r="K7" s="127" t="s">
        <v>233</v>
      </c>
      <c r="L7" s="111" t="s">
        <v>246</v>
      </c>
      <c r="M7" s="136" t="s">
        <v>81</v>
      </c>
      <c r="N7" s="134" t="s">
        <v>81</v>
      </c>
      <c r="O7" s="112" t="s">
        <v>247</v>
      </c>
      <c r="Q7" s="138"/>
    </row>
    <row r="8" spans="2:17" ht="15.75" x14ac:dyDescent="0.25">
      <c r="B8" s="124">
        <v>5</v>
      </c>
      <c r="C8" s="194" t="s">
        <v>123</v>
      </c>
      <c r="D8" s="191" t="s">
        <v>194</v>
      </c>
      <c r="E8" s="109" t="s">
        <v>209</v>
      </c>
      <c r="F8" s="106" t="str">
        <f t="shared" si="1"/>
        <v>STBA03BL</v>
      </c>
      <c r="G8" s="110" t="str">
        <f t="shared" si="0"/>
        <v>STBA03BR</v>
      </c>
      <c r="I8" s="124">
        <v>4</v>
      </c>
      <c r="J8" s="131" t="s">
        <v>214</v>
      </c>
      <c r="K8" s="127" t="s">
        <v>216</v>
      </c>
      <c r="L8" s="134" t="s">
        <v>81</v>
      </c>
      <c r="M8" s="112" t="s">
        <v>248</v>
      </c>
      <c r="N8" s="134" t="s">
        <v>81</v>
      </c>
      <c r="O8" s="112" t="s">
        <v>249</v>
      </c>
    </row>
    <row r="9" spans="2:17" ht="15.75" x14ac:dyDescent="0.25">
      <c r="B9" s="124">
        <v>6</v>
      </c>
      <c r="C9" s="194" t="s">
        <v>144</v>
      </c>
      <c r="D9" s="191" t="s">
        <v>202</v>
      </c>
      <c r="E9" s="109" t="s">
        <v>207</v>
      </c>
      <c r="F9" s="106" t="str">
        <f t="shared" si="1"/>
        <v>STBA03ML</v>
      </c>
      <c r="G9" s="110" t="str">
        <f t="shared" si="0"/>
        <v>STBA03MR</v>
      </c>
      <c r="I9" s="124">
        <v>5</v>
      </c>
      <c r="J9" s="131" t="s">
        <v>208</v>
      </c>
      <c r="K9" s="127" t="s">
        <v>209</v>
      </c>
      <c r="L9" s="134" t="s">
        <v>81</v>
      </c>
      <c r="M9" s="112" t="s">
        <v>250</v>
      </c>
      <c r="N9" s="134" t="s">
        <v>81</v>
      </c>
      <c r="O9" s="112" t="s">
        <v>251</v>
      </c>
    </row>
    <row r="10" spans="2:17" ht="15.75" x14ac:dyDescent="0.25">
      <c r="B10" s="124">
        <v>7</v>
      </c>
      <c r="C10" s="194" t="s">
        <v>121</v>
      </c>
      <c r="D10" s="191" t="s">
        <v>195</v>
      </c>
      <c r="E10" s="109" t="s">
        <v>216</v>
      </c>
      <c r="F10" s="106" t="str">
        <f t="shared" si="1"/>
        <v>STBA01BL</v>
      </c>
      <c r="G10" s="110" t="str">
        <f t="shared" si="0"/>
        <v>STBA01BR</v>
      </c>
      <c r="I10" s="124">
        <v>6</v>
      </c>
      <c r="J10" s="131" t="s">
        <v>211</v>
      </c>
      <c r="K10" s="127" t="s">
        <v>212</v>
      </c>
      <c r="L10" s="134" t="s">
        <v>81</v>
      </c>
      <c r="M10" s="112" t="s">
        <v>252</v>
      </c>
      <c r="N10" s="134" t="s">
        <v>81</v>
      </c>
      <c r="O10" s="112" t="s">
        <v>255</v>
      </c>
    </row>
    <row r="11" spans="2:17" ht="16.5" thickBot="1" x14ac:dyDescent="0.3">
      <c r="B11" s="124">
        <v>8</v>
      </c>
      <c r="C11" s="194" t="s">
        <v>145</v>
      </c>
      <c r="D11" s="191" t="s">
        <v>196</v>
      </c>
      <c r="E11" s="109" t="s">
        <v>211</v>
      </c>
      <c r="F11" s="106" t="str">
        <f t="shared" si="1"/>
        <v>STBA04BL</v>
      </c>
      <c r="G11" s="110" t="str">
        <f t="shared" si="0"/>
        <v>STBA04BR</v>
      </c>
      <c r="I11" s="125">
        <v>7</v>
      </c>
      <c r="J11" s="132" t="s">
        <v>213</v>
      </c>
      <c r="K11" s="128" t="s">
        <v>215</v>
      </c>
      <c r="L11" s="135" t="s">
        <v>81</v>
      </c>
      <c r="M11" s="114" t="s">
        <v>253</v>
      </c>
      <c r="N11" s="135" t="s">
        <v>81</v>
      </c>
      <c r="O11" s="114" t="s">
        <v>254</v>
      </c>
    </row>
    <row r="12" spans="2:17" ht="16.5" thickBot="1" x14ac:dyDescent="0.3">
      <c r="B12" s="124">
        <v>9</v>
      </c>
      <c r="C12" s="194" t="s">
        <v>139</v>
      </c>
      <c r="D12" s="191" t="s">
        <v>197</v>
      </c>
      <c r="E12" s="109" t="s">
        <v>210</v>
      </c>
      <c r="F12" s="106" t="str">
        <f t="shared" si="1"/>
        <v>STBA05ML</v>
      </c>
      <c r="G12" s="110" t="str">
        <f t="shared" si="0"/>
        <v>STBA05MR</v>
      </c>
      <c r="L12" s="268" t="s">
        <v>273</v>
      </c>
      <c r="M12" s="269"/>
      <c r="N12" s="269"/>
      <c r="O12" s="129">
        <f>SC(L5:N11,L11)</f>
        <v>14</v>
      </c>
    </row>
    <row r="13" spans="2:17" ht="15.75" x14ac:dyDescent="0.25">
      <c r="B13" s="124">
        <v>10</v>
      </c>
      <c r="C13" s="194" t="s">
        <v>141</v>
      </c>
      <c r="D13" s="191" t="s">
        <v>198</v>
      </c>
      <c r="E13" s="109" t="s">
        <v>212</v>
      </c>
      <c r="F13" s="106" t="str">
        <f t="shared" si="1"/>
        <v>STBA05BL</v>
      </c>
      <c r="G13" s="110" t="str">
        <f t="shared" si="0"/>
        <v>STBA05BR</v>
      </c>
    </row>
    <row r="14" spans="2:17" ht="15.75" x14ac:dyDescent="0.25">
      <c r="B14" s="124">
        <v>11</v>
      </c>
      <c r="C14" s="193" t="s">
        <v>121</v>
      </c>
      <c r="D14" s="191" t="s">
        <v>199</v>
      </c>
      <c r="E14" s="109" t="s">
        <v>213</v>
      </c>
      <c r="F14" s="106" t="str">
        <f t="shared" si="1"/>
        <v>STBA06BL</v>
      </c>
      <c r="G14" s="110" t="str">
        <f t="shared" si="0"/>
        <v>STBA06BR</v>
      </c>
      <c r="I14" s="277" t="s">
        <v>241</v>
      </c>
      <c r="J14" s="277"/>
      <c r="K14" s="277"/>
      <c r="L14" s="277"/>
      <c r="M14" s="277"/>
      <c r="N14" s="277"/>
      <c r="O14" s="277"/>
    </row>
    <row r="15" spans="2:17" ht="15.75" x14ac:dyDescent="0.25">
      <c r="B15" s="124">
        <v>12</v>
      </c>
      <c r="C15" s="194" t="s">
        <v>133</v>
      </c>
      <c r="D15" s="191" t="s">
        <v>200</v>
      </c>
      <c r="E15" s="109" t="s">
        <v>214</v>
      </c>
      <c r="F15" s="106" t="str">
        <f t="shared" si="1"/>
        <v>STBA07ML</v>
      </c>
      <c r="G15" s="110" t="str">
        <f t="shared" si="0"/>
        <v>STBA07MR</v>
      </c>
      <c r="I15" s="277" t="s">
        <v>279</v>
      </c>
      <c r="J15" s="277"/>
      <c r="K15" s="277"/>
      <c r="L15" s="277"/>
      <c r="M15" s="277"/>
      <c r="N15" s="277"/>
      <c r="O15" s="277"/>
    </row>
    <row r="16" spans="2:17" ht="16.5" thickBot="1" x14ac:dyDescent="0.3">
      <c r="B16" s="125">
        <v>13</v>
      </c>
      <c r="C16" s="195" t="s">
        <v>131</v>
      </c>
      <c r="D16" s="192" t="s">
        <v>201</v>
      </c>
      <c r="E16" s="188" t="s">
        <v>215</v>
      </c>
      <c r="F16" s="115" t="str">
        <f t="shared" si="1"/>
        <v>STBA07BL</v>
      </c>
      <c r="G16" s="116" t="str">
        <f>CONCATENATE(LEFT(E16,3),"A",MID(E16,5,3),"R")</f>
        <v>STBA07BR</v>
      </c>
    </row>
    <row r="17" spans="2:15" ht="15.75" thickBot="1" x14ac:dyDescent="0.3"/>
    <row r="18" spans="2:15" ht="15.75" thickBot="1" x14ac:dyDescent="0.3">
      <c r="B18" s="259" t="s">
        <v>183</v>
      </c>
      <c r="C18" s="261" t="s">
        <v>184</v>
      </c>
      <c r="D18" s="263" t="s">
        <v>203</v>
      </c>
      <c r="E18" s="265" t="s">
        <v>185</v>
      </c>
      <c r="F18" s="266"/>
      <c r="G18" s="267"/>
      <c r="I18" s="271" t="s">
        <v>277</v>
      </c>
      <c r="J18" s="272"/>
      <c r="K18" s="272"/>
      <c r="L18" s="272"/>
      <c r="M18" s="272"/>
      <c r="N18" s="272"/>
      <c r="O18" s="273"/>
    </row>
    <row r="19" spans="2:15" ht="15.75" thickBot="1" x14ac:dyDescent="0.3">
      <c r="B19" s="260"/>
      <c r="C19" s="262"/>
      <c r="D19" s="264"/>
      <c r="E19" s="196" t="s">
        <v>186</v>
      </c>
      <c r="F19" s="107" t="s">
        <v>187</v>
      </c>
      <c r="G19" s="108" t="s">
        <v>188</v>
      </c>
      <c r="I19" s="259" t="s">
        <v>234</v>
      </c>
      <c r="J19" s="274" t="s">
        <v>242</v>
      </c>
      <c r="K19" s="275"/>
      <c r="L19" s="275" t="s">
        <v>238</v>
      </c>
      <c r="M19" s="275"/>
      <c r="N19" s="275" t="s">
        <v>239</v>
      </c>
      <c r="O19" s="276"/>
    </row>
    <row r="20" spans="2:15" ht="16.5" thickBot="1" x14ac:dyDescent="0.3">
      <c r="B20" s="189">
        <v>1</v>
      </c>
      <c r="C20" s="193" t="s">
        <v>147</v>
      </c>
      <c r="D20" s="190" t="s">
        <v>225</v>
      </c>
      <c r="E20" s="109" t="s">
        <v>207</v>
      </c>
      <c r="F20" s="106" t="str">
        <f>CONCATENATE(LEFT(E20,3),"A",MID(E20,5,3),"L")</f>
        <v>STBA03ML</v>
      </c>
      <c r="G20" s="110" t="str">
        <f>CONCATENATE(LEFT(E20,3),"A",MID(E20,5,3),"R")</f>
        <v>STBA03MR</v>
      </c>
      <c r="I20" s="260"/>
      <c r="J20" s="139" t="s">
        <v>63</v>
      </c>
      <c r="K20" s="140" t="s">
        <v>36</v>
      </c>
      <c r="L20" s="119" t="s">
        <v>236</v>
      </c>
      <c r="M20" s="120" t="s">
        <v>237</v>
      </c>
      <c r="N20" s="119" t="s">
        <v>235</v>
      </c>
      <c r="O20" s="120" t="s">
        <v>240</v>
      </c>
    </row>
    <row r="21" spans="2:15" ht="15.75" x14ac:dyDescent="0.25">
      <c r="B21" s="124">
        <v>2</v>
      </c>
      <c r="C21" s="194" t="s">
        <v>128</v>
      </c>
      <c r="D21" s="191" t="s">
        <v>219</v>
      </c>
      <c r="E21" s="109" t="s">
        <v>216</v>
      </c>
      <c r="F21" s="106" t="str">
        <f t="shared" ref="F21:F33" si="2">CONCATENATE(LEFT(E21,3),"A",MID(E21,5,3),"L")</f>
        <v>STBA01BL</v>
      </c>
      <c r="G21" s="110" t="str">
        <f t="shared" ref="G21:G33" si="3">CONCATENATE(LEFT(E21,3),"A",MID(E21,5,3),"R")</f>
        <v>STBA01BR</v>
      </c>
      <c r="I21" s="123">
        <v>1</v>
      </c>
      <c r="J21" s="130" t="s">
        <v>205</v>
      </c>
      <c r="K21" s="130" t="s">
        <v>206</v>
      </c>
      <c r="L21" s="137" t="s">
        <v>81</v>
      </c>
      <c r="M21" s="122" t="s">
        <v>256</v>
      </c>
      <c r="N21" s="137" t="s">
        <v>81</v>
      </c>
      <c r="O21" s="122" t="s">
        <v>257</v>
      </c>
    </row>
    <row r="22" spans="2:15" ht="15.75" x14ac:dyDescent="0.25">
      <c r="B22" s="124">
        <v>3</v>
      </c>
      <c r="C22" s="194" t="s">
        <v>130</v>
      </c>
      <c r="D22" s="191" t="s">
        <v>220</v>
      </c>
      <c r="E22" s="109" t="s">
        <v>206</v>
      </c>
      <c r="F22" s="106" t="str">
        <f t="shared" si="2"/>
        <v>STBA02ML</v>
      </c>
      <c r="G22" s="110" t="str">
        <f t="shared" si="3"/>
        <v>STBA02MR</v>
      </c>
      <c r="I22" s="124">
        <v>2</v>
      </c>
      <c r="J22" s="131" t="s">
        <v>207</v>
      </c>
      <c r="K22" s="131" t="s">
        <v>204</v>
      </c>
      <c r="L22" s="134" t="s">
        <v>81</v>
      </c>
      <c r="M22" s="112" t="s">
        <v>258</v>
      </c>
      <c r="N22" s="134" t="s">
        <v>81</v>
      </c>
      <c r="O22" s="112" t="s">
        <v>259</v>
      </c>
    </row>
    <row r="23" spans="2:15" ht="15.75" x14ac:dyDescent="0.25">
      <c r="B23" s="124">
        <v>4</v>
      </c>
      <c r="C23" s="193" t="s">
        <v>135</v>
      </c>
      <c r="D23" s="191" t="s">
        <v>221</v>
      </c>
      <c r="E23" s="109" t="s">
        <v>205</v>
      </c>
      <c r="F23" s="106" t="str">
        <f t="shared" si="2"/>
        <v>STBA01ML</v>
      </c>
      <c r="G23" s="110" t="str">
        <f t="shared" si="3"/>
        <v>STBA01MR</v>
      </c>
      <c r="I23" s="124">
        <v>3</v>
      </c>
      <c r="J23" s="131" t="s">
        <v>210</v>
      </c>
      <c r="K23" s="131" t="s">
        <v>233</v>
      </c>
      <c r="L23" s="134" t="s">
        <v>81</v>
      </c>
      <c r="M23" s="112" t="s">
        <v>260</v>
      </c>
      <c r="N23" s="134" t="s">
        <v>81</v>
      </c>
      <c r="O23" s="112" t="s">
        <v>261</v>
      </c>
    </row>
    <row r="24" spans="2:15" ht="15.75" x14ac:dyDescent="0.25">
      <c r="B24" s="124">
        <v>5</v>
      </c>
      <c r="C24" s="194" t="s">
        <v>126</v>
      </c>
      <c r="D24" s="191" t="s">
        <v>222</v>
      </c>
      <c r="E24" s="109" t="s">
        <v>208</v>
      </c>
      <c r="F24" s="106" t="str">
        <f t="shared" si="2"/>
        <v>STBA02BL</v>
      </c>
      <c r="G24" s="110" t="str">
        <f t="shared" si="3"/>
        <v>STBA02BR</v>
      </c>
      <c r="I24" s="124">
        <v>4</v>
      </c>
      <c r="J24" s="131" t="s">
        <v>214</v>
      </c>
      <c r="K24" s="131" t="s">
        <v>216</v>
      </c>
      <c r="L24" s="134" t="s">
        <v>81</v>
      </c>
      <c r="M24" s="112" t="s">
        <v>262</v>
      </c>
      <c r="N24" s="134" t="s">
        <v>81</v>
      </c>
      <c r="O24" s="112" t="s">
        <v>263</v>
      </c>
    </row>
    <row r="25" spans="2:15" ht="15.75" x14ac:dyDescent="0.25">
      <c r="B25" s="124">
        <v>6</v>
      </c>
      <c r="C25" s="194" t="s">
        <v>120</v>
      </c>
      <c r="D25" s="191" t="s">
        <v>223</v>
      </c>
      <c r="E25" s="109" t="s">
        <v>209</v>
      </c>
      <c r="F25" s="106" t="str">
        <f t="shared" si="2"/>
        <v>STBA03BL</v>
      </c>
      <c r="G25" s="110" t="str">
        <f t="shared" si="3"/>
        <v>STBA03BR</v>
      </c>
      <c r="I25" s="124">
        <v>5</v>
      </c>
      <c r="J25" s="131" t="s">
        <v>208</v>
      </c>
      <c r="K25" s="131" t="s">
        <v>209</v>
      </c>
      <c r="L25" s="134" t="s">
        <v>81</v>
      </c>
      <c r="M25" s="112" t="s">
        <v>264</v>
      </c>
      <c r="N25" s="134" t="s">
        <v>81</v>
      </c>
      <c r="O25" s="112" t="s">
        <v>265</v>
      </c>
    </row>
    <row r="26" spans="2:15" ht="15.75" x14ac:dyDescent="0.25">
      <c r="B26" s="189">
        <v>7</v>
      </c>
      <c r="C26" s="194" t="s">
        <v>127</v>
      </c>
      <c r="D26" s="191" t="s">
        <v>224</v>
      </c>
      <c r="E26" s="109" t="s">
        <v>204</v>
      </c>
      <c r="F26" s="106" t="str">
        <f t="shared" si="2"/>
        <v>STBA04ML</v>
      </c>
      <c r="G26" s="110" t="str">
        <f t="shared" si="3"/>
        <v>STBA04MR</v>
      </c>
      <c r="I26" s="124">
        <v>6</v>
      </c>
      <c r="J26" s="131" t="s">
        <v>211</v>
      </c>
      <c r="K26" s="131" t="s">
        <v>212</v>
      </c>
      <c r="L26" s="134" t="s">
        <v>81</v>
      </c>
      <c r="M26" s="112" t="s">
        <v>266</v>
      </c>
      <c r="N26" s="134" t="s">
        <v>81</v>
      </c>
      <c r="O26" s="112" t="s">
        <v>267</v>
      </c>
    </row>
    <row r="27" spans="2:15" ht="16.5" thickBot="1" x14ac:dyDescent="0.3">
      <c r="B27" s="124">
        <v>8</v>
      </c>
      <c r="C27" s="194" t="s">
        <v>217</v>
      </c>
      <c r="D27" s="191" t="s">
        <v>226</v>
      </c>
      <c r="E27" s="109" t="s">
        <v>233</v>
      </c>
      <c r="F27" s="106" t="str">
        <f t="shared" si="2"/>
        <v>STBA06ML</v>
      </c>
      <c r="G27" s="110" t="str">
        <f t="shared" si="3"/>
        <v>STBA06MR</v>
      </c>
      <c r="I27" s="125">
        <v>7</v>
      </c>
      <c r="J27" s="131" t="s">
        <v>213</v>
      </c>
      <c r="K27" s="131" t="s">
        <v>215</v>
      </c>
      <c r="L27" s="135" t="s">
        <v>81</v>
      </c>
      <c r="M27" s="114" t="s">
        <v>268</v>
      </c>
      <c r="N27" s="135" t="s">
        <v>81</v>
      </c>
      <c r="O27" s="114" t="s">
        <v>269</v>
      </c>
    </row>
    <row r="28" spans="2:15" ht="16.5" thickBot="1" x14ac:dyDescent="0.3">
      <c r="B28" s="124">
        <v>9</v>
      </c>
      <c r="C28" s="194" t="s">
        <v>125</v>
      </c>
      <c r="D28" s="191" t="s">
        <v>227</v>
      </c>
      <c r="E28" s="109" t="s">
        <v>210</v>
      </c>
      <c r="F28" s="106" t="str">
        <f t="shared" si="2"/>
        <v>STBA05ML</v>
      </c>
      <c r="G28" s="110" t="str">
        <f t="shared" si="3"/>
        <v>STBA05MR</v>
      </c>
      <c r="L28" s="268" t="s">
        <v>274</v>
      </c>
      <c r="M28" s="269"/>
      <c r="N28" s="269"/>
      <c r="O28" s="129">
        <f>SC(L21:O27,L27)</f>
        <v>14</v>
      </c>
    </row>
    <row r="29" spans="2:15" ht="15.75" x14ac:dyDescent="0.25">
      <c r="B29" s="124">
        <v>10</v>
      </c>
      <c r="C29" s="194" t="s">
        <v>163</v>
      </c>
      <c r="D29" s="191" t="s">
        <v>228</v>
      </c>
      <c r="E29" s="109" t="s">
        <v>211</v>
      </c>
      <c r="F29" s="106" t="str">
        <f t="shared" si="2"/>
        <v>STBA04BL</v>
      </c>
      <c r="G29" s="110" t="str">
        <f t="shared" si="3"/>
        <v>STBA04BR</v>
      </c>
    </row>
    <row r="30" spans="2:15" ht="15.75" x14ac:dyDescent="0.25">
      <c r="B30" s="124">
        <v>11</v>
      </c>
      <c r="C30" s="194" t="s">
        <v>218</v>
      </c>
      <c r="D30" s="191" t="s">
        <v>229</v>
      </c>
      <c r="E30" s="109" t="s">
        <v>212</v>
      </c>
      <c r="F30" s="106" t="str">
        <f t="shared" si="2"/>
        <v>STBA05BL</v>
      </c>
      <c r="G30" s="110" t="str">
        <f t="shared" si="3"/>
        <v>STBA05BR</v>
      </c>
    </row>
    <row r="31" spans="2:15" ht="15.75" x14ac:dyDescent="0.25">
      <c r="B31" s="124">
        <v>12</v>
      </c>
      <c r="C31" s="193" t="s">
        <v>161</v>
      </c>
      <c r="D31" s="191" t="s">
        <v>232</v>
      </c>
      <c r="E31" s="109" t="s">
        <v>213</v>
      </c>
      <c r="F31" s="106" t="str">
        <f t="shared" si="2"/>
        <v>STBA06BL</v>
      </c>
      <c r="G31" s="110" t="str">
        <f t="shared" si="3"/>
        <v>STBA06BR</v>
      </c>
      <c r="I31" s="277" t="s">
        <v>241</v>
      </c>
      <c r="J31" s="277"/>
      <c r="K31" s="277"/>
      <c r="L31" s="277"/>
      <c r="M31" s="277"/>
      <c r="N31" s="277"/>
      <c r="O31" s="277"/>
    </row>
    <row r="32" spans="2:15" ht="15.75" x14ac:dyDescent="0.25">
      <c r="B32" s="189">
        <v>13</v>
      </c>
      <c r="C32" s="194" t="s">
        <v>156</v>
      </c>
      <c r="D32" s="191" t="s">
        <v>230</v>
      </c>
      <c r="E32" s="109" t="s">
        <v>215</v>
      </c>
      <c r="F32" s="106" t="str">
        <f t="shared" si="2"/>
        <v>STBA07BL</v>
      </c>
      <c r="G32" s="110" t="str">
        <f t="shared" si="3"/>
        <v>STBA07BR</v>
      </c>
      <c r="I32" s="277" t="s">
        <v>276</v>
      </c>
      <c r="J32" s="277"/>
      <c r="K32" s="277"/>
      <c r="L32" s="277"/>
      <c r="M32" s="277"/>
      <c r="N32" s="277"/>
      <c r="O32" s="277"/>
    </row>
    <row r="33" spans="2:7" ht="16.5" thickBot="1" x14ac:dyDescent="0.3">
      <c r="B33" s="125">
        <v>14</v>
      </c>
      <c r="C33" s="195" t="s">
        <v>164</v>
      </c>
      <c r="D33" s="192" t="s">
        <v>231</v>
      </c>
      <c r="E33" s="188" t="s">
        <v>214</v>
      </c>
      <c r="F33" s="115" t="str">
        <f t="shared" si="2"/>
        <v>STBA07ML</v>
      </c>
      <c r="G33" s="116" t="str">
        <f t="shared" si="3"/>
        <v>STBA07MR</v>
      </c>
    </row>
  </sheetData>
  <mergeCells count="24">
    <mergeCell ref="L28:N28"/>
    <mergeCell ref="I31:O31"/>
    <mergeCell ref="I32:O32"/>
    <mergeCell ref="I19:I20"/>
    <mergeCell ref="J19:K19"/>
    <mergeCell ref="L19:M19"/>
    <mergeCell ref="N19:O19"/>
    <mergeCell ref="I2:O2"/>
    <mergeCell ref="I18:O18"/>
    <mergeCell ref="L12:N12"/>
    <mergeCell ref="E2:G2"/>
    <mergeCell ref="C2:C3"/>
    <mergeCell ref="D2:D3"/>
    <mergeCell ref="I15:O15"/>
    <mergeCell ref="J3:K3"/>
    <mergeCell ref="L3:M3"/>
    <mergeCell ref="N3:O3"/>
    <mergeCell ref="I3:I4"/>
    <mergeCell ref="I14:O14"/>
    <mergeCell ref="B2:B3"/>
    <mergeCell ref="B18:B19"/>
    <mergeCell ref="C18:C19"/>
    <mergeCell ref="D18:D19"/>
    <mergeCell ref="E18:G18"/>
  </mergeCells>
  <conditionalFormatting sqref="D10:D16 C15:C16 C9:C13 C5:D8 C4:F4 E16:G16 E5:F15 G4:G15">
    <cfRule type="duplicateValues" dxfId="4" priority="9"/>
  </conditionalFormatting>
  <conditionalFormatting sqref="D9">
    <cfRule type="duplicateValues" dxfId="3" priority="8"/>
  </conditionalFormatting>
  <conditionalFormatting sqref="C31:C32 D32 C33:D33 C20:G20 C21:D30 E21:G33">
    <cfRule type="duplicateValues" dxfId="2" priority="4"/>
  </conditionalFormatting>
  <conditionalFormatting sqref="D31">
    <cfRule type="duplicateValues" dxfId="1" priority="3"/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tar_Jalsa">
                <anchor moveWithCells="1" sizeWithCells="1">
                  <from>
                    <xdr:col>16</xdr:col>
                    <xdr:colOff>561975</xdr:colOff>
                    <xdr:row>1</xdr:row>
                    <xdr:rowOff>180975</xdr:rowOff>
                  </from>
                  <to>
                    <xdr:col>18</xdr:col>
                    <xdr:colOff>200025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1"/>
  <sheetViews>
    <sheetView workbookViewId="0">
      <selection activeCell="H10" sqref="H10"/>
    </sheetView>
  </sheetViews>
  <sheetFormatPr defaultRowHeight="15" x14ac:dyDescent="0.25"/>
  <cols>
    <col min="1" max="1" width="10.42578125" bestFit="1" customWidth="1"/>
    <col min="3" max="3" width="6.28515625" customWidth="1"/>
    <col min="4" max="4" width="5.7109375" bestFit="1" customWidth="1"/>
  </cols>
  <sheetData>
    <row r="1" spans="1:5" x14ac:dyDescent="0.25">
      <c r="A1" s="90" t="s">
        <v>70</v>
      </c>
      <c r="B1" s="91" t="s">
        <v>181</v>
      </c>
      <c r="D1" s="90" t="s">
        <v>70</v>
      </c>
      <c r="E1" s="91" t="s">
        <v>181</v>
      </c>
    </row>
    <row r="2" spans="1:5" x14ac:dyDescent="0.25">
      <c r="A2" s="92" t="s">
        <v>47</v>
      </c>
      <c r="B2" s="93">
        <v>0</v>
      </c>
      <c r="D2" s="104" t="s">
        <v>38</v>
      </c>
      <c r="E2" s="104">
        <v>0</v>
      </c>
    </row>
    <row r="3" spans="1:5" x14ac:dyDescent="0.25">
      <c r="A3" s="94" t="s">
        <v>48</v>
      </c>
      <c r="B3" s="93">
        <v>1</v>
      </c>
      <c r="D3" s="104" t="s">
        <v>37</v>
      </c>
      <c r="E3" s="104">
        <v>1</v>
      </c>
    </row>
    <row r="4" spans="1:5" x14ac:dyDescent="0.25">
      <c r="A4" s="95" t="s">
        <v>39</v>
      </c>
      <c r="B4" s="93">
        <v>2</v>
      </c>
      <c r="D4" s="104" t="s">
        <v>49</v>
      </c>
      <c r="E4" s="104">
        <v>2</v>
      </c>
    </row>
    <row r="5" spans="1:5" x14ac:dyDescent="0.25">
      <c r="A5" s="96" t="s">
        <v>40</v>
      </c>
      <c r="B5" s="93">
        <v>3</v>
      </c>
      <c r="D5" s="104" t="s">
        <v>50</v>
      </c>
      <c r="E5" s="104">
        <v>3</v>
      </c>
    </row>
    <row r="6" spans="1:5" x14ac:dyDescent="0.25">
      <c r="A6" s="97" t="s">
        <v>41</v>
      </c>
      <c r="B6" s="93">
        <v>4</v>
      </c>
      <c r="D6" s="104" t="s">
        <v>51</v>
      </c>
      <c r="E6" s="104">
        <v>4</v>
      </c>
    </row>
    <row r="7" spans="1:5" x14ac:dyDescent="0.25">
      <c r="A7" s="92" t="s">
        <v>42</v>
      </c>
      <c r="B7" s="93">
        <v>5</v>
      </c>
      <c r="D7" s="104" t="s">
        <v>52</v>
      </c>
      <c r="E7" s="104">
        <v>5</v>
      </c>
    </row>
    <row r="8" spans="1:5" x14ac:dyDescent="0.25">
      <c r="A8" s="92" t="s">
        <v>43</v>
      </c>
      <c r="B8" s="93">
        <v>6</v>
      </c>
      <c r="D8" s="104" t="s">
        <v>38</v>
      </c>
      <c r="E8" s="104">
        <v>6</v>
      </c>
    </row>
    <row r="9" spans="1:5" x14ac:dyDescent="0.25">
      <c r="A9" s="92" t="s">
        <v>45</v>
      </c>
      <c r="B9" s="93">
        <v>7</v>
      </c>
      <c r="D9" s="104" t="s">
        <v>53</v>
      </c>
      <c r="E9" s="104">
        <v>7</v>
      </c>
    </row>
    <row r="10" spans="1:5" x14ac:dyDescent="0.25">
      <c r="A10" s="92" t="s">
        <v>44</v>
      </c>
      <c r="B10" s="93">
        <v>8</v>
      </c>
      <c r="D10" s="104" t="s">
        <v>52</v>
      </c>
      <c r="E10" s="104">
        <v>8</v>
      </c>
    </row>
    <row r="11" spans="1:5" ht="15.75" thickBot="1" x14ac:dyDescent="0.3">
      <c r="A11" s="98" t="s">
        <v>46</v>
      </c>
      <c r="B11" s="99">
        <v>9</v>
      </c>
      <c r="D11" s="104" t="s">
        <v>54</v>
      </c>
      <c r="E11" s="104">
        <v>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78"/>
  <sheetViews>
    <sheetView zoomScale="115" zoomScaleNormal="115" workbookViewId="0">
      <selection activeCell="C30" sqref="C30"/>
    </sheetView>
  </sheetViews>
  <sheetFormatPr defaultRowHeight="15" x14ac:dyDescent="0.25"/>
  <cols>
    <col min="1" max="1" width="6.5703125" style="182" bestFit="1" customWidth="1"/>
    <col min="2" max="2" width="18.5703125" style="182" bestFit="1" customWidth="1"/>
    <col min="3" max="3" width="15.85546875" style="182" bestFit="1" customWidth="1"/>
    <col min="4" max="4" width="22.28515625" style="180" bestFit="1" customWidth="1"/>
    <col min="5" max="5" width="11" style="182" customWidth="1"/>
    <col min="6" max="6" width="6.28515625" style="182" bestFit="1" customWidth="1"/>
    <col min="7" max="7" width="17.28515625" style="182" bestFit="1" customWidth="1"/>
    <col min="8" max="8" width="10" style="182" bestFit="1" customWidth="1"/>
    <col min="9" max="9" width="20.85546875" style="182" bestFit="1" customWidth="1"/>
    <col min="10" max="16384" width="9.140625" style="182"/>
  </cols>
  <sheetData>
    <row r="1" spans="1:9" ht="15.75" thickBot="1" x14ac:dyDescent="0.3">
      <c r="A1" s="268" t="s">
        <v>453</v>
      </c>
      <c r="B1" s="269"/>
      <c r="C1" s="269"/>
      <c r="D1" s="202" t="s">
        <v>552</v>
      </c>
      <c r="F1" s="268" t="s">
        <v>453</v>
      </c>
      <c r="G1" s="269"/>
      <c r="H1" s="270"/>
      <c r="I1" s="199" t="s">
        <v>553</v>
      </c>
    </row>
    <row r="2" spans="1:9" ht="15.75" thickBot="1" x14ac:dyDescent="0.3"/>
    <row r="3" spans="1:9" ht="15.75" thickBot="1" x14ac:dyDescent="0.3">
      <c r="A3" s="183" t="s">
        <v>452</v>
      </c>
      <c r="B3" s="139" t="s">
        <v>583</v>
      </c>
      <c r="C3" s="185" t="s">
        <v>554</v>
      </c>
      <c r="D3" s="208" t="s">
        <v>466</v>
      </c>
      <c r="F3" s="183" t="s">
        <v>452</v>
      </c>
      <c r="G3" s="139" t="s">
        <v>583</v>
      </c>
      <c r="H3" s="185" t="s">
        <v>554</v>
      </c>
      <c r="I3" s="208" t="s">
        <v>466</v>
      </c>
    </row>
    <row r="4" spans="1:9" x14ac:dyDescent="0.25">
      <c r="A4" s="109">
        <v>1</v>
      </c>
      <c r="B4" s="131" t="s">
        <v>167</v>
      </c>
      <c r="C4" s="206" t="s">
        <v>457</v>
      </c>
      <c r="D4" s="207" t="s">
        <v>488</v>
      </c>
      <c r="F4" s="109">
        <v>1</v>
      </c>
      <c r="G4" s="131" t="s">
        <v>487</v>
      </c>
      <c r="H4" s="206" t="s">
        <v>457</v>
      </c>
      <c r="I4" s="207" t="s">
        <v>528</v>
      </c>
    </row>
    <row r="5" spans="1:9" x14ac:dyDescent="0.25">
      <c r="A5" s="111">
        <v>2</v>
      </c>
      <c r="B5" s="194" t="s">
        <v>153</v>
      </c>
      <c r="C5" s="197" t="s">
        <v>458</v>
      </c>
      <c r="D5" s="200" t="s">
        <v>489</v>
      </c>
      <c r="F5" s="111">
        <v>2</v>
      </c>
      <c r="G5" s="194" t="s">
        <v>77</v>
      </c>
      <c r="H5" s="197" t="s">
        <v>458</v>
      </c>
      <c r="I5" s="200" t="s">
        <v>529</v>
      </c>
    </row>
    <row r="6" spans="1:9" x14ac:dyDescent="0.25">
      <c r="A6" s="111">
        <v>3</v>
      </c>
      <c r="B6" s="194" t="s">
        <v>116</v>
      </c>
      <c r="C6" s="197" t="s">
        <v>459</v>
      </c>
      <c r="D6" s="200" t="s">
        <v>490</v>
      </c>
      <c r="F6" s="111">
        <v>3</v>
      </c>
      <c r="G6" s="194" t="s">
        <v>176</v>
      </c>
      <c r="H6" s="197" t="s">
        <v>459</v>
      </c>
      <c r="I6" s="200" t="s">
        <v>530</v>
      </c>
    </row>
    <row r="7" spans="1:9" x14ac:dyDescent="0.25">
      <c r="A7" s="111">
        <v>4</v>
      </c>
      <c r="B7" s="194" t="s">
        <v>171</v>
      </c>
      <c r="C7" s="197" t="s">
        <v>460</v>
      </c>
      <c r="D7" s="200" t="s">
        <v>491</v>
      </c>
      <c r="F7" s="111">
        <v>4</v>
      </c>
      <c r="G7" s="194" t="s">
        <v>175</v>
      </c>
      <c r="H7" s="197" t="s">
        <v>460</v>
      </c>
      <c r="I7" s="200" t="s">
        <v>531</v>
      </c>
    </row>
    <row r="8" spans="1:9" x14ac:dyDescent="0.25">
      <c r="A8" s="111">
        <v>5</v>
      </c>
      <c r="B8" s="194" t="s">
        <v>166</v>
      </c>
      <c r="C8" s="197" t="s">
        <v>457</v>
      </c>
      <c r="D8" s="200" t="s">
        <v>476</v>
      </c>
      <c r="F8" s="111">
        <v>5</v>
      </c>
      <c r="G8" s="194" t="s">
        <v>169</v>
      </c>
      <c r="H8" s="197" t="s">
        <v>457</v>
      </c>
      <c r="I8" s="200" t="s">
        <v>532</v>
      </c>
    </row>
    <row r="9" spans="1:9" x14ac:dyDescent="0.25">
      <c r="A9" s="111">
        <v>6</v>
      </c>
      <c r="B9" s="194" t="s">
        <v>154</v>
      </c>
      <c r="C9" s="197" t="s">
        <v>458</v>
      </c>
      <c r="D9" s="200" t="s">
        <v>477</v>
      </c>
      <c r="F9" s="111">
        <v>6</v>
      </c>
      <c r="G9" s="194" t="s">
        <v>484</v>
      </c>
      <c r="H9" s="197" t="s">
        <v>458</v>
      </c>
      <c r="I9" s="200" t="s">
        <v>533</v>
      </c>
    </row>
    <row r="10" spans="1:9" x14ac:dyDescent="0.25">
      <c r="A10" s="111">
        <v>7</v>
      </c>
      <c r="B10" s="194" t="s">
        <v>117</v>
      </c>
      <c r="C10" s="197" t="s">
        <v>459</v>
      </c>
      <c r="D10" s="200" t="s">
        <v>478</v>
      </c>
      <c r="F10" s="111">
        <v>7</v>
      </c>
      <c r="G10" s="194" t="s">
        <v>170</v>
      </c>
      <c r="H10" s="197" t="s">
        <v>459</v>
      </c>
      <c r="I10" s="200" t="s">
        <v>534</v>
      </c>
    </row>
    <row r="11" spans="1:9" x14ac:dyDescent="0.25">
      <c r="A11" s="111">
        <v>8</v>
      </c>
      <c r="B11" s="194" t="s">
        <v>467</v>
      </c>
      <c r="C11" s="197" t="s">
        <v>460</v>
      </c>
      <c r="D11" s="200" t="s">
        <v>479</v>
      </c>
      <c r="F11" s="111">
        <v>8</v>
      </c>
      <c r="G11" s="194" t="s">
        <v>173</v>
      </c>
      <c r="H11" s="197" t="s">
        <v>460</v>
      </c>
      <c r="I11" s="200" t="s">
        <v>535</v>
      </c>
    </row>
    <row r="12" spans="1:9" x14ac:dyDescent="0.25">
      <c r="A12" s="111">
        <v>9</v>
      </c>
      <c r="B12" s="194" t="s">
        <v>137</v>
      </c>
      <c r="C12" s="197" t="s">
        <v>457</v>
      </c>
      <c r="D12" s="200" t="s">
        <v>492</v>
      </c>
      <c r="F12" s="111">
        <v>9</v>
      </c>
      <c r="G12" s="194" t="s">
        <v>178</v>
      </c>
      <c r="H12" s="197" t="s">
        <v>457</v>
      </c>
      <c r="I12" s="200" t="s">
        <v>536</v>
      </c>
    </row>
    <row r="13" spans="1:9" x14ac:dyDescent="0.25">
      <c r="A13" s="111">
        <v>10</v>
      </c>
      <c r="B13" s="194" t="s">
        <v>134</v>
      </c>
      <c r="C13" s="197" t="s">
        <v>458</v>
      </c>
      <c r="D13" s="200" t="s">
        <v>493</v>
      </c>
      <c r="F13" s="111">
        <v>10</v>
      </c>
      <c r="G13" s="194" t="s">
        <v>165</v>
      </c>
      <c r="H13" s="197" t="s">
        <v>458</v>
      </c>
      <c r="I13" s="200" t="s">
        <v>537</v>
      </c>
    </row>
    <row r="14" spans="1:9" x14ac:dyDescent="0.25">
      <c r="A14" s="111">
        <v>11</v>
      </c>
      <c r="B14" s="194" t="s">
        <v>136</v>
      </c>
      <c r="C14" s="197" t="s">
        <v>459</v>
      </c>
      <c r="D14" s="200" t="s">
        <v>494</v>
      </c>
      <c r="F14" s="111">
        <v>11</v>
      </c>
      <c r="G14" s="194" t="s">
        <v>132</v>
      </c>
      <c r="H14" s="197" t="s">
        <v>459</v>
      </c>
      <c r="I14" s="200" t="s">
        <v>538</v>
      </c>
    </row>
    <row r="15" spans="1:9" x14ac:dyDescent="0.25">
      <c r="A15" s="111">
        <v>12</v>
      </c>
      <c r="B15" s="194" t="s">
        <v>115</v>
      </c>
      <c r="C15" s="197" t="s">
        <v>460</v>
      </c>
      <c r="D15" s="200" t="s">
        <v>495</v>
      </c>
      <c r="F15" s="111">
        <v>12</v>
      </c>
      <c r="G15" s="194" t="s">
        <v>113</v>
      </c>
      <c r="H15" s="197" t="s">
        <v>460</v>
      </c>
      <c r="I15" s="200" t="s">
        <v>539</v>
      </c>
    </row>
    <row r="16" spans="1:9" x14ac:dyDescent="0.25">
      <c r="A16" s="111">
        <v>13</v>
      </c>
      <c r="B16" s="194" t="s">
        <v>118</v>
      </c>
      <c r="C16" s="197" t="s">
        <v>457</v>
      </c>
      <c r="D16" s="200" t="s">
        <v>496</v>
      </c>
      <c r="F16" s="111">
        <v>13</v>
      </c>
      <c r="G16" s="194" t="s">
        <v>485</v>
      </c>
      <c r="H16" s="197" t="s">
        <v>457</v>
      </c>
      <c r="I16" s="200" t="s">
        <v>540</v>
      </c>
    </row>
    <row r="17" spans="1:9" x14ac:dyDescent="0.25">
      <c r="A17" s="111">
        <v>14</v>
      </c>
      <c r="B17" s="194" t="s">
        <v>138</v>
      </c>
      <c r="C17" s="197" t="s">
        <v>458</v>
      </c>
      <c r="D17" s="200" t="s">
        <v>497</v>
      </c>
      <c r="F17" s="111">
        <v>14</v>
      </c>
      <c r="G17" s="194" t="s">
        <v>172</v>
      </c>
      <c r="H17" s="197" t="s">
        <v>458</v>
      </c>
      <c r="I17" s="200" t="s">
        <v>541</v>
      </c>
    </row>
    <row r="18" spans="1:9" x14ac:dyDescent="0.25">
      <c r="A18" s="111">
        <v>15</v>
      </c>
      <c r="B18" s="194" t="s">
        <v>110</v>
      </c>
      <c r="C18" s="197" t="s">
        <v>459</v>
      </c>
      <c r="D18" s="200" t="s">
        <v>498</v>
      </c>
      <c r="F18" s="111">
        <v>15</v>
      </c>
      <c r="G18" s="194" t="s">
        <v>486</v>
      </c>
      <c r="H18" s="197" t="s">
        <v>459</v>
      </c>
      <c r="I18" s="200" t="s">
        <v>542</v>
      </c>
    </row>
    <row r="19" spans="1:9" x14ac:dyDescent="0.25">
      <c r="A19" s="111">
        <v>16</v>
      </c>
      <c r="B19" s="194" t="s">
        <v>111</v>
      </c>
      <c r="C19" s="197" t="s">
        <v>460</v>
      </c>
      <c r="D19" s="200" t="s">
        <v>499</v>
      </c>
      <c r="F19" s="111">
        <v>16</v>
      </c>
      <c r="G19" s="194" t="s">
        <v>149</v>
      </c>
      <c r="H19" s="197" t="s">
        <v>460</v>
      </c>
      <c r="I19" s="200" t="s">
        <v>543</v>
      </c>
    </row>
    <row r="20" spans="1:9" x14ac:dyDescent="0.25">
      <c r="A20" s="111">
        <v>17</v>
      </c>
      <c r="B20" s="194" t="s">
        <v>150</v>
      </c>
      <c r="C20" s="197" t="s">
        <v>457</v>
      </c>
      <c r="D20" s="200" t="s">
        <v>500</v>
      </c>
      <c r="F20" s="111">
        <v>17</v>
      </c>
      <c r="G20" s="194" t="s">
        <v>122</v>
      </c>
      <c r="H20" s="197" t="s">
        <v>457</v>
      </c>
      <c r="I20" s="200" t="s">
        <v>544</v>
      </c>
    </row>
    <row r="21" spans="1:9" x14ac:dyDescent="0.25">
      <c r="A21" s="111">
        <v>18</v>
      </c>
      <c r="B21" s="194" t="s">
        <v>158</v>
      </c>
      <c r="C21" s="197" t="s">
        <v>458</v>
      </c>
      <c r="D21" s="200" t="s">
        <v>501</v>
      </c>
      <c r="F21" s="111">
        <v>18</v>
      </c>
      <c r="G21" s="194" t="s">
        <v>146</v>
      </c>
      <c r="H21" s="197" t="s">
        <v>458</v>
      </c>
      <c r="I21" s="200" t="s">
        <v>545</v>
      </c>
    </row>
    <row r="22" spans="1:9" x14ac:dyDescent="0.25">
      <c r="A22" s="111">
        <v>19</v>
      </c>
      <c r="B22" s="194" t="s">
        <v>454</v>
      </c>
      <c r="C22" s="197" t="s">
        <v>459</v>
      </c>
      <c r="D22" s="200" t="s">
        <v>502</v>
      </c>
      <c r="F22" s="111">
        <v>19</v>
      </c>
      <c r="G22" s="194" t="s">
        <v>157</v>
      </c>
      <c r="H22" s="197" t="s">
        <v>459</v>
      </c>
      <c r="I22" s="200" t="s">
        <v>546</v>
      </c>
    </row>
    <row r="23" spans="1:9" x14ac:dyDescent="0.25">
      <c r="A23" s="111">
        <v>20</v>
      </c>
      <c r="B23" s="194" t="s">
        <v>114</v>
      </c>
      <c r="C23" s="197" t="s">
        <v>460</v>
      </c>
      <c r="D23" s="200" t="s">
        <v>503</v>
      </c>
      <c r="F23" s="111">
        <v>20</v>
      </c>
      <c r="G23" s="194" t="s">
        <v>174</v>
      </c>
      <c r="H23" s="197" t="s">
        <v>460</v>
      </c>
      <c r="I23" s="200" t="s">
        <v>547</v>
      </c>
    </row>
    <row r="24" spans="1:9" x14ac:dyDescent="0.25">
      <c r="A24" s="111">
        <v>21</v>
      </c>
      <c r="B24" s="194" t="s">
        <v>151</v>
      </c>
      <c r="C24" s="197" t="s">
        <v>457</v>
      </c>
      <c r="D24" s="200" t="s">
        <v>480</v>
      </c>
      <c r="F24" s="111">
        <v>21</v>
      </c>
      <c r="G24" s="194" t="s">
        <v>119</v>
      </c>
      <c r="H24" s="197" t="s">
        <v>457</v>
      </c>
      <c r="I24" s="200" t="s">
        <v>548</v>
      </c>
    </row>
    <row r="25" spans="1:9" x14ac:dyDescent="0.25">
      <c r="A25" s="111">
        <v>22</v>
      </c>
      <c r="B25" s="194" t="s">
        <v>160</v>
      </c>
      <c r="C25" s="197" t="s">
        <v>458</v>
      </c>
      <c r="D25" s="200" t="s">
        <v>481</v>
      </c>
      <c r="F25" s="111">
        <v>22</v>
      </c>
      <c r="G25" s="194" t="s">
        <v>140</v>
      </c>
      <c r="H25" s="197" t="s">
        <v>458</v>
      </c>
      <c r="I25" s="200" t="s">
        <v>549</v>
      </c>
    </row>
    <row r="26" spans="1:9" x14ac:dyDescent="0.25">
      <c r="A26" s="111">
        <v>23</v>
      </c>
      <c r="B26" s="194" t="s">
        <v>456</v>
      </c>
      <c r="C26" s="197" t="s">
        <v>459</v>
      </c>
      <c r="D26" s="200" t="s">
        <v>482</v>
      </c>
      <c r="F26" s="111">
        <v>23</v>
      </c>
      <c r="G26" s="194" t="s">
        <v>155</v>
      </c>
      <c r="H26" s="197" t="s">
        <v>459</v>
      </c>
      <c r="I26" s="200" t="s">
        <v>550</v>
      </c>
    </row>
    <row r="27" spans="1:9" ht="15.75" thickBot="1" x14ac:dyDescent="0.3">
      <c r="A27" s="113">
        <v>24</v>
      </c>
      <c r="B27" s="195" t="s">
        <v>455</v>
      </c>
      <c r="C27" s="198" t="s">
        <v>460</v>
      </c>
      <c r="D27" s="201" t="s">
        <v>483</v>
      </c>
      <c r="F27" s="113">
        <v>24</v>
      </c>
      <c r="G27" s="195" t="s">
        <v>168</v>
      </c>
      <c r="H27" s="198" t="s">
        <v>460</v>
      </c>
      <c r="I27" s="201" t="s">
        <v>551</v>
      </c>
    </row>
    <row r="28" spans="1:9" ht="15.75" thickBot="1" x14ac:dyDescent="0.3"/>
    <row r="29" spans="1:9" ht="15.75" thickBot="1" x14ac:dyDescent="0.3">
      <c r="C29" s="268" t="s">
        <v>584</v>
      </c>
      <c r="D29" s="270"/>
      <c r="E29" s="268" t="s">
        <v>585</v>
      </c>
      <c r="F29" s="269"/>
      <c r="G29" s="270"/>
    </row>
    <row r="30" spans="1:9" ht="15.75" thickBot="1" x14ac:dyDescent="0.3">
      <c r="A30" s="183" t="s">
        <v>572</v>
      </c>
      <c r="B30" s="184" t="s">
        <v>573</v>
      </c>
      <c r="C30" s="209" t="s">
        <v>574</v>
      </c>
      <c r="D30" s="211" t="s">
        <v>571</v>
      </c>
      <c r="E30" s="274" t="s">
        <v>586</v>
      </c>
      <c r="F30" s="276"/>
      <c r="G30" s="186" t="s">
        <v>587</v>
      </c>
    </row>
    <row r="31" spans="1:9" x14ac:dyDescent="0.25">
      <c r="A31" s="189">
        <v>1</v>
      </c>
      <c r="B31" s="287" t="s">
        <v>461</v>
      </c>
      <c r="C31" s="213" t="s">
        <v>575</v>
      </c>
      <c r="D31" s="214" t="s">
        <v>555</v>
      </c>
      <c r="E31" s="278" t="s">
        <v>588</v>
      </c>
      <c r="F31" s="279"/>
      <c r="G31" s="293" t="s">
        <v>601</v>
      </c>
    </row>
    <row r="32" spans="1:9" x14ac:dyDescent="0.25">
      <c r="A32" s="124">
        <v>2</v>
      </c>
      <c r="B32" s="288"/>
      <c r="C32" s="205" t="s">
        <v>576</v>
      </c>
      <c r="D32" s="203" t="s">
        <v>556</v>
      </c>
      <c r="E32" s="280"/>
      <c r="F32" s="281"/>
      <c r="G32" s="294"/>
    </row>
    <row r="33" spans="1:7" x14ac:dyDescent="0.25">
      <c r="A33" s="124">
        <v>3</v>
      </c>
      <c r="B33" s="288"/>
      <c r="C33" s="205" t="s">
        <v>577</v>
      </c>
      <c r="D33" s="203" t="s">
        <v>557</v>
      </c>
      <c r="E33" s="280"/>
      <c r="F33" s="281"/>
      <c r="G33" s="294"/>
    </row>
    <row r="34" spans="1:7" ht="15.75" thickBot="1" x14ac:dyDescent="0.3">
      <c r="A34" s="215">
        <v>4</v>
      </c>
      <c r="B34" s="289"/>
      <c r="C34" s="216" t="s">
        <v>578</v>
      </c>
      <c r="D34" s="204" t="s">
        <v>558</v>
      </c>
      <c r="E34" s="296"/>
      <c r="F34" s="297"/>
      <c r="G34" s="294"/>
    </row>
    <row r="35" spans="1:7" x14ac:dyDescent="0.25">
      <c r="A35" s="121">
        <v>5</v>
      </c>
      <c r="B35" s="290" t="s">
        <v>462</v>
      </c>
      <c r="C35" s="213" t="s">
        <v>575</v>
      </c>
      <c r="D35" s="214" t="s">
        <v>468</v>
      </c>
      <c r="E35" s="278" t="s">
        <v>589</v>
      </c>
      <c r="F35" s="279"/>
      <c r="G35" s="293" t="s">
        <v>602</v>
      </c>
    </row>
    <row r="36" spans="1:7" x14ac:dyDescent="0.25">
      <c r="A36" s="111">
        <v>6</v>
      </c>
      <c r="B36" s="291"/>
      <c r="C36" s="205" t="s">
        <v>576</v>
      </c>
      <c r="D36" s="203" t="s">
        <v>469</v>
      </c>
      <c r="E36" s="280"/>
      <c r="F36" s="281"/>
      <c r="G36" s="294"/>
    </row>
    <row r="37" spans="1:7" x14ac:dyDescent="0.25">
      <c r="A37" s="111">
        <v>7</v>
      </c>
      <c r="B37" s="291"/>
      <c r="C37" s="205" t="s">
        <v>577</v>
      </c>
      <c r="D37" s="203" t="s">
        <v>470</v>
      </c>
      <c r="E37" s="280"/>
      <c r="F37" s="281"/>
      <c r="G37" s="294"/>
    </row>
    <row r="38" spans="1:7" ht="15.75" thickBot="1" x14ac:dyDescent="0.3">
      <c r="A38" s="113">
        <v>8</v>
      </c>
      <c r="B38" s="292"/>
      <c r="C38" s="210" t="s">
        <v>578</v>
      </c>
      <c r="D38" s="212" t="s">
        <v>471</v>
      </c>
      <c r="E38" s="282"/>
      <c r="F38" s="283"/>
      <c r="G38" s="295"/>
    </row>
    <row r="39" spans="1:7" x14ac:dyDescent="0.25">
      <c r="A39" s="121">
        <v>9</v>
      </c>
      <c r="B39" s="290" t="s">
        <v>463</v>
      </c>
      <c r="C39" s="213" t="s">
        <v>575</v>
      </c>
      <c r="D39" s="214" t="s">
        <v>559</v>
      </c>
      <c r="E39" s="278" t="s">
        <v>590</v>
      </c>
      <c r="F39" s="279"/>
      <c r="G39" s="293" t="s">
        <v>603</v>
      </c>
    </row>
    <row r="40" spans="1:7" x14ac:dyDescent="0.25">
      <c r="A40" s="111">
        <v>10</v>
      </c>
      <c r="B40" s="291"/>
      <c r="C40" s="205" t="s">
        <v>576</v>
      </c>
      <c r="D40" s="203" t="s">
        <v>560</v>
      </c>
      <c r="E40" s="280"/>
      <c r="F40" s="281"/>
      <c r="G40" s="294"/>
    </row>
    <row r="41" spans="1:7" x14ac:dyDescent="0.25">
      <c r="A41" s="111">
        <v>11</v>
      </c>
      <c r="B41" s="291"/>
      <c r="C41" s="205" t="s">
        <v>577</v>
      </c>
      <c r="D41" s="203" t="s">
        <v>561</v>
      </c>
      <c r="E41" s="280"/>
      <c r="F41" s="281"/>
      <c r="G41" s="294"/>
    </row>
    <row r="42" spans="1:7" ht="15.75" thickBot="1" x14ac:dyDescent="0.3">
      <c r="A42" s="113">
        <v>12</v>
      </c>
      <c r="B42" s="292"/>
      <c r="C42" s="210" t="s">
        <v>578</v>
      </c>
      <c r="D42" s="212" t="s">
        <v>562</v>
      </c>
      <c r="E42" s="282"/>
      <c r="F42" s="283"/>
      <c r="G42" s="295"/>
    </row>
    <row r="43" spans="1:7" x14ac:dyDescent="0.25">
      <c r="A43" s="121">
        <v>13</v>
      </c>
      <c r="B43" s="290" t="s">
        <v>464</v>
      </c>
      <c r="C43" s="213" t="s">
        <v>575</v>
      </c>
      <c r="D43" s="214" t="s">
        <v>563</v>
      </c>
      <c r="E43" s="278" t="s">
        <v>592</v>
      </c>
      <c r="F43" s="279"/>
      <c r="G43" s="293" t="s">
        <v>600</v>
      </c>
    </row>
    <row r="44" spans="1:7" x14ac:dyDescent="0.25">
      <c r="A44" s="111">
        <v>14</v>
      </c>
      <c r="B44" s="291"/>
      <c r="C44" s="205" t="s">
        <v>576</v>
      </c>
      <c r="D44" s="203" t="s">
        <v>564</v>
      </c>
      <c r="E44" s="280"/>
      <c r="F44" s="281"/>
      <c r="G44" s="294"/>
    </row>
    <row r="45" spans="1:7" x14ac:dyDescent="0.25">
      <c r="A45" s="111">
        <v>15</v>
      </c>
      <c r="B45" s="291"/>
      <c r="C45" s="205" t="s">
        <v>577</v>
      </c>
      <c r="D45" s="203" t="s">
        <v>565</v>
      </c>
      <c r="E45" s="280"/>
      <c r="F45" s="281"/>
      <c r="G45" s="294"/>
    </row>
    <row r="46" spans="1:7" ht="15.75" thickBot="1" x14ac:dyDescent="0.3">
      <c r="A46" s="113">
        <v>16</v>
      </c>
      <c r="B46" s="292"/>
      <c r="C46" s="210" t="s">
        <v>578</v>
      </c>
      <c r="D46" s="212" t="s">
        <v>566</v>
      </c>
      <c r="E46" s="282"/>
      <c r="F46" s="283"/>
      <c r="G46" s="295"/>
    </row>
    <row r="47" spans="1:7" x14ac:dyDescent="0.25">
      <c r="A47" s="121">
        <v>17</v>
      </c>
      <c r="B47" s="290" t="s">
        <v>465</v>
      </c>
      <c r="C47" s="213" t="s">
        <v>575</v>
      </c>
      <c r="D47" s="214" t="s">
        <v>567</v>
      </c>
      <c r="E47" s="278" t="s">
        <v>591</v>
      </c>
      <c r="F47" s="279"/>
      <c r="G47" s="293" t="s">
        <v>604</v>
      </c>
    </row>
    <row r="48" spans="1:7" x14ac:dyDescent="0.25">
      <c r="A48" s="111">
        <v>18</v>
      </c>
      <c r="B48" s="291"/>
      <c r="C48" s="205" t="s">
        <v>576</v>
      </c>
      <c r="D48" s="203" t="s">
        <v>568</v>
      </c>
      <c r="E48" s="280"/>
      <c r="F48" s="281"/>
      <c r="G48" s="294"/>
    </row>
    <row r="49" spans="1:7" x14ac:dyDescent="0.25">
      <c r="A49" s="111">
        <v>19</v>
      </c>
      <c r="B49" s="291"/>
      <c r="C49" s="205" t="s">
        <v>577</v>
      </c>
      <c r="D49" s="203" t="s">
        <v>569</v>
      </c>
      <c r="E49" s="280"/>
      <c r="F49" s="281"/>
      <c r="G49" s="294"/>
    </row>
    <row r="50" spans="1:7" ht="15.75" thickBot="1" x14ac:dyDescent="0.3">
      <c r="A50" s="113">
        <v>20</v>
      </c>
      <c r="B50" s="292"/>
      <c r="C50" s="210" t="s">
        <v>578</v>
      </c>
      <c r="D50" s="212" t="s">
        <v>570</v>
      </c>
      <c r="E50" s="282"/>
      <c r="F50" s="283"/>
      <c r="G50" s="295"/>
    </row>
    <row r="51" spans="1:7" x14ac:dyDescent="0.25">
      <c r="A51" s="121">
        <v>21</v>
      </c>
      <c r="B51" s="290" t="s">
        <v>579</v>
      </c>
      <c r="C51" s="213" t="s">
        <v>575</v>
      </c>
      <c r="D51" s="214" t="s">
        <v>472</v>
      </c>
      <c r="E51" s="278" t="s">
        <v>593</v>
      </c>
      <c r="F51" s="279"/>
      <c r="G51" s="293" t="s">
        <v>605</v>
      </c>
    </row>
    <row r="52" spans="1:7" x14ac:dyDescent="0.25">
      <c r="A52" s="111">
        <v>22</v>
      </c>
      <c r="B52" s="291"/>
      <c r="C52" s="205" t="s">
        <v>576</v>
      </c>
      <c r="D52" s="203" t="s">
        <v>473</v>
      </c>
      <c r="E52" s="280"/>
      <c r="F52" s="281"/>
      <c r="G52" s="294"/>
    </row>
    <row r="53" spans="1:7" x14ac:dyDescent="0.25">
      <c r="A53" s="111">
        <v>23</v>
      </c>
      <c r="B53" s="291"/>
      <c r="C53" s="205" t="s">
        <v>577</v>
      </c>
      <c r="D53" s="203" t="s">
        <v>474</v>
      </c>
      <c r="E53" s="280"/>
      <c r="F53" s="281"/>
      <c r="G53" s="294"/>
    </row>
    <row r="54" spans="1:7" ht="15.75" thickBot="1" x14ac:dyDescent="0.3">
      <c r="A54" s="113">
        <v>24</v>
      </c>
      <c r="B54" s="292"/>
      <c r="C54" s="210" t="s">
        <v>578</v>
      </c>
      <c r="D54" s="212" t="s">
        <v>475</v>
      </c>
      <c r="E54" s="282"/>
      <c r="F54" s="283"/>
      <c r="G54" s="295"/>
    </row>
    <row r="55" spans="1:7" x14ac:dyDescent="0.25">
      <c r="A55" s="121">
        <v>25</v>
      </c>
      <c r="B55" s="290" t="s">
        <v>580</v>
      </c>
      <c r="C55" s="213" t="s">
        <v>575</v>
      </c>
      <c r="D55" s="214" t="s">
        <v>504</v>
      </c>
      <c r="E55" s="278" t="s">
        <v>594</v>
      </c>
      <c r="F55" s="279"/>
      <c r="G55" s="293" t="s">
        <v>606</v>
      </c>
    </row>
    <row r="56" spans="1:7" x14ac:dyDescent="0.25">
      <c r="A56" s="111">
        <v>26</v>
      </c>
      <c r="B56" s="291"/>
      <c r="C56" s="205" t="s">
        <v>576</v>
      </c>
      <c r="D56" s="203" t="s">
        <v>505</v>
      </c>
      <c r="E56" s="280"/>
      <c r="F56" s="281"/>
      <c r="G56" s="294"/>
    </row>
    <row r="57" spans="1:7" x14ac:dyDescent="0.25">
      <c r="A57" s="111">
        <v>27</v>
      </c>
      <c r="B57" s="291"/>
      <c r="C57" s="205" t="s">
        <v>577</v>
      </c>
      <c r="D57" s="203" t="s">
        <v>506</v>
      </c>
      <c r="E57" s="280"/>
      <c r="F57" s="281"/>
      <c r="G57" s="294"/>
    </row>
    <row r="58" spans="1:7" ht="15.75" thickBot="1" x14ac:dyDescent="0.3">
      <c r="A58" s="113">
        <v>28</v>
      </c>
      <c r="B58" s="292"/>
      <c r="C58" s="210" t="s">
        <v>578</v>
      </c>
      <c r="D58" s="212" t="s">
        <v>507</v>
      </c>
      <c r="E58" s="282"/>
      <c r="F58" s="283"/>
      <c r="G58" s="295"/>
    </row>
    <row r="59" spans="1:7" ht="15" customHeight="1" x14ac:dyDescent="0.25">
      <c r="A59" s="121">
        <v>29</v>
      </c>
      <c r="B59" s="284" t="s">
        <v>612</v>
      </c>
      <c r="C59" s="213" t="s">
        <v>575</v>
      </c>
      <c r="D59" s="214" t="s">
        <v>508</v>
      </c>
      <c r="E59" s="278" t="s">
        <v>595</v>
      </c>
      <c r="F59" s="279"/>
      <c r="G59" s="293" t="s">
        <v>607</v>
      </c>
    </row>
    <row r="60" spans="1:7" x14ac:dyDescent="0.25">
      <c r="A60" s="111">
        <v>30</v>
      </c>
      <c r="B60" s="285"/>
      <c r="C60" s="205" t="s">
        <v>576</v>
      </c>
      <c r="D60" s="203" t="s">
        <v>509</v>
      </c>
      <c r="E60" s="280"/>
      <c r="F60" s="281"/>
      <c r="G60" s="294"/>
    </row>
    <row r="61" spans="1:7" x14ac:dyDescent="0.25">
      <c r="A61" s="111">
        <v>31</v>
      </c>
      <c r="B61" s="285"/>
      <c r="C61" s="205" t="s">
        <v>577</v>
      </c>
      <c r="D61" s="203" t="s">
        <v>510</v>
      </c>
      <c r="E61" s="280"/>
      <c r="F61" s="281"/>
      <c r="G61" s="294"/>
    </row>
    <row r="62" spans="1:7" ht="15.75" thickBot="1" x14ac:dyDescent="0.3">
      <c r="A62" s="113">
        <v>32</v>
      </c>
      <c r="B62" s="286"/>
      <c r="C62" s="210" t="s">
        <v>578</v>
      </c>
      <c r="D62" s="212" t="s">
        <v>511</v>
      </c>
      <c r="E62" s="282"/>
      <c r="F62" s="283"/>
      <c r="G62" s="295"/>
    </row>
    <row r="63" spans="1:7" x14ac:dyDescent="0.25">
      <c r="A63" s="121">
        <v>33</v>
      </c>
      <c r="B63" s="290" t="s">
        <v>581</v>
      </c>
      <c r="C63" s="213" t="s">
        <v>575</v>
      </c>
      <c r="D63" s="214" t="s">
        <v>512</v>
      </c>
      <c r="E63" s="278" t="s">
        <v>596</v>
      </c>
      <c r="F63" s="279"/>
      <c r="G63" s="293" t="s">
        <v>608</v>
      </c>
    </row>
    <row r="64" spans="1:7" x14ac:dyDescent="0.25">
      <c r="A64" s="111">
        <v>34</v>
      </c>
      <c r="B64" s="291"/>
      <c r="C64" s="205" t="s">
        <v>576</v>
      </c>
      <c r="D64" s="203" t="s">
        <v>513</v>
      </c>
      <c r="E64" s="280"/>
      <c r="F64" s="281"/>
      <c r="G64" s="294"/>
    </row>
    <row r="65" spans="1:7" x14ac:dyDescent="0.25">
      <c r="A65" s="111">
        <v>35</v>
      </c>
      <c r="B65" s="291"/>
      <c r="C65" s="205" t="s">
        <v>577</v>
      </c>
      <c r="D65" s="203" t="s">
        <v>514</v>
      </c>
      <c r="E65" s="280"/>
      <c r="F65" s="281"/>
      <c r="G65" s="294"/>
    </row>
    <row r="66" spans="1:7" ht="15.75" thickBot="1" x14ac:dyDescent="0.3">
      <c r="A66" s="113">
        <v>36</v>
      </c>
      <c r="B66" s="292"/>
      <c r="C66" s="210" t="s">
        <v>578</v>
      </c>
      <c r="D66" s="212" t="s">
        <v>515</v>
      </c>
      <c r="E66" s="282"/>
      <c r="F66" s="283"/>
      <c r="G66" s="295"/>
    </row>
    <row r="67" spans="1:7" ht="15" customHeight="1" x14ac:dyDescent="0.25">
      <c r="A67" s="121">
        <v>37</v>
      </c>
      <c r="B67" s="284" t="s">
        <v>613</v>
      </c>
      <c r="C67" s="213" t="s">
        <v>575</v>
      </c>
      <c r="D67" s="214" t="s">
        <v>516</v>
      </c>
      <c r="E67" s="278" t="s">
        <v>597</v>
      </c>
      <c r="F67" s="279"/>
      <c r="G67" s="293" t="s">
        <v>609</v>
      </c>
    </row>
    <row r="68" spans="1:7" x14ac:dyDescent="0.25">
      <c r="A68" s="111">
        <v>38</v>
      </c>
      <c r="B68" s="285"/>
      <c r="C68" s="205" t="s">
        <v>576</v>
      </c>
      <c r="D68" s="203" t="s">
        <v>517</v>
      </c>
      <c r="E68" s="280"/>
      <c r="F68" s="281"/>
      <c r="G68" s="294"/>
    </row>
    <row r="69" spans="1:7" x14ac:dyDescent="0.25">
      <c r="A69" s="111">
        <v>39</v>
      </c>
      <c r="B69" s="285"/>
      <c r="C69" s="205" t="s">
        <v>577</v>
      </c>
      <c r="D69" s="203" t="s">
        <v>518</v>
      </c>
      <c r="E69" s="280"/>
      <c r="F69" s="281"/>
      <c r="G69" s="294"/>
    </row>
    <row r="70" spans="1:7" ht="15.75" thickBot="1" x14ac:dyDescent="0.3">
      <c r="A70" s="113">
        <v>40</v>
      </c>
      <c r="B70" s="286"/>
      <c r="C70" s="210" t="s">
        <v>578</v>
      </c>
      <c r="D70" s="212" t="s">
        <v>519</v>
      </c>
      <c r="E70" s="282"/>
      <c r="F70" s="283"/>
      <c r="G70" s="295"/>
    </row>
    <row r="71" spans="1:7" x14ac:dyDescent="0.25">
      <c r="A71" s="121">
        <v>41</v>
      </c>
      <c r="B71" s="290" t="s">
        <v>582</v>
      </c>
      <c r="C71" s="213" t="s">
        <v>575</v>
      </c>
      <c r="D71" s="214" t="s">
        <v>520</v>
      </c>
      <c r="E71" s="278" t="s">
        <v>598</v>
      </c>
      <c r="F71" s="279"/>
      <c r="G71" s="293" t="s">
        <v>610</v>
      </c>
    </row>
    <row r="72" spans="1:7" x14ac:dyDescent="0.25">
      <c r="A72" s="111">
        <v>42</v>
      </c>
      <c r="B72" s="291"/>
      <c r="C72" s="205" t="s">
        <v>576</v>
      </c>
      <c r="D72" s="203" t="s">
        <v>521</v>
      </c>
      <c r="E72" s="280"/>
      <c r="F72" s="281"/>
      <c r="G72" s="294"/>
    </row>
    <row r="73" spans="1:7" x14ac:dyDescent="0.25">
      <c r="A73" s="111">
        <v>43</v>
      </c>
      <c r="B73" s="291"/>
      <c r="C73" s="205" t="s">
        <v>577</v>
      </c>
      <c r="D73" s="203" t="s">
        <v>522</v>
      </c>
      <c r="E73" s="280"/>
      <c r="F73" s="281"/>
      <c r="G73" s="294"/>
    </row>
    <row r="74" spans="1:7" ht="15.75" thickBot="1" x14ac:dyDescent="0.3">
      <c r="A74" s="113">
        <v>44</v>
      </c>
      <c r="B74" s="292"/>
      <c r="C74" s="210" t="s">
        <v>578</v>
      </c>
      <c r="D74" s="212" t="s">
        <v>523</v>
      </c>
      <c r="E74" s="282"/>
      <c r="F74" s="283"/>
      <c r="G74" s="295"/>
    </row>
    <row r="75" spans="1:7" ht="15" customHeight="1" x14ac:dyDescent="0.25">
      <c r="A75" s="121">
        <v>45</v>
      </c>
      <c r="B75" s="284" t="s">
        <v>614</v>
      </c>
      <c r="C75" s="213" t="s">
        <v>575</v>
      </c>
      <c r="D75" s="214" t="s">
        <v>524</v>
      </c>
      <c r="E75" s="278" t="s">
        <v>599</v>
      </c>
      <c r="F75" s="279"/>
      <c r="G75" s="293" t="s">
        <v>611</v>
      </c>
    </row>
    <row r="76" spans="1:7" x14ac:dyDescent="0.25">
      <c r="A76" s="111">
        <v>46</v>
      </c>
      <c r="B76" s="285"/>
      <c r="C76" s="205" t="s">
        <v>576</v>
      </c>
      <c r="D76" s="203" t="s">
        <v>525</v>
      </c>
      <c r="E76" s="280"/>
      <c r="F76" s="281"/>
      <c r="G76" s="294"/>
    </row>
    <row r="77" spans="1:7" x14ac:dyDescent="0.25">
      <c r="A77" s="111">
        <v>47</v>
      </c>
      <c r="B77" s="285"/>
      <c r="C77" s="205" t="s">
        <v>577</v>
      </c>
      <c r="D77" s="203" t="s">
        <v>526</v>
      </c>
      <c r="E77" s="280"/>
      <c r="F77" s="281"/>
      <c r="G77" s="294"/>
    </row>
    <row r="78" spans="1:7" ht="15.75" thickBot="1" x14ac:dyDescent="0.3">
      <c r="A78" s="113">
        <v>48</v>
      </c>
      <c r="B78" s="286"/>
      <c r="C78" s="210" t="s">
        <v>578</v>
      </c>
      <c r="D78" s="212" t="s">
        <v>527</v>
      </c>
      <c r="E78" s="282"/>
      <c r="F78" s="283"/>
      <c r="G78" s="295"/>
    </row>
  </sheetData>
  <mergeCells count="41">
    <mergeCell ref="G59:G62"/>
    <mergeCell ref="G63:G66"/>
    <mergeCell ref="G67:G70"/>
    <mergeCell ref="G71:G74"/>
    <mergeCell ref="G75:G78"/>
    <mergeCell ref="E29:G29"/>
    <mergeCell ref="G31:G34"/>
    <mergeCell ref="G35:G38"/>
    <mergeCell ref="G39:G42"/>
    <mergeCell ref="G43:G46"/>
    <mergeCell ref="G47:G50"/>
    <mergeCell ref="G51:G54"/>
    <mergeCell ref="G55:G58"/>
    <mergeCell ref="E31:F34"/>
    <mergeCell ref="E35:F38"/>
    <mergeCell ref="E39:F42"/>
    <mergeCell ref="E43:F46"/>
    <mergeCell ref="E47:F50"/>
    <mergeCell ref="E51:F54"/>
    <mergeCell ref="E55:F58"/>
    <mergeCell ref="E59:F62"/>
    <mergeCell ref="B59:B62"/>
    <mergeCell ref="B63:B66"/>
    <mergeCell ref="B67:B70"/>
    <mergeCell ref="B71:B74"/>
    <mergeCell ref="E75:F78"/>
    <mergeCell ref="E63:F66"/>
    <mergeCell ref="E30:F30"/>
    <mergeCell ref="F1:H1"/>
    <mergeCell ref="A1:C1"/>
    <mergeCell ref="B75:B78"/>
    <mergeCell ref="C29:D29"/>
    <mergeCell ref="B31:B34"/>
    <mergeCell ref="B35:B38"/>
    <mergeCell ref="B39:B42"/>
    <mergeCell ref="B43:B46"/>
    <mergeCell ref="B47:B50"/>
    <mergeCell ref="B51:B54"/>
    <mergeCell ref="B55:B58"/>
    <mergeCell ref="E67:F70"/>
    <mergeCell ref="E71:F74"/>
  </mergeCells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J102"/>
  <sheetViews>
    <sheetView workbookViewId="0">
      <selection activeCell="P16" sqref="P16"/>
    </sheetView>
  </sheetViews>
  <sheetFormatPr defaultRowHeight="15" x14ac:dyDescent="0.25"/>
  <cols>
    <col min="1" max="1" width="5.7109375" customWidth="1"/>
    <col min="2" max="2" width="7.5703125" bestFit="1" customWidth="1"/>
    <col min="3" max="3" width="19" style="180" bestFit="1" customWidth="1"/>
    <col min="4" max="4" width="3" bestFit="1" customWidth="1"/>
    <col min="5" max="5" width="8.140625" bestFit="1" customWidth="1"/>
    <col min="7" max="7" width="7.5703125" bestFit="1" customWidth="1"/>
    <col min="8" max="8" width="26.5703125" customWidth="1"/>
    <col min="9" max="9" width="3" bestFit="1" customWidth="1"/>
    <col min="10" max="10" width="8.140625" bestFit="1" customWidth="1"/>
  </cols>
  <sheetData>
    <row r="1" spans="2:10" ht="15.75" thickBot="1" x14ac:dyDescent="0.3"/>
    <row r="2" spans="2:10" ht="15.75" thickBot="1" x14ac:dyDescent="0.3">
      <c r="B2" s="156" t="s">
        <v>280</v>
      </c>
      <c r="C2" s="181" t="s">
        <v>281</v>
      </c>
      <c r="D2" s="157" t="s">
        <v>282</v>
      </c>
      <c r="E2" s="158" t="s">
        <v>283</v>
      </c>
      <c r="G2" s="150" t="s">
        <v>280</v>
      </c>
      <c r="H2" s="151" t="s">
        <v>281</v>
      </c>
      <c r="I2" s="151" t="s">
        <v>282</v>
      </c>
      <c r="J2" s="152" t="s">
        <v>283</v>
      </c>
    </row>
    <row r="3" spans="2:10" x14ac:dyDescent="0.25">
      <c r="B3" s="141">
        <v>1</v>
      </c>
      <c r="C3" s="170" t="s">
        <v>296</v>
      </c>
      <c r="D3" s="142">
        <v>1</v>
      </c>
      <c r="E3" s="162" t="s">
        <v>297</v>
      </c>
      <c r="G3" s="143">
        <v>1</v>
      </c>
      <c r="H3" s="144" t="s">
        <v>284</v>
      </c>
      <c r="I3" s="144">
        <v>1</v>
      </c>
      <c r="J3" s="153" t="s">
        <v>285</v>
      </c>
    </row>
    <row r="4" spans="2:10" x14ac:dyDescent="0.25">
      <c r="B4" s="143">
        <v>2</v>
      </c>
      <c r="C4" s="171" t="s">
        <v>298</v>
      </c>
      <c r="D4" s="144">
        <v>1</v>
      </c>
      <c r="E4" s="153" t="s">
        <v>297</v>
      </c>
      <c r="G4" s="143">
        <v>2</v>
      </c>
      <c r="H4" s="144" t="s">
        <v>286</v>
      </c>
      <c r="I4" s="144">
        <v>1</v>
      </c>
      <c r="J4" s="153" t="s">
        <v>285</v>
      </c>
    </row>
    <row r="5" spans="2:10" x14ac:dyDescent="0.25">
      <c r="B5" s="143">
        <v>3</v>
      </c>
      <c r="C5" s="171" t="s">
        <v>299</v>
      </c>
      <c r="D5" s="144">
        <v>1</v>
      </c>
      <c r="E5" s="153" t="s">
        <v>297</v>
      </c>
      <c r="G5" s="143">
        <v>3</v>
      </c>
      <c r="H5" s="144" t="s">
        <v>287</v>
      </c>
      <c r="I5" s="144">
        <v>1</v>
      </c>
      <c r="J5" s="153" t="s">
        <v>285</v>
      </c>
    </row>
    <row r="6" spans="2:10" x14ac:dyDescent="0.25">
      <c r="B6" s="143">
        <v>4</v>
      </c>
      <c r="C6" s="171" t="s">
        <v>300</v>
      </c>
      <c r="D6" s="144">
        <v>1</v>
      </c>
      <c r="E6" s="153" t="s">
        <v>297</v>
      </c>
      <c r="G6" s="143">
        <v>4</v>
      </c>
      <c r="H6" s="144" t="s">
        <v>288</v>
      </c>
      <c r="I6" s="144">
        <v>1</v>
      </c>
      <c r="J6" s="153" t="s">
        <v>285</v>
      </c>
    </row>
    <row r="7" spans="2:10" ht="15.75" thickBot="1" x14ac:dyDescent="0.3">
      <c r="B7" s="148">
        <v>5</v>
      </c>
      <c r="C7" s="172" t="s">
        <v>302</v>
      </c>
      <c r="D7" s="149">
        <v>1</v>
      </c>
      <c r="E7" s="155" t="s">
        <v>297</v>
      </c>
      <c r="G7" s="143">
        <v>5</v>
      </c>
      <c r="H7" s="145" t="s">
        <v>289</v>
      </c>
      <c r="I7" s="144">
        <v>1</v>
      </c>
      <c r="J7" s="153" t="s">
        <v>285</v>
      </c>
    </row>
    <row r="8" spans="2:10" x14ac:dyDescent="0.25">
      <c r="B8" s="159">
        <v>6</v>
      </c>
      <c r="C8" s="173" t="s">
        <v>191</v>
      </c>
      <c r="D8" s="160">
        <v>2</v>
      </c>
      <c r="E8" s="161" t="s">
        <v>297</v>
      </c>
      <c r="G8" s="143">
        <v>6</v>
      </c>
      <c r="H8" s="144" t="s">
        <v>290</v>
      </c>
      <c r="I8" s="144">
        <v>1</v>
      </c>
      <c r="J8" s="153" t="s">
        <v>285</v>
      </c>
    </row>
    <row r="9" spans="2:10" x14ac:dyDescent="0.25">
      <c r="B9" s="143">
        <v>7</v>
      </c>
      <c r="C9" s="171" t="s">
        <v>195</v>
      </c>
      <c r="D9" s="144">
        <v>2</v>
      </c>
      <c r="E9" s="153" t="s">
        <v>297</v>
      </c>
      <c r="G9" s="143">
        <v>7</v>
      </c>
      <c r="H9" s="144" t="s">
        <v>291</v>
      </c>
      <c r="I9" s="144">
        <v>1</v>
      </c>
      <c r="J9" s="153" t="s">
        <v>285</v>
      </c>
    </row>
    <row r="10" spans="2:10" x14ac:dyDescent="0.25">
      <c r="B10" s="143">
        <v>8</v>
      </c>
      <c r="C10" s="171" t="s">
        <v>223</v>
      </c>
      <c r="D10" s="144">
        <v>2</v>
      </c>
      <c r="E10" s="153" t="s">
        <v>297</v>
      </c>
      <c r="G10" s="143">
        <v>8</v>
      </c>
      <c r="H10" s="144" t="s">
        <v>292</v>
      </c>
      <c r="I10" s="144">
        <v>1</v>
      </c>
      <c r="J10" s="153" t="s">
        <v>285</v>
      </c>
    </row>
    <row r="11" spans="2:10" x14ac:dyDescent="0.25">
      <c r="B11" s="143">
        <v>9</v>
      </c>
      <c r="C11" s="174" t="s">
        <v>306</v>
      </c>
      <c r="D11" s="145">
        <v>2</v>
      </c>
      <c r="E11" s="153" t="s">
        <v>297</v>
      </c>
      <c r="G11" s="143">
        <v>9</v>
      </c>
      <c r="H11" s="144" t="s">
        <v>293</v>
      </c>
      <c r="I11" s="144">
        <v>1</v>
      </c>
      <c r="J11" s="153" t="s">
        <v>285</v>
      </c>
    </row>
    <row r="12" spans="2:10" x14ac:dyDescent="0.25">
      <c r="B12" s="143">
        <v>10</v>
      </c>
      <c r="C12" s="171" t="s">
        <v>307</v>
      </c>
      <c r="D12" s="144">
        <v>2</v>
      </c>
      <c r="E12" s="153" t="s">
        <v>297</v>
      </c>
      <c r="G12" s="143">
        <v>10</v>
      </c>
      <c r="H12" s="144" t="s">
        <v>451</v>
      </c>
      <c r="I12" s="144">
        <v>1</v>
      </c>
      <c r="J12" s="153" t="s">
        <v>285</v>
      </c>
    </row>
    <row r="13" spans="2:10" x14ac:dyDescent="0.25">
      <c r="B13" s="143">
        <v>11</v>
      </c>
      <c r="C13" s="171" t="s">
        <v>313</v>
      </c>
      <c r="D13" s="144">
        <v>2</v>
      </c>
      <c r="E13" s="153" t="s">
        <v>297</v>
      </c>
      <c r="G13" s="143">
        <v>11</v>
      </c>
      <c r="H13" s="144" t="s">
        <v>294</v>
      </c>
      <c r="I13" s="144">
        <v>1</v>
      </c>
      <c r="J13" s="153" t="s">
        <v>285</v>
      </c>
    </row>
    <row r="14" spans="2:10" x14ac:dyDescent="0.25">
      <c r="B14" s="143">
        <v>12</v>
      </c>
      <c r="C14" s="171" t="s">
        <v>315</v>
      </c>
      <c r="D14" s="144">
        <v>2</v>
      </c>
      <c r="E14" s="153" t="s">
        <v>297</v>
      </c>
      <c r="G14" s="143">
        <v>12</v>
      </c>
      <c r="H14" s="144" t="s">
        <v>295</v>
      </c>
      <c r="I14" s="144">
        <v>1</v>
      </c>
      <c r="J14" s="153" t="s">
        <v>285</v>
      </c>
    </row>
    <row r="15" spans="2:10" x14ac:dyDescent="0.25">
      <c r="B15" s="143">
        <v>13</v>
      </c>
      <c r="C15" s="171" t="s">
        <v>317</v>
      </c>
      <c r="D15" s="144">
        <v>2</v>
      </c>
      <c r="E15" s="153" t="s">
        <v>297</v>
      </c>
      <c r="G15" s="143">
        <v>17</v>
      </c>
      <c r="H15" s="144" t="s">
        <v>301</v>
      </c>
      <c r="I15" s="144">
        <v>1</v>
      </c>
      <c r="J15" s="153" t="s">
        <v>285</v>
      </c>
    </row>
    <row r="16" spans="2:10" x14ac:dyDescent="0.25">
      <c r="B16" s="143">
        <v>14</v>
      </c>
      <c r="C16" s="171" t="s">
        <v>318</v>
      </c>
      <c r="D16" s="144">
        <v>2</v>
      </c>
      <c r="E16" s="153" t="s">
        <v>297</v>
      </c>
      <c r="G16" s="143">
        <v>19</v>
      </c>
      <c r="H16" s="144" t="s">
        <v>303</v>
      </c>
      <c r="I16" s="144">
        <v>2</v>
      </c>
      <c r="J16" s="153" t="s">
        <v>285</v>
      </c>
    </row>
    <row r="17" spans="2:10" x14ac:dyDescent="0.25">
      <c r="B17" s="143">
        <v>15</v>
      </c>
      <c r="C17" s="171" t="s">
        <v>319</v>
      </c>
      <c r="D17" s="144">
        <v>2</v>
      </c>
      <c r="E17" s="153" t="s">
        <v>297</v>
      </c>
      <c r="G17" s="143">
        <v>23</v>
      </c>
      <c r="H17" s="144" t="s">
        <v>304</v>
      </c>
      <c r="I17" s="144">
        <v>2</v>
      </c>
      <c r="J17" s="153" t="s">
        <v>285</v>
      </c>
    </row>
    <row r="18" spans="2:10" x14ac:dyDescent="0.25">
      <c r="B18" s="143">
        <v>16</v>
      </c>
      <c r="C18" s="171" t="s">
        <v>320</v>
      </c>
      <c r="D18" s="144">
        <v>2</v>
      </c>
      <c r="E18" s="153" t="s">
        <v>297</v>
      </c>
      <c r="G18" s="143">
        <v>24</v>
      </c>
      <c r="H18" s="144" t="s">
        <v>305</v>
      </c>
      <c r="I18" s="144">
        <v>2</v>
      </c>
      <c r="J18" s="153" t="s">
        <v>285</v>
      </c>
    </row>
    <row r="19" spans="2:10" x14ac:dyDescent="0.25">
      <c r="B19" s="143">
        <v>17</v>
      </c>
      <c r="C19" s="171" t="s">
        <v>321</v>
      </c>
      <c r="D19" s="144">
        <v>2</v>
      </c>
      <c r="E19" s="153" t="s">
        <v>297</v>
      </c>
      <c r="G19" s="143">
        <v>27</v>
      </c>
      <c r="H19" s="144" t="s">
        <v>308</v>
      </c>
      <c r="I19" s="144">
        <v>2</v>
      </c>
      <c r="J19" s="153" t="s">
        <v>285</v>
      </c>
    </row>
    <row r="20" spans="2:10" x14ac:dyDescent="0.25">
      <c r="B20" s="143">
        <v>18</v>
      </c>
      <c r="C20" s="171" t="s">
        <v>322</v>
      </c>
      <c r="D20" s="144">
        <v>2</v>
      </c>
      <c r="E20" s="153" t="s">
        <v>297</v>
      </c>
      <c r="G20" s="143">
        <v>28</v>
      </c>
      <c r="H20" s="144" t="s">
        <v>309</v>
      </c>
      <c r="I20" s="144">
        <v>2</v>
      </c>
      <c r="J20" s="153" t="s">
        <v>285</v>
      </c>
    </row>
    <row r="21" spans="2:10" x14ac:dyDescent="0.25">
      <c r="B21" s="143">
        <v>19</v>
      </c>
      <c r="C21" s="171" t="s">
        <v>324</v>
      </c>
      <c r="D21" s="144">
        <v>2</v>
      </c>
      <c r="E21" s="153" t="s">
        <v>297</v>
      </c>
      <c r="G21" s="143">
        <v>29</v>
      </c>
      <c r="H21" s="144" t="s">
        <v>310</v>
      </c>
      <c r="I21" s="144">
        <v>2</v>
      </c>
      <c r="J21" s="153" t="s">
        <v>285</v>
      </c>
    </row>
    <row r="22" spans="2:10" ht="15.75" thickBot="1" x14ac:dyDescent="0.3">
      <c r="B22" s="163">
        <v>20</v>
      </c>
      <c r="C22" s="175" t="s">
        <v>325</v>
      </c>
      <c r="D22" s="164">
        <v>2</v>
      </c>
      <c r="E22" s="165" t="s">
        <v>297</v>
      </c>
      <c r="G22" s="143">
        <v>30</v>
      </c>
      <c r="H22" s="146" t="s">
        <v>311</v>
      </c>
      <c r="I22" s="144">
        <v>2</v>
      </c>
      <c r="J22" s="153" t="s">
        <v>285</v>
      </c>
    </row>
    <row r="23" spans="2:10" x14ac:dyDescent="0.25">
      <c r="B23" s="141">
        <v>21</v>
      </c>
      <c r="C23" s="170" t="s">
        <v>333</v>
      </c>
      <c r="D23" s="142">
        <v>3</v>
      </c>
      <c r="E23" s="162" t="s">
        <v>297</v>
      </c>
      <c r="G23" s="143">
        <v>31</v>
      </c>
      <c r="H23" s="144" t="s">
        <v>312</v>
      </c>
      <c r="I23" s="144">
        <v>2</v>
      </c>
      <c r="J23" s="153" t="s">
        <v>285</v>
      </c>
    </row>
    <row r="24" spans="2:10" x14ac:dyDescent="0.25">
      <c r="B24" s="143">
        <v>22</v>
      </c>
      <c r="C24" s="171" t="s">
        <v>334</v>
      </c>
      <c r="D24" s="144">
        <v>3</v>
      </c>
      <c r="E24" s="153" t="s">
        <v>297</v>
      </c>
      <c r="G24" s="143">
        <v>33</v>
      </c>
      <c r="H24" s="144" t="s">
        <v>314</v>
      </c>
      <c r="I24" s="144">
        <v>2</v>
      </c>
      <c r="J24" s="153" t="s">
        <v>285</v>
      </c>
    </row>
    <row r="25" spans="2:10" x14ac:dyDescent="0.25">
      <c r="B25" s="143">
        <v>23</v>
      </c>
      <c r="C25" s="171" t="s">
        <v>335</v>
      </c>
      <c r="D25" s="144">
        <v>3</v>
      </c>
      <c r="E25" s="153" t="s">
        <v>297</v>
      </c>
      <c r="G25" s="143">
        <v>35</v>
      </c>
      <c r="H25" s="144" t="s">
        <v>316</v>
      </c>
      <c r="I25" s="144">
        <v>2</v>
      </c>
      <c r="J25" s="153" t="s">
        <v>285</v>
      </c>
    </row>
    <row r="26" spans="2:10" x14ac:dyDescent="0.25">
      <c r="B26" s="143">
        <v>24</v>
      </c>
      <c r="C26" s="171" t="s">
        <v>342</v>
      </c>
      <c r="D26" s="144">
        <v>3</v>
      </c>
      <c r="E26" s="153" t="s">
        <v>297</v>
      </c>
      <c r="G26" s="143">
        <v>42</v>
      </c>
      <c r="H26" s="144" t="s">
        <v>323</v>
      </c>
      <c r="I26" s="144">
        <v>2</v>
      </c>
      <c r="J26" s="153" t="s">
        <v>285</v>
      </c>
    </row>
    <row r="27" spans="2:10" x14ac:dyDescent="0.25">
      <c r="B27" s="143">
        <v>25</v>
      </c>
      <c r="C27" s="171" t="s">
        <v>343</v>
      </c>
      <c r="D27" s="144">
        <v>3</v>
      </c>
      <c r="E27" s="153" t="s">
        <v>297</v>
      </c>
      <c r="G27" s="143">
        <v>45</v>
      </c>
      <c r="H27" s="144" t="s">
        <v>326</v>
      </c>
      <c r="I27" s="144">
        <v>2</v>
      </c>
      <c r="J27" s="153" t="s">
        <v>285</v>
      </c>
    </row>
    <row r="28" spans="2:10" x14ac:dyDescent="0.25">
      <c r="B28" s="143">
        <v>26</v>
      </c>
      <c r="C28" s="171" t="s">
        <v>344</v>
      </c>
      <c r="D28" s="144">
        <v>3</v>
      </c>
      <c r="E28" s="153" t="s">
        <v>297</v>
      </c>
      <c r="G28" s="143">
        <v>46</v>
      </c>
      <c r="H28" s="144" t="s">
        <v>327</v>
      </c>
      <c r="I28" s="144">
        <v>3</v>
      </c>
      <c r="J28" s="153" t="s">
        <v>285</v>
      </c>
    </row>
    <row r="29" spans="2:10" x14ac:dyDescent="0.25">
      <c r="B29" s="143">
        <v>27</v>
      </c>
      <c r="C29" s="171" t="s">
        <v>346</v>
      </c>
      <c r="D29" s="144">
        <v>3</v>
      </c>
      <c r="E29" s="153" t="s">
        <v>297</v>
      </c>
      <c r="G29" s="143">
        <v>47</v>
      </c>
      <c r="H29" s="144" t="s">
        <v>328</v>
      </c>
      <c r="I29" s="144">
        <v>3</v>
      </c>
      <c r="J29" s="153" t="s">
        <v>285</v>
      </c>
    </row>
    <row r="30" spans="2:10" x14ac:dyDescent="0.25">
      <c r="B30" s="143">
        <v>28</v>
      </c>
      <c r="C30" s="171" t="s">
        <v>348</v>
      </c>
      <c r="D30" s="144">
        <v>3</v>
      </c>
      <c r="E30" s="153" t="s">
        <v>297</v>
      </c>
      <c r="G30" s="143">
        <v>48</v>
      </c>
      <c r="H30" s="144" t="s">
        <v>329</v>
      </c>
      <c r="I30" s="144">
        <v>3</v>
      </c>
      <c r="J30" s="153" t="s">
        <v>285</v>
      </c>
    </row>
    <row r="31" spans="2:10" x14ac:dyDescent="0.25">
      <c r="B31" s="143">
        <v>29</v>
      </c>
      <c r="C31" s="171" t="s">
        <v>351</v>
      </c>
      <c r="D31" s="144">
        <v>3</v>
      </c>
      <c r="E31" s="153" t="s">
        <v>297</v>
      </c>
      <c r="G31" s="143">
        <v>49</v>
      </c>
      <c r="H31" s="144" t="s">
        <v>330</v>
      </c>
      <c r="I31" s="144">
        <v>3</v>
      </c>
      <c r="J31" s="153" t="s">
        <v>285</v>
      </c>
    </row>
    <row r="32" spans="2:10" x14ac:dyDescent="0.25">
      <c r="B32" s="143">
        <v>30</v>
      </c>
      <c r="C32" s="171" t="s">
        <v>352</v>
      </c>
      <c r="D32" s="144">
        <v>3</v>
      </c>
      <c r="E32" s="153" t="s">
        <v>297</v>
      </c>
      <c r="G32" s="143">
        <v>50</v>
      </c>
      <c r="H32" s="144" t="s">
        <v>331</v>
      </c>
      <c r="I32" s="144">
        <v>3</v>
      </c>
      <c r="J32" s="153" t="s">
        <v>285</v>
      </c>
    </row>
    <row r="33" spans="2:10" ht="15.75" thickBot="1" x14ac:dyDescent="0.3">
      <c r="B33" s="148">
        <v>31</v>
      </c>
      <c r="C33" s="176" t="s">
        <v>353</v>
      </c>
      <c r="D33" s="149">
        <v>3</v>
      </c>
      <c r="E33" s="167" t="s">
        <v>297</v>
      </c>
      <c r="G33" s="143">
        <v>51</v>
      </c>
      <c r="H33" s="144" t="s">
        <v>332</v>
      </c>
      <c r="I33" s="144">
        <v>3</v>
      </c>
      <c r="J33" s="153" t="s">
        <v>285</v>
      </c>
    </row>
    <row r="34" spans="2:10" x14ac:dyDescent="0.25">
      <c r="B34" s="159">
        <v>32</v>
      </c>
      <c r="C34" s="177" t="s">
        <v>354</v>
      </c>
      <c r="D34" s="160">
        <v>4</v>
      </c>
      <c r="E34" s="166" t="s">
        <v>297</v>
      </c>
      <c r="G34" s="143">
        <v>55</v>
      </c>
      <c r="H34" s="144" t="s">
        <v>336</v>
      </c>
      <c r="I34" s="144">
        <v>3</v>
      </c>
      <c r="J34" s="153" t="s">
        <v>285</v>
      </c>
    </row>
    <row r="35" spans="2:10" x14ac:dyDescent="0.25">
      <c r="B35" s="143">
        <v>33</v>
      </c>
      <c r="C35" s="178" t="s">
        <v>355</v>
      </c>
      <c r="D35" s="147">
        <v>4</v>
      </c>
      <c r="E35" s="154" t="s">
        <v>297</v>
      </c>
      <c r="G35" s="143">
        <v>56</v>
      </c>
      <c r="H35" s="144" t="s">
        <v>337</v>
      </c>
      <c r="I35" s="144">
        <v>3</v>
      </c>
      <c r="J35" s="153" t="s">
        <v>285</v>
      </c>
    </row>
    <row r="36" spans="2:10" x14ac:dyDescent="0.25">
      <c r="B36" s="143">
        <v>34</v>
      </c>
      <c r="C36" s="178" t="s">
        <v>221</v>
      </c>
      <c r="D36" s="147">
        <v>4</v>
      </c>
      <c r="E36" s="154" t="s">
        <v>297</v>
      </c>
      <c r="G36" s="143">
        <v>57</v>
      </c>
      <c r="H36" s="144" t="s">
        <v>338</v>
      </c>
      <c r="I36" s="144">
        <v>3</v>
      </c>
      <c r="J36" s="153" t="s">
        <v>285</v>
      </c>
    </row>
    <row r="37" spans="2:10" x14ac:dyDescent="0.25">
      <c r="B37" s="143">
        <v>35</v>
      </c>
      <c r="C37" s="178" t="s">
        <v>360</v>
      </c>
      <c r="D37" s="147">
        <v>4</v>
      </c>
      <c r="E37" s="154" t="s">
        <v>297</v>
      </c>
      <c r="G37" s="143">
        <v>58</v>
      </c>
      <c r="H37" s="144" t="s">
        <v>339</v>
      </c>
      <c r="I37" s="144">
        <v>3</v>
      </c>
      <c r="J37" s="153" t="s">
        <v>285</v>
      </c>
    </row>
    <row r="38" spans="2:10" x14ac:dyDescent="0.25">
      <c r="B38" s="143">
        <v>36</v>
      </c>
      <c r="C38" s="178" t="s">
        <v>226</v>
      </c>
      <c r="D38" s="147">
        <v>4</v>
      </c>
      <c r="E38" s="154" t="s">
        <v>297</v>
      </c>
      <c r="G38" s="143">
        <v>59</v>
      </c>
      <c r="H38" s="144" t="s">
        <v>340</v>
      </c>
      <c r="I38" s="144">
        <v>3</v>
      </c>
      <c r="J38" s="153" t="s">
        <v>285</v>
      </c>
    </row>
    <row r="39" spans="2:10" x14ac:dyDescent="0.25">
      <c r="B39" s="143">
        <v>37</v>
      </c>
      <c r="C39" s="178" t="s">
        <v>361</v>
      </c>
      <c r="D39" s="147">
        <v>4</v>
      </c>
      <c r="E39" s="154" t="s">
        <v>297</v>
      </c>
      <c r="G39" s="143">
        <v>60</v>
      </c>
      <c r="H39" s="144" t="s">
        <v>341</v>
      </c>
      <c r="I39" s="144">
        <v>3</v>
      </c>
      <c r="J39" s="153" t="s">
        <v>285</v>
      </c>
    </row>
    <row r="40" spans="2:10" x14ac:dyDescent="0.25">
      <c r="B40" s="143">
        <v>38</v>
      </c>
      <c r="C40" s="178" t="s">
        <v>362</v>
      </c>
      <c r="D40" s="147">
        <v>4</v>
      </c>
      <c r="E40" s="154" t="s">
        <v>297</v>
      </c>
      <c r="G40" s="143">
        <v>64</v>
      </c>
      <c r="H40" s="144" t="s">
        <v>345</v>
      </c>
      <c r="I40" s="144">
        <v>3</v>
      </c>
      <c r="J40" s="153" t="s">
        <v>285</v>
      </c>
    </row>
    <row r="41" spans="2:10" x14ac:dyDescent="0.25">
      <c r="B41" s="143">
        <v>39</v>
      </c>
      <c r="C41" s="178" t="s">
        <v>364</v>
      </c>
      <c r="D41" s="147">
        <v>4</v>
      </c>
      <c r="E41" s="154" t="s">
        <v>297</v>
      </c>
      <c r="G41" s="143">
        <v>66</v>
      </c>
      <c r="H41" s="144" t="s">
        <v>347</v>
      </c>
      <c r="I41" s="144">
        <v>3</v>
      </c>
      <c r="J41" s="153" t="s">
        <v>285</v>
      </c>
    </row>
    <row r="42" spans="2:10" ht="15.75" thickBot="1" x14ac:dyDescent="0.3">
      <c r="B42" s="163">
        <v>40</v>
      </c>
      <c r="C42" s="179" t="s">
        <v>365</v>
      </c>
      <c r="D42" s="168">
        <v>4</v>
      </c>
      <c r="E42" s="169" t="s">
        <v>297</v>
      </c>
      <c r="G42" s="143">
        <v>68</v>
      </c>
      <c r="H42" s="144" t="s">
        <v>349</v>
      </c>
      <c r="I42" s="144">
        <v>3</v>
      </c>
      <c r="J42" s="153" t="s">
        <v>285</v>
      </c>
    </row>
    <row r="43" spans="2:10" x14ac:dyDescent="0.25">
      <c r="B43" s="141">
        <v>41</v>
      </c>
      <c r="C43" s="170" t="s">
        <v>371</v>
      </c>
      <c r="D43" s="142">
        <v>5</v>
      </c>
      <c r="E43" s="162" t="s">
        <v>297</v>
      </c>
      <c r="G43" s="143">
        <v>69</v>
      </c>
      <c r="H43" s="144" t="s">
        <v>350</v>
      </c>
      <c r="I43" s="144">
        <v>3</v>
      </c>
      <c r="J43" s="153" t="s">
        <v>285</v>
      </c>
    </row>
    <row r="44" spans="2:10" x14ac:dyDescent="0.25">
      <c r="B44" s="143">
        <v>42</v>
      </c>
      <c r="C44" s="171" t="s">
        <v>372</v>
      </c>
      <c r="D44" s="144">
        <v>5</v>
      </c>
      <c r="E44" s="153" t="s">
        <v>297</v>
      </c>
      <c r="G44" s="143">
        <v>75</v>
      </c>
      <c r="H44" s="147" t="s">
        <v>194</v>
      </c>
      <c r="I44" s="147">
        <v>4</v>
      </c>
      <c r="J44" s="154" t="s">
        <v>285</v>
      </c>
    </row>
    <row r="45" spans="2:10" x14ac:dyDescent="0.25">
      <c r="B45" s="143">
        <v>43</v>
      </c>
      <c r="C45" s="171" t="s">
        <v>374</v>
      </c>
      <c r="D45" s="144">
        <v>5</v>
      </c>
      <c r="E45" s="153" t="s">
        <v>297</v>
      </c>
      <c r="G45" s="143">
        <v>76</v>
      </c>
      <c r="H45" s="147" t="s">
        <v>356</v>
      </c>
      <c r="I45" s="147">
        <v>4</v>
      </c>
      <c r="J45" s="154" t="s">
        <v>285</v>
      </c>
    </row>
    <row r="46" spans="2:10" x14ac:dyDescent="0.25">
      <c r="B46" s="143">
        <v>44</v>
      </c>
      <c r="C46" s="171" t="s">
        <v>375</v>
      </c>
      <c r="D46" s="144">
        <v>5</v>
      </c>
      <c r="E46" s="153" t="s">
        <v>297</v>
      </c>
      <c r="G46" s="143">
        <v>77</v>
      </c>
      <c r="H46" s="147" t="s">
        <v>357</v>
      </c>
      <c r="I46" s="147">
        <v>4</v>
      </c>
      <c r="J46" s="154" t="s">
        <v>285</v>
      </c>
    </row>
    <row r="47" spans="2:10" x14ac:dyDescent="0.25">
      <c r="B47" s="143">
        <v>45</v>
      </c>
      <c r="C47" s="171" t="s">
        <v>376</v>
      </c>
      <c r="D47" s="144">
        <v>5</v>
      </c>
      <c r="E47" s="153" t="s">
        <v>297</v>
      </c>
      <c r="G47" s="143">
        <v>78</v>
      </c>
      <c r="H47" s="144" t="s">
        <v>358</v>
      </c>
      <c r="I47" s="144">
        <v>4</v>
      </c>
      <c r="J47" s="153" t="s">
        <v>285</v>
      </c>
    </row>
    <row r="48" spans="2:10" ht="15.75" thickBot="1" x14ac:dyDescent="0.3">
      <c r="B48" s="148">
        <v>46</v>
      </c>
      <c r="C48" s="172" t="s">
        <v>378</v>
      </c>
      <c r="D48" s="149">
        <v>5</v>
      </c>
      <c r="E48" s="155" t="s">
        <v>297</v>
      </c>
      <c r="G48" s="143">
        <v>80</v>
      </c>
      <c r="H48" s="144" t="s">
        <v>359</v>
      </c>
      <c r="I48" s="147">
        <v>4</v>
      </c>
      <c r="J48" s="153" t="s">
        <v>285</v>
      </c>
    </row>
    <row r="49" spans="2:10" x14ac:dyDescent="0.25">
      <c r="B49" s="159">
        <v>47</v>
      </c>
      <c r="C49" s="173" t="s">
        <v>220</v>
      </c>
      <c r="D49" s="160">
        <v>6</v>
      </c>
      <c r="E49" s="161" t="s">
        <v>297</v>
      </c>
      <c r="G49" s="143">
        <v>85</v>
      </c>
      <c r="H49" s="147" t="s">
        <v>363</v>
      </c>
      <c r="I49" s="147">
        <v>4</v>
      </c>
      <c r="J49" s="154" t="s">
        <v>285</v>
      </c>
    </row>
    <row r="50" spans="2:10" x14ac:dyDescent="0.25">
      <c r="B50" s="143">
        <v>48</v>
      </c>
      <c r="C50" s="171" t="s">
        <v>222</v>
      </c>
      <c r="D50" s="144">
        <v>6</v>
      </c>
      <c r="E50" s="153" t="s">
        <v>297</v>
      </c>
      <c r="G50" s="143">
        <v>88</v>
      </c>
      <c r="H50" s="144" t="s">
        <v>366</v>
      </c>
      <c r="I50" s="144">
        <v>5</v>
      </c>
      <c r="J50" s="153" t="s">
        <v>285</v>
      </c>
    </row>
    <row r="51" spans="2:10" x14ac:dyDescent="0.25">
      <c r="B51" s="143">
        <v>49</v>
      </c>
      <c r="C51" s="171" t="s">
        <v>381</v>
      </c>
      <c r="D51" s="144">
        <v>6</v>
      </c>
      <c r="E51" s="153" t="s">
        <v>297</v>
      </c>
      <c r="G51" s="143">
        <v>89</v>
      </c>
      <c r="H51" s="144" t="s">
        <v>367</v>
      </c>
      <c r="I51" s="144">
        <v>5</v>
      </c>
      <c r="J51" s="153" t="s">
        <v>285</v>
      </c>
    </row>
    <row r="52" spans="2:10" x14ac:dyDescent="0.25">
      <c r="B52" s="143">
        <v>50</v>
      </c>
      <c r="C52" s="171" t="s">
        <v>383</v>
      </c>
      <c r="D52" s="144">
        <v>6</v>
      </c>
      <c r="E52" s="153" t="s">
        <v>297</v>
      </c>
      <c r="G52" s="143">
        <v>90</v>
      </c>
      <c r="H52" s="144" t="s">
        <v>368</v>
      </c>
      <c r="I52" s="144">
        <v>5</v>
      </c>
      <c r="J52" s="153" t="s">
        <v>285</v>
      </c>
    </row>
    <row r="53" spans="2:10" x14ac:dyDescent="0.25">
      <c r="B53" s="143">
        <v>51</v>
      </c>
      <c r="C53" s="171" t="s">
        <v>384</v>
      </c>
      <c r="D53" s="144">
        <v>6</v>
      </c>
      <c r="E53" s="153" t="s">
        <v>297</v>
      </c>
      <c r="G53" s="143">
        <v>91</v>
      </c>
      <c r="H53" s="144" t="s">
        <v>369</v>
      </c>
      <c r="I53" s="144">
        <v>5</v>
      </c>
      <c r="J53" s="153" t="s">
        <v>285</v>
      </c>
    </row>
    <row r="54" spans="2:10" x14ac:dyDescent="0.25">
      <c r="B54" s="143">
        <v>52</v>
      </c>
      <c r="C54" s="171" t="s">
        <v>392</v>
      </c>
      <c r="D54" s="144">
        <v>6</v>
      </c>
      <c r="E54" s="153" t="s">
        <v>297</v>
      </c>
      <c r="G54" s="143">
        <v>92</v>
      </c>
      <c r="H54" s="144" t="s">
        <v>370</v>
      </c>
      <c r="I54" s="144">
        <v>5</v>
      </c>
      <c r="J54" s="153" t="s">
        <v>285</v>
      </c>
    </row>
    <row r="55" spans="2:10" x14ac:dyDescent="0.25">
      <c r="B55" s="143">
        <v>53</v>
      </c>
      <c r="C55" s="171" t="s">
        <v>393</v>
      </c>
      <c r="D55" s="144">
        <v>6</v>
      </c>
      <c r="E55" s="153" t="s">
        <v>297</v>
      </c>
      <c r="G55" s="143">
        <v>95</v>
      </c>
      <c r="H55" s="144" t="s">
        <v>373</v>
      </c>
      <c r="I55" s="144">
        <v>5</v>
      </c>
      <c r="J55" s="153" t="s">
        <v>285</v>
      </c>
    </row>
    <row r="56" spans="2:10" x14ac:dyDescent="0.25">
      <c r="B56" s="143">
        <v>54</v>
      </c>
      <c r="C56" s="171" t="s">
        <v>395</v>
      </c>
      <c r="D56" s="144">
        <v>6</v>
      </c>
      <c r="E56" s="153" t="s">
        <v>297</v>
      </c>
      <c r="G56" s="143">
        <v>99</v>
      </c>
      <c r="H56" s="144" t="s">
        <v>377</v>
      </c>
      <c r="I56" s="144">
        <v>5</v>
      </c>
      <c r="J56" s="153" t="s">
        <v>285</v>
      </c>
    </row>
    <row r="57" spans="2:10" x14ac:dyDescent="0.25">
      <c r="B57" s="143">
        <v>55</v>
      </c>
      <c r="C57" s="171" t="s">
        <v>396</v>
      </c>
      <c r="D57" s="144">
        <v>6</v>
      </c>
      <c r="E57" s="153" t="s">
        <v>297</v>
      </c>
      <c r="G57" s="143">
        <v>103</v>
      </c>
      <c r="H57" s="144" t="s">
        <v>379</v>
      </c>
      <c r="I57" s="144">
        <v>6</v>
      </c>
      <c r="J57" s="153" t="s">
        <v>285</v>
      </c>
    </row>
    <row r="58" spans="2:10" x14ac:dyDescent="0.25">
      <c r="B58" s="143">
        <v>56</v>
      </c>
      <c r="C58" s="171" t="s">
        <v>397</v>
      </c>
      <c r="D58" s="144">
        <v>6</v>
      </c>
      <c r="E58" s="153" t="s">
        <v>297</v>
      </c>
      <c r="G58" s="143">
        <v>104</v>
      </c>
      <c r="H58" s="144" t="s">
        <v>380</v>
      </c>
      <c r="I58" s="144">
        <v>6</v>
      </c>
      <c r="J58" s="153" t="s">
        <v>285</v>
      </c>
    </row>
    <row r="59" spans="2:10" x14ac:dyDescent="0.25">
      <c r="B59" s="143">
        <v>57</v>
      </c>
      <c r="C59" s="171" t="s">
        <v>402</v>
      </c>
      <c r="D59" s="144">
        <v>6</v>
      </c>
      <c r="E59" s="153" t="s">
        <v>297</v>
      </c>
      <c r="G59" s="143">
        <v>106</v>
      </c>
      <c r="H59" s="144" t="s">
        <v>382</v>
      </c>
      <c r="I59" s="144">
        <v>6</v>
      </c>
      <c r="J59" s="153" t="s">
        <v>285</v>
      </c>
    </row>
    <row r="60" spans="2:10" x14ac:dyDescent="0.25">
      <c r="B60" s="143">
        <v>58</v>
      </c>
      <c r="C60" s="171" t="s">
        <v>404</v>
      </c>
      <c r="D60" s="144">
        <v>6</v>
      </c>
      <c r="E60" s="153" t="s">
        <v>297</v>
      </c>
      <c r="G60" s="143">
        <v>109</v>
      </c>
      <c r="H60" s="144" t="s">
        <v>385</v>
      </c>
      <c r="I60" s="144">
        <v>6</v>
      </c>
      <c r="J60" s="153" t="s">
        <v>285</v>
      </c>
    </row>
    <row r="61" spans="2:10" ht="15.75" thickBot="1" x14ac:dyDescent="0.3">
      <c r="B61" s="163">
        <v>59</v>
      </c>
      <c r="C61" s="175" t="s">
        <v>406</v>
      </c>
      <c r="D61" s="164">
        <v>6</v>
      </c>
      <c r="E61" s="165" t="s">
        <v>297</v>
      </c>
      <c r="G61" s="143">
        <v>110</v>
      </c>
      <c r="H61" s="144" t="s">
        <v>386</v>
      </c>
      <c r="I61" s="144">
        <v>6</v>
      </c>
      <c r="J61" s="153" t="s">
        <v>285</v>
      </c>
    </row>
    <row r="62" spans="2:10" x14ac:dyDescent="0.25">
      <c r="B62" s="141">
        <v>60</v>
      </c>
      <c r="C62" s="170" t="s">
        <v>412</v>
      </c>
      <c r="D62" s="142">
        <v>7</v>
      </c>
      <c r="E62" s="162" t="s">
        <v>297</v>
      </c>
      <c r="G62" s="143">
        <v>111</v>
      </c>
      <c r="H62" s="144" t="s">
        <v>387</v>
      </c>
      <c r="I62" s="144">
        <v>6</v>
      </c>
      <c r="J62" s="153" t="s">
        <v>285</v>
      </c>
    </row>
    <row r="63" spans="2:10" x14ac:dyDescent="0.25">
      <c r="B63" s="143">
        <v>61</v>
      </c>
      <c r="C63" s="171" t="s">
        <v>200</v>
      </c>
      <c r="D63" s="144">
        <v>7</v>
      </c>
      <c r="E63" s="153" t="s">
        <v>297</v>
      </c>
      <c r="G63" s="143">
        <v>112</v>
      </c>
      <c r="H63" s="144" t="s">
        <v>388</v>
      </c>
      <c r="I63" s="144">
        <v>6</v>
      </c>
      <c r="J63" s="153" t="s">
        <v>285</v>
      </c>
    </row>
    <row r="64" spans="2:10" x14ac:dyDescent="0.25">
      <c r="B64" s="143">
        <v>62</v>
      </c>
      <c r="C64" s="171" t="s">
        <v>414</v>
      </c>
      <c r="D64" s="144">
        <v>7</v>
      </c>
      <c r="E64" s="153" t="s">
        <v>297</v>
      </c>
      <c r="G64" s="143">
        <v>113</v>
      </c>
      <c r="H64" s="144" t="s">
        <v>389</v>
      </c>
      <c r="I64" s="144">
        <v>6</v>
      </c>
      <c r="J64" s="153" t="s">
        <v>285</v>
      </c>
    </row>
    <row r="65" spans="2:10" x14ac:dyDescent="0.25">
      <c r="B65" s="143">
        <v>63</v>
      </c>
      <c r="C65" s="171" t="s">
        <v>416</v>
      </c>
      <c r="D65" s="144">
        <v>7</v>
      </c>
      <c r="E65" s="153" t="s">
        <v>297</v>
      </c>
      <c r="G65" s="143">
        <v>114</v>
      </c>
      <c r="H65" s="144" t="s">
        <v>390</v>
      </c>
      <c r="I65" s="144">
        <v>6</v>
      </c>
      <c r="J65" s="153" t="s">
        <v>285</v>
      </c>
    </row>
    <row r="66" spans="2:10" x14ac:dyDescent="0.25">
      <c r="B66" s="143">
        <v>64</v>
      </c>
      <c r="C66" s="171" t="s">
        <v>418</v>
      </c>
      <c r="D66" s="144">
        <v>7</v>
      </c>
      <c r="E66" s="153" t="s">
        <v>297</v>
      </c>
      <c r="G66" s="143">
        <v>115</v>
      </c>
      <c r="H66" s="144" t="s">
        <v>391</v>
      </c>
      <c r="I66" s="144">
        <v>6</v>
      </c>
      <c r="J66" s="153" t="s">
        <v>285</v>
      </c>
    </row>
    <row r="67" spans="2:10" ht="15.75" thickBot="1" x14ac:dyDescent="0.3">
      <c r="B67" s="148">
        <v>65</v>
      </c>
      <c r="C67" s="172" t="s">
        <v>419</v>
      </c>
      <c r="D67" s="149">
        <v>7</v>
      </c>
      <c r="E67" s="155" t="s">
        <v>297</v>
      </c>
      <c r="G67" s="143">
        <v>118</v>
      </c>
      <c r="H67" s="144" t="s">
        <v>394</v>
      </c>
      <c r="I67" s="144">
        <v>6</v>
      </c>
      <c r="J67" s="153" t="s">
        <v>285</v>
      </c>
    </row>
    <row r="68" spans="2:10" x14ac:dyDescent="0.25">
      <c r="B68" s="159">
        <v>66</v>
      </c>
      <c r="C68" s="177" t="s">
        <v>425</v>
      </c>
      <c r="D68" s="160">
        <v>9</v>
      </c>
      <c r="E68" s="166" t="s">
        <v>297</v>
      </c>
      <c r="G68" s="143">
        <v>122</v>
      </c>
      <c r="H68" s="144" t="s">
        <v>398</v>
      </c>
      <c r="I68" s="144">
        <v>6</v>
      </c>
      <c r="J68" s="153" t="s">
        <v>285</v>
      </c>
    </row>
    <row r="69" spans="2:10" x14ac:dyDescent="0.25">
      <c r="B69" s="143">
        <v>67</v>
      </c>
      <c r="C69" s="178" t="s">
        <v>428</v>
      </c>
      <c r="D69" s="144">
        <v>9</v>
      </c>
      <c r="E69" s="154" t="s">
        <v>297</v>
      </c>
      <c r="G69" s="143">
        <v>123</v>
      </c>
      <c r="H69" s="144" t="s">
        <v>399</v>
      </c>
      <c r="I69" s="144">
        <v>6</v>
      </c>
      <c r="J69" s="153" t="s">
        <v>285</v>
      </c>
    </row>
    <row r="70" spans="2:10" x14ac:dyDescent="0.25">
      <c r="B70" s="143">
        <v>68</v>
      </c>
      <c r="C70" s="178" t="s">
        <v>429</v>
      </c>
      <c r="D70" s="144">
        <v>9</v>
      </c>
      <c r="E70" s="154" t="s">
        <v>297</v>
      </c>
      <c r="G70" s="143">
        <v>124</v>
      </c>
      <c r="H70" s="144" t="s">
        <v>400</v>
      </c>
      <c r="I70" s="144">
        <v>6</v>
      </c>
      <c r="J70" s="153" t="s">
        <v>285</v>
      </c>
    </row>
    <row r="71" spans="2:10" x14ac:dyDescent="0.25">
      <c r="B71" s="143">
        <v>69</v>
      </c>
      <c r="C71" s="178" t="s">
        <v>430</v>
      </c>
      <c r="D71" s="144">
        <v>9</v>
      </c>
      <c r="E71" s="154" t="s">
        <v>297</v>
      </c>
      <c r="G71" s="143">
        <v>125</v>
      </c>
      <c r="H71" s="144" t="s">
        <v>401</v>
      </c>
      <c r="I71" s="144">
        <v>6</v>
      </c>
      <c r="J71" s="153" t="s">
        <v>285</v>
      </c>
    </row>
    <row r="72" spans="2:10" x14ac:dyDescent="0.25">
      <c r="B72" s="143">
        <v>70</v>
      </c>
      <c r="C72" s="178" t="s">
        <v>232</v>
      </c>
      <c r="D72" s="144">
        <v>9</v>
      </c>
      <c r="E72" s="154" t="s">
        <v>297</v>
      </c>
      <c r="G72" s="143">
        <v>127</v>
      </c>
      <c r="H72" s="144" t="s">
        <v>403</v>
      </c>
      <c r="I72" s="144">
        <v>6</v>
      </c>
      <c r="J72" s="153" t="s">
        <v>285</v>
      </c>
    </row>
    <row r="73" spans="2:10" x14ac:dyDescent="0.25">
      <c r="B73" s="143">
        <v>71</v>
      </c>
      <c r="C73" s="178" t="s">
        <v>431</v>
      </c>
      <c r="D73" s="144">
        <v>9</v>
      </c>
      <c r="E73" s="154" t="s">
        <v>297</v>
      </c>
      <c r="G73" s="143">
        <v>129</v>
      </c>
      <c r="H73" s="144" t="s">
        <v>405</v>
      </c>
      <c r="I73" s="144">
        <v>6</v>
      </c>
      <c r="J73" s="153" t="s">
        <v>285</v>
      </c>
    </row>
    <row r="74" spans="2:10" x14ac:dyDescent="0.25">
      <c r="B74" s="143">
        <v>72</v>
      </c>
      <c r="C74" s="171" t="s">
        <v>432</v>
      </c>
      <c r="D74" s="144">
        <v>10</v>
      </c>
      <c r="E74" s="153" t="s">
        <v>297</v>
      </c>
      <c r="G74" s="143">
        <v>131</v>
      </c>
      <c r="H74" s="144" t="s">
        <v>407</v>
      </c>
      <c r="I74" s="144">
        <v>7</v>
      </c>
      <c r="J74" s="153" t="s">
        <v>285</v>
      </c>
    </row>
    <row r="75" spans="2:10" ht="15.75" thickBot="1" x14ac:dyDescent="0.3">
      <c r="B75" s="163">
        <v>73</v>
      </c>
      <c r="C75" s="175" t="s">
        <v>433</v>
      </c>
      <c r="D75" s="164">
        <v>10</v>
      </c>
      <c r="E75" s="165" t="s">
        <v>297</v>
      </c>
      <c r="G75" s="143">
        <v>132</v>
      </c>
      <c r="H75" s="144" t="s">
        <v>408</v>
      </c>
      <c r="I75" s="144">
        <v>7</v>
      </c>
      <c r="J75" s="153" t="s">
        <v>285</v>
      </c>
    </row>
    <row r="76" spans="2:10" x14ac:dyDescent="0.25">
      <c r="B76" s="141">
        <v>74</v>
      </c>
      <c r="C76" s="170" t="s">
        <v>197</v>
      </c>
      <c r="D76" s="142">
        <v>11</v>
      </c>
      <c r="E76" s="162" t="s">
        <v>297</v>
      </c>
      <c r="G76" s="143">
        <v>133</v>
      </c>
      <c r="H76" s="144" t="s">
        <v>409</v>
      </c>
      <c r="I76" s="144">
        <v>7</v>
      </c>
      <c r="J76" s="153" t="s">
        <v>285</v>
      </c>
    </row>
    <row r="77" spans="2:10" x14ac:dyDescent="0.25">
      <c r="B77" s="143">
        <v>75</v>
      </c>
      <c r="C77" s="178" t="s">
        <v>445</v>
      </c>
      <c r="D77" s="144">
        <v>11</v>
      </c>
      <c r="E77" s="154" t="s">
        <v>297</v>
      </c>
      <c r="G77" s="143">
        <v>134</v>
      </c>
      <c r="H77" s="144" t="s">
        <v>410</v>
      </c>
      <c r="I77" s="144">
        <v>7</v>
      </c>
      <c r="J77" s="153" t="s">
        <v>285</v>
      </c>
    </row>
    <row r="78" spans="2:10" x14ac:dyDescent="0.25">
      <c r="B78" s="143">
        <v>76</v>
      </c>
      <c r="C78" s="171" t="s">
        <v>447</v>
      </c>
      <c r="D78" s="144">
        <v>11</v>
      </c>
      <c r="E78" s="153" t="s">
        <v>297</v>
      </c>
      <c r="G78" s="143">
        <v>135</v>
      </c>
      <c r="H78" s="144" t="s">
        <v>411</v>
      </c>
      <c r="I78" s="144">
        <v>7</v>
      </c>
      <c r="J78" s="153" t="s">
        <v>285</v>
      </c>
    </row>
    <row r="79" spans="2:10" x14ac:dyDescent="0.25">
      <c r="B79" s="143">
        <v>77</v>
      </c>
      <c r="C79" s="171" t="s">
        <v>225</v>
      </c>
      <c r="D79" s="144">
        <v>11</v>
      </c>
      <c r="E79" s="153" t="s">
        <v>297</v>
      </c>
      <c r="G79" s="143">
        <v>137</v>
      </c>
      <c r="H79" s="144" t="s">
        <v>413</v>
      </c>
      <c r="I79" s="144">
        <v>7</v>
      </c>
      <c r="J79" s="153" t="s">
        <v>285</v>
      </c>
    </row>
    <row r="80" spans="2:10" x14ac:dyDescent="0.25">
      <c r="B80" s="143">
        <v>78</v>
      </c>
      <c r="C80" s="171" t="s">
        <v>449</v>
      </c>
      <c r="D80" s="144">
        <v>11</v>
      </c>
      <c r="E80" s="153" t="s">
        <v>297</v>
      </c>
      <c r="G80" s="143">
        <v>140</v>
      </c>
      <c r="H80" s="144" t="s">
        <v>415</v>
      </c>
      <c r="I80" s="144">
        <v>7</v>
      </c>
      <c r="J80" s="153" t="s">
        <v>285</v>
      </c>
    </row>
    <row r="81" spans="2:10" x14ac:dyDescent="0.25">
      <c r="B81" s="143">
        <v>79</v>
      </c>
      <c r="C81" s="171" t="s">
        <v>196</v>
      </c>
      <c r="D81" s="144">
        <v>11</v>
      </c>
      <c r="E81" s="153" t="s">
        <v>297</v>
      </c>
      <c r="G81" s="143">
        <v>142</v>
      </c>
      <c r="H81" s="144" t="s">
        <v>417</v>
      </c>
      <c r="I81" s="144">
        <v>7</v>
      </c>
      <c r="J81" s="153" t="s">
        <v>285</v>
      </c>
    </row>
    <row r="82" spans="2:10" ht="15.75" thickBot="1" x14ac:dyDescent="0.3">
      <c r="B82" s="148">
        <v>80</v>
      </c>
      <c r="C82" s="172" t="s">
        <v>450</v>
      </c>
      <c r="D82" s="149">
        <v>11</v>
      </c>
      <c r="E82" s="155" t="s">
        <v>297</v>
      </c>
      <c r="G82" s="143">
        <v>145</v>
      </c>
      <c r="H82" s="144" t="s">
        <v>420</v>
      </c>
      <c r="I82" s="144">
        <v>7</v>
      </c>
      <c r="J82" s="153" t="s">
        <v>285</v>
      </c>
    </row>
    <row r="83" spans="2:10" x14ac:dyDescent="0.25">
      <c r="G83" s="143">
        <v>146</v>
      </c>
      <c r="H83" s="144" t="s">
        <v>421</v>
      </c>
      <c r="I83" s="144">
        <v>8</v>
      </c>
      <c r="J83" s="153" t="s">
        <v>285</v>
      </c>
    </row>
    <row r="84" spans="2:10" x14ac:dyDescent="0.25">
      <c r="G84" s="143">
        <v>147</v>
      </c>
      <c r="H84" s="147" t="s">
        <v>422</v>
      </c>
      <c r="I84" s="144">
        <v>9</v>
      </c>
      <c r="J84" s="154" t="s">
        <v>285</v>
      </c>
    </row>
    <row r="85" spans="2:10" x14ac:dyDescent="0.25">
      <c r="G85" s="143">
        <v>148</v>
      </c>
      <c r="H85" s="144" t="s">
        <v>423</v>
      </c>
      <c r="I85" s="144">
        <v>9</v>
      </c>
      <c r="J85" s="153" t="s">
        <v>285</v>
      </c>
    </row>
    <row r="86" spans="2:10" x14ac:dyDescent="0.25">
      <c r="G86" s="143">
        <v>149</v>
      </c>
      <c r="H86" s="147" t="s">
        <v>424</v>
      </c>
      <c r="I86" s="144">
        <v>9</v>
      </c>
      <c r="J86" s="154" t="s">
        <v>285</v>
      </c>
    </row>
    <row r="87" spans="2:10" x14ac:dyDescent="0.25">
      <c r="G87" s="143">
        <v>151</v>
      </c>
      <c r="H87" s="147" t="s">
        <v>426</v>
      </c>
      <c r="I87" s="144">
        <v>9</v>
      </c>
      <c r="J87" s="154" t="s">
        <v>285</v>
      </c>
    </row>
    <row r="88" spans="2:10" x14ac:dyDescent="0.25">
      <c r="G88" s="143">
        <v>152</v>
      </c>
      <c r="H88" s="147" t="s">
        <v>427</v>
      </c>
      <c r="I88" s="144">
        <v>9</v>
      </c>
      <c r="J88" s="154" t="s">
        <v>285</v>
      </c>
    </row>
    <row r="89" spans="2:10" x14ac:dyDescent="0.25">
      <c r="G89" s="143">
        <v>154</v>
      </c>
      <c r="H89" s="147" t="s">
        <v>193</v>
      </c>
      <c r="I89" s="144">
        <v>9</v>
      </c>
      <c r="J89" s="154" t="s">
        <v>285</v>
      </c>
    </row>
    <row r="90" spans="2:10" x14ac:dyDescent="0.25">
      <c r="G90" s="143">
        <v>161</v>
      </c>
      <c r="H90" s="144" t="s">
        <v>434</v>
      </c>
      <c r="I90" s="144">
        <v>11</v>
      </c>
      <c r="J90" s="153" t="s">
        <v>285</v>
      </c>
    </row>
    <row r="91" spans="2:10" x14ac:dyDescent="0.25">
      <c r="G91" s="143">
        <v>162</v>
      </c>
      <c r="H91" s="144" t="s">
        <v>435</v>
      </c>
      <c r="I91" s="144">
        <v>11</v>
      </c>
      <c r="J91" s="153" t="s">
        <v>285</v>
      </c>
    </row>
    <row r="92" spans="2:10" x14ac:dyDescent="0.25">
      <c r="G92" s="143">
        <v>163</v>
      </c>
      <c r="H92" s="144" t="s">
        <v>436</v>
      </c>
      <c r="I92" s="144">
        <v>11</v>
      </c>
      <c r="J92" s="153" t="s">
        <v>285</v>
      </c>
    </row>
    <row r="93" spans="2:10" x14ac:dyDescent="0.25">
      <c r="G93" s="143">
        <v>164</v>
      </c>
      <c r="H93" s="144" t="s">
        <v>437</v>
      </c>
      <c r="I93" s="144">
        <v>11</v>
      </c>
      <c r="J93" s="153" t="s">
        <v>285</v>
      </c>
    </row>
    <row r="94" spans="2:10" x14ac:dyDescent="0.25">
      <c r="G94" s="143">
        <v>165</v>
      </c>
      <c r="H94" s="144" t="s">
        <v>438</v>
      </c>
      <c r="I94" s="144">
        <v>11</v>
      </c>
      <c r="J94" s="153" t="s">
        <v>285</v>
      </c>
    </row>
    <row r="95" spans="2:10" x14ac:dyDescent="0.25">
      <c r="G95" s="143">
        <v>166</v>
      </c>
      <c r="H95" s="144" t="s">
        <v>439</v>
      </c>
      <c r="I95" s="144">
        <v>11</v>
      </c>
      <c r="J95" s="153" t="s">
        <v>285</v>
      </c>
    </row>
    <row r="96" spans="2:10" x14ac:dyDescent="0.25">
      <c r="G96" s="143">
        <v>167</v>
      </c>
      <c r="H96" s="144" t="s">
        <v>440</v>
      </c>
      <c r="I96" s="144">
        <v>11</v>
      </c>
      <c r="J96" s="153" t="s">
        <v>285</v>
      </c>
    </row>
    <row r="97" spans="7:10" x14ac:dyDescent="0.25">
      <c r="G97" s="143">
        <v>168</v>
      </c>
      <c r="H97" s="144" t="s">
        <v>441</v>
      </c>
      <c r="I97" s="144">
        <v>11</v>
      </c>
      <c r="J97" s="153" t="s">
        <v>285</v>
      </c>
    </row>
    <row r="98" spans="7:10" x14ac:dyDescent="0.25">
      <c r="G98" s="143">
        <v>169</v>
      </c>
      <c r="H98" s="144" t="s">
        <v>442</v>
      </c>
      <c r="I98" s="144">
        <v>11</v>
      </c>
      <c r="J98" s="153" t="s">
        <v>285</v>
      </c>
    </row>
    <row r="99" spans="7:10" x14ac:dyDescent="0.25">
      <c r="G99" s="143">
        <v>170</v>
      </c>
      <c r="H99" s="144" t="s">
        <v>443</v>
      </c>
      <c r="I99" s="144">
        <v>11</v>
      </c>
      <c r="J99" s="153" t="s">
        <v>285</v>
      </c>
    </row>
    <row r="100" spans="7:10" x14ac:dyDescent="0.25">
      <c r="G100" s="143">
        <v>172</v>
      </c>
      <c r="H100" s="144" t="s">
        <v>444</v>
      </c>
      <c r="I100" s="144">
        <v>11</v>
      </c>
      <c r="J100" s="153" t="s">
        <v>285</v>
      </c>
    </row>
    <row r="101" spans="7:10" x14ac:dyDescent="0.25">
      <c r="G101" s="143">
        <v>174</v>
      </c>
      <c r="H101" s="144" t="s">
        <v>446</v>
      </c>
      <c r="I101" s="144">
        <v>11</v>
      </c>
      <c r="J101" s="153" t="s">
        <v>285</v>
      </c>
    </row>
    <row r="102" spans="7:10" x14ac:dyDescent="0.25">
      <c r="G102" s="143">
        <v>177</v>
      </c>
      <c r="H102" s="144" t="s">
        <v>448</v>
      </c>
      <c r="I102" s="144">
        <v>11</v>
      </c>
      <c r="J102" s="153" t="s">
        <v>285</v>
      </c>
    </row>
  </sheetData>
  <conditionalFormatting sqref="C22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Rack 1</vt:lpstr>
      <vt:lpstr>Rack 4 &amp; 5</vt:lpstr>
      <vt:lpstr>Color Code</vt:lpstr>
      <vt:lpstr>Rack 6</vt:lpstr>
      <vt:lpstr>Mux</vt:lpstr>
      <vt:lpstr>Channel list</vt:lpstr>
    </vt:vector>
  </TitlesOfParts>
  <Company>Bharti Airtel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Janardhana T S</dc:creator>
  <cp:lastModifiedBy>Janardhan</cp:lastModifiedBy>
  <cp:lastPrinted>2015-03-29T13:24:43Z</cp:lastPrinted>
  <dcterms:created xsi:type="dcterms:W3CDTF">2015-03-26T09:32:36Z</dcterms:created>
  <dcterms:modified xsi:type="dcterms:W3CDTF">2015-07-06T06:11:25Z</dcterms:modified>
</cp:coreProperties>
</file>