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66545\Desktop\"/>
    </mc:Choice>
  </mc:AlternateContent>
  <bookViews>
    <workbookView xWindow="0" yWindow="105" windowWidth="15180" windowHeight="4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Sheet1!$A$10:$H$451</definedName>
  </definedNames>
  <calcPr calcId="152511"/>
</workbook>
</file>

<file path=xl/calcChain.xml><?xml version="1.0" encoding="utf-8"?>
<calcChain xmlns="http://schemas.openxmlformats.org/spreadsheetml/2006/main">
  <c r="D10" i="2" l="1"/>
  <c r="D8" i="2"/>
  <c r="C4" i="1"/>
  <c r="N3" i="1"/>
  <c r="M3" i="1"/>
  <c r="L3" i="1"/>
  <c r="J3" i="1"/>
  <c r="I3" i="1"/>
  <c r="K3" i="1"/>
  <c r="H3" i="1"/>
  <c r="G3" i="1"/>
  <c r="F3" i="1"/>
  <c r="E3" i="1"/>
  <c r="D3" i="1"/>
  <c r="C3" i="1"/>
  <c r="O3" i="1" l="1"/>
  <c r="C5" i="1" s="1"/>
</calcChain>
</file>

<file path=xl/sharedStrings.xml><?xml version="1.0" encoding="utf-8"?>
<sst xmlns="http://schemas.openxmlformats.org/spreadsheetml/2006/main" count="797" uniqueCount="468">
  <si>
    <t>Channel Name</t>
  </si>
  <si>
    <t>LCN</t>
  </si>
  <si>
    <t>TS</t>
  </si>
  <si>
    <t>&amp; Picture HD</t>
  </si>
  <si>
    <t>&amp;PICTURES</t>
  </si>
  <si>
    <t>&amp;TV</t>
  </si>
  <si>
    <t>&amp;TV HD</t>
  </si>
  <si>
    <t>10 TV</t>
  </si>
  <si>
    <t>24 GHANTA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</si>
  <si>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</si>
  <si>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</si>
  <si>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</si>
  <si>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</si>
  <si>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</si>
  <si>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</si>
  <si>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</si>
  <si>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</si>
  <si>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</si>
  <si>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</si>
  <si>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</si>
  <si>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</si>
  <si>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</si>
  <si>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Airtel HD Movies 1</t>
  </si>
  <si>
    <t>Airtel HD Movies 2</t>
  </si>
  <si>
    <t>AIRTEL HOME</t>
  </si>
  <si>
    <t>Airtel Movies 1</t>
  </si>
  <si>
    <t>Airtel Movies 2</t>
  </si>
  <si>
    <t>Airtel Offers</t>
  </si>
  <si>
    <t>ALJAZEERA</t>
  </si>
  <si>
    <t>AMRITA TV</t>
  </si>
  <si>
    <t>ANGEL TV</t>
  </si>
  <si>
    <t>ANIMAL PLANET</t>
  </si>
  <si>
    <t>ARIHANT TV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</si>
  <si>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</si>
  <si>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</si>
  <si>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</si>
  <si>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</si>
  <si>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</si>
  <si>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</si>
  <si>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</si>
  <si>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</si>
  <si>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</si>
  <si>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</si>
  <si>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</si>
  <si>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</si>
  <si>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</si>
  <si>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BHOJPURI CINEMA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</si>
  <si>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</si>
  <si>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</si>
  <si>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</si>
  <si>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</si>
  <si>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</si>
  <si>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</si>
  <si>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</si>
  <si>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</si>
  <si>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</si>
  <si>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</si>
  <si>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Chintu TV</t>
  </si>
  <si>
    <t>CHUTTI TV</t>
  </si>
  <si>
    <t>CINEMA TV</t>
  </si>
  <si>
    <t>CNBC AWAAZ</t>
  </si>
  <si>
    <t>CNBC BAJAR</t>
  </si>
  <si>
    <t>CNBC TV18</t>
  </si>
  <si>
    <t>CNN</t>
  </si>
  <si>
    <t>CNN NEWS 18</t>
  </si>
  <si>
    <t>COLORS</t>
  </si>
  <si>
    <t>COLORS BANGLA</t>
  </si>
  <si>
    <t>COLORS GUJARATI</t>
  </si>
  <si>
    <t>COLORS HD</t>
  </si>
  <si>
    <t>COLORS INFINITY</t>
  </si>
  <si>
    <t>COLORS INFINITY HD</t>
  </si>
  <si>
    <t>COLORS KANNADA</t>
  </si>
  <si>
    <t>COLORS MARATHI</t>
  </si>
  <si>
    <t>COLORS ORIYA</t>
  </si>
  <si>
    <t>COMEDY CENTRAL</t>
  </si>
  <si>
    <t>CUSTOMER CARE</t>
  </si>
  <si>
    <t>Dabangg</t>
  </si>
  <si>
    <t>DANGAL</t>
  </si>
  <si>
    <t>DD BANGLA</t>
  </si>
  <si>
    <t>DD BHARTI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</si>
  <si>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</si>
  <si>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</si>
  <si>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</si>
  <si>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</si>
  <si>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</si>
  <si>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</si>
  <si>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</si>
  <si>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 RLSS</t>
  </si>
  <si>
    <t>DD NATIONAL</t>
  </si>
  <si>
    <t>DD NE</t>
  </si>
  <si>
    <t>DD NEWS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</si>
  <si>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</si>
  <si>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</si>
  <si>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</si>
  <si>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</si>
  <si>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</si>
  <si>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</si>
  <si>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</si>
  <si>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URDU</t>
  </si>
  <si>
    <t>DD Uttar Pradesh</t>
  </si>
  <si>
    <t>DD Yadagiri</t>
  </si>
  <si>
    <t>Dhoom Music</t>
  </si>
  <si>
    <t>DISCOVERY CHANNEL</t>
  </si>
  <si>
    <t>DISCOVERY HD World</t>
  </si>
  <si>
    <t>DISCOVERY KIDS</t>
  </si>
  <si>
    <t>DISCOVERY SCIENCE</t>
  </si>
  <si>
    <t>DISCOVERY TAMIL</t>
  </si>
  <si>
    <t xml:space="preserve">DISCOVERY TURBO </t>
  </si>
  <si>
    <t>DISHA TV</t>
  </si>
  <si>
    <t>DISNEY CHANNEL</t>
  </si>
  <si>
    <t>DISNEY JUNIOR</t>
  </si>
  <si>
    <t>DISNEY XD</t>
  </si>
  <si>
    <t>DIVYA TV</t>
  </si>
  <si>
    <t>DW TV</t>
  </si>
  <si>
    <t>DY 365</t>
  </si>
  <si>
    <t>E 24</t>
  </si>
  <si>
    <t>EENADU TV</t>
  </si>
  <si>
    <t>Enter 10</t>
  </si>
  <si>
    <t>EPIC</t>
  </si>
  <si>
    <t>ET NOW</t>
  </si>
  <si>
    <t>ETC Bollywood</t>
  </si>
  <si>
    <t>ETV Andhra Pradesh</t>
  </si>
  <si>
    <t>ETV BIHAR/Jharkhand</t>
  </si>
  <si>
    <t>ETV CINEMA</t>
  </si>
  <si>
    <t>ETV HP/HARYANA</t>
  </si>
  <si>
    <t>ETV MADHYA PRADESH</t>
  </si>
  <si>
    <t>ETV NEWS BANGLA</t>
  </si>
  <si>
    <t>ETV NEWS GUJRATI</t>
  </si>
  <si>
    <t>ETV News Kannada</t>
  </si>
  <si>
    <t>ETV NEWS Oriya</t>
  </si>
  <si>
    <t>ETV PLUS</t>
  </si>
  <si>
    <t>ETV RAJASTHAN</t>
  </si>
  <si>
    <t xml:space="preserve">ETV TELNGNA </t>
  </si>
  <si>
    <t>ETV URDU</t>
  </si>
  <si>
    <t>ETV UTTAR PRADESH</t>
  </si>
  <si>
    <t>Fakt Marathi(Aapla Talkies)</t>
  </si>
  <si>
    <t>Flowers TV</t>
  </si>
  <si>
    <t>FOOD FOOD-Sanjeev Kapoor</t>
  </si>
  <si>
    <t>FOX Life HD</t>
  </si>
  <si>
    <t>FOX TRAVELLER/FOX LIFE</t>
  </si>
  <si>
    <t>FTV</t>
  </si>
  <si>
    <t>FX</t>
  </si>
  <si>
    <t>FX HD</t>
  </si>
  <si>
    <t>GEMINI  TV</t>
  </si>
  <si>
    <t>GEMINI  TV HD</t>
  </si>
  <si>
    <t>GEMINI COMEDY</t>
  </si>
  <si>
    <t>Gemini Life</t>
  </si>
  <si>
    <t>GEMINI MOVIES</t>
  </si>
  <si>
    <t>GEMINI MUSIC</t>
  </si>
  <si>
    <t>GEMINI NEWS</t>
  </si>
  <si>
    <t>GOD TV</t>
  </si>
  <si>
    <t>GOODNESS TV</t>
  </si>
  <si>
    <t>GUJRATI HOME</t>
  </si>
  <si>
    <t>HBO</t>
  </si>
  <si>
    <t>HBO Hits HD-Ad free</t>
  </si>
  <si>
    <t>HBO HITS-AD FREE</t>
  </si>
  <si>
    <t>HISTORY TV18</t>
  </si>
  <si>
    <t>HISTORY TV18 HD</t>
  </si>
  <si>
    <t>HOME CHANNEL</t>
  </si>
  <si>
    <t xml:space="preserve">HOMESHOP 18        </t>
  </si>
  <si>
    <t>HOUSEFULL Movies</t>
  </si>
  <si>
    <t>HUNGAMA TV</t>
  </si>
  <si>
    <t>IBC 24</t>
  </si>
  <si>
    <t>IBN 7</t>
  </si>
  <si>
    <t>IBN LOKMAT</t>
  </si>
  <si>
    <t>ID</t>
  </si>
  <si>
    <t>iDevotion</t>
  </si>
  <si>
    <t>Ikidsworld</t>
  </si>
  <si>
    <t>iKIDSWORLD APP &amp; LCN</t>
  </si>
  <si>
    <t xml:space="preserve">iMUSICSPACE </t>
  </si>
  <si>
    <t>INDIA 24*7</t>
  </si>
  <si>
    <t>INDIA NEWS</t>
  </si>
  <si>
    <t>INDIA TODAY</t>
  </si>
  <si>
    <t>INDIA TV</t>
  </si>
  <si>
    <t>INDIA VOICE</t>
  </si>
  <si>
    <t>Isaiaruvi</t>
  </si>
  <si>
    <t>J Movies</t>
  </si>
  <si>
    <t>JAIHIND</t>
  </si>
  <si>
    <t>JALSHA MOVIES</t>
  </si>
  <si>
    <t>JALSHA MOVIES HD</t>
  </si>
  <si>
    <t>JANATAA NEWS</t>
  </si>
  <si>
    <t>JAYA MAX</t>
  </si>
  <si>
    <t>JAYA PLUS</t>
  </si>
  <si>
    <t>JAYA TV</t>
  </si>
  <si>
    <t xml:space="preserve">JINVANI </t>
  </si>
  <si>
    <t>KAIRALI TV</t>
  </si>
  <si>
    <t>KAIRALI WE</t>
  </si>
  <si>
    <t>KALAIGNAR</t>
  </si>
  <si>
    <t>KALINGA TV</t>
  </si>
  <si>
    <t>Kalki TV</t>
  </si>
  <si>
    <t>KANAK TV</t>
  </si>
  <si>
    <t>KANNADA HOME</t>
  </si>
  <si>
    <t>KAPPA TV</t>
  </si>
  <si>
    <t>KASTURI</t>
  </si>
  <si>
    <t>KIRAN TV</t>
  </si>
  <si>
    <t>KOCHU TV</t>
  </si>
  <si>
    <t>Kolkata TV</t>
  </si>
  <si>
    <t>KTV</t>
  </si>
  <si>
    <t>Kushi TV</t>
  </si>
  <si>
    <t>LIFE OK</t>
  </si>
  <si>
    <t>LIFE OK HD</t>
  </si>
  <si>
    <t>LIVING FOODZ</t>
  </si>
  <si>
    <t>Loksabha TV</t>
  </si>
  <si>
    <t>M TUNES HD</t>
  </si>
  <si>
    <t>MAA GOLD</t>
  </si>
  <si>
    <t>MAA MOVIES</t>
  </si>
  <si>
    <t>MAA MUSIC</t>
  </si>
  <si>
    <t>MAA TV</t>
  </si>
  <si>
    <t>Magic Bricks</t>
  </si>
  <si>
    <t>MAHUAA TV</t>
  </si>
  <si>
    <t>Maiboli</t>
  </si>
  <si>
    <t>MAKKAL TV</t>
  </si>
  <si>
    <t>MALAYALAM HOME</t>
  </si>
  <si>
    <t>MANORAMA NEWS</t>
  </si>
  <si>
    <t>MARATHI HOME</t>
  </si>
  <si>
    <t>MASTIII</t>
  </si>
  <si>
    <t>MATHRUBHUMI NEWS</t>
  </si>
  <si>
    <t>MAZHVIL MANORAMA</t>
  </si>
  <si>
    <t>MAZHVIL MANORAMA HD</t>
  </si>
  <si>
    <t>MBC TV</t>
  </si>
  <si>
    <t>MECCA MADINA 24X7</t>
  </si>
  <si>
    <t>MEDIA ONE</t>
  </si>
  <si>
    <t>Mega TV</t>
  </si>
  <si>
    <t>MH ONE</t>
  </si>
  <si>
    <t>MH One SHRADDHA</t>
  </si>
  <si>
    <t>MI MARATHI</t>
  </si>
  <si>
    <t>MINIPLEX</t>
  </si>
  <si>
    <t>MINIPLEX HD</t>
  </si>
  <si>
    <t>MN+ HD</t>
  </si>
  <si>
    <t>MOVIES NOW</t>
  </si>
  <si>
    <t>Movies Now HD</t>
  </si>
  <si>
    <t>MOVIES OK</t>
  </si>
  <si>
    <t>MTV</t>
  </si>
  <si>
    <t>MTV Indies</t>
  </si>
  <si>
    <t>MULTIPLEX</t>
  </si>
  <si>
    <t>Murasu</t>
  </si>
  <si>
    <t>Music Fatafati</t>
  </si>
  <si>
    <t>MUSIC INDIA</t>
  </si>
  <si>
    <t>Naaptol(Blue)</t>
  </si>
  <si>
    <t>NAT GEO People</t>
  </si>
  <si>
    <t>Nat Geo Wild</t>
  </si>
  <si>
    <t>National Geograhic</t>
  </si>
  <si>
    <t>NATIONAL GEOGRAPHIC  HD</t>
  </si>
  <si>
    <t>NDTV 24X7</t>
  </si>
  <si>
    <t>NDTV GOOD TIMES</t>
  </si>
  <si>
    <t>NDTV INDIA</t>
  </si>
  <si>
    <t>NDTV Profit/Prime</t>
  </si>
  <si>
    <t>NEO PRIME</t>
  </si>
  <si>
    <t>NEO SPORTS</t>
  </si>
  <si>
    <t>NEPAL 1</t>
  </si>
  <si>
    <t>NEWS 24</t>
  </si>
  <si>
    <t>News 7 Tamil</t>
  </si>
  <si>
    <t>NEWS LIVE</t>
  </si>
  <si>
    <t>NEWS NATION</t>
  </si>
  <si>
    <t>NEWS TIME BANGLA</t>
  </si>
  <si>
    <t>NEWS WORLD INDIA</t>
  </si>
  <si>
    <t>NEWS X</t>
  </si>
  <si>
    <t>NICK</t>
  </si>
  <si>
    <t>NICK HD+</t>
  </si>
  <si>
    <t>NICK Jr./Teen Nick</t>
  </si>
  <si>
    <t>NTV</t>
  </si>
  <si>
    <t>OFFER 4U</t>
  </si>
  <si>
    <t>Onkar ONLY TRUTH</t>
  </si>
  <si>
    <t>OSCAR MOVIES</t>
  </si>
  <si>
    <t>OTV</t>
  </si>
  <si>
    <t>PARAS</t>
  </si>
  <si>
    <t>Peace of Mind</t>
  </si>
  <si>
    <t>POGO</t>
  </si>
  <si>
    <t>POLIMER</t>
  </si>
  <si>
    <t>Polimer News</t>
  </si>
  <si>
    <t>PRAG NEWS</t>
  </si>
  <si>
    <t>PRAMEYA NEWS 7</t>
  </si>
  <si>
    <t>PRARTHANA TV</t>
  </si>
  <si>
    <t>Prarthna Bhawan</t>
  </si>
  <si>
    <t>PROTIDIN TIME</t>
  </si>
  <si>
    <t>PTC CHAK DE</t>
  </si>
  <si>
    <t>PTC NEWS</t>
  </si>
  <si>
    <t>PTC PUNJABI</t>
  </si>
  <si>
    <t>PUBLIC TV</t>
  </si>
  <si>
    <t>PUTHIYA THALAIMURAI</t>
  </si>
  <si>
    <t>Puthu Yugam</t>
  </si>
  <si>
    <t>RAJ DIGITAL PLUS</t>
  </si>
  <si>
    <t>RAJ MUSIC KANNADA</t>
  </si>
  <si>
    <t>RAJ TV</t>
  </si>
  <si>
    <t>RAJYASABHA</t>
  </si>
  <si>
    <t>RAMDHENU</t>
  </si>
  <si>
    <t>RANG</t>
  </si>
  <si>
    <t>RENGONI</t>
  </si>
  <si>
    <t>Reporter TV</t>
  </si>
  <si>
    <t xml:space="preserve">Retailer demo </t>
  </si>
  <si>
    <t>Rishtey Cineplex</t>
  </si>
  <si>
    <t>RISTEY</t>
  </si>
  <si>
    <t>ROMEDY NOW</t>
  </si>
  <si>
    <t>Romedy Now HD</t>
  </si>
  <si>
    <t>RT MOVIES</t>
  </si>
  <si>
    <t>RUPASI BANGLA</t>
  </si>
  <si>
    <t>RUSSIA TODAY</t>
  </si>
  <si>
    <t>SAAM TV</t>
  </si>
  <si>
    <t>SAB TV</t>
  </si>
  <si>
    <t>SADABAHAR HITZ</t>
  </si>
  <si>
    <t>SADHNA PRIME NEWS</t>
  </si>
  <si>
    <t>SADHNA TV</t>
  </si>
  <si>
    <t>SAHARA FILMY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</si>
  <si>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</si>
  <si>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</si>
  <si>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</si>
  <si>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</si>
  <si>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</si>
  <si>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</si>
  <si>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</si>
  <si>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</si>
  <si>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</si>
  <si>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SEITHIGAL</t>
  </si>
  <si>
    <t>SHALOM TV</t>
  </si>
  <si>
    <t>SHOP DIRECT TV</t>
  </si>
  <si>
    <t>SHOPE CJ ALIVE</t>
  </si>
  <si>
    <t>SIRIPPOLI</t>
  </si>
  <si>
    <t>SONIC</t>
  </si>
  <si>
    <t>SONY</t>
  </si>
  <si>
    <t>SONY AATH</t>
  </si>
  <si>
    <t>SONY ESPN</t>
  </si>
  <si>
    <t>Sony ESPN HD</t>
  </si>
  <si>
    <t>SONY HD</t>
  </si>
  <si>
    <t>SONY MAX</t>
  </si>
  <si>
    <t>Sony Max HD</t>
  </si>
  <si>
    <t>SONY MAX SUPERHITZ</t>
  </si>
  <si>
    <t>SONY MAX2</t>
  </si>
  <si>
    <t>SONY MIX</t>
  </si>
  <si>
    <t>Sony Pal</t>
  </si>
  <si>
    <t>SONY PIX</t>
  </si>
  <si>
    <t>SONY PIX HD</t>
  </si>
  <si>
    <t>SONY SIX</t>
  </si>
  <si>
    <t>SONY SIX HD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</si>
  <si>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</si>
  <si>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</si>
  <si>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</si>
  <si>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</si>
  <si>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</si>
  <si>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</si>
  <si>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</si>
  <si>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</si>
  <si>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</si>
  <si>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</si>
  <si>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</si>
  <si>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</si>
  <si>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</si>
  <si>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</si>
  <si>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</si>
  <si>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</si>
  <si>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</si>
  <si>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</si>
  <si>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</si>
  <si>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</si>
  <si>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</si>
  <si>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</si>
  <si>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</si>
  <si>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</si>
  <si>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STAR VIJAY HITZ</t>
  </si>
  <si>
    <t>STAR WORLD</t>
  </si>
  <si>
    <t>STAR WORLD HD</t>
  </si>
  <si>
    <t>STAR WORLD PREMIERE HD</t>
  </si>
  <si>
    <t>SUBHVAARTHA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</si>
  <si>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</si>
  <si>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</si>
  <si>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</si>
  <si>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</si>
  <si>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</si>
  <si>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</si>
  <si>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</si>
  <si>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Music</t>
  </si>
  <si>
    <t>SURYA TV</t>
  </si>
  <si>
    <t>SUVARNA</t>
  </si>
  <si>
    <t>SUVARNA NEWS</t>
  </si>
  <si>
    <t>SUVARNA PLUS</t>
  </si>
  <si>
    <t>SVBC</t>
  </si>
  <si>
    <t>T News</t>
  </si>
  <si>
    <t>TAMIL HOME</t>
  </si>
  <si>
    <t>TARA TV</t>
  </si>
  <si>
    <t xml:space="preserve">TARANG </t>
  </si>
  <si>
    <t>TARANG MUSIC</t>
  </si>
  <si>
    <t>TEN 1</t>
  </si>
  <si>
    <t xml:space="preserve">TEN 1 HD </t>
  </si>
  <si>
    <t>TEN 2</t>
  </si>
  <si>
    <t>TEN 3</t>
  </si>
  <si>
    <t>Thanthi TV</t>
  </si>
  <si>
    <t>TIMES NOW</t>
  </si>
  <si>
    <t>TLC</t>
  </si>
  <si>
    <t>TOONAMI</t>
  </si>
  <si>
    <t>TOPPER</t>
  </si>
  <si>
    <t>TRAVEL XP</t>
  </si>
  <si>
    <t>TV 9  GUJARATI</t>
  </si>
  <si>
    <t>TV 9 KANNADA</t>
  </si>
  <si>
    <t>TV 9 Maharashtra</t>
  </si>
  <si>
    <t>TV5</t>
  </si>
  <si>
    <t>TV5 MONDE</t>
  </si>
  <si>
    <t>TV9 TELUGU</t>
  </si>
  <si>
    <t>UDAYA COMEDY</t>
  </si>
  <si>
    <t>UDAYA MOVIES</t>
  </si>
  <si>
    <t>UDAYA MUSIC</t>
  </si>
  <si>
    <t>UDAYA NEWS</t>
  </si>
  <si>
    <t xml:space="preserve">UDAYA TV </t>
  </si>
  <si>
    <t>UTV ACTION</t>
  </si>
  <si>
    <t>UTV MOVIES</t>
  </si>
  <si>
    <t>V</t>
  </si>
  <si>
    <t>V6 NEWS</t>
  </si>
  <si>
    <t>VASANTH</t>
  </si>
  <si>
    <t>Vendhar TV</t>
  </si>
  <si>
    <t>VH1</t>
  </si>
  <si>
    <t>VIP NEWS</t>
  </si>
  <si>
    <t>VTV NEWS</t>
  </si>
  <si>
    <t>WB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</si>
  <si>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</si>
  <si>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</si>
  <si>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</si>
  <si>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</si>
  <si>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</si>
  <si>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</si>
  <si>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</si>
  <si>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</si>
  <si>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</si>
  <si>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</si>
  <si>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</si>
  <si>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</si>
  <si>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</si>
  <si>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</si>
  <si>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</si>
  <si>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</si>
  <si>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</si>
  <si>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</si>
  <si>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</si>
  <si>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</si>
  <si>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</si>
  <si>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</t>
  </si>
  <si>
    <t>ZEE STUDIO HD</t>
  </si>
  <si>
    <t>ZEE TALKIES</t>
  </si>
  <si>
    <t>ZEE TAMIZH</t>
  </si>
  <si>
    <t>ZEE TELUGU</t>
  </si>
  <si>
    <t>ZEE TV</t>
  </si>
  <si>
    <t>ZEE TV HD</t>
  </si>
  <si>
    <t>ZINDAGI</t>
  </si>
  <si>
    <t xml:space="preserve">ZOOM </t>
  </si>
  <si>
    <t>#</t>
  </si>
  <si>
    <t>DR ASI</t>
  </si>
  <si>
    <t>DR IP</t>
  </si>
  <si>
    <t>Compression</t>
  </si>
  <si>
    <t>Enc/DTA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</si>
  <si>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</si>
  <si>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</si>
  <si>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</si>
  <si>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</si>
  <si>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</si>
  <si>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</si>
  <si>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</si>
  <si>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</si>
  <si>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</si>
  <si>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</si>
  <si>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</si>
  <si>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</si>
  <si>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Services</t>
  </si>
  <si>
    <t>Total</t>
  </si>
  <si>
    <t>Done</t>
  </si>
  <si>
    <t>Harmonic</t>
  </si>
  <si>
    <t>Envivio</t>
  </si>
  <si>
    <t>DTA</t>
  </si>
  <si>
    <t>DR Services</t>
  </si>
  <si>
    <t>To be added in the harmonic</t>
  </si>
  <si>
    <t xml:space="preserve">Services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</si>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</sst>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61">
    <xf numFmtId="0" fontId="0" fillId="0" borderId="0"/>
    <xf numFmtId="0" fontId="1" fillId="2" borderId="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1" fillId="2" borderId="1" applyNumberFormat="0" applyFont="0" applyAlignment="0" applyProtection="0"/>
    <xf numFmtId="0" fontId="1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1" fillId="0" borderId="0"/>
    <xf numFmtId="0" fontId="13" fillId="2" borderId="1" applyNumberFormat="0" applyFon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6" fillId="25" borderId="4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7" fillId="26" borderId="5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3" fillId="12" borderId="4" applyNumberFormat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" fillId="2" borderId="1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13" fillId="28" borderId="10" applyNumberFormat="0" applyFon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6" fillId="25" borderId="11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Protection="0">
      <alignment vertical="top" wrapText="1"/>
    </xf>
    <xf numFmtId="0" fontId="4" fillId="0" borderId="0"/>
    <xf numFmtId="0" fontId="1" fillId="0" borderId="0"/>
    <xf numFmtId="9" fontId="11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</cellStyleXfs>
  <cellXfs count="31">
    <xf numFmtId="0" fontId="0" fillId="0" borderId="0" xfId="0"/>
    <xf numFmtId="0" fontId="10" fillId="0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3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10" fillId="4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vertical="center"/>
    </xf>
    <xf numFmtId="0" fontId="8" fillId="0" borderId="2" xfId="0" applyFont="1" applyFill="1" applyBorder="1" applyAlignment="1"/>
    <xf numFmtId="0" fontId="3" fillId="0" borderId="2" xfId="1" applyFont="1" applyFill="1" applyBorder="1" applyAlignment="1">
      <alignment vertical="center"/>
    </xf>
    <xf numFmtId="0" fontId="10" fillId="0" borderId="0" xfId="1" applyFont="1" applyFill="1" applyBorder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10" fillId="5" borderId="2" xfId="1" applyFont="1" applyFill="1" applyBorder="1" applyAlignment="1">
      <alignment vertical="center"/>
    </xf>
    <xf numFmtId="0" fontId="10" fillId="5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10" fillId="4" borderId="2" xfId="1" applyFont="1" applyFill="1" applyBorder="1" applyAlignment="1">
      <alignment vertical="center"/>
    </xf>
    <xf numFmtId="0" fontId="10" fillId="3" borderId="2" xfId="1" applyFont="1" applyFill="1" applyBorder="1" applyAlignment="1">
      <alignment horizontal="left" vertical="center"/>
    </xf>
    <xf numFmtId="0" fontId="10" fillId="0" borderId="3" xfId="1" applyFont="1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/>
    </xf>
  </cellXfs>
  <cellStyles count="561">
    <cellStyle name="%" xfId="2"/>
    <cellStyle name="% 10" xfId="41"/>
    <cellStyle name="% 2" xfId="3"/>
    <cellStyle name="% 3" xfId="42"/>
    <cellStyle name="% 4" xfId="43"/>
    <cellStyle name="% 5" xfId="44"/>
    <cellStyle name="% 6" xfId="45"/>
    <cellStyle name="%_~9889078" xfId="4"/>
    <cellStyle name="%_BandWidth" xfId="5"/>
    <cellStyle name="%_BandWidth 2" xfId="46"/>
    <cellStyle name="%_BandWidth 3" xfId="47"/>
    <cellStyle name="%_BandWidth 4" xfId="48"/>
    <cellStyle name="%_BandWidth 5" xfId="49"/>
    <cellStyle name="%_Broadcaster_Commn" xfId="6"/>
    <cellStyle name="%_CR Downtime" xfId="7"/>
    <cellStyle name="%_KDB-NOV" xfId="8"/>
    <cellStyle name="%_KDB-SR Details (Unplanned Cases)" xfId="9"/>
    <cellStyle name="%_KDB-SR Details (Unplanned Cases)b" xfId="10"/>
    <cellStyle name="%_New Microsoft Excel Worksheet" xfId="11"/>
    <cellStyle name="%_New Microsoft Excel Worksheet 3" xfId="50"/>
    <cellStyle name="%_New Microsoft Excel Worksheet 4" xfId="51"/>
    <cellStyle name="%_Shift Report" xfId="12"/>
    <cellStyle name="%_Shift Report 2" xfId="52"/>
    <cellStyle name="%_Shift Report 3" xfId="53"/>
    <cellStyle name="%_Shift Report 4" xfId="54"/>
    <cellStyle name="%_Shift Report 5" xfId="55"/>
    <cellStyle name="_AES_links upto 31 July 05 (part of 33)_updated for oct status2" xfId="13"/>
    <cellStyle name="_Daily Provisioing Report" xfId="14"/>
    <cellStyle name="_Daily Provisioing Report - June 2006" xfId="15"/>
    <cellStyle name="_Daily Provisioing Report - June 2006_14-Data Backup Procedure_1234931054666" xfId="517"/>
    <cellStyle name="_Daily Provisioing Report - June 2006_DV Stor Checksheets" xfId="16"/>
    <cellStyle name="_Daily Provisioing Report - June 2006_DVStor Refresh" xfId="17"/>
    <cellStyle name="_Daily Provisioing Report_14-Data Backup Procedure_1234931054666" xfId="518"/>
    <cellStyle name="_Daily Provisioing Report_DV Stor Checksheets" xfId="18"/>
    <cellStyle name="_Daily Provisioing Report_DVStor Refresh" xfId="19"/>
    <cellStyle name="_New Vendor Evaluation &amp; Registration" xfId="20"/>
    <cellStyle name="_New Vendor Evaluation &amp; Registration_14-Data Backup Procedure_1234931054666" xfId="519"/>
    <cellStyle name="_New Vendor Evaluation &amp; Registration_DV Stor Checksheets" xfId="21"/>
    <cellStyle name="_New Vendor Evaluation &amp; Registration_DVStor Refresh" xfId="22"/>
    <cellStyle name="_Pending_RA Numbers dt 4-1-06" xfId="23"/>
    <cellStyle name="_Process -002- Hand Holding" xfId="24"/>
    <cellStyle name="_Procurement process" xfId="25"/>
    <cellStyle name="_Standard layout" xfId="26"/>
    <cellStyle name="_Standard layout_14-Data Backup Procedure_1234931054666" xfId="520"/>
    <cellStyle name="_Standard layout_DV Stor Checksheets" xfId="27"/>
    <cellStyle name="_Standard layout_DVStor Refresh" xfId="28"/>
    <cellStyle name="20% - Accent1 10" xfId="86"/>
    <cellStyle name="20% - Accent1 2" xfId="87"/>
    <cellStyle name="20% - Accent1 3" xfId="88"/>
    <cellStyle name="20% - Accent1 4" xfId="89"/>
    <cellStyle name="20% - Accent1 5" xfId="90"/>
    <cellStyle name="20% - Accent1 6" xfId="91"/>
    <cellStyle name="20% - Accent1 7" xfId="92"/>
    <cellStyle name="20% - Accent1 8" xfId="93"/>
    <cellStyle name="20% - Accent1 9" xfId="94"/>
    <cellStyle name="20% - Accent2 10" xfId="95"/>
    <cellStyle name="20% - Accent2 2" xfId="96"/>
    <cellStyle name="20% - Accent2 3" xfId="97"/>
    <cellStyle name="20% - Accent2 4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2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2" xfId="114"/>
    <cellStyle name="20% - Accent4 3" xfId="115"/>
    <cellStyle name="20% - Accent4 4" xfId="116"/>
    <cellStyle name="20% - Accent4 5" xfId="117"/>
    <cellStyle name="20% - Accent4 6" xfId="118"/>
    <cellStyle name="20% - Accent4 7" xfId="119"/>
    <cellStyle name="20% - Accent4 8" xfId="120"/>
    <cellStyle name="20% - Accent4 9" xfId="121"/>
    <cellStyle name="20% - Accent5 10" xfId="122"/>
    <cellStyle name="20% - Accent5 2" xfId="123"/>
    <cellStyle name="20% - Accent5 3" xfId="124"/>
    <cellStyle name="20% - Accent5 4" xfId="125"/>
    <cellStyle name="20% - Accent5 5" xfId="126"/>
    <cellStyle name="20% - Accent5 6" xfId="127"/>
    <cellStyle name="20% - Accent5 7" xfId="128"/>
    <cellStyle name="20% - Accent5 8" xfId="129"/>
    <cellStyle name="20% - Accent5 9" xfId="130"/>
    <cellStyle name="20% - Accent6 10" xfId="131"/>
    <cellStyle name="20% - Accent6 2" xfId="132"/>
    <cellStyle name="20% - Accent6 3" xfId="133"/>
    <cellStyle name="20% - Accent6 4" xfId="134"/>
    <cellStyle name="20% - Accent6 5" xfId="135"/>
    <cellStyle name="20% - Accent6 6" xfId="136"/>
    <cellStyle name="20% - Accent6 7" xfId="137"/>
    <cellStyle name="20% - Accent6 8" xfId="138"/>
    <cellStyle name="20% - Accent6 9" xfId="139"/>
    <cellStyle name="40% - Accent1 10" xfId="140"/>
    <cellStyle name="40% - Accent1 2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1 9" xfId="148"/>
    <cellStyle name="40% - Accent2 10" xfId="149"/>
    <cellStyle name="40% - Accent2 2" xfId="150"/>
    <cellStyle name="40% - Accent2 3" xfId="151"/>
    <cellStyle name="40% - Accent2 4" xfId="152"/>
    <cellStyle name="40% - Accent2 5" xfId="153"/>
    <cellStyle name="40% - Accent2 6" xfId="154"/>
    <cellStyle name="40% - Accent2 7" xfId="155"/>
    <cellStyle name="40% - Accent2 8" xfId="156"/>
    <cellStyle name="40% - Accent2 9" xfId="157"/>
    <cellStyle name="40% - Accent3 10" xfId="158"/>
    <cellStyle name="40% - Accent3 2" xfId="159"/>
    <cellStyle name="40% - Accent3 3" xfId="160"/>
    <cellStyle name="40% - Accent3 4" xfId="161"/>
    <cellStyle name="40% - Accent3 5" xfId="162"/>
    <cellStyle name="40% - Accent3 6" xfId="163"/>
    <cellStyle name="40% - Accent3 7" xfId="164"/>
    <cellStyle name="40% - Accent3 8" xfId="165"/>
    <cellStyle name="40% - Accent3 9" xfId="166"/>
    <cellStyle name="40% - Accent4 10" xfId="167"/>
    <cellStyle name="40% - Accent4 2" xfId="168"/>
    <cellStyle name="40% - Accent4 3" xfId="169"/>
    <cellStyle name="40% - Accent4 4" xfId="170"/>
    <cellStyle name="40% - Accent4 5" xfId="171"/>
    <cellStyle name="40% - Accent4 6" xfId="172"/>
    <cellStyle name="40% - Accent4 7" xfId="173"/>
    <cellStyle name="40% - Accent4 8" xfId="174"/>
    <cellStyle name="40% - Accent4 9" xfId="175"/>
    <cellStyle name="40% - Accent5 10" xfId="176"/>
    <cellStyle name="40% - Accent5 2" xfId="177"/>
    <cellStyle name="40% - Accent5 3" xfId="178"/>
    <cellStyle name="40% - Accent5 4" xfId="179"/>
    <cellStyle name="40% - Accent5 5" xfId="180"/>
    <cellStyle name="40% - Accent5 6" xfId="181"/>
    <cellStyle name="40% - Accent5 7" xfId="182"/>
    <cellStyle name="40% - Accent5 8" xfId="183"/>
    <cellStyle name="40% - Accent5 9" xfId="184"/>
    <cellStyle name="40% - Accent6 10" xfId="185"/>
    <cellStyle name="40% - Accent6 2" xfId="186"/>
    <cellStyle name="40% - Accent6 3" xfId="187"/>
    <cellStyle name="40% - Accent6 4" xfId="188"/>
    <cellStyle name="40% - Accent6 5" xfId="189"/>
    <cellStyle name="40% - Accent6 6" xfId="190"/>
    <cellStyle name="40% - Accent6 7" xfId="191"/>
    <cellStyle name="40% - Accent6 8" xfId="192"/>
    <cellStyle name="40% - Accent6 9" xfId="193"/>
    <cellStyle name="60% - Accent1 10" xfId="194"/>
    <cellStyle name="60% - Accent1 2" xfId="195"/>
    <cellStyle name="60% - Accent1 3" xfId="196"/>
    <cellStyle name="60% - Accent1 4" xfId="197"/>
    <cellStyle name="60% - Accent1 5" xfId="198"/>
    <cellStyle name="60% - Accent1 6" xfId="199"/>
    <cellStyle name="60% - Accent1 7" xfId="200"/>
    <cellStyle name="60% - Accent1 8" xfId="201"/>
    <cellStyle name="60% - Accent1 9" xfId="202"/>
    <cellStyle name="60% - Accent2 10" xfId="203"/>
    <cellStyle name="60% - Accent2 2" xfId="204"/>
    <cellStyle name="60% - Accent2 3" xfId="205"/>
    <cellStyle name="60% - Accent2 4" xfId="206"/>
    <cellStyle name="60% - Accent2 5" xfId="207"/>
    <cellStyle name="60% - Accent2 6" xfId="208"/>
    <cellStyle name="60% - Accent2 7" xfId="209"/>
    <cellStyle name="60% - Accent2 8" xfId="210"/>
    <cellStyle name="60% - Accent2 9" xfId="211"/>
    <cellStyle name="60% - Accent3 10" xfId="212"/>
    <cellStyle name="60% - Accent3 2" xfId="213"/>
    <cellStyle name="60% - Accent3 3" xfId="214"/>
    <cellStyle name="60% - Accent3 4" xfId="215"/>
    <cellStyle name="60% - Accent3 5" xfId="216"/>
    <cellStyle name="60% - Accent3 6" xfId="217"/>
    <cellStyle name="60% - Accent3 7" xfId="218"/>
    <cellStyle name="60% - Accent3 8" xfId="219"/>
    <cellStyle name="60% - Accent3 9" xfId="220"/>
    <cellStyle name="60% - Accent4 10" xfId="221"/>
    <cellStyle name="60% - Accent4 2" xfId="222"/>
    <cellStyle name="60% - Accent4 3" xfId="223"/>
    <cellStyle name="60% - Accent4 4" xfId="224"/>
    <cellStyle name="60% - Accent4 5" xfId="225"/>
    <cellStyle name="60% - Accent4 6" xfId="226"/>
    <cellStyle name="60% - Accent4 7" xfId="227"/>
    <cellStyle name="60% - Accent4 8" xfId="228"/>
    <cellStyle name="60% - Accent4 9" xfId="229"/>
    <cellStyle name="60% - Accent5 10" xfId="230"/>
    <cellStyle name="60% - Accent5 2" xfId="231"/>
    <cellStyle name="60% - Accent5 3" xfId="232"/>
    <cellStyle name="60% - Accent5 4" xfId="233"/>
    <cellStyle name="60% - Accent5 5" xfId="234"/>
    <cellStyle name="60% - Accent5 6" xfId="235"/>
    <cellStyle name="60% - Accent5 7" xfId="236"/>
    <cellStyle name="60% - Accent5 8" xfId="237"/>
    <cellStyle name="60% - Accent5 9" xfId="238"/>
    <cellStyle name="60% - Accent6 10" xfId="239"/>
    <cellStyle name="60% - Accent6 2" xfId="240"/>
    <cellStyle name="60% - Accent6 3" xfId="241"/>
    <cellStyle name="60% - Accent6 4" xfId="242"/>
    <cellStyle name="60% - Accent6 5" xfId="243"/>
    <cellStyle name="60% - Accent6 6" xfId="244"/>
    <cellStyle name="60% - Accent6 7" xfId="245"/>
    <cellStyle name="60% - Accent6 8" xfId="246"/>
    <cellStyle name="60% - Accent6 9" xfId="247"/>
    <cellStyle name="Accent1 10" xfId="248"/>
    <cellStyle name="Accent1 2" xfId="249"/>
    <cellStyle name="Accent1 3" xfId="250"/>
    <cellStyle name="Accent1 4" xfId="251"/>
    <cellStyle name="Accent1 5" xfId="252"/>
    <cellStyle name="Accent1 6" xfId="253"/>
    <cellStyle name="Accent1 7" xfId="254"/>
    <cellStyle name="Accent1 8" xfId="255"/>
    <cellStyle name="Accent1 9" xfId="256"/>
    <cellStyle name="Accent2 10" xfId="257"/>
    <cellStyle name="Accent2 2" xfId="258"/>
    <cellStyle name="Accent2 3" xfId="259"/>
    <cellStyle name="Accent2 4" xfId="260"/>
    <cellStyle name="Accent2 5" xfId="261"/>
    <cellStyle name="Accent2 6" xfId="262"/>
    <cellStyle name="Accent2 7" xfId="263"/>
    <cellStyle name="Accent2 8" xfId="264"/>
    <cellStyle name="Accent2 9" xfId="265"/>
    <cellStyle name="Accent3 10" xfId="266"/>
    <cellStyle name="Accent3 2" xfId="267"/>
    <cellStyle name="Accent3 3" xfId="268"/>
    <cellStyle name="Accent3 4" xfId="269"/>
    <cellStyle name="Accent3 5" xfId="270"/>
    <cellStyle name="Accent3 6" xfId="271"/>
    <cellStyle name="Accent3 7" xfId="272"/>
    <cellStyle name="Accent3 8" xfId="273"/>
    <cellStyle name="Accent3 9" xfId="274"/>
    <cellStyle name="Accent4 10" xfId="275"/>
    <cellStyle name="Accent4 2" xfId="276"/>
    <cellStyle name="Accent4 3" xfId="277"/>
    <cellStyle name="Accent4 4" xfId="278"/>
    <cellStyle name="Accent4 5" xfId="279"/>
    <cellStyle name="Accent4 6" xfId="280"/>
    <cellStyle name="Accent4 7" xfId="281"/>
    <cellStyle name="Accent4 8" xfId="282"/>
    <cellStyle name="Accent4 9" xfId="283"/>
    <cellStyle name="Accent5 10" xfId="284"/>
    <cellStyle name="Accent5 2" xfId="285"/>
    <cellStyle name="Accent5 3" xfId="286"/>
    <cellStyle name="Accent5 4" xfId="287"/>
    <cellStyle name="Accent5 5" xfId="288"/>
    <cellStyle name="Accent5 6" xfId="289"/>
    <cellStyle name="Accent5 7" xfId="290"/>
    <cellStyle name="Accent5 8" xfId="291"/>
    <cellStyle name="Accent5 9" xfId="292"/>
    <cellStyle name="Accent6 10" xfId="293"/>
    <cellStyle name="Accent6 2" xfId="294"/>
    <cellStyle name="Accent6 3" xfId="295"/>
    <cellStyle name="Accent6 4" xfId="296"/>
    <cellStyle name="Accent6 5" xfId="297"/>
    <cellStyle name="Accent6 6" xfId="298"/>
    <cellStyle name="Accent6 7" xfId="299"/>
    <cellStyle name="Accent6 8" xfId="300"/>
    <cellStyle name="Accent6 9" xfId="301"/>
    <cellStyle name="Bad 10" xfId="302"/>
    <cellStyle name="Bad 2" xfId="303"/>
    <cellStyle name="Bad 3" xfId="304"/>
    <cellStyle name="Bad 4" xfId="305"/>
    <cellStyle name="Bad 5" xfId="306"/>
    <cellStyle name="Bad 6" xfId="307"/>
    <cellStyle name="Bad 7" xfId="308"/>
    <cellStyle name="Bad 8" xfId="309"/>
    <cellStyle name="Bad 9" xfId="310"/>
    <cellStyle name="Calculation 10" xfId="311"/>
    <cellStyle name="Calculation 2" xfId="312"/>
    <cellStyle name="Calculation 2 2" xfId="313"/>
    <cellStyle name="Calculation 2 3" xfId="314"/>
    <cellStyle name="Calculation 2 4" xfId="315"/>
    <cellStyle name="Calculation 3" xfId="316"/>
    <cellStyle name="Calculation 3 2" xfId="317"/>
    <cellStyle name="Calculation 3 3" xfId="318"/>
    <cellStyle name="Calculation 3 4" xfId="319"/>
    <cellStyle name="Calculation 4" xfId="320"/>
    <cellStyle name="Calculation 5" xfId="321"/>
    <cellStyle name="Calculation 6" xfId="322"/>
    <cellStyle name="Calculation 7" xfId="323"/>
    <cellStyle name="Calculation 8" xfId="324"/>
    <cellStyle name="Calculation 9" xfId="325"/>
    <cellStyle name="Check Cell 10" xfId="326"/>
    <cellStyle name="Check Cell 2" xfId="327"/>
    <cellStyle name="Check Cell 3" xfId="328"/>
    <cellStyle name="Check Cell 4" xfId="329"/>
    <cellStyle name="Check Cell 5" xfId="330"/>
    <cellStyle name="Check Cell 6" xfId="331"/>
    <cellStyle name="Check Cell 7" xfId="332"/>
    <cellStyle name="Check Cell 8" xfId="333"/>
    <cellStyle name="Check Cell 9" xfId="334"/>
    <cellStyle name="Excel Built-in Normal" xfId="502"/>
    <cellStyle name="Explanatory Text 10" xfId="335"/>
    <cellStyle name="Explanatory Text 2" xfId="336"/>
    <cellStyle name="Explanatory Text 3" xfId="337"/>
    <cellStyle name="Explanatory Text 4" xfId="338"/>
    <cellStyle name="Explanatory Text 5" xfId="339"/>
    <cellStyle name="Explanatory Text 6" xfId="340"/>
    <cellStyle name="Explanatory Text 7" xfId="341"/>
    <cellStyle name="Explanatory Text 8" xfId="342"/>
    <cellStyle name="Explanatory Text 9" xfId="343"/>
    <cellStyle name="Good 10" xfId="344"/>
    <cellStyle name="Good 2" xfId="345"/>
    <cellStyle name="Good 3" xfId="346"/>
    <cellStyle name="Good 4" xfId="347"/>
    <cellStyle name="Good 5" xfId="348"/>
    <cellStyle name="Good 6" xfId="349"/>
    <cellStyle name="Good 7" xfId="350"/>
    <cellStyle name="Good 8" xfId="351"/>
    <cellStyle name="Good 9" xfId="352"/>
    <cellStyle name="Heading 1 10" xfId="353"/>
    <cellStyle name="Heading 1 2" xfId="354"/>
    <cellStyle name="Heading 1 3" xfId="355"/>
    <cellStyle name="Heading 1 4" xfId="356"/>
    <cellStyle name="Heading 1 5" xfId="357"/>
    <cellStyle name="Heading 1 6" xfId="358"/>
    <cellStyle name="Heading 1 7" xfId="359"/>
    <cellStyle name="Heading 1 8" xfId="360"/>
    <cellStyle name="Heading 1 9" xfId="361"/>
    <cellStyle name="Heading 2 10" xfId="362"/>
    <cellStyle name="Heading 2 2" xfId="363"/>
    <cellStyle name="Heading 2 3" xfId="364"/>
    <cellStyle name="Heading 2 4" xfId="365"/>
    <cellStyle name="Heading 2 5" xfId="366"/>
    <cellStyle name="Heading 2 6" xfId="367"/>
    <cellStyle name="Heading 2 7" xfId="368"/>
    <cellStyle name="Heading 2 8" xfId="369"/>
    <cellStyle name="Heading 2 9" xfId="370"/>
    <cellStyle name="Heading 3 10" xfId="371"/>
    <cellStyle name="Heading 3 2" xfId="372"/>
    <cellStyle name="Heading 3 3" xfId="373"/>
    <cellStyle name="Heading 3 4" xfId="374"/>
    <cellStyle name="Heading 3 5" xfId="375"/>
    <cellStyle name="Heading 3 6" xfId="376"/>
    <cellStyle name="Heading 3 7" xfId="377"/>
    <cellStyle name="Heading 3 8" xfId="378"/>
    <cellStyle name="Heading 3 9" xfId="379"/>
    <cellStyle name="Heading 4 10" xfId="380"/>
    <cellStyle name="Heading 4 2" xfId="381"/>
    <cellStyle name="Heading 4 3" xfId="382"/>
    <cellStyle name="Heading 4 4" xfId="383"/>
    <cellStyle name="Heading 4 5" xfId="384"/>
    <cellStyle name="Heading 4 6" xfId="385"/>
    <cellStyle name="Heading 4 7" xfId="386"/>
    <cellStyle name="Heading 4 8" xfId="387"/>
    <cellStyle name="Heading 4 9" xfId="388"/>
    <cellStyle name="Input 10" xfId="389"/>
    <cellStyle name="Input 2" xfId="390"/>
    <cellStyle name="Input 2 2" xfId="391"/>
    <cellStyle name="Input 2 3" xfId="392"/>
    <cellStyle name="Input 2 4" xfId="393"/>
    <cellStyle name="Input 3" xfId="394"/>
    <cellStyle name="Input 3 2" xfId="395"/>
    <cellStyle name="Input 3 3" xfId="396"/>
    <cellStyle name="Input 3 4" xfId="397"/>
    <cellStyle name="Input 4" xfId="398"/>
    <cellStyle name="Input 5" xfId="399"/>
    <cellStyle name="Input 6" xfId="400"/>
    <cellStyle name="Input 7" xfId="401"/>
    <cellStyle name="Input 8" xfId="402"/>
    <cellStyle name="Input 9" xfId="403"/>
    <cellStyle name="Linked Cell 10" xfId="404"/>
    <cellStyle name="Linked Cell 2" xfId="405"/>
    <cellStyle name="Linked Cell 3" xfId="406"/>
    <cellStyle name="Linked Cell 4" xfId="407"/>
    <cellStyle name="Linked Cell 5" xfId="408"/>
    <cellStyle name="Linked Cell 6" xfId="409"/>
    <cellStyle name="Linked Cell 7" xfId="410"/>
    <cellStyle name="Linked Cell 8" xfId="411"/>
    <cellStyle name="Linked Cell 9" xfId="412"/>
    <cellStyle name="Neutral 10" xfId="413"/>
    <cellStyle name="Neutral 2" xfId="414"/>
    <cellStyle name="Neutral 3" xfId="415"/>
    <cellStyle name="Neutral 4" xfId="416"/>
    <cellStyle name="Neutral 5" xfId="417"/>
    <cellStyle name="Neutral 6" xfId="418"/>
    <cellStyle name="Neutral 7" xfId="419"/>
    <cellStyle name="Neutral 8" xfId="420"/>
    <cellStyle name="Neutral 9" xfId="421"/>
    <cellStyle name="Normal" xfId="0" builtinId="0"/>
    <cellStyle name="Normal 10" xfId="56"/>
    <cellStyle name="Normal 10 2" xfId="422"/>
    <cellStyle name="Normal 10 2 2" xfId="423"/>
    <cellStyle name="Normal 10 2 2 2" xfId="533"/>
    <cellStyle name="Normal 10 2 3" xfId="424"/>
    <cellStyle name="Normal 10 2 3 2" xfId="534"/>
    <cellStyle name="Normal 10 2 4" xfId="425"/>
    <cellStyle name="Normal 10 2 4 2" xfId="535"/>
    <cellStyle name="Normal 10 2 5" xfId="426"/>
    <cellStyle name="Normal 10 2 5 2" xfId="536"/>
    <cellStyle name="Normal 10 2 6" xfId="532"/>
    <cellStyle name="Normal 10 3" xfId="427"/>
    <cellStyle name="Normal 10 3 2" xfId="537"/>
    <cellStyle name="Normal 10 4" xfId="428"/>
    <cellStyle name="Normal 10 4 2" xfId="538"/>
    <cellStyle name="Normal 10 5" xfId="429"/>
    <cellStyle name="Normal 10 5 2" xfId="539"/>
    <cellStyle name="Normal 10 6" xfId="430"/>
    <cellStyle name="Normal 10 6 2" xfId="540"/>
    <cellStyle name="Normal 10 7" xfId="431"/>
    <cellStyle name="Normal 10 7 2" xfId="541"/>
    <cellStyle name="Normal 10 8" xfId="529"/>
    <cellStyle name="Normal 11" xfId="57"/>
    <cellStyle name="Normal 11 2" xfId="503"/>
    <cellStyle name="Normal 12" xfId="58"/>
    <cellStyle name="Normal 13" xfId="59"/>
    <cellStyle name="Normal 14" xfId="60"/>
    <cellStyle name="Normal 15" xfId="61"/>
    <cellStyle name="Normal 16" xfId="62"/>
    <cellStyle name="Normal 17" xfId="63"/>
    <cellStyle name="Normal 18" xfId="64"/>
    <cellStyle name="Normal 19" xfId="65"/>
    <cellStyle name="Normal 2" xfId="29"/>
    <cellStyle name="Normal 2 2" xfId="30"/>
    <cellStyle name="Normal 2 2 2" xfId="504"/>
    <cellStyle name="Normal 2 2 3" xfId="66"/>
    <cellStyle name="Normal 2 3" xfId="67"/>
    <cellStyle name="Normal 2 3 2" xfId="505"/>
    <cellStyle name="Normal 2 4" xfId="432"/>
    <cellStyle name="Normal 2 4 2" xfId="542"/>
    <cellStyle name="Normal 2 5" xfId="433"/>
    <cellStyle name="Normal 2 6" xfId="434"/>
    <cellStyle name="Normal 2 7" xfId="39"/>
    <cellStyle name="Normal 20" xfId="68"/>
    <cellStyle name="Normal 21" xfId="81"/>
    <cellStyle name="Normal 21 2" xfId="558"/>
    <cellStyle name="Normal 22" xfId="84"/>
    <cellStyle name="Normal 22 2" xfId="521"/>
    <cellStyle name="Normal 22 2 2" xfId="553"/>
    <cellStyle name="Normal 22 3" xfId="516"/>
    <cellStyle name="Normal 22 3 2" xfId="552"/>
    <cellStyle name="Normal 22 4" xfId="522"/>
    <cellStyle name="Normal 22 5" xfId="531"/>
    <cellStyle name="Normal 23" xfId="498"/>
    <cellStyle name="Normal 24" xfId="500"/>
    <cellStyle name="Normal 24 2" xfId="545"/>
    <cellStyle name="Normal 25" xfId="509"/>
    <cellStyle name="Normal 25 2" xfId="546"/>
    <cellStyle name="Normal 26" xfId="510"/>
    <cellStyle name="Normal 26 2" xfId="547"/>
    <cellStyle name="Normal 27" xfId="512"/>
    <cellStyle name="Normal 27 2" xfId="548"/>
    <cellStyle name="Normal 28" xfId="513"/>
    <cellStyle name="Normal 28 2" xfId="549"/>
    <cellStyle name="Normal 29" xfId="514"/>
    <cellStyle name="Normal 29 2" xfId="550"/>
    <cellStyle name="Normal 3" xfId="31"/>
    <cellStyle name="Normal 3 2" xfId="32"/>
    <cellStyle name="Normal 3 3" xfId="526"/>
    <cellStyle name="Normal 30" xfId="515"/>
    <cellStyle name="Normal 30 2" xfId="551"/>
    <cellStyle name="Normal 31" xfId="523"/>
    <cellStyle name="Normal 31 2" xfId="554"/>
    <cellStyle name="Normal 32" xfId="524"/>
    <cellStyle name="Normal 32 2" xfId="555"/>
    <cellStyle name="Normal 33" xfId="557"/>
    <cellStyle name="Normal 34" xfId="38"/>
    <cellStyle name="Normal 4" xfId="33"/>
    <cellStyle name="Normal 4 2" xfId="69"/>
    <cellStyle name="Normal 4 3" xfId="70"/>
    <cellStyle name="Normal 4 4" xfId="71"/>
    <cellStyle name="Normal 4 5" xfId="72"/>
    <cellStyle name="Normal 4 6" xfId="435"/>
    <cellStyle name="Normal 4 6 2" xfId="543"/>
    <cellStyle name="Normal 4 7" xfId="527"/>
    <cellStyle name="Normal 4 8" xfId="40"/>
    <cellStyle name="Normal 5" xfId="34"/>
    <cellStyle name="Normal 5 2" xfId="83"/>
    <cellStyle name="Normal 5 3" xfId="528"/>
    <cellStyle name="Normal 6" xfId="73"/>
    <cellStyle name="Normal 6 2" xfId="82"/>
    <cellStyle name="Normal 6 2 2" xfId="559"/>
    <cellStyle name="Normal 7" xfId="74"/>
    <cellStyle name="Normal 7 2" xfId="506"/>
    <cellStyle name="Normal 8" xfId="75"/>
    <cellStyle name="Normal 8 2" xfId="507"/>
    <cellStyle name="Normal 9" xfId="76"/>
    <cellStyle name="Normal 9 2" xfId="508"/>
    <cellStyle name="Note" xfId="1" builtinId="10"/>
    <cellStyle name="Note 10" xfId="436"/>
    <cellStyle name="Note 2" xfId="37"/>
    <cellStyle name="Note 2 2" xfId="437"/>
    <cellStyle name="Note 2 3" xfId="438"/>
    <cellStyle name="Note 2 4" xfId="439"/>
    <cellStyle name="Note 2 5" xfId="440"/>
    <cellStyle name="Note 2 5 2" xfId="544"/>
    <cellStyle name="Note 2 6" xfId="525"/>
    <cellStyle name="Note 2 6 2" xfId="556"/>
    <cellStyle name="Note 2 7" xfId="530"/>
    <cellStyle name="Note 3" xfId="85"/>
    <cellStyle name="Note 3 2" xfId="441"/>
    <cellStyle name="Note 3 3" xfId="442"/>
    <cellStyle name="Note 3 4" xfId="443"/>
    <cellStyle name="Note 4" xfId="444"/>
    <cellStyle name="Note 5" xfId="445"/>
    <cellStyle name="Note 6" xfId="446"/>
    <cellStyle name="Note 7" xfId="447"/>
    <cellStyle name="Note 8" xfId="448"/>
    <cellStyle name="Note 9" xfId="449"/>
    <cellStyle name="Output 10" xfId="450"/>
    <cellStyle name="Output 2" xfId="451"/>
    <cellStyle name="Output 2 2" xfId="452"/>
    <cellStyle name="Output 2 3" xfId="453"/>
    <cellStyle name="Output 2 4" xfId="454"/>
    <cellStyle name="Output 3" xfId="455"/>
    <cellStyle name="Output 3 2" xfId="456"/>
    <cellStyle name="Output 3 3" xfId="457"/>
    <cellStyle name="Output 3 4" xfId="458"/>
    <cellStyle name="Output 4" xfId="459"/>
    <cellStyle name="Output 5" xfId="460"/>
    <cellStyle name="Output 6" xfId="461"/>
    <cellStyle name="Output 7" xfId="462"/>
    <cellStyle name="Output 8" xfId="463"/>
    <cellStyle name="Output 9" xfId="464"/>
    <cellStyle name="Percent 2" xfId="501"/>
    <cellStyle name="Percent 2 2" xfId="560"/>
    <cellStyle name="Standard 2" xfId="511"/>
    <cellStyle name="Style 1" xfId="35"/>
    <cellStyle name="Style 1 2" xfId="77"/>
    <cellStyle name="Style 1 3" xfId="78"/>
    <cellStyle name="Style 1 4" xfId="79"/>
    <cellStyle name="Style 1 5" xfId="80"/>
    <cellStyle name="Title 10" xfId="465"/>
    <cellStyle name="Title 2" xfId="466"/>
    <cellStyle name="Title 3" xfId="467"/>
    <cellStyle name="Title 4" xfId="468"/>
    <cellStyle name="Title 5" xfId="469"/>
    <cellStyle name="Title 6" xfId="470"/>
    <cellStyle name="Title 7" xfId="471"/>
    <cellStyle name="Title 8" xfId="472"/>
    <cellStyle name="Title 9" xfId="473"/>
    <cellStyle name="Total 10" xfId="474"/>
    <cellStyle name="Total 2" xfId="475"/>
    <cellStyle name="Total 2 2" xfId="476"/>
    <cellStyle name="Total 2 3" xfId="477"/>
    <cellStyle name="Total 2 4" xfId="478"/>
    <cellStyle name="Total 3" xfId="479"/>
    <cellStyle name="Total 3 2" xfId="480"/>
    <cellStyle name="Total 3 3" xfId="481"/>
    <cellStyle name="Total 3 4" xfId="482"/>
    <cellStyle name="Total 4" xfId="483"/>
    <cellStyle name="Total 5" xfId="484"/>
    <cellStyle name="Total 6" xfId="485"/>
    <cellStyle name="Total 7" xfId="486"/>
    <cellStyle name="Total 8" xfId="487"/>
    <cellStyle name="Total 9" xfId="488"/>
    <cellStyle name="Warning Text 10" xfId="489"/>
    <cellStyle name="Warning Text 2" xfId="490"/>
    <cellStyle name="Warning Text 3" xfId="491"/>
    <cellStyle name="Warning Text 4" xfId="492"/>
    <cellStyle name="Warning Text 5" xfId="493"/>
    <cellStyle name="Warning Text 6" xfId="494"/>
    <cellStyle name="Warning Text 7" xfId="495"/>
    <cellStyle name="Warning Text 8" xfId="496"/>
    <cellStyle name="Warning Text 9" xfId="497"/>
    <cellStyle name="표준_Sample_sop" xfId="36"/>
    <cellStyle name="常规_001服务器安装规划heb" xfId="4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1"/>
  <sheetViews>
    <sheetView tabSelected="1" workbookViewId="0">
      <pane ySplit="7" topLeftCell="A239" activePane="bottomLeft" state="frozen"/>
      <selection pane="bottomLeft" activeCell="B256" sqref="B256"/>
    </sheetView>
  </sheetViews>
  <sheetFormatPr defaultRowHeight="15"/>
  <cols>
    <col min="1" max="1" width="9.140625" style="28"/>
    <col min="2" max="2" width="33.5703125" bestFit="1" customWidth="1"/>
    <col min="7" max="7" width="12.5703125" bestFit="1" customWidth="1"/>
    <col min="8" max="8" width="10.5703125" bestFit="1" customWidth="1"/>
  </cols>
  <sheetData>
    <row r="2" spans="1:15">
      <c r="C2" s="30" t="s">
        <v>446</v>
      </c>
      <c r="D2" s="30" t="s">
        <v>447</v>
      </c>
      <c r="E2" s="30" t="s">
        <v>448</v>
      </c>
      <c r="F2" s="30" t="s">
        <v>449</v>
      </c>
      <c r="G2" s="30" t="s">
        <v>450</v>
      </c>
      <c r="H2" s="30" t="s">
        <v>451</v>
      </c>
      <c r="I2" s="30" t="s">
        <v>452</v>
      </c>
      <c r="J2" s="30" t="s">
        <v>453</v>
      </c>
      <c r="K2" s="30" t="s">
        <v>454</v>
      </c>
      <c r="L2" s="30" t="s">
        <v>455</v>
      </c>
      <c r="M2" s="30" t="s">
        <v>456</v>
      </c>
      <c r="N2" s="30" t="s">
        <v>457</v>
      </c>
      <c r="O2" s="30" t="s">
        <v>459</v>
      </c>
    </row>
    <row r="3" spans="1:15">
      <c r="B3" t="s">
        <v>458</v>
      </c>
      <c r="C3" s="27">
        <f>COUNTIF(D$10:D$460,"1")</f>
        <v>57</v>
      </c>
      <c r="D3" s="27">
        <f>COUNTIF(D$10:D$460,"2")</f>
        <v>50</v>
      </c>
      <c r="E3" s="27">
        <f>COUNTIF(D$10:D$460,"3")</f>
        <v>59</v>
      </c>
      <c r="F3" s="27">
        <f>COUNTIF(D$10:D$460,"4")</f>
        <v>55</v>
      </c>
      <c r="G3" s="27">
        <f>COUNTIF(D$10:D$460,"5")</f>
        <v>31</v>
      </c>
      <c r="H3" s="27">
        <f>COUNTIF(D$10:D$460,"6")</f>
        <v>35</v>
      </c>
      <c r="I3" s="27">
        <f>COUNTIF(D$10:D$460,"7")</f>
        <v>45</v>
      </c>
      <c r="J3" s="27">
        <f>COUNTIF(D$10:D$460,"8")</f>
        <v>16</v>
      </c>
      <c r="K3" s="27">
        <f>COUNTIF(D$10:D$460,"9")</f>
        <v>23</v>
      </c>
      <c r="L3" s="27">
        <f>COUNTIF(D$10:D$460,"10")</f>
        <v>11</v>
      </c>
      <c r="M3" s="27">
        <f>COUNTIF(D$10:D$460,"11")</f>
        <v>34</v>
      </c>
      <c r="N3" s="27">
        <f>COUNTIF(D$10:D$460,"12")</f>
        <v>24</v>
      </c>
      <c r="O3" s="27">
        <f>SUM(C3:N3)</f>
        <v>440</v>
      </c>
    </row>
    <row r="4" spans="1:15">
      <c r="B4" t="s">
        <v>464</v>
      </c>
      <c r="C4" s="27">
        <f>COUNTIF(E$10:E$460,"Done")</f>
        <v>231</v>
      </c>
    </row>
    <row r="5" spans="1:15">
      <c r="B5" t="s">
        <v>466</v>
      </c>
      <c r="C5">
        <f>C4/(O3/100)</f>
        <v>52.499999999999993</v>
      </c>
    </row>
    <row r="10" spans="1:15" ht="15" customHeight="1">
      <c r="A10" s="29" t="s">
        <v>441</v>
      </c>
      <c r="B10" s="26" t="s">
        <v>0</v>
      </c>
      <c r="C10" s="25" t="s">
        <v>1</v>
      </c>
      <c r="D10" s="25" t="s">
        <v>2</v>
      </c>
      <c r="E10" t="s">
        <v>442</v>
      </c>
      <c r="F10" t="s">
        <v>443</v>
      </c>
      <c r="G10" t="s">
        <v>444</v>
      </c>
      <c r="H10" t="s">
        <v>445</v>
      </c>
    </row>
    <row r="11" spans="1:15">
      <c r="A11" s="29"/>
      <c r="B11" s="26"/>
      <c r="C11" s="25"/>
      <c r="D11" s="25"/>
    </row>
    <row r="12" spans="1:15">
      <c r="A12" s="1">
        <v>1</v>
      </c>
      <c r="B12" s="8" t="s">
        <v>3</v>
      </c>
      <c r="C12" s="1">
        <v>175</v>
      </c>
      <c r="D12" s="1">
        <v>5</v>
      </c>
    </row>
    <row r="13" spans="1:15">
      <c r="A13" s="1">
        <v>2</v>
      </c>
      <c r="B13" s="8" t="s">
        <v>4</v>
      </c>
      <c r="C13" s="1">
        <v>174</v>
      </c>
      <c r="D13" s="1">
        <v>11</v>
      </c>
      <c r="E13" t="s">
        <v>460</v>
      </c>
    </row>
    <row r="14" spans="1:15">
      <c r="A14" s="1">
        <v>3</v>
      </c>
      <c r="B14" s="8" t="s">
        <v>5</v>
      </c>
      <c r="C14" s="1">
        <v>114</v>
      </c>
      <c r="D14" s="1">
        <v>9</v>
      </c>
    </row>
    <row r="15" spans="1:15">
      <c r="A15" s="1">
        <v>4</v>
      </c>
      <c r="B15" s="8" t="s">
        <v>6</v>
      </c>
      <c r="C15" s="1">
        <v>115</v>
      </c>
      <c r="D15" s="1">
        <v>6</v>
      </c>
    </row>
    <row r="16" spans="1:15">
      <c r="A16" s="1">
        <v>5</v>
      </c>
      <c r="B16" s="9" t="s">
        <v>7</v>
      </c>
      <c r="C16" s="16">
        <v>546</v>
      </c>
      <c r="D16" s="16">
        <v>2</v>
      </c>
      <c r="E16" t="s">
        <v>460</v>
      </c>
      <c r="G16" t="s">
        <v>462</v>
      </c>
    </row>
    <row r="17" spans="1:7">
      <c r="A17" s="1">
        <v>6</v>
      </c>
      <c r="B17" s="8" t="s">
        <v>8</v>
      </c>
      <c r="C17" s="1">
        <v>776</v>
      </c>
      <c r="D17" s="1">
        <v>5</v>
      </c>
      <c r="E17" t="s">
        <v>460</v>
      </c>
    </row>
    <row r="18" spans="1:7">
      <c r="A18" s="1">
        <v>7</v>
      </c>
      <c r="B18" s="8" t="s">
        <v>9</v>
      </c>
      <c r="C18" s="1">
        <v>389</v>
      </c>
      <c r="D18" s="1">
        <v>3</v>
      </c>
    </row>
    <row r="19" spans="1:7">
      <c r="A19" s="1">
        <v>8</v>
      </c>
      <c r="B19" s="8" t="s">
        <v>10</v>
      </c>
      <c r="C19" s="1">
        <v>549</v>
      </c>
      <c r="D19" s="1">
        <v>3</v>
      </c>
      <c r="E19" t="s">
        <v>460</v>
      </c>
      <c r="G19" t="s">
        <v>462</v>
      </c>
    </row>
    <row r="20" spans="1:7">
      <c r="A20" s="1">
        <v>9</v>
      </c>
      <c r="B20" s="8" t="s">
        <v>11</v>
      </c>
      <c r="C20" s="1">
        <v>382</v>
      </c>
      <c r="D20" s="1">
        <v>2</v>
      </c>
      <c r="E20" t="s">
        <v>460</v>
      </c>
      <c r="G20" t="s">
        <v>462</v>
      </c>
    </row>
    <row r="21" spans="1:7">
      <c r="A21" s="1">
        <v>10</v>
      </c>
      <c r="B21" s="8" t="s">
        <v>12</v>
      </c>
      <c r="C21" s="1">
        <v>659</v>
      </c>
      <c r="D21" s="1">
        <v>7</v>
      </c>
      <c r="E21" t="s">
        <v>460</v>
      </c>
    </row>
    <row r="22" spans="1:7">
      <c r="A22" s="1">
        <v>11</v>
      </c>
      <c r="B22" s="4" t="s">
        <v>13</v>
      </c>
      <c r="C22" s="1">
        <v>393</v>
      </c>
      <c r="D22" s="1">
        <v>1</v>
      </c>
      <c r="E22" t="s">
        <v>460</v>
      </c>
      <c r="G22" t="s">
        <v>462</v>
      </c>
    </row>
    <row r="23" spans="1:7">
      <c r="A23" s="1">
        <v>12</v>
      </c>
      <c r="B23" s="8" t="s">
        <v>14</v>
      </c>
      <c r="C23" s="1">
        <v>254</v>
      </c>
      <c r="D23" s="1">
        <v>5</v>
      </c>
      <c r="E23" t="s">
        <v>460</v>
      </c>
    </row>
    <row r="24" spans="1:7">
      <c r="A24" s="1">
        <v>13</v>
      </c>
      <c r="B24" s="8" t="s">
        <v>15</v>
      </c>
      <c r="C24" s="1">
        <v>782</v>
      </c>
      <c r="D24" s="1">
        <v>2</v>
      </c>
    </row>
    <row r="25" spans="1:7">
      <c r="A25" s="1">
        <v>14</v>
      </c>
      <c r="B25" s="8" t="s">
        <v>16</v>
      </c>
      <c r="C25" s="1">
        <v>690</v>
      </c>
      <c r="D25" s="1">
        <v>3</v>
      </c>
    </row>
    <row r="26" spans="1:7">
      <c r="A26" s="1">
        <v>15</v>
      </c>
      <c r="B26" s="8" t="s">
        <v>17</v>
      </c>
      <c r="C26" s="1">
        <v>535</v>
      </c>
      <c r="D26" s="1">
        <v>7</v>
      </c>
      <c r="E26" t="s">
        <v>460</v>
      </c>
    </row>
    <row r="27" spans="1:7">
      <c r="A27" s="1">
        <v>16</v>
      </c>
      <c r="B27" s="8" t="s">
        <v>18</v>
      </c>
      <c r="C27" s="1">
        <v>778</v>
      </c>
      <c r="D27" s="1">
        <v>2</v>
      </c>
      <c r="E27" t="s">
        <v>460</v>
      </c>
      <c r="G27" t="s">
        <v>462</v>
      </c>
    </row>
    <row r="28" spans="1:7">
      <c r="A28" s="1">
        <v>17</v>
      </c>
      <c r="B28" s="8" t="s">
        <v>19</v>
      </c>
      <c r="C28" s="1">
        <v>552</v>
      </c>
      <c r="D28" s="1">
        <v>3</v>
      </c>
      <c r="E28" t="s">
        <v>460</v>
      </c>
      <c r="G28" t="s">
        <v>462</v>
      </c>
    </row>
    <row r="29" spans="1:7">
      <c r="A29" s="1">
        <v>18</v>
      </c>
      <c r="B29" s="8" t="s">
        <v>20</v>
      </c>
      <c r="C29" s="1">
        <v>250</v>
      </c>
      <c r="D29" s="1">
        <v>7</v>
      </c>
      <c r="E29" t="s">
        <v>460</v>
      </c>
    </row>
    <row r="30" spans="1:7">
      <c r="A30" s="1">
        <v>19</v>
      </c>
      <c r="B30" s="8" t="s">
        <v>21</v>
      </c>
      <c r="C30" s="1">
        <v>517</v>
      </c>
      <c r="D30" s="1">
        <v>2</v>
      </c>
      <c r="E30" t="s">
        <v>460</v>
      </c>
      <c r="G30" t="s">
        <v>462</v>
      </c>
    </row>
    <row r="31" spans="1:7">
      <c r="A31" s="1">
        <v>20</v>
      </c>
      <c r="B31" s="20" t="s">
        <v>22</v>
      </c>
      <c r="C31" s="1">
        <v>158</v>
      </c>
      <c r="D31" s="1">
        <v>8</v>
      </c>
    </row>
    <row r="32" spans="1:7">
      <c r="A32" s="1">
        <v>21</v>
      </c>
      <c r="B32" s="8" t="s">
        <v>23</v>
      </c>
      <c r="C32" s="1">
        <v>159</v>
      </c>
      <c r="D32" s="1">
        <v>12</v>
      </c>
    </row>
    <row r="33" spans="1:7">
      <c r="A33" s="1">
        <v>22</v>
      </c>
      <c r="B33" s="4" t="s">
        <v>24</v>
      </c>
      <c r="C33" s="1">
        <v>100</v>
      </c>
      <c r="D33" s="1">
        <v>1</v>
      </c>
    </row>
    <row r="34" spans="1:7">
      <c r="A34" s="1">
        <v>23</v>
      </c>
      <c r="B34" s="8" t="s">
        <v>25</v>
      </c>
      <c r="C34" s="1">
        <v>160</v>
      </c>
      <c r="D34" s="1">
        <v>12</v>
      </c>
    </row>
    <row r="35" spans="1:7">
      <c r="A35" s="1">
        <v>24</v>
      </c>
      <c r="B35" s="8" t="s">
        <v>26</v>
      </c>
      <c r="C35" s="1">
        <v>161</v>
      </c>
      <c r="D35" s="1">
        <v>12</v>
      </c>
    </row>
    <row r="36" spans="1:7">
      <c r="A36" s="1">
        <v>25</v>
      </c>
      <c r="B36" s="8" t="s">
        <v>27</v>
      </c>
      <c r="C36" s="1">
        <v>97</v>
      </c>
      <c r="D36" s="1">
        <v>12</v>
      </c>
    </row>
    <row r="37" spans="1:7">
      <c r="A37" s="1">
        <v>26</v>
      </c>
      <c r="B37" s="8" t="s">
        <v>28</v>
      </c>
      <c r="C37" s="1">
        <v>321</v>
      </c>
      <c r="D37" s="1">
        <v>4</v>
      </c>
      <c r="E37" t="s">
        <v>460</v>
      </c>
    </row>
    <row r="38" spans="1:7">
      <c r="A38" s="1">
        <v>27</v>
      </c>
      <c r="B38" s="8" t="s">
        <v>29</v>
      </c>
      <c r="C38" s="1">
        <v>812</v>
      </c>
      <c r="D38" s="1">
        <v>5</v>
      </c>
      <c r="E38" t="s">
        <v>460</v>
      </c>
    </row>
    <row r="39" spans="1:7">
      <c r="A39" s="1">
        <v>28</v>
      </c>
      <c r="B39" s="8" t="s">
        <v>30</v>
      </c>
      <c r="C39" s="1">
        <v>514</v>
      </c>
      <c r="D39" s="1">
        <v>4</v>
      </c>
      <c r="E39" t="s">
        <v>460</v>
      </c>
    </row>
    <row r="40" spans="1:7">
      <c r="A40" s="1">
        <v>29</v>
      </c>
      <c r="B40" s="8" t="s">
        <v>31</v>
      </c>
      <c r="C40" s="1">
        <v>343</v>
      </c>
      <c r="D40" s="1">
        <v>3</v>
      </c>
    </row>
    <row r="41" spans="1:7">
      <c r="A41" s="1">
        <v>30</v>
      </c>
      <c r="B41" s="8" t="s">
        <v>32</v>
      </c>
      <c r="C41" s="1">
        <v>700</v>
      </c>
      <c r="D41" s="1">
        <v>3</v>
      </c>
    </row>
    <row r="42" spans="1:7">
      <c r="A42" s="1">
        <v>31</v>
      </c>
      <c r="B42" s="4" t="s">
        <v>33</v>
      </c>
      <c r="C42" s="1">
        <v>800</v>
      </c>
      <c r="D42" s="1">
        <v>11</v>
      </c>
      <c r="E42" t="s">
        <v>460</v>
      </c>
    </row>
    <row r="43" spans="1:7">
      <c r="A43" s="1">
        <v>32</v>
      </c>
      <c r="B43" s="8" t="s">
        <v>34</v>
      </c>
      <c r="C43" s="1">
        <v>801</v>
      </c>
      <c r="D43" s="1">
        <v>12</v>
      </c>
    </row>
    <row r="44" spans="1:7">
      <c r="A44" s="1">
        <v>33</v>
      </c>
      <c r="B44" s="8" t="s">
        <v>35</v>
      </c>
      <c r="C44" s="1">
        <v>809</v>
      </c>
      <c r="D44" s="1">
        <v>4</v>
      </c>
    </row>
    <row r="45" spans="1:7">
      <c r="A45" s="1">
        <v>34</v>
      </c>
      <c r="B45" s="8" t="s">
        <v>36</v>
      </c>
      <c r="C45" s="1">
        <v>824</v>
      </c>
      <c r="D45" s="1">
        <v>2</v>
      </c>
      <c r="E45" t="s">
        <v>460</v>
      </c>
      <c r="G45" t="s">
        <v>462</v>
      </c>
    </row>
    <row r="46" spans="1:7">
      <c r="A46" s="1">
        <v>35</v>
      </c>
      <c r="B46" s="8" t="s">
        <v>37</v>
      </c>
      <c r="C46" s="1">
        <v>810</v>
      </c>
      <c r="D46" s="1">
        <v>2</v>
      </c>
    </row>
    <row r="47" spans="1:7">
      <c r="A47" s="1">
        <v>36</v>
      </c>
      <c r="B47" s="8" t="s">
        <v>38</v>
      </c>
      <c r="C47" s="1">
        <v>620</v>
      </c>
      <c r="D47" s="1">
        <v>6</v>
      </c>
    </row>
    <row r="48" spans="1:7">
      <c r="A48" s="1">
        <v>37</v>
      </c>
      <c r="B48" s="8" t="s">
        <v>39</v>
      </c>
      <c r="C48" s="1">
        <v>480</v>
      </c>
      <c r="D48" s="1">
        <v>3</v>
      </c>
      <c r="E48" t="s">
        <v>460</v>
      </c>
      <c r="G48" t="s">
        <v>462</v>
      </c>
    </row>
    <row r="49" spans="1:7">
      <c r="A49" s="1">
        <v>38</v>
      </c>
      <c r="B49" s="8" t="s">
        <v>40</v>
      </c>
      <c r="C49" s="1">
        <v>144</v>
      </c>
      <c r="D49" s="1">
        <v>7</v>
      </c>
      <c r="E49" t="s">
        <v>460</v>
      </c>
    </row>
    <row r="50" spans="1:7">
      <c r="A50" s="1">
        <v>39</v>
      </c>
      <c r="B50" s="8" t="s">
        <v>41</v>
      </c>
      <c r="C50" s="1">
        <v>145</v>
      </c>
      <c r="D50" s="1">
        <v>12</v>
      </c>
      <c r="E50" t="s">
        <v>460</v>
      </c>
    </row>
    <row r="51" spans="1:7">
      <c r="A51" s="1">
        <v>40</v>
      </c>
      <c r="B51" s="8" t="s">
        <v>42</v>
      </c>
      <c r="C51" s="2">
        <v>383</v>
      </c>
      <c r="D51" s="1">
        <v>12</v>
      </c>
      <c r="E51" t="s">
        <v>460</v>
      </c>
    </row>
    <row r="52" spans="1:7">
      <c r="A52" s="1">
        <v>41</v>
      </c>
      <c r="B52" s="8" t="s">
        <v>43</v>
      </c>
      <c r="C52" s="1">
        <v>365</v>
      </c>
      <c r="D52" s="1">
        <v>11</v>
      </c>
    </row>
    <row r="53" spans="1:7">
      <c r="A53" s="1">
        <v>42</v>
      </c>
      <c r="B53" s="8" t="s">
        <v>44</v>
      </c>
      <c r="C53" s="1">
        <v>319</v>
      </c>
      <c r="D53" s="1">
        <v>4</v>
      </c>
    </row>
    <row r="54" spans="1:7">
      <c r="A54" s="1">
        <v>43</v>
      </c>
      <c r="B54" s="4" t="s">
        <v>45</v>
      </c>
      <c r="C54" s="2">
        <v>698</v>
      </c>
      <c r="D54" s="2">
        <v>12</v>
      </c>
    </row>
    <row r="55" spans="1:7">
      <c r="A55" s="1">
        <v>44</v>
      </c>
      <c r="B55" s="8" t="s">
        <v>46</v>
      </c>
      <c r="C55" s="1">
        <v>640</v>
      </c>
      <c r="D55" s="1">
        <v>7</v>
      </c>
    </row>
    <row r="56" spans="1:7">
      <c r="A56" s="1">
        <v>45</v>
      </c>
      <c r="B56" s="8" t="s">
        <v>47</v>
      </c>
      <c r="C56" s="1">
        <v>116</v>
      </c>
      <c r="D56" s="1">
        <v>1</v>
      </c>
      <c r="E56" t="s">
        <v>460</v>
      </c>
      <c r="G56" t="s">
        <v>462</v>
      </c>
    </row>
    <row r="57" spans="1:7">
      <c r="A57" s="1">
        <v>46</v>
      </c>
      <c r="B57" s="8" t="s">
        <v>48</v>
      </c>
      <c r="C57" s="1">
        <v>628</v>
      </c>
      <c r="D57" s="1">
        <v>4</v>
      </c>
      <c r="E57" t="s">
        <v>460</v>
      </c>
    </row>
    <row r="58" spans="1:7">
      <c r="A58" s="1">
        <v>47</v>
      </c>
      <c r="B58" s="8" t="s">
        <v>49</v>
      </c>
      <c r="C58" s="1">
        <v>124</v>
      </c>
      <c r="D58" s="1">
        <v>3</v>
      </c>
      <c r="E58" t="s">
        <v>460</v>
      </c>
      <c r="G58" t="s">
        <v>462</v>
      </c>
    </row>
    <row r="59" spans="1:7">
      <c r="A59" s="1">
        <v>48</v>
      </c>
      <c r="B59" s="8" t="s">
        <v>50</v>
      </c>
      <c r="C59" s="1">
        <v>392</v>
      </c>
      <c r="D59" s="1">
        <v>12</v>
      </c>
      <c r="E59" t="s">
        <v>460</v>
      </c>
    </row>
    <row r="60" spans="1:7">
      <c r="A60" s="1">
        <v>49</v>
      </c>
      <c r="B60" s="4" t="s">
        <v>51</v>
      </c>
      <c r="C60" s="1">
        <v>317</v>
      </c>
      <c r="D60" s="1">
        <v>1</v>
      </c>
    </row>
    <row r="61" spans="1:7">
      <c r="A61" s="1">
        <v>50</v>
      </c>
      <c r="B61" s="8" t="s">
        <v>52</v>
      </c>
      <c r="C61" s="1">
        <v>864</v>
      </c>
      <c r="D61" s="1">
        <v>1</v>
      </c>
      <c r="E61" t="s">
        <v>460</v>
      </c>
      <c r="G61" t="s">
        <v>461</v>
      </c>
    </row>
    <row r="62" spans="1:7">
      <c r="A62" s="1">
        <v>51</v>
      </c>
      <c r="B62" s="9" t="s">
        <v>53</v>
      </c>
      <c r="C62" s="16">
        <v>483</v>
      </c>
      <c r="D62" s="1">
        <v>7</v>
      </c>
      <c r="E62" t="s">
        <v>460</v>
      </c>
    </row>
    <row r="63" spans="1:7">
      <c r="A63" s="1">
        <v>52</v>
      </c>
      <c r="B63" s="8" t="s">
        <v>54</v>
      </c>
      <c r="C63" s="1">
        <v>355</v>
      </c>
      <c r="D63" s="1">
        <v>3</v>
      </c>
      <c r="E63" t="s">
        <v>460</v>
      </c>
      <c r="G63" t="s">
        <v>462</v>
      </c>
    </row>
    <row r="64" spans="1:7">
      <c r="A64" s="1">
        <v>53</v>
      </c>
      <c r="B64" s="8" t="s">
        <v>55</v>
      </c>
      <c r="C64" s="1">
        <v>699</v>
      </c>
      <c r="D64" s="1">
        <v>3</v>
      </c>
      <c r="E64" t="s">
        <v>460</v>
      </c>
      <c r="G64" t="s">
        <v>462</v>
      </c>
    </row>
    <row r="65" spans="1:7">
      <c r="A65" s="1">
        <v>54</v>
      </c>
      <c r="B65" s="8" t="s">
        <v>56</v>
      </c>
      <c r="C65" s="1">
        <v>586</v>
      </c>
      <c r="D65" s="1">
        <v>3</v>
      </c>
      <c r="E65" t="s">
        <v>460</v>
      </c>
      <c r="G65" t="s">
        <v>462</v>
      </c>
    </row>
    <row r="66" spans="1:7">
      <c r="A66" s="1">
        <v>55</v>
      </c>
      <c r="B66" s="8" t="s">
        <v>57</v>
      </c>
      <c r="C66" s="1">
        <v>853</v>
      </c>
      <c r="D66" s="1">
        <v>3</v>
      </c>
    </row>
    <row r="67" spans="1:7">
      <c r="A67" s="1">
        <v>56</v>
      </c>
      <c r="B67" s="8" t="s">
        <v>58</v>
      </c>
      <c r="C67" s="1">
        <v>506</v>
      </c>
      <c r="D67" s="1">
        <v>4</v>
      </c>
      <c r="E67" t="s">
        <v>460</v>
      </c>
    </row>
    <row r="68" spans="1:7">
      <c r="A68" s="1">
        <v>57</v>
      </c>
      <c r="B68" s="8" t="s">
        <v>59</v>
      </c>
      <c r="C68" s="1">
        <v>182</v>
      </c>
      <c r="D68" s="1">
        <v>3</v>
      </c>
    </row>
    <row r="69" spans="1:7">
      <c r="A69" s="1">
        <v>58</v>
      </c>
      <c r="B69" s="8" t="s">
        <v>60</v>
      </c>
      <c r="C69" s="1">
        <v>268</v>
      </c>
      <c r="D69" s="1">
        <v>2</v>
      </c>
    </row>
    <row r="70" spans="1:7">
      <c r="A70" s="1">
        <v>59</v>
      </c>
      <c r="B70" s="8" t="s">
        <v>61</v>
      </c>
      <c r="C70" s="1">
        <v>593</v>
      </c>
      <c r="D70" s="1">
        <v>4</v>
      </c>
    </row>
    <row r="71" spans="1:7">
      <c r="A71" s="1">
        <v>60</v>
      </c>
      <c r="B71" s="8" t="s">
        <v>62</v>
      </c>
      <c r="C71" s="1">
        <v>312</v>
      </c>
      <c r="D71" s="1">
        <v>4</v>
      </c>
    </row>
    <row r="72" spans="1:7">
      <c r="A72" s="1">
        <v>61</v>
      </c>
      <c r="B72" s="8" t="s">
        <v>63</v>
      </c>
      <c r="C72" s="1">
        <v>320</v>
      </c>
      <c r="D72" s="1">
        <v>6</v>
      </c>
    </row>
    <row r="73" spans="1:7">
      <c r="A73" s="1">
        <v>62</v>
      </c>
      <c r="B73" s="8" t="s">
        <v>64</v>
      </c>
      <c r="C73" s="1">
        <v>308</v>
      </c>
      <c r="D73" s="1">
        <v>5</v>
      </c>
    </row>
    <row r="74" spans="1:7">
      <c r="A74" s="1">
        <v>63</v>
      </c>
      <c r="B74" s="8" t="s">
        <v>65</v>
      </c>
      <c r="C74" s="1">
        <v>110</v>
      </c>
      <c r="D74" s="1">
        <v>11</v>
      </c>
      <c r="E74" t="s">
        <v>460</v>
      </c>
    </row>
    <row r="75" spans="1:7">
      <c r="A75" s="1">
        <v>64</v>
      </c>
      <c r="B75" s="8" t="s">
        <v>66</v>
      </c>
      <c r="C75" s="1">
        <v>762</v>
      </c>
      <c r="D75" s="1">
        <v>3</v>
      </c>
      <c r="E75" t="s">
        <v>460</v>
      </c>
      <c r="G75" t="s">
        <v>462</v>
      </c>
    </row>
    <row r="76" spans="1:7">
      <c r="A76" s="1">
        <v>65</v>
      </c>
      <c r="B76" s="8" t="s">
        <v>67</v>
      </c>
      <c r="C76" s="1">
        <v>590</v>
      </c>
      <c r="D76" s="1">
        <v>4</v>
      </c>
      <c r="E76" t="s">
        <v>460</v>
      </c>
    </row>
    <row r="77" spans="1:7">
      <c r="A77" s="1">
        <v>66</v>
      </c>
      <c r="B77" s="8" t="s">
        <v>68</v>
      </c>
      <c r="C77" s="1">
        <v>111</v>
      </c>
      <c r="D77" s="1">
        <v>10</v>
      </c>
      <c r="E77" t="s">
        <v>460</v>
      </c>
    </row>
    <row r="78" spans="1:7">
      <c r="A78" s="1">
        <v>67</v>
      </c>
      <c r="B78" s="8" t="s">
        <v>69</v>
      </c>
      <c r="C78" s="1">
        <v>154</v>
      </c>
      <c r="D78" s="1">
        <v>5</v>
      </c>
    </row>
    <row r="79" spans="1:7">
      <c r="A79" s="1">
        <v>68</v>
      </c>
      <c r="B79" s="8" t="s">
        <v>70</v>
      </c>
      <c r="C79" s="1">
        <v>155</v>
      </c>
      <c r="D79" s="1">
        <v>6</v>
      </c>
    </row>
    <row r="80" spans="1:7">
      <c r="A80" s="1">
        <v>69</v>
      </c>
      <c r="B80" s="8" t="s">
        <v>71</v>
      </c>
      <c r="C80" s="1">
        <v>842</v>
      </c>
      <c r="D80" s="1">
        <v>7</v>
      </c>
      <c r="E80" t="s">
        <v>460</v>
      </c>
    </row>
    <row r="81" spans="1:9">
      <c r="A81" s="1">
        <v>70</v>
      </c>
      <c r="B81" s="8" t="s">
        <v>72</v>
      </c>
      <c r="C81" s="1">
        <v>551</v>
      </c>
      <c r="D81" s="1">
        <v>3</v>
      </c>
      <c r="E81" t="s">
        <v>460</v>
      </c>
      <c r="G81" t="s">
        <v>462</v>
      </c>
    </row>
    <row r="82" spans="1:9">
      <c r="A82" s="1">
        <v>71</v>
      </c>
      <c r="B82" s="8" t="s">
        <v>73</v>
      </c>
      <c r="C82" s="1">
        <v>600</v>
      </c>
      <c r="D82" s="1">
        <v>3</v>
      </c>
      <c r="E82" t="s">
        <v>460</v>
      </c>
      <c r="G82" t="s">
        <v>462</v>
      </c>
    </row>
    <row r="83" spans="1:9">
      <c r="A83" s="1">
        <v>72</v>
      </c>
      <c r="B83" s="8" t="s">
        <v>74</v>
      </c>
      <c r="C83" s="1">
        <v>156</v>
      </c>
      <c r="D83" s="1">
        <v>9</v>
      </c>
      <c r="I83" t="s">
        <v>460</v>
      </c>
    </row>
    <row r="84" spans="1:9">
      <c r="A84" s="1">
        <v>73</v>
      </c>
      <c r="B84" s="14" t="s">
        <v>75</v>
      </c>
      <c r="C84" s="15">
        <v>121</v>
      </c>
      <c r="D84" s="15">
        <v>12</v>
      </c>
    </row>
    <row r="85" spans="1:9">
      <c r="A85" s="1">
        <v>74</v>
      </c>
      <c r="B85" s="8" t="s">
        <v>76</v>
      </c>
      <c r="C85" s="1">
        <v>633</v>
      </c>
      <c r="D85" s="1">
        <v>2</v>
      </c>
      <c r="E85" t="s">
        <v>460</v>
      </c>
      <c r="G85" t="s">
        <v>462</v>
      </c>
    </row>
    <row r="86" spans="1:9">
      <c r="A86" s="1">
        <v>75</v>
      </c>
      <c r="B86" s="8" t="s">
        <v>77</v>
      </c>
      <c r="C86" s="1">
        <v>135</v>
      </c>
      <c r="D86" s="1">
        <v>7</v>
      </c>
      <c r="E86" t="s">
        <v>460</v>
      </c>
    </row>
    <row r="87" spans="1:9">
      <c r="A87" s="1">
        <v>76</v>
      </c>
      <c r="B87" s="8" t="s">
        <v>78</v>
      </c>
      <c r="C87" s="1">
        <v>768</v>
      </c>
      <c r="D87" s="1">
        <v>6</v>
      </c>
      <c r="E87" t="s">
        <v>460</v>
      </c>
    </row>
    <row r="88" spans="1:9">
      <c r="A88" s="1">
        <v>77</v>
      </c>
      <c r="B88" s="4" t="s">
        <v>79</v>
      </c>
      <c r="C88" s="1">
        <v>140</v>
      </c>
      <c r="D88" s="1">
        <v>1</v>
      </c>
      <c r="E88" t="s">
        <v>460</v>
      </c>
      <c r="G88" t="s">
        <v>461</v>
      </c>
      <c r="H88" t="s">
        <v>463</v>
      </c>
    </row>
    <row r="89" spans="1:9">
      <c r="A89" s="1">
        <v>78</v>
      </c>
      <c r="B89" s="4" t="s">
        <v>80</v>
      </c>
      <c r="C89" s="2">
        <v>296</v>
      </c>
      <c r="D89" s="2">
        <v>12</v>
      </c>
      <c r="E89" t="s">
        <v>460</v>
      </c>
    </row>
    <row r="90" spans="1:9">
      <c r="A90" s="1">
        <v>79</v>
      </c>
      <c r="B90" s="8" t="s">
        <v>81</v>
      </c>
      <c r="C90" s="1">
        <v>852</v>
      </c>
      <c r="D90" s="1">
        <v>6</v>
      </c>
      <c r="E90" t="s">
        <v>460</v>
      </c>
    </row>
    <row r="91" spans="1:9">
      <c r="A91" s="1">
        <v>80</v>
      </c>
      <c r="B91" s="8" t="s">
        <v>82</v>
      </c>
      <c r="C91" s="1">
        <v>591</v>
      </c>
      <c r="D91" s="1">
        <v>7</v>
      </c>
    </row>
    <row r="92" spans="1:9">
      <c r="A92" s="1">
        <v>81</v>
      </c>
      <c r="B92" s="4" t="s">
        <v>83</v>
      </c>
      <c r="C92" s="1">
        <v>138</v>
      </c>
      <c r="D92" s="1">
        <v>1</v>
      </c>
    </row>
    <row r="93" spans="1:9">
      <c r="A93" s="1">
        <v>82</v>
      </c>
      <c r="B93" s="8" t="s">
        <v>84</v>
      </c>
      <c r="C93" s="1">
        <v>612</v>
      </c>
      <c r="D93" s="1">
        <v>1</v>
      </c>
      <c r="E93" t="s">
        <v>460</v>
      </c>
      <c r="G93" t="s">
        <v>461</v>
      </c>
      <c r="H93" t="s">
        <v>463</v>
      </c>
    </row>
    <row r="94" spans="1:9">
      <c r="A94" s="1">
        <v>83</v>
      </c>
      <c r="B94" s="14" t="s">
        <v>85</v>
      </c>
      <c r="C94" s="5">
        <v>141</v>
      </c>
      <c r="D94" s="5">
        <v>1</v>
      </c>
    </row>
    <row r="95" spans="1:9">
      <c r="A95" s="1">
        <v>84</v>
      </c>
      <c r="B95" s="8" t="s">
        <v>86</v>
      </c>
      <c r="C95" s="1">
        <v>302</v>
      </c>
      <c r="D95" s="1">
        <v>1</v>
      </c>
    </row>
    <row r="96" spans="1:9">
      <c r="A96" s="1">
        <v>85</v>
      </c>
      <c r="B96" s="8" t="s">
        <v>87</v>
      </c>
      <c r="C96" s="1">
        <v>816</v>
      </c>
      <c r="D96" s="1">
        <v>6</v>
      </c>
      <c r="E96" t="s">
        <v>460</v>
      </c>
    </row>
    <row r="97" spans="1:8">
      <c r="A97" s="1">
        <v>86</v>
      </c>
      <c r="B97" s="8" t="s">
        <v>88</v>
      </c>
      <c r="C97" s="1">
        <v>136</v>
      </c>
      <c r="D97" s="1">
        <v>2</v>
      </c>
      <c r="E97" t="s">
        <v>460</v>
      </c>
      <c r="G97" t="s">
        <v>462</v>
      </c>
    </row>
    <row r="98" spans="1:8">
      <c r="A98" s="1">
        <v>87</v>
      </c>
      <c r="B98" s="8" t="s">
        <v>89</v>
      </c>
      <c r="C98" s="1">
        <v>623</v>
      </c>
      <c r="D98" s="1">
        <v>6</v>
      </c>
    </row>
    <row r="99" spans="1:8">
      <c r="A99" s="1">
        <v>88</v>
      </c>
      <c r="B99" s="8" t="s">
        <v>90</v>
      </c>
      <c r="C99" s="1">
        <v>290</v>
      </c>
      <c r="D99" s="1">
        <v>1</v>
      </c>
      <c r="E99" t="s">
        <v>460</v>
      </c>
      <c r="G99" t="s">
        <v>461</v>
      </c>
      <c r="H99" t="s">
        <v>463</v>
      </c>
    </row>
    <row r="100" spans="1:8">
      <c r="A100" s="1">
        <v>89</v>
      </c>
      <c r="B100" s="8" t="s">
        <v>91</v>
      </c>
      <c r="C100" s="1">
        <v>602</v>
      </c>
      <c r="D100" s="1">
        <v>6</v>
      </c>
    </row>
    <row r="101" spans="1:8">
      <c r="A101" s="1">
        <v>90</v>
      </c>
      <c r="B101" s="8" t="s">
        <v>92</v>
      </c>
      <c r="C101" s="1">
        <v>516</v>
      </c>
      <c r="D101" s="1">
        <v>6</v>
      </c>
      <c r="E101" t="s">
        <v>460</v>
      </c>
    </row>
    <row r="102" spans="1:8">
      <c r="A102" s="1">
        <v>91</v>
      </c>
      <c r="B102" s="8" t="s">
        <v>93</v>
      </c>
      <c r="C102" s="1">
        <v>658</v>
      </c>
      <c r="D102" s="1">
        <v>6</v>
      </c>
    </row>
    <row r="103" spans="1:8">
      <c r="A103" s="1">
        <v>92</v>
      </c>
      <c r="B103" s="8" t="s">
        <v>94</v>
      </c>
      <c r="C103" s="1">
        <v>298</v>
      </c>
      <c r="D103" s="1">
        <v>1</v>
      </c>
    </row>
    <row r="104" spans="1:8">
      <c r="A104" s="1">
        <v>93</v>
      </c>
      <c r="B104" s="8" t="s">
        <v>95</v>
      </c>
      <c r="C104" s="1">
        <v>559</v>
      </c>
      <c r="D104" s="1">
        <v>6</v>
      </c>
    </row>
    <row r="105" spans="1:8">
      <c r="A105" s="1">
        <v>94</v>
      </c>
      <c r="B105" s="8" t="s">
        <v>96</v>
      </c>
      <c r="C105" s="2">
        <v>544</v>
      </c>
      <c r="D105" s="1">
        <v>1</v>
      </c>
    </row>
    <row r="106" spans="1:8">
      <c r="A106" s="1">
        <v>95</v>
      </c>
      <c r="B106" s="4" t="s">
        <v>97</v>
      </c>
      <c r="C106" s="1">
        <v>244</v>
      </c>
      <c r="D106" s="1">
        <v>1</v>
      </c>
    </row>
    <row r="107" spans="1:8">
      <c r="A107" s="1">
        <v>96</v>
      </c>
      <c r="B107" s="8" t="s">
        <v>98</v>
      </c>
      <c r="C107" s="1">
        <v>611</v>
      </c>
      <c r="D107" s="1">
        <v>1</v>
      </c>
    </row>
    <row r="108" spans="1:8">
      <c r="A108" s="1">
        <v>97</v>
      </c>
      <c r="B108" s="4" t="s">
        <v>99</v>
      </c>
      <c r="C108" s="1">
        <v>299</v>
      </c>
      <c r="D108" s="1">
        <v>1</v>
      </c>
    </row>
    <row r="109" spans="1:8">
      <c r="A109" s="1">
        <v>98</v>
      </c>
      <c r="B109" s="8" t="s">
        <v>100</v>
      </c>
      <c r="C109" s="1">
        <v>529</v>
      </c>
      <c r="D109" s="1">
        <v>9</v>
      </c>
    </row>
    <row r="110" spans="1:8">
      <c r="A110" s="1">
        <v>99</v>
      </c>
      <c r="B110" s="8" t="s">
        <v>101</v>
      </c>
      <c r="C110" s="2">
        <v>785</v>
      </c>
      <c r="D110" s="1">
        <v>7</v>
      </c>
    </row>
    <row r="111" spans="1:8">
      <c r="A111" s="1">
        <v>100</v>
      </c>
      <c r="B111" s="8" t="s">
        <v>102</v>
      </c>
      <c r="C111" s="1">
        <v>340</v>
      </c>
      <c r="D111" s="1">
        <v>3</v>
      </c>
      <c r="E111" t="s">
        <v>460</v>
      </c>
      <c r="G111" t="s">
        <v>462</v>
      </c>
    </row>
    <row r="112" spans="1:8">
      <c r="A112" s="1">
        <v>101</v>
      </c>
      <c r="B112" s="8" t="s">
        <v>103</v>
      </c>
      <c r="C112" s="1">
        <v>338</v>
      </c>
      <c r="D112" s="1">
        <v>10</v>
      </c>
    </row>
    <row r="113" spans="1:7">
      <c r="A113" s="1">
        <v>102</v>
      </c>
      <c r="B113" s="8" t="s">
        <v>104</v>
      </c>
      <c r="C113" s="1">
        <v>363</v>
      </c>
      <c r="D113" s="1">
        <v>4</v>
      </c>
      <c r="E113" t="s">
        <v>460</v>
      </c>
    </row>
    <row r="114" spans="1:7">
      <c r="A114" s="1">
        <v>103</v>
      </c>
      <c r="B114" s="8" t="s">
        <v>105</v>
      </c>
      <c r="C114" s="1">
        <v>346</v>
      </c>
      <c r="D114" s="1">
        <v>9</v>
      </c>
      <c r="E114" t="s">
        <v>460</v>
      </c>
    </row>
    <row r="115" spans="1:7">
      <c r="A115" s="1">
        <v>104</v>
      </c>
      <c r="B115" s="8" t="s">
        <v>106</v>
      </c>
      <c r="C115" s="1">
        <v>510</v>
      </c>
      <c r="D115" s="1">
        <v>4</v>
      </c>
      <c r="E115" t="s">
        <v>460</v>
      </c>
    </row>
    <row r="116" spans="1:7">
      <c r="A116" s="1">
        <v>105</v>
      </c>
      <c r="B116" s="8" t="s">
        <v>107</v>
      </c>
      <c r="C116" s="1">
        <v>347</v>
      </c>
      <c r="D116" s="1">
        <v>9</v>
      </c>
      <c r="E116" t="s">
        <v>460</v>
      </c>
    </row>
    <row r="117" spans="1:7">
      <c r="A117" s="1">
        <v>106</v>
      </c>
      <c r="B117" s="8" t="s">
        <v>108</v>
      </c>
      <c r="C117" s="2">
        <v>689</v>
      </c>
      <c r="D117" s="2">
        <v>1</v>
      </c>
      <c r="E117" t="s">
        <v>460</v>
      </c>
      <c r="G117" t="s">
        <v>462</v>
      </c>
    </row>
    <row r="118" spans="1:7">
      <c r="A118" s="1">
        <v>107</v>
      </c>
      <c r="B118" s="8" t="s">
        <v>109</v>
      </c>
      <c r="C118" s="1">
        <v>360</v>
      </c>
      <c r="D118" s="1">
        <v>3</v>
      </c>
      <c r="E118" t="s">
        <v>460</v>
      </c>
      <c r="G118" t="s">
        <v>462</v>
      </c>
    </row>
    <row r="119" spans="1:7">
      <c r="A119" s="1">
        <v>108</v>
      </c>
      <c r="B119" s="8" t="s">
        <v>110</v>
      </c>
      <c r="C119" s="1">
        <v>364</v>
      </c>
      <c r="D119" s="1">
        <v>6</v>
      </c>
      <c r="E119" t="s">
        <v>460</v>
      </c>
    </row>
    <row r="120" spans="1:7">
      <c r="A120" s="1">
        <v>109</v>
      </c>
      <c r="B120" s="8" t="s">
        <v>111</v>
      </c>
      <c r="C120" s="1">
        <v>359</v>
      </c>
      <c r="D120" s="1">
        <v>2</v>
      </c>
      <c r="E120" t="s">
        <v>460</v>
      </c>
      <c r="G120" t="s">
        <v>462</v>
      </c>
    </row>
    <row r="121" spans="1:7">
      <c r="A121" s="1">
        <v>110</v>
      </c>
      <c r="B121" s="4" t="s">
        <v>112</v>
      </c>
      <c r="C121" s="2">
        <v>701</v>
      </c>
      <c r="D121" s="2">
        <v>1</v>
      </c>
    </row>
    <row r="122" spans="1:7">
      <c r="A122" s="1">
        <v>111</v>
      </c>
      <c r="B122" s="8" t="s">
        <v>113</v>
      </c>
      <c r="C122" s="1">
        <v>323</v>
      </c>
      <c r="D122" s="1">
        <v>7</v>
      </c>
    </row>
    <row r="123" spans="1:7">
      <c r="A123" s="1">
        <v>112</v>
      </c>
      <c r="B123" s="8" t="s">
        <v>114</v>
      </c>
      <c r="C123" s="1">
        <v>624</v>
      </c>
      <c r="D123" s="1">
        <v>2</v>
      </c>
      <c r="E123" t="s">
        <v>460</v>
      </c>
      <c r="G123" t="s">
        <v>462</v>
      </c>
    </row>
    <row r="124" spans="1:7">
      <c r="A124" s="1">
        <v>113</v>
      </c>
      <c r="B124" s="8" t="s">
        <v>115</v>
      </c>
      <c r="C124" s="1">
        <v>387</v>
      </c>
      <c r="D124" s="1">
        <v>4</v>
      </c>
    </row>
    <row r="125" spans="1:7">
      <c r="A125" s="1">
        <v>114</v>
      </c>
      <c r="B125" s="8" t="s">
        <v>116</v>
      </c>
      <c r="C125" s="1">
        <v>521</v>
      </c>
      <c r="D125" s="1">
        <v>7</v>
      </c>
    </row>
    <row r="126" spans="1:7">
      <c r="A126" s="1">
        <v>115</v>
      </c>
      <c r="B126" s="4" t="s">
        <v>117</v>
      </c>
      <c r="C126" s="1">
        <v>131</v>
      </c>
      <c r="D126" s="1">
        <v>1</v>
      </c>
      <c r="E126" t="s">
        <v>460</v>
      </c>
      <c r="G126" t="s">
        <v>462</v>
      </c>
    </row>
    <row r="127" spans="1:7">
      <c r="A127" s="1">
        <v>116</v>
      </c>
      <c r="B127" s="4" t="s">
        <v>118</v>
      </c>
      <c r="C127" s="1">
        <v>126</v>
      </c>
      <c r="D127" s="1">
        <v>1</v>
      </c>
    </row>
    <row r="128" spans="1:7">
      <c r="A128" s="1">
        <v>117</v>
      </c>
      <c r="B128" s="8" t="s">
        <v>119</v>
      </c>
      <c r="C128" s="1">
        <v>314</v>
      </c>
      <c r="D128" s="1">
        <v>2</v>
      </c>
      <c r="E128" t="s">
        <v>460</v>
      </c>
      <c r="G128" t="s">
        <v>462</v>
      </c>
    </row>
    <row r="129" spans="1:7">
      <c r="A129" s="1">
        <v>118</v>
      </c>
      <c r="B129" s="8" t="s">
        <v>120</v>
      </c>
      <c r="C129" s="1">
        <v>384</v>
      </c>
      <c r="D129" s="1">
        <v>2</v>
      </c>
      <c r="E129" t="s">
        <v>460</v>
      </c>
      <c r="G129" t="s">
        <v>462</v>
      </c>
    </row>
    <row r="130" spans="1:7">
      <c r="A130" s="1">
        <v>119</v>
      </c>
      <c r="B130" s="8" t="s">
        <v>121</v>
      </c>
      <c r="C130" s="1">
        <v>525</v>
      </c>
      <c r="D130" s="1">
        <v>4</v>
      </c>
      <c r="E130" t="s">
        <v>460</v>
      </c>
    </row>
    <row r="131" spans="1:7">
      <c r="A131" s="1">
        <v>120</v>
      </c>
      <c r="B131" s="8" t="s">
        <v>122</v>
      </c>
      <c r="C131" s="1">
        <v>272</v>
      </c>
      <c r="D131" s="1">
        <v>3</v>
      </c>
      <c r="E131" t="s">
        <v>460</v>
      </c>
      <c r="G131" t="s">
        <v>462</v>
      </c>
    </row>
    <row r="132" spans="1:7">
      <c r="A132" s="1">
        <v>121</v>
      </c>
      <c r="B132" s="8" t="s">
        <v>123</v>
      </c>
      <c r="C132" s="1">
        <v>888</v>
      </c>
      <c r="D132" s="1">
        <v>4</v>
      </c>
    </row>
    <row r="133" spans="1:7">
      <c r="A133" s="1">
        <v>122</v>
      </c>
      <c r="B133" s="8" t="s">
        <v>124</v>
      </c>
      <c r="C133" s="1">
        <v>288</v>
      </c>
      <c r="D133" s="1">
        <v>6</v>
      </c>
    </row>
    <row r="134" spans="1:7">
      <c r="A134" s="1">
        <v>123</v>
      </c>
      <c r="B134" s="8" t="s">
        <v>125</v>
      </c>
      <c r="C134" s="1">
        <v>282</v>
      </c>
      <c r="D134" s="1">
        <v>6</v>
      </c>
      <c r="E134" t="s">
        <v>460</v>
      </c>
    </row>
    <row r="135" spans="1:7">
      <c r="A135" s="1">
        <v>124</v>
      </c>
      <c r="B135" s="8" t="s">
        <v>126</v>
      </c>
      <c r="C135" s="1">
        <v>780</v>
      </c>
      <c r="D135" s="1">
        <v>2</v>
      </c>
    </row>
    <row r="136" spans="1:7">
      <c r="A136" s="1">
        <v>125</v>
      </c>
      <c r="B136" s="8" t="s">
        <v>127</v>
      </c>
      <c r="C136" s="1">
        <v>589</v>
      </c>
      <c r="D136" s="1">
        <v>4</v>
      </c>
    </row>
    <row r="137" spans="1:7">
      <c r="A137" s="1">
        <v>126</v>
      </c>
      <c r="B137" s="8" t="s">
        <v>128</v>
      </c>
      <c r="C137" s="1">
        <v>861</v>
      </c>
      <c r="D137" s="1">
        <v>4</v>
      </c>
    </row>
    <row r="138" spans="1:7">
      <c r="A138" s="1">
        <v>127</v>
      </c>
      <c r="B138" s="8" t="s">
        <v>129</v>
      </c>
      <c r="C138" s="1">
        <v>596</v>
      </c>
      <c r="D138" s="1">
        <v>3</v>
      </c>
    </row>
    <row r="139" spans="1:7">
      <c r="A139" s="1">
        <v>128</v>
      </c>
      <c r="B139" s="8" t="s">
        <v>130</v>
      </c>
      <c r="C139" s="1">
        <v>548</v>
      </c>
      <c r="D139" s="1">
        <v>8</v>
      </c>
    </row>
    <row r="140" spans="1:7">
      <c r="A140" s="1">
        <v>129</v>
      </c>
      <c r="B140" s="8" t="s">
        <v>131</v>
      </c>
      <c r="C140" s="1">
        <v>274</v>
      </c>
      <c r="D140" s="1">
        <v>2</v>
      </c>
    </row>
    <row r="141" spans="1:7">
      <c r="A141" s="1">
        <v>130</v>
      </c>
      <c r="B141" s="8" t="s">
        <v>132</v>
      </c>
      <c r="C141" s="1">
        <v>545</v>
      </c>
      <c r="D141" s="1">
        <v>4</v>
      </c>
    </row>
    <row r="142" spans="1:7">
      <c r="A142" s="1">
        <v>131</v>
      </c>
      <c r="B142" s="8" t="s">
        <v>133</v>
      </c>
      <c r="C142" s="1">
        <v>610</v>
      </c>
      <c r="D142" s="1">
        <v>2</v>
      </c>
      <c r="E142" t="s">
        <v>460</v>
      </c>
      <c r="G142" t="s">
        <v>462</v>
      </c>
    </row>
    <row r="143" spans="1:7">
      <c r="A143" s="1">
        <v>132</v>
      </c>
      <c r="B143" s="8" t="s">
        <v>134</v>
      </c>
      <c r="C143" s="1">
        <v>278</v>
      </c>
      <c r="D143" s="1">
        <v>3</v>
      </c>
      <c r="E143" t="s">
        <v>460</v>
      </c>
      <c r="G143" t="s">
        <v>462</v>
      </c>
    </row>
    <row r="144" spans="1:7">
      <c r="A144" s="1">
        <v>133</v>
      </c>
      <c r="B144" s="8" t="s">
        <v>135</v>
      </c>
      <c r="C144" s="1">
        <v>563</v>
      </c>
      <c r="D144" s="1">
        <v>3</v>
      </c>
      <c r="E144" t="s">
        <v>460</v>
      </c>
      <c r="G144" t="s">
        <v>462</v>
      </c>
    </row>
    <row r="145" spans="1:7">
      <c r="A145" s="1">
        <v>134</v>
      </c>
      <c r="B145" s="4" t="s">
        <v>136</v>
      </c>
      <c r="C145" s="1">
        <v>805</v>
      </c>
      <c r="D145" s="1">
        <v>3</v>
      </c>
    </row>
    <row r="146" spans="1:7">
      <c r="A146" s="1">
        <v>135</v>
      </c>
      <c r="B146" s="4" t="s">
        <v>137</v>
      </c>
      <c r="C146" s="1">
        <v>327</v>
      </c>
      <c r="D146" s="1">
        <v>1</v>
      </c>
    </row>
    <row r="147" spans="1:7">
      <c r="A147" s="1">
        <v>136</v>
      </c>
      <c r="B147" s="8" t="s">
        <v>138</v>
      </c>
      <c r="C147" s="1">
        <v>336</v>
      </c>
      <c r="D147" s="1">
        <v>12</v>
      </c>
    </row>
    <row r="148" spans="1:7">
      <c r="A148" s="1">
        <v>137</v>
      </c>
      <c r="B148" s="8" t="s">
        <v>139</v>
      </c>
      <c r="C148" s="1">
        <v>342</v>
      </c>
      <c r="D148" s="1">
        <v>6</v>
      </c>
    </row>
    <row r="149" spans="1:7">
      <c r="A149" s="1">
        <v>138</v>
      </c>
      <c r="B149" s="8" t="s">
        <v>140</v>
      </c>
      <c r="C149" s="1">
        <v>331</v>
      </c>
      <c r="D149" s="1">
        <v>12</v>
      </c>
    </row>
    <row r="150" spans="1:7">
      <c r="A150" s="1">
        <v>139</v>
      </c>
      <c r="B150" s="8" t="s">
        <v>141</v>
      </c>
      <c r="C150" s="1">
        <v>152</v>
      </c>
      <c r="D150" s="1">
        <v>4</v>
      </c>
    </row>
    <row r="151" spans="1:7">
      <c r="A151" s="1">
        <v>140</v>
      </c>
      <c r="B151" s="8" t="s">
        <v>142</v>
      </c>
      <c r="C151" s="1">
        <v>153</v>
      </c>
      <c r="D151" s="1">
        <v>10</v>
      </c>
    </row>
    <row r="152" spans="1:7">
      <c r="A152" s="1">
        <v>141</v>
      </c>
      <c r="B152" s="8" t="s">
        <v>143</v>
      </c>
      <c r="C152" s="1">
        <v>520</v>
      </c>
      <c r="D152" s="1">
        <v>4</v>
      </c>
      <c r="E152" t="s">
        <v>460</v>
      </c>
    </row>
    <row r="153" spans="1:7">
      <c r="A153" s="1">
        <v>142</v>
      </c>
      <c r="B153" s="8" t="s">
        <v>144</v>
      </c>
      <c r="C153" s="1">
        <v>540</v>
      </c>
      <c r="D153" s="1">
        <v>8</v>
      </c>
    </row>
    <row r="154" spans="1:7">
      <c r="A154" s="1">
        <v>143</v>
      </c>
      <c r="B154" s="8" t="s">
        <v>145</v>
      </c>
      <c r="C154" s="1">
        <v>533</v>
      </c>
      <c r="D154" s="1">
        <v>2</v>
      </c>
      <c r="E154" t="s">
        <v>460</v>
      </c>
      <c r="G154" t="s">
        <v>462</v>
      </c>
    </row>
    <row r="155" spans="1:7">
      <c r="A155" s="1">
        <v>144</v>
      </c>
      <c r="B155" s="8" t="s">
        <v>146</v>
      </c>
      <c r="C155" s="1">
        <v>542</v>
      </c>
      <c r="D155" s="1">
        <v>4</v>
      </c>
    </row>
    <row r="156" spans="1:7">
      <c r="A156" s="1">
        <v>145</v>
      </c>
      <c r="B156" s="8" t="s">
        <v>147</v>
      </c>
      <c r="C156" s="1">
        <v>522</v>
      </c>
      <c r="D156" s="1">
        <v>7</v>
      </c>
      <c r="E156" t="s">
        <v>460</v>
      </c>
    </row>
    <row r="157" spans="1:7">
      <c r="A157" s="1">
        <v>146</v>
      </c>
      <c r="B157" s="8" t="s">
        <v>148</v>
      </c>
      <c r="C157" s="1">
        <v>527</v>
      </c>
      <c r="D157" s="1">
        <v>3</v>
      </c>
    </row>
    <row r="158" spans="1:7">
      <c r="A158" s="1">
        <v>147</v>
      </c>
      <c r="B158" s="8" t="s">
        <v>149</v>
      </c>
      <c r="C158" s="1">
        <v>547</v>
      </c>
      <c r="D158" s="1">
        <v>7</v>
      </c>
    </row>
    <row r="159" spans="1:7">
      <c r="A159" s="1">
        <v>148</v>
      </c>
      <c r="B159" s="8" t="s">
        <v>150</v>
      </c>
      <c r="C159" s="1">
        <v>695</v>
      </c>
      <c r="D159" s="1">
        <v>3</v>
      </c>
    </row>
    <row r="160" spans="1:7">
      <c r="A160" s="1">
        <v>149</v>
      </c>
      <c r="B160" s="9" t="s">
        <v>151</v>
      </c>
      <c r="C160" s="16">
        <v>832</v>
      </c>
      <c r="D160" s="1">
        <v>2</v>
      </c>
    </row>
    <row r="161" spans="1:7">
      <c r="A161" s="1">
        <v>150</v>
      </c>
      <c r="B161" s="21" t="s">
        <v>152</v>
      </c>
      <c r="C161" s="16">
        <v>588</v>
      </c>
      <c r="D161" s="16">
        <v>4</v>
      </c>
    </row>
    <row r="162" spans="1:7">
      <c r="A162" s="1">
        <v>151</v>
      </c>
      <c r="B162" s="8" t="s">
        <v>153</v>
      </c>
      <c r="C162" s="1">
        <v>194</v>
      </c>
      <c r="D162" s="1">
        <v>7</v>
      </c>
      <c r="E162" t="s">
        <v>460</v>
      </c>
    </row>
    <row r="163" spans="1:7">
      <c r="A163" s="1">
        <v>152</v>
      </c>
      <c r="B163" s="9" t="s">
        <v>154</v>
      </c>
      <c r="C163" s="16">
        <v>215</v>
      </c>
      <c r="D163" s="16">
        <v>6</v>
      </c>
    </row>
    <row r="164" spans="1:7">
      <c r="A164" s="1">
        <v>153</v>
      </c>
      <c r="B164" s="8" t="s">
        <v>155</v>
      </c>
      <c r="C164" s="1">
        <v>214</v>
      </c>
      <c r="D164" s="1">
        <v>4</v>
      </c>
    </row>
    <row r="165" spans="1:7">
      <c r="A165" s="1">
        <v>154</v>
      </c>
      <c r="B165" s="8" t="s">
        <v>156</v>
      </c>
      <c r="C165" s="1">
        <v>348</v>
      </c>
      <c r="D165" s="1">
        <v>9</v>
      </c>
      <c r="E165" t="s">
        <v>460</v>
      </c>
    </row>
    <row r="166" spans="1:7">
      <c r="A166" s="1">
        <v>155</v>
      </c>
      <c r="B166" s="8" t="s">
        <v>157</v>
      </c>
      <c r="C166" s="1">
        <v>337</v>
      </c>
      <c r="D166" s="1">
        <v>9</v>
      </c>
      <c r="E166" t="s">
        <v>460</v>
      </c>
    </row>
    <row r="167" spans="1:7">
      <c r="A167" s="1">
        <v>156</v>
      </c>
      <c r="B167" s="8" t="s">
        <v>158</v>
      </c>
      <c r="C167" s="1">
        <v>99</v>
      </c>
      <c r="D167" s="1">
        <v>11</v>
      </c>
    </row>
    <row r="168" spans="1:7">
      <c r="A168" s="1">
        <v>157</v>
      </c>
      <c r="B168" s="8" t="s">
        <v>159</v>
      </c>
      <c r="C168" s="1">
        <v>112</v>
      </c>
      <c r="D168" s="1">
        <v>1</v>
      </c>
    </row>
    <row r="169" spans="1:7">
      <c r="A169" s="1">
        <v>158</v>
      </c>
      <c r="B169" s="8" t="s">
        <v>160</v>
      </c>
      <c r="C169" s="1">
        <v>184</v>
      </c>
      <c r="D169" s="1">
        <v>1</v>
      </c>
    </row>
    <row r="170" spans="1:7">
      <c r="A170" s="1">
        <v>159</v>
      </c>
      <c r="B170" s="8" t="s">
        <v>161</v>
      </c>
      <c r="C170" s="1">
        <v>357</v>
      </c>
      <c r="D170" s="1">
        <v>2</v>
      </c>
      <c r="E170" t="s">
        <v>460</v>
      </c>
      <c r="G170" t="s">
        <v>462</v>
      </c>
    </row>
    <row r="171" spans="1:7">
      <c r="A171" s="1">
        <v>160</v>
      </c>
      <c r="B171" s="8" t="s">
        <v>162</v>
      </c>
      <c r="C171" s="1">
        <v>284</v>
      </c>
      <c r="D171" s="1">
        <v>7</v>
      </c>
      <c r="E171" t="s">
        <v>460</v>
      </c>
    </row>
    <row r="172" spans="1:7">
      <c r="A172" s="1">
        <v>161</v>
      </c>
      <c r="B172" s="8" t="s">
        <v>163</v>
      </c>
      <c r="C172" s="1">
        <v>257</v>
      </c>
      <c r="D172" s="1">
        <v>2</v>
      </c>
    </row>
    <row r="173" spans="1:7">
      <c r="A173" s="1">
        <v>162</v>
      </c>
      <c r="B173" s="8" t="s">
        <v>164</v>
      </c>
      <c r="C173" s="1">
        <v>557</v>
      </c>
      <c r="D173" s="1">
        <v>5</v>
      </c>
    </row>
    <row r="174" spans="1:7">
      <c r="A174" s="1">
        <v>163</v>
      </c>
      <c r="B174" s="4" t="s">
        <v>165</v>
      </c>
      <c r="C174" s="1">
        <v>133</v>
      </c>
      <c r="D174" s="1">
        <v>1</v>
      </c>
    </row>
    <row r="175" spans="1:7">
      <c r="A175" s="1">
        <v>164</v>
      </c>
      <c r="B175" s="8" t="s">
        <v>166</v>
      </c>
      <c r="C175" s="1">
        <v>585</v>
      </c>
      <c r="D175" s="1">
        <v>12</v>
      </c>
    </row>
    <row r="176" spans="1:7">
      <c r="A176" s="1">
        <v>165</v>
      </c>
      <c r="B176" s="8" t="s">
        <v>166</v>
      </c>
      <c r="C176" s="1">
        <v>692</v>
      </c>
      <c r="D176" s="1">
        <v>12</v>
      </c>
    </row>
    <row r="177" spans="1:5">
      <c r="A177" s="1">
        <v>166</v>
      </c>
      <c r="B177" s="8" t="s">
        <v>167</v>
      </c>
      <c r="C177" s="16">
        <v>482</v>
      </c>
      <c r="D177" s="1">
        <v>11</v>
      </c>
    </row>
    <row r="178" spans="1:5">
      <c r="A178" s="1">
        <v>167</v>
      </c>
      <c r="B178" s="8" t="s">
        <v>168</v>
      </c>
      <c r="C178" s="16">
        <v>361</v>
      </c>
      <c r="D178" s="1">
        <v>11</v>
      </c>
    </row>
    <row r="179" spans="1:5">
      <c r="A179" s="1">
        <v>168</v>
      </c>
      <c r="B179" s="10" t="s">
        <v>169</v>
      </c>
      <c r="C179" s="5">
        <v>379</v>
      </c>
      <c r="D179" s="5">
        <v>4</v>
      </c>
    </row>
    <row r="180" spans="1:5">
      <c r="A180" s="1">
        <v>169</v>
      </c>
      <c r="B180" s="8" t="s">
        <v>170</v>
      </c>
      <c r="C180" s="1">
        <v>280</v>
      </c>
      <c r="D180" s="1">
        <v>3</v>
      </c>
    </row>
    <row r="181" spans="1:5">
      <c r="A181" s="1">
        <v>170</v>
      </c>
      <c r="B181" s="8" t="s">
        <v>171</v>
      </c>
      <c r="C181" s="1">
        <v>259</v>
      </c>
      <c r="D181" s="1">
        <v>7</v>
      </c>
      <c r="E181" t="s">
        <v>460</v>
      </c>
    </row>
    <row r="182" spans="1:5">
      <c r="A182" s="1">
        <v>171</v>
      </c>
      <c r="B182" s="8" t="s">
        <v>172</v>
      </c>
      <c r="C182" s="1">
        <v>310</v>
      </c>
      <c r="D182" s="1">
        <v>5</v>
      </c>
    </row>
    <row r="183" spans="1:5">
      <c r="A183" s="1">
        <v>172</v>
      </c>
      <c r="B183" s="8" t="s">
        <v>173</v>
      </c>
      <c r="C183" s="1">
        <v>255</v>
      </c>
      <c r="D183" s="1">
        <v>6</v>
      </c>
      <c r="E183" t="s">
        <v>460</v>
      </c>
    </row>
    <row r="184" spans="1:5">
      <c r="A184" s="1">
        <v>173</v>
      </c>
      <c r="B184" s="4" t="s">
        <v>174</v>
      </c>
      <c r="C184" s="1">
        <v>265</v>
      </c>
      <c r="D184" s="1">
        <v>1</v>
      </c>
    </row>
    <row r="185" spans="1:5">
      <c r="A185" s="1">
        <v>174</v>
      </c>
      <c r="B185" s="8" t="s">
        <v>175</v>
      </c>
      <c r="C185" s="1">
        <v>486</v>
      </c>
      <c r="D185" s="1">
        <v>3</v>
      </c>
    </row>
    <row r="186" spans="1:5">
      <c r="A186" s="1">
        <v>175</v>
      </c>
      <c r="B186" s="8" t="s">
        <v>176</v>
      </c>
      <c r="C186" s="1">
        <v>493</v>
      </c>
      <c r="D186" s="1">
        <v>3</v>
      </c>
    </row>
    <row r="187" spans="1:5">
      <c r="A187" s="1">
        <v>176</v>
      </c>
      <c r="B187" s="4" t="s">
        <v>177</v>
      </c>
      <c r="C187" s="1">
        <v>808</v>
      </c>
      <c r="D187" s="1">
        <v>1</v>
      </c>
    </row>
    <row r="188" spans="1:5">
      <c r="A188" s="1">
        <v>177</v>
      </c>
      <c r="B188" s="19" t="s">
        <v>178</v>
      </c>
      <c r="C188" s="1">
        <v>772</v>
      </c>
      <c r="D188" s="1">
        <v>12</v>
      </c>
    </row>
    <row r="189" spans="1:5">
      <c r="A189" s="1">
        <v>178</v>
      </c>
      <c r="B189" s="19" t="s">
        <v>179</v>
      </c>
      <c r="C189" s="1">
        <v>773</v>
      </c>
      <c r="D189" s="1">
        <v>5</v>
      </c>
    </row>
    <row r="190" spans="1:5">
      <c r="A190" s="1">
        <v>179</v>
      </c>
      <c r="B190" s="23" t="s">
        <v>180</v>
      </c>
      <c r="C190" s="1">
        <v>870</v>
      </c>
      <c r="D190" s="1">
        <v>1</v>
      </c>
    </row>
    <row r="191" spans="1:5">
      <c r="A191" s="1">
        <v>180</v>
      </c>
      <c r="B191" s="19" t="s">
        <v>181</v>
      </c>
      <c r="C191" s="1">
        <v>515</v>
      </c>
      <c r="D191" s="1">
        <v>5</v>
      </c>
    </row>
    <row r="192" spans="1:5">
      <c r="A192" s="1">
        <v>181</v>
      </c>
      <c r="B192" s="8" t="s">
        <v>182</v>
      </c>
      <c r="C192" s="1">
        <v>509</v>
      </c>
      <c r="D192" s="1">
        <v>2</v>
      </c>
    </row>
    <row r="193" spans="1:7">
      <c r="A193" s="1">
        <v>182</v>
      </c>
      <c r="B193" s="8" t="s">
        <v>183</v>
      </c>
      <c r="C193" s="1">
        <v>504</v>
      </c>
      <c r="D193" s="1">
        <v>2</v>
      </c>
    </row>
    <row r="194" spans="1:7">
      <c r="A194" s="1">
        <v>183</v>
      </c>
      <c r="B194" s="8" t="s">
        <v>184</v>
      </c>
      <c r="C194" s="1">
        <v>684</v>
      </c>
      <c r="D194" s="1">
        <v>3</v>
      </c>
      <c r="E194" t="s">
        <v>460</v>
      </c>
      <c r="G194" t="s">
        <v>462</v>
      </c>
    </row>
    <row r="195" spans="1:7">
      <c r="A195" s="1">
        <v>184</v>
      </c>
      <c r="B195" s="8" t="s">
        <v>185</v>
      </c>
      <c r="C195" s="1">
        <v>806</v>
      </c>
      <c r="D195" s="1">
        <v>7</v>
      </c>
      <c r="E195" t="s">
        <v>460</v>
      </c>
    </row>
    <row r="196" spans="1:7">
      <c r="A196" s="1">
        <v>185</v>
      </c>
      <c r="B196" s="8" t="s">
        <v>186</v>
      </c>
      <c r="C196" s="1">
        <v>818</v>
      </c>
      <c r="D196" s="1">
        <v>2</v>
      </c>
      <c r="E196" t="s">
        <v>460</v>
      </c>
      <c r="G196" t="s">
        <v>462</v>
      </c>
    </row>
    <row r="197" spans="1:7">
      <c r="A197" s="1">
        <v>186</v>
      </c>
      <c r="B197" s="8" t="s">
        <v>187</v>
      </c>
      <c r="C197" s="1">
        <v>503</v>
      </c>
      <c r="D197" s="1">
        <v>2</v>
      </c>
      <c r="E197" t="s">
        <v>460</v>
      </c>
      <c r="G197" t="s">
        <v>462</v>
      </c>
    </row>
    <row r="198" spans="1:7">
      <c r="A198" s="1">
        <v>187</v>
      </c>
      <c r="B198" s="4" t="s">
        <v>188</v>
      </c>
      <c r="C198" s="1">
        <v>598</v>
      </c>
      <c r="D198" s="1">
        <v>1</v>
      </c>
      <c r="E198" t="s">
        <v>460</v>
      </c>
      <c r="G198" t="s">
        <v>462</v>
      </c>
    </row>
    <row r="199" spans="1:7">
      <c r="A199" s="1">
        <v>188</v>
      </c>
      <c r="B199" s="8" t="s">
        <v>189</v>
      </c>
      <c r="C199" s="1">
        <v>855</v>
      </c>
      <c r="D199" s="3">
        <v>5</v>
      </c>
    </row>
    <row r="200" spans="1:7">
      <c r="A200" s="1">
        <v>189</v>
      </c>
      <c r="B200" s="8" t="s">
        <v>190</v>
      </c>
      <c r="C200" s="1">
        <v>597</v>
      </c>
      <c r="D200" s="6">
        <v>4</v>
      </c>
    </row>
    <row r="201" spans="1:7">
      <c r="A201" s="1">
        <v>190</v>
      </c>
      <c r="B201" s="21" t="s">
        <v>191</v>
      </c>
      <c r="C201" s="16">
        <v>839</v>
      </c>
      <c r="D201" s="16">
        <v>5</v>
      </c>
    </row>
    <row r="202" spans="1:7">
      <c r="A202" s="1">
        <v>191</v>
      </c>
      <c r="B202" s="8" t="s">
        <v>192</v>
      </c>
      <c r="C202" s="1">
        <v>827</v>
      </c>
      <c r="D202" s="1">
        <v>7</v>
      </c>
    </row>
    <row r="203" spans="1:7">
      <c r="A203" s="1">
        <v>192</v>
      </c>
      <c r="B203" s="8" t="s">
        <v>193</v>
      </c>
      <c r="C203" s="1">
        <v>850</v>
      </c>
      <c r="D203" s="1">
        <v>2</v>
      </c>
      <c r="E203" t="s">
        <v>460</v>
      </c>
      <c r="G203" t="s">
        <v>462</v>
      </c>
    </row>
    <row r="204" spans="1:7">
      <c r="A204" s="1">
        <v>193</v>
      </c>
      <c r="B204" s="8" t="s">
        <v>194</v>
      </c>
      <c r="C204" s="1">
        <v>814</v>
      </c>
      <c r="D204" s="1">
        <v>7</v>
      </c>
      <c r="E204" t="s">
        <v>460</v>
      </c>
    </row>
    <row r="205" spans="1:7">
      <c r="A205" s="1">
        <v>194</v>
      </c>
      <c r="B205" s="8" t="s">
        <v>195</v>
      </c>
      <c r="C205" s="1">
        <v>819</v>
      </c>
      <c r="D205" s="1">
        <v>6</v>
      </c>
      <c r="E205" t="s">
        <v>460</v>
      </c>
    </row>
    <row r="206" spans="1:7">
      <c r="A206" s="1">
        <v>195</v>
      </c>
      <c r="B206" s="8" t="s">
        <v>196</v>
      </c>
      <c r="C206" s="2">
        <v>783</v>
      </c>
      <c r="D206" s="1">
        <v>2</v>
      </c>
      <c r="E206" t="s">
        <v>460</v>
      </c>
      <c r="G206" t="s">
        <v>462</v>
      </c>
    </row>
    <row r="207" spans="1:7">
      <c r="A207" s="1">
        <v>196</v>
      </c>
      <c r="B207" s="8" t="s">
        <v>197</v>
      </c>
      <c r="C207" s="1">
        <v>501</v>
      </c>
      <c r="D207" s="1">
        <v>7</v>
      </c>
    </row>
    <row r="208" spans="1:7">
      <c r="A208" s="1">
        <v>197</v>
      </c>
      <c r="B208" s="8" t="s">
        <v>198</v>
      </c>
      <c r="C208" s="1">
        <v>541</v>
      </c>
      <c r="D208" s="1">
        <v>2</v>
      </c>
    </row>
    <row r="209" spans="1:8">
      <c r="A209" s="1">
        <v>198</v>
      </c>
      <c r="B209" s="8" t="s">
        <v>199</v>
      </c>
      <c r="C209" s="1">
        <v>108</v>
      </c>
      <c r="D209" s="1">
        <v>2</v>
      </c>
    </row>
    <row r="210" spans="1:8">
      <c r="A210" s="1">
        <v>199</v>
      </c>
      <c r="B210" s="4" t="s">
        <v>200</v>
      </c>
      <c r="C210" s="2">
        <v>109</v>
      </c>
      <c r="D210" s="2">
        <v>12</v>
      </c>
    </row>
    <row r="211" spans="1:8">
      <c r="A211" s="1">
        <v>200</v>
      </c>
      <c r="B211" s="8" t="s">
        <v>201</v>
      </c>
      <c r="C211" s="1">
        <v>328</v>
      </c>
      <c r="D211" s="1">
        <v>9</v>
      </c>
    </row>
    <row r="212" spans="1:8">
      <c r="A212" s="1">
        <v>201</v>
      </c>
      <c r="B212" s="8" t="s">
        <v>202</v>
      </c>
      <c r="C212" s="1">
        <v>292</v>
      </c>
      <c r="D212" s="1">
        <v>1</v>
      </c>
      <c r="E212" t="s">
        <v>460</v>
      </c>
      <c r="G212" t="s">
        <v>461</v>
      </c>
      <c r="H212" t="s">
        <v>463</v>
      </c>
    </row>
    <row r="213" spans="1:8">
      <c r="A213" s="1">
        <v>202</v>
      </c>
      <c r="B213" s="8" t="s">
        <v>203</v>
      </c>
      <c r="C213" s="1">
        <v>391</v>
      </c>
      <c r="D213" s="1">
        <v>9</v>
      </c>
    </row>
    <row r="214" spans="1:8">
      <c r="A214" s="1">
        <v>203</v>
      </c>
      <c r="B214" s="8" t="s">
        <v>204</v>
      </c>
      <c r="C214" s="1">
        <v>538</v>
      </c>
      <c r="D214" s="1">
        <v>6</v>
      </c>
      <c r="E214" t="s">
        <v>460</v>
      </c>
    </row>
    <row r="215" spans="1:8">
      <c r="A215" s="1">
        <v>204</v>
      </c>
      <c r="B215" s="8" t="s">
        <v>205</v>
      </c>
      <c r="C215" s="1">
        <v>537</v>
      </c>
      <c r="D215" s="1">
        <v>3</v>
      </c>
      <c r="E215" t="s">
        <v>460</v>
      </c>
      <c r="G215" t="s">
        <v>462</v>
      </c>
    </row>
    <row r="216" spans="1:8">
      <c r="A216" s="1">
        <v>205</v>
      </c>
      <c r="B216" s="8" t="s">
        <v>206</v>
      </c>
      <c r="C216" s="1">
        <v>532</v>
      </c>
      <c r="D216" s="1">
        <v>2</v>
      </c>
      <c r="E216" t="s">
        <v>460</v>
      </c>
      <c r="G216" t="s">
        <v>462</v>
      </c>
    </row>
    <row r="217" spans="1:8">
      <c r="A217" s="1">
        <v>206</v>
      </c>
      <c r="B217" s="8" t="s">
        <v>207</v>
      </c>
      <c r="C217" s="1">
        <v>523</v>
      </c>
      <c r="D217" s="1">
        <v>6</v>
      </c>
      <c r="E217" t="s">
        <v>460</v>
      </c>
    </row>
    <row r="218" spans="1:8">
      <c r="A218" s="1">
        <v>207</v>
      </c>
      <c r="B218" s="20" t="s">
        <v>208</v>
      </c>
      <c r="C218" s="1">
        <v>318</v>
      </c>
      <c r="D218" s="1">
        <v>6</v>
      </c>
    </row>
    <row r="219" spans="1:8">
      <c r="A219" s="1">
        <v>208</v>
      </c>
      <c r="B219" s="8" t="s">
        <v>209</v>
      </c>
      <c r="C219" s="1">
        <v>630</v>
      </c>
      <c r="D219" s="1">
        <v>7</v>
      </c>
      <c r="E219" t="s">
        <v>460</v>
      </c>
    </row>
    <row r="220" spans="1:8">
      <c r="A220" s="1">
        <v>209</v>
      </c>
      <c r="B220" s="8" t="s">
        <v>210</v>
      </c>
      <c r="C220" s="1">
        <v>560</v>
      </c>
      <c r="D220" s="1">
        <v>4</v>
      </c>
      <c r="E220" t="s">
        <v>460</v>
      </c>
    </row>
    <row r="221" spans="1:8">
      <c r="A221" s="1">
        <v>210</v>
      </c>
      <c r="B221" s="4" t="s">
        <v>211</v>
      </c>
      <c r="C221" s="1">
        <v>513</v>
      </c>
      <c r="D221" s="1">
        <v>1</v>
      </c>
      <c r="E221" t="s">
        <v>460</v>
      </c>
      <c r="G221" t="s">
        <v>462</v>
      </c>
    </row>
    <row r="222" spans="1:8">
      <c r="A222" s="1">
        <v>211</v>
      </c>
      <c r="B222" s="21" t="s">
        <v>212</v>
      </c>
      <c r="C222" s="16">
        <v>799</v>
      </c>
      <c r="D222" s="16">
        <v>4</v>
      </c>
    </row>
    <row r="223" spans="1:8">
      <c r="A223" s="1">
        <v>212</v>
      </c>
      <c r="B223" s="8" t="s">
        <v>213</v>
      </c>
      <c r="C223" s="1">
        <v>822</v>
      </c>
      <c r="D223" s="1">
        <v>5</v>
      </c>
      <c r="E223" t="s">
        <v>460</v>
      </c>
    </row>
    <row r="224" spans="1:8">
      <c r="A224" s="1">
        <v>213</v>
      </c>
      <c r="B224" s="21" t="s">
        <v>214</v>
      </c>
      <c r="C224" s="16">
        <v>562</v>
      </c>
      <c r="D224" s="16">
        <v>2</v>
      </c>
    </row>
    <row r="225" spans="1:7">
      <c r="A225" s="1">
        <v>214</v>
      </c>
      <c r="B225" s="8" t="s">
        <v>215</v>
      </c>
      <c r="C225" s="1">
        <v>385</v>
      </c>
      <c r="D225" s="1">
        <v>4</v>
      </c>
      <c r="E225" t="s">
        <v>460</v>
      </c>
    </row>
    <row r="226" spans="1:7">
      <c r="A226" s="1">
        <v>215</v>
      </c>
      <c r="B226" s="8" t="s">
        <v>216</v>
      </c>
      <c r="C226" s="1">
        <v>828</v>
      </c>
      <c r="D226" s="1">
        <v>4</v>
      </c>
      <c r="E226" t="s">
        <v>460</v>
      </c>
    </row>
    <row r="227" spans="1:7">
      <c r="A227" s="1">
        <v>216</v>
      </c>
      <c r="B227" s="8" t="s">
        <v>217</v>
      </c>
      <c r="C227" s="1">
        <v>803</v>
      </c>
      <c r="D227" s="1">
        <v>7</v>
      </c>
      <c r="E227" t="s">
        <v>460</v>
      </c>
    </row>
    <row r="228" spans="1:7">
      <c r="A228" s="1">
        <v>217</v>
      </c>
      <c r="B228" s="8" t="s">
        <v>218</v>
      </c>
      <c r="C228" s="1">
        <v>804</v>
      </c>
      <c r="D228" s="1">
        <v>11</v>
      </c>
    </row>
    <row r="229" spans="1:7">
      <c r="A229" s="1">
        <v>218</v>
      </c>
      <c r="B229" s="8" t="s">
        <v>219</v>
      </c>
      <c r="C229" s="1">
        <v>599</v>
      </c>
      <c r="D229" s="1">
        <v>2</v>
      </c>
      <c r="E229" t="s">
        <v>460</v>
      </c>
      <c r="G229" t="s">
        <v>462</v>
      </c>
    </row>
    <row r="230" spans="1:7">
      <c r="A230" s="1">
        <v>219</v>
      </c>
      <c r="B230" s="8" t="s">
        <v>220</v>
      </c>
      <c r="C230" s="1">
        <v>786</v>
      </c>
      <c r="D230" s="1">
        <v>11</v>
      </c>
    </row>
    <row r="231" spans="1:7">
      <c r="A231" s="1">
        <v>220</v>
      </c>
      <c r="B231" s="8" t="s">
        <v>221</v>
      </c>
      <c r="C231" s="1">
        <v>821</v>
      </c>
      <c r="D231" s="1">
        <v>7</v>
      </c>
    </row>
    <row r="232" spans="1:7">
      <c r="A232" s="1">
        <v>221</v>
      </c>
      <c r="B232" s="8" t="s">
        <v>222</v>
      </c>
      <c r="C232" s="1">
        <v>492</v>
      </c>
      <c r="D232" s="1">
        <v>7</v>
      </c>
    </row>
    <row r="233" spans="1:7">
      <c r="A233" s="1">
        <v>222</v>
      </c>
      <c r="B233" s="8" t="s">
        <v>223</v>
      </c>
      <c r="C233" s="2">
        <v>581</v>
      </c>
      <c r="D233" s="2">
        <v>7</v>
      </c>
      <c r="E233" t="s">
        <v>460</v>
      </c>
    </row>
    <row r="234" spans="1:7">
      <c r="A234" s="1">
        <v>223</v>
      </c>
      <c r="B234" s="4" t="s">
        <v>224</v>
      </c>
      <c r="C234" s="2">
        <v>693</v>
      </c>
      <c r="D234" s="2">
        <v>12</v>
      </c>
      <c r="E234" t="s">
        <v>460</v>
      </c>
    </row>
    <row r="235" spans="1:7">
      <c r="A235" s="1">
        <v>224</v>
      </c>
      <c r="B235" s="8" t="s">
        <v>225</v>
      </c>
      <c r="C235" s="1">
        <v>556</v>
      </c>
      <c r="D235" s="1">
        <v>4</v>
      </c>
    </row>
    <row r="236" spans="1:7">
      <c r="A236" s="1">
        <v>225</v>
      </c>
      <c r="B236" s="4" t="s">
        <v>226</v>
      </c>
      <c r="C236" s="2">
        <v>162</v>
      </c>
      <c r="D236" s="2">
        <v>8</v>
      </c>
    </row>
    <row r="237" spans="1:7">
      <c r="A237" s="1">
        <v>226</v>
      </c>
      <c r="B237" s="8" t="s">
        <v>227</v>
      </c>
      <c r="C237" s="1">
        <v>163</v>
      </c>
      <c r="D237" s="1">
        <v>8</v>
      </c>
    </row>
    <row r="238" spans="1:7">
      <c r="A238" s="1">
        <v>227</v>
      </c>
      <c r="B238" s="8" t="s">
        <v>228</v>
      </c>
      <c r="C238" s="1">
        <v>199</v>
      </c>
      <c r="D238" s="1">
        <v>8</v>
      </c>
      <c r="E238" t="s">
        <v>460</v>
      </c>
    </row>
    <row r="239" spans="1:7">
      <c r="A239" s="1">
        <v>228</v>
      </c>
      <c r="B239" s="8" t="s">
        <v>229</v>
      </c>
      <c r="C239" s="1">
        <v>198</v>
      </c>
      <c r="D239" s="1">
        <v>4</v>
      </c>
      <c r="E239" t="s">
        <v>460</v>
      </c>
    </row>
    <row r="240" spans="1:7">
      <c r="A240" s="1">
        <v>229</v>
      </c>
      <c r="B240" s="22" t="s">
        <v>230</v>
      </c>
      <c r="C240" s="7">
        <v>201</v>
      </c>
      <c r="D240" s="7">
        <v>11</v>
      </c>
    </row>
    <row r="241" spans="1:7">
      <c r="A241" s="1">
        <v>230</v>
      </c>
      <c r="B241" s="8" t="s">
        <v>231</v>
      </c>
      <c r="C241" s="1">
        <v>172</v>
      </c>
      <c r="D241" s="1">
        <v>2</v>
      </c>
    </row>
    <row r="242" spans="1:7">
      <c r="A242" s="1">
        <v>231</v>
      </c>
      <c r="B242" s="8" t="s">
        <v>232</v>
      </c>
      <c r="C242" s="1">
        <v>380</v>
      </c>
      <c r="D242" s="1">
        <v>3</v>
      </c>
      <c r="E242" t="s">
        <v>460</v>
      </c>
      <c r="G242" t="s">
        <v>462</v>
      </c>
    </row>
    <row r="243" spans="1:7">
      <c r="A243" s="1">
        <v>232</v>
      </c>
      <c r="B243" s="8" t="s">
        <v>233</v>
      </c>
      <c r="C243" s="1">
        <v>381</v>
      </c>
      <c r="D243" s="1">
        <v>4</v>
      </c>
    </row>
    <row r="244" spans="1:7">
      <c r="A244" s="1">
        <v>233</v>
      </c>
      <c r="B244" s="4" t="s">
        <v>234</v>
      </c>
      <c r="C244" s="1">
        <v>185</v>
      </c>
      <c r="D244" s="1">
        <v>1</v>
      </c>
    </row>
    <row r="245" spans="1:7">
      <c r="A245" s="1">
        <v>234</v>
      </c>
      <c r="B245" s="8" t="s">
        <v>235</v>
      </c>
      <c r="C245" s="1">
        <v>494</v>
      </c>
      <c r="D245" s="1">
        <v>6</v>
      </c>
      <c r="E245" t="s">
        <v>460</v>
      </c>
    </row>
    <row r="246" spans="1:7">
      <c r="A246" s="1">
        <v>235</v>
      </c>
      <c r="B246" s="8" t="s">
        <v>236</v>
      </c>
      <c r="C246" s="1">
        <v>784</v>
      </c>
      <c r="D246" s="1">
        <v>3</v>
      </c>
      <c r="E246" t="s">
        <v>460</v>
      </c>
      <c r="G246" t="s">
        <v>462</v>
      </c>
    </row>
    <row r="247" spans="1:7">
      <c r="A247" s="1">
        <v>236</v>
      </c>
      <c r="B247" s="8" t="s">
        <v>237</v>
      </c>
      <c r="C247" s="1">
        <v>395</v>
      </c>
      <c r="D247" s="1">
        <v>12</v>
      </c>
    </row>
    <row r="248" spans="1:7">
      <c r="A248" s="1">
        <v>237</v>
      </c>
      <c r="B248" s="8" t="s">
        <v>238</v>
      </c>
      <c r="C248" s="1">
        <v>129</v>
      </c>
      <c r="D248" s="1">
        <v>1</v>
      </c>
    </row>
    <row r="249" spans="1:7">
      <c r="A249" s="1">
        <v>238</v>
      </c>
      <c r="B249" s="4" t="s">
        <v>239</v>
      </c>
      <c r="C249" s="1">
        <v>351</v>
      </c>
      <c r="D249" s="1">
        <v>1</v>
      </c>
    </row>
    <row r="250" spans="1:7">
      <c r="A250" s="1">
        <v>239</v>
      </c>
      <c r="B250" s="8" t="s">
        <v>240</v>
      </c>
      <c r="C250" s="1">
        <v>349</v>
      </c>
      <c r="D250" s="1">
        <v>4</v>
      </c>
    </row>
    <row r="251" spans="1:7">
      <c r="A251" s="1">
        <v>240</v>
      </c>
      <c r="B251" s="8" t="s">
        <v>241</v>
      </c>
      <c r="C251" s="1">
        <v>341</v>
      </c>
      <c r="D251" s="1">
        <v>3</v>
      </c>
      <c r="E251" t="s">
        <v>460</v>
      </c>
      <c r="G251" t="s">
        <v>462</v>
      </c>
    </row>
    <row r="252" spans="1:7">
      <c r="A252" s="1">
        <v>241</v>
      </c>
      <c r="B252" s="8" t="s">
        <v>242</v>
      </c>
      <c r="C252" s="1">
        <v>339</v>
      </c>
      <c r="D252" s="1">
        <v>10</v>
      </c>
      <c r="E252" t="s">
        <v>460</v>
      </c>
    </row>
    <row r="253" spans="1:7">
      <c r="A253" s="1">
        <v>242</v>
      </c>
      <c r="B253" s="8" t="s">
        <v>243</v>
      </c>
      <c r="C253" s="1">
        <v>306</v>
      </c>
      <c r="D253" s="1">
        <v>7</v>
      </c>
      <c r="E253" t="s">
        <v>460</v>
      </c>
    </row>
    <row r="254" spans="1:7">
      <c r="A254" s="1">
        <v>243</v>
      </c>
      <c r="B254" s="8" t="s">
        <v>244</v>
      </c>
      <c r="C254" s="1">
        <v>326</v>
      </c>
      <c r="D254" s="1">
        <v>1</v>
      </c>
      <c r="E254" t="s">
        <v>460</v>
      </c>
      <c r="G254" t="s">
        <v>461</v>
      </c>
    </row>
    <row r="255" spans="1:7">
      <c r="A255" s="1">
        <v>244</v>
      </c>
      <c r="B255" s="8" t="s">
        <v>245</v>
      </c>
      <c r="C255" s="1">
        <v>256</v>
      </c>
      <c r="D255" s="1">
        <v>5</v>
      </c>
    </row>
    <row r="256" spans="1:7">
      <c r="A256" s="1">
        <v>245</v>
      </c>
      <c r="B256" s="4" t="s">
        <v>246</v>
      </c>
      <c r="C256" s="1">
        <v>316</v>
      </c>
      <c r="D256" s="1">
        <v>1</v>
      </c>
      <c r="E256" t="s">
        <v>460</v>
      </c>
      <c r="G256" t="s">
        <v>461</v>
      </c>
    </row>
    <row r="257" spans="1:8">
      <c r="A257" s="1">
        <v>246</v>
      </c>
      <c r="B257" s="4" t="s">
        <v>247</v>
      </c>
      <c r="C257" s="1">
        <v>240</v>
      </c>
      <c r="D257" s="1">
        <v>1</v>
      </c>
      <c r="E257" t="s">
        <v>460</v>
      </c>
      <c r="G257" t="s">
        <v>462</v>
      </c>
    </row>
    <row r="258" spans="1:8">
      <c r="A258" s="1">
        <v>247</v>
      </c>
      <c r="B258" s="8" t="s">
        <v>248</v>
      </c>
      <c r="C258" s="1">
        <v>238</v>
      </c>
      <c r="D258" s="1">
        <v>1</v>
      </c>
      <c r="E258" t="s">
        <v>460</v>
      </c>
      <c r="G258" t="s">
        <v>462</v>
      </c>
    </row>
    <row r="259" spans="1:8">
      <c r="A259" s="1">
        <v>248</v>
      </c>
      <c r="B259" s="8" t="s">
        <v>249</v>
      </c>
      <c r="C259" s="1">
        <v>622</v>
      </c>
      <c r="D259" s="1">
        <v>4</v>
      </c>
    </row>
    <row r="260" spans="1:8">
      <c r="A260" s="1">
        <v>249</v>
      </c>
      <c r="B260" s="8" t="s">
        <v>250</v>
      </c>
      <c r="C260" s="1">
        <v>260</v>
      </c>
      <c r="D260" s="1">
        <v>5</v>
      </c>
    </row>
    <row r="261" spans="1:8">
      <c r="A261" s="1">
        <v>250</v>
      </c>
      <c r="B261" s="8" t="s">
        <v>251</v>
      </c>
      <c r="C261" s="1">
        <v>488</v>
      </c>
      <c r="D261" s="1">
        <v>7</v>
      </c>
    </row>
    <row r="262" spans="1:8">
      <c r="A262" s="1">
        <v>251</v>
      </c>
      <c r="B262" s="8" t="s">
        <v>252</v>
      </c>
      <c r="C262" s="1">
        <v>621</v>
      </c>
      <c r="D262" s="1">
        <v>3</v>
      </c>
      <c r="E262" t="s">
        <v>460</v>
      </c>
      <c r="G262" t="s">
        <v>462</v>
      </c>
    </row>
    <row r="263" spans="1:8">
      <c r="A263" s="1">
        <v>252</v>
      </c>
      <c r="B263" s="8" t="s">
        <v>253</v>
      </c>
      <c r="C263" s="1">
        <v>258</v>
      </c>
      <c r="D263" s="1">
        <v>2</v>
      </c>
      <c r="E263" t="s">
        <v>460</v>
      </c>
      <c r="G263" t="s">
        <v>462</v>
      </c>
    </row>
    <row r="264" spans="1:8">
      <c r="A264" s="1">
        <v>253</v>
      </c>
      <c r="B264" s="4" t="s">
        <v>254</v>
      </c>
      <c r="C264" s="1">
        <v>788</v>
      </c>
      <c r="D264" s="1">
        <v>1</v>
      </c>
      <c r="E264" t="s">
        <v>460</v>
      </c>
      <c r="G264" t="s">
        <v>461</v>
      </c>
      <c r="H264" t="s">
        <v>463</v>
      </c>
    </row>
    <row r="265" spans="1:8">
      <c r="A265" s="1">
        <v>254</v>
      </c>
      <c r="B265" s="8" t="s">
        <v>255</v>
      </c>
      <c r="C265" s="1">
        <v>261</v>
      </c>
      <c r="D265" s="1">
        <v>7</v>
      </c>
    </row>
    <row r="266" spans="1:8">
      <c r="A266" s="1">
        <v>255</v>
      </c>
      <c r="B266" s="8" t="s">
        <v>256</v>
      </c>
      <c r="C266" s="1">
        <v>311</v>
      </c>
      <c r="D266" s="1">
        <v>1</v>
      </c>
      <c r="E266" t="s">
        <v>460</v>
      </c>
      <c r="G266" t="s">
        <v>462</v>
      </c>
    </row>
    <row r="267" spans="1:8">
      <c r="A267" s="1">
        <v>256</v>
      </c>
      <c r="B267" s="8" t="s">
        <v>257</v>
      </c>
      <c r="C267" s="1">
        <v>358</v>
      </c>
      <c r="D267" s="1">
        <v>3</v>
      </c>
      <c r="E267" t="s">
        <v>460</v>
      </c>
      <c r="G267" t="s">
        <v>462</v>
      </c>
    </row>
    <row r="268" spans="1:8">
      <c r="A268" s="1">
        <v>257</v>
      </c>
      <c r="B268" s="8" t="s">
        <v>258</v>
      </c>
      <c r="C268" s="1">
        <v>369</v>
      </c>
      <c r="D268" s="1">
        <v>9</v>
      </c>
    </row>
    <row r="269" spans="1:8">
      <c r="A269" s="1">
        <v>258</v>
      </c>
      <c r="B269" s="8" t="s">
        <v>259</v>
      </c>
      <c r="C269" s="1">
        <v>354</v>
      </c>
      <c r="D269" s="1">
        <v>7</v>
      </c>
      <c r="E269" t="s">
        <v>460</v>
      </c>
    </row>
    <row r="270" spans="1:8">
      <c r="A270" s="1">
        <v>259</v>
      </c>
      <c r="B270" s="8" t="s">
        <v>260</v>
      </c>
      <c r="C270" s="1">
        <v>528</v>
      </c>
      <c r="D270" s="1">
        <v>7</v>
      </c>
    </row>
    <row r="271" spans="1:8">
      <c r="A271" s="1">
        <v>260</v>
      </c>
      <c r="B271" s="8" t="s">
        <v>261</v>
      </c>
      <c r="C271" s="16">
        <v>101</v>
      </c>
      <c r="D271" s="1">
        <v>11</v>
      </c>
    </row>
    <row r="272" spans="1:8">
      <c r="A272" s="1">
        <v>261</v>
      </c>
      <c r="B272" s="4" t="s">
        <v>262</v>
      </c>
      <c r="C272" s="16">
        <v>790</v>
      </c>
      <c r="D272" s="1">
        <v>1</v>
      </c>
      <c r="E272" t="s">
        <v>460</v>
      </c>
      <c r="G272" t="s">
        <v>462</v>
      </c>
    </row>
    <row r="273" spans="1:7">
      <c r="A273" s="1">
        <v>262</v>
      </c>
      <c r="B273" s="8" t="s">
        <v>263</v>
      </c>
      <c r="C273" s="1">
        <v>636</v>
      </c>
      <c r="D273" s="1">
        <v>7</v>
      </c>
    </row>
    <row r="274" spans="1:7">
      <c r="A274" s="1">
        <v>263</v>
      </c>
      <c r="B274" s="8" t="s">
        <v>264</v>
      </c>
      <c r="C274" s="1">
        <v>601</v>
      </c>
      <c r="D274" s="1">
        <v>7</v>
      </c>
      <c r="E274" t="s">
        <v>460</v>
      </c>
    </row>
    <row r="275" spans="1:7">
      <c r="A275" s="1">
        <v>264</v>
      </c>
      <c r="B275" s="8" t="s">
        <v>265</v>
      </c>
      <c r="C275" s="1">
        <v>696</v>
      </c>
      <c r="D275" s="1">
        <v>3</v>
      </c>
    </row>
    <row r="276" spans="1:7">
      <c r="A276" s="1">
        <v>265</v>
      </c>
      <c r="B276" s="8" t="s">
        <v>266</v>
      </c>
      <c r="C276" s="1">
        <v>686</v>
      </c>
      <c r="D276" s="1">
        <v>1</v>
      </c>
    </row>
    <row r="277" spans="1:7">
      <c r="A277" s="1">
        <v>266</v>
      </c>
      <c r="B277" s="8" t="s">
        <v>267</v>
      </c>
      <c r="C277" s="1">
        <v>356</v>
      </c>
      <c r="D277" s="1">
        <v>4</v>
      </c>
      <c r="E277" t="s">
        <v>460</v>
      </c>
    </row>
    <row r="278" spans="1:7">
      <c r="A278" s="1">
        <v>267</v>
      </c>
      <c r="B278" s="8" t="s">
        <v>268</v>
      </c>
      <c r="C278" s="1">
        <v>511</v>
      </c>
      <c r="D278" s="2">
        <v>12</v>
      </c>
      <c r="E278" t="s">
        <v>460</v>
      </c>
    </row>
    <row r="279" spans="1:7">
      <c r="A279" s="1">
        <v>268</v>
      </c>
      <c r="B279" s="4" t="s">
        <v>269</v>
      </c>
      <c r="C279" s="2">
        <v>496</v>
      </c>
      <c r="D279" s="1">
        <v>7</v>
      </c>
      <c r="E279" t="s">
        <v>460</v>
      </c>
    </row>
    <row r="280" spans="1:7">
      <c r="A280" s="1">
        <v>269</v>
      </c>
      <c r="B280" s="8" t="s">
        <v>270</v>
      </c>
      <c r="C280" s="1">
        <v>617</v>
      </c>
      <c r="D280" s="1">
        <v>4</v>
      </c>
      <c r="E280" t="s">
        <v>460</v>
      </c>
    </row>
    <row r="281" spans="1:7">
      <c r="A281" s="1">
        <v>270</v>
      </c>
      <c r="B281" s="10" t="s">
        <v>271</v>
      </c>
      <c r="C281" s="3">
        <v>608</v>
      </c>
      <c r="D281" s="3">
        <v>2</v>
      </c>
      <c r="E281" t="s">
        <v>460</v>
      </c>
      <c r="G281" t="s">
        <v>462</v>
      </c>
    </row>
    <row r="282" spans="1:7">
      <c r="A282" s="1">
        <v>271</v>
      </c>
      <c r="B282" s="4" t="s">
        <v>272</v>
      </c>
      <c r="C282" s="2">
        <v>605</v>
      </c>
      <c r="D282" s="2">
        <v>6</v>
      </c>
      <c r="E282" t="s">
        <v>460</v>
      </c>
    </row>
    <row r="283" spans="1:7">
      <c r="A283" s="1">
        <v>272</v>
      </c>
      <c r="B283" s="4" t="s">
        <v>273</v>
      </c>
      <c r="C283" s="1">
        <v>683</v>
      </c>
      <c r="D283" s="1">
        <v>1</v>
      </c>
      <c r="E283" t="s">
        <v>460</v>
      </c>
      <c r="G283" t="s">
        <v>462</v>
      </c>
    </row>
    <row r="284" spans="1:7">
      <c r="A284" s="1">
        <v>273</v>
      </c>
      <c r="B284" s="8" t="s">
        <v>274</v>
      </c>
      <c r="C284" s="1">
        <v>619</v>
      </c>
      <c r="D284" s="1">
        <v>3</v>
      </c>
      <c r="E284" t="s">
        <v>460</v>
      </c>
      <c r="G284" t="s">
        <v>462</v>
      </c>
    </row>
    <row r="285" spans="1:7">
      <c r="A285" s="1">
        <v>274</v>
      </c>
      <c r="B285" s="8" t="s">
        <v>275</v>
      </c>
      <c r="C285" s="1">
        <v>587</v>
      </c>
      <c r="D285" s="1">
        <v>2</v>
      </c>
      <c r="E285" t="s">
        <v>460</v>
      </c>
      <c r="G285" t="s">
        <v>462</v>
      </c>
    </row>
    <row r="286" spans="1:7">
      <c r="A286" s="1">
        <v>275</v>
      </c>
      <c r="B286" s="8" t="s">
        <v>276</v>
      </c>
      <c r="C286" s="1">
        <v>584</v>
      </c>
      <c r="D286" s="1">
        <v>3</v>
      </c>
      <c r="E286" t="s">
        <v>460</v>
      </c>
      <c r="G286" t="s">
        <v>462</v>
      </c>
    </row>
    <row r="287" spans="1:7">
      <c r="A287" s="1">
        <v>276</v>
      </c>
      <c r="B287" s="8" t="s">
        <v>277</v>
      </c>
      <c r="C287" s="1">
        <v>583</v>
      </c>
      <c r="D287" s="1">
        <v>5</v>
      </c>
      <c r="E287" t="s">
        <v>460</v>
      </c>
    </row>
    <row r="288" spans="1:7">
      <c r="A288" s="1">
        <v>277</v>
      </c>
      <c r="B288" s="8" t="s">
        <v>278</v>
      </c>
      <c r="C288" s="1">
        <v>866</v>
      </c>
      <c r="D288" s="1">
        <v>6</v>
      </c>
      <c r="E288" t="s">
        <v>460</v>
      </c>
    </row>
    <row r="289" spans="1:7">
      <c r="A289" s="1">
        <v>278</v>
      </c>
      <c r="B289" s="8" t="s">
        <v>279</v>
      </c>
      <c r="C289" s="1">
        <v>491</v>
      </c>
      <c r="D289" s="1">
        <v>7</v>
      </c>
      <c r="E289" t="s">
        <v>460</v>
      </c>
    </row>
    <row r="290" spans="1:7">
      <c r="A290" s="1">
        <v>279</v>
      </c>
      <c r="B290" s="8" t="s">
        <v>280</v>
      </c>
      <c r="C290" s="1">
        <v>499</v>
      </c>
      <c r="D290" s="1">
        <v>4</v>
      </c>
    </row>
    <row r="291" spans="1:7">
      <c r="A291" s="1">
        <v>280</v>
      </c>
      <c r="B291" s="9" t="s">
        <v>281</v>
      </c>
      <c r="C291" s="16">
        <v>489</v>
      </c>
      <c r="D291" s="1">
        <v>7</v>
      </c>
    </row>
    <row r="292" spans="1:7">
      <c r="A292" s="1">
        <v>281</v>
      </c>
      <c r="B292" s="9" t="s">
        <v>282</v>
      </c>
      <c r="C292" s="16">
        <v>857</v>
      </c>
      <c r="D292" s="1">
        <v>3</v>
      </c>
    </row>
    <row r="293" spans="1:7">
      <c r="A293" s="1">
        <v>282</v>
      </c>
      <c r="B293" s="8" t="s">
        <v>283</v>
      </c>
      <c r="C293" s="1">
        <v>507</v>
      </c>
      <c r="D293" s="1">
        <v>2</v>
      </c>
      <c r="E293" t="s">
        <v>460</v>
      </c>
      <c r="G293" t="s">
        <v>462</v>
      </c>
    </row>
    <row r="294" spans="1:7">
      <c r="A294" s="1">
        <v>283</v>
      </c>
      <c r="B294" s="4" t="s">
        <v>284</v>
      </c>
      <c r="C294" s="1">
        <v>294</v>
      </c>
      <c r="D294" s="1">
        <v>1</v>
      </c>
    </row>
    <row r="295" spans="1:7">
      <c r="A295" s="1">
        <v>284</v>
      </c>
      <c r="B295" s="8" t="s">
        <v>285</v>
      </c>
      <c r="C295" s="1">
        <v>627</v>
      </c>
      <c r="D295" s="1">
        <v>4</v>
      </c>
      <c r="E295" t="s">
        <v>460</v>
      </c>
    </row>
    <row r="296" spans="1:7">
      <c r="A296" s="1">
        <v>285</v>
      </c>
      <c r="B296" s="8" t="s">
        <v>286</v>
      </c>
      <c r="C296" s="1">
        <v>625</v>
      </c>
      <c r="D296" s="1">
        <v>3</v>
      </c>
      <c r="E296" t="s">
        <v>460</v>
      </c>
      <c r="G296" t="s">
        <v>462</v>
      </c>
    </row>
    <row r="297" spans="1:7">
      <c r="A297" s="1">
        <v>286</v>
      </c>
      <c r="B297" s="8" t="s">
        <v>287</v>
      </c>
      <c r="C297" s="1">
        <v>618</v>
      </c>
      <c r="D297" s="1">
        <v>4</v>
      </c>
    </row>
    <row r="298" spans="1:7">
      <c r="A298" s="1">
        <v>287</v>
      </c>
      <c r="B298" s="8" t="s">
        <v>288</v>
      </c>
      <c r="C298" s="1">
        <v>829</v>
      </c>
      <c r="D298" s="1">
        <v>1</v>
      </c>
    </row>
    <row r="299" spans="1:7">
      <c r="A299" s="1">
        <v>288</v>
      </c>
      <c r="B299" s="8" t="s">
        <v>289</v>
      </c>
      <c r="C299" s="1">
        <v>90</v>
      </c>
      <c r="D299" s="1">
        <v>12</v>
      </c>
    </row>
    <row r="300" spans="1:7">
      <c r="A300" s="1">
        <v>289</v>
      </c>
      <c r="B300" s="20" t="s">
        <v>290</v>
      </c>
      <c r="C300" s="1">
        <v>181</v>
      </c>
      <c r="D300" s="1">
        <v>1</v>
      </c>
    </row>
    <row r="301" spans="1:7">
      <c r="A301" s="1">
        <v>290</v>
      </c>
      <c r="B301" s="8" t="s">
        <v>291</v>
      </c>
      <c r="C301" s="1">
        <v>119</v>
      </c>
      <c r="D301" s="1">
        <v>6</v>
      </c>
      <c r="E301" t="s">
        <v>460</v>
      </c>
    </row>
    <row r="302" spans="1:7">
      <c r="A302" s="1">
        <v>291</v>
      </c>
      <c r="B302" s="8" t="s">
        <v>292</v>
      </c>
      <c r="C302" s="1">
        <v>202</v>
      </c>
      <c r="D302" s="1">
        <v>2</v>
      </c>
      <c r="E302" t="s">
        <v>460</v>
      </c>
      <c r="G302" t="s">
        <v>462</v>
      </c>
    </row>
    <row r="303" spans="1:7">
      <c r="A303" s="1">
        <v>292</v>
      </c>
      <c r="B303" s="20" t="s">
        <v>293</v>
      </c>
      <c r="C303" s="1">
        <v>203</v>
      </c>
      <c r="D303" s="1">
        <v>8</v>
      </c>
    </row>
    <row r="304" spans="1:7">
      <c r="A304" s="1">
        <v>293</v>
      </c>
      <c r="B304" s="4" t="s">
        <v>294</v>
      </c>
      <c r="C304" s="1">
        <v>187</v>
      </c>
      <c r="D304" s="1">
        <v>1</v>
      </c>
    </row>
    <row r="305" spans="1:7">
      <c r="A305" s="1">
        <v>294</v>
      </c>
      <c r="B305" s="8" t="s">
        <v>295</v>
      </c>
      <c r="C305" s="1">
        <v>766</v>
      </c>
      <c r="D305" s="1">
        <v>4</v>
      </c>
      <c r="E305" t="s">
        <v>460</v>
      </c>
    </row>
    <row r="306" spans="1:7">
      <c r="A306" s="1">
        <v>295</v>
      </c>
      <c r="B306" s="8" t="s">
        <v>296</v>
      </c>
      <c r="C306" s="1">
        <v>322</v>
      </c>
      <c r="D306" s="1">
        <v>7</v>
      </c>
      <c r="E306" t="s">
        <v>460</v>
      </c>
    </row>
    <row r="307" spans="1:7">
      <c r="A307" s="1">
        <v>296</v>
      </c>
      <c r="B307" s="8" t="s">
        <v>297</v>
      </c>
      <c r="C307" s="1">
        <v>554</v>
      </c>
      <c r="D307" s="1">
        <v>7</v>
      </c>
    </row>
    <row r="308" spans="1:7">
      <c r="A308" s="1">
        <v>297</v>
      </c>
      <c r="B308" s="8" t="s">
        <v>298</v>
      </c>
      <c r="C308" s="1">
        <v>117</v>
      </c>
      <c r="D308" s="1">
        <v>6</v>
      </c>
      <c r="E308" t="s">
        <v>460</v>
      </c>
    </row>
    <row r="309" spans="1:7">
      <c r="A309" s="1">
        <v>298</v>
      </c>
      <c r="B309" s="20" t="s">
        <v>299</v>
      </c>
      <c r="C309" s="1">
        <v>164</v>
      </c>
      <c r="D309" s="1">
        <v>8</v>
      </c>
    </row>
    <row r="310" spans="1:7">
      <c r="A310" s="1">
        <v>299</v>
      </c>
      <c r="B310" s="4" t="s">
        <v>300</v>
      </c>
      <c r="C310" s="1">
        <v>263</v>
      </c>
      <c r="D310" s="1">
        <v>1</v>
      </c>
      <c r="E310" t="s">
        <v>460</v>
      </c>
      <c r="G310" t="s">
        <v>462</v>
      </c>
    </row>
    <row r="311" spans="1:7">
      <c r="A311" s="1">
        <v>300</v>
      </c>
      <c r="B311" s="8" t="s">
        <v>301</v>
      </c>
      <c r="C311" s="1">
        <v>685</v>
      </c>
      <c r="D311" s="1">
        <v>3</v>
      </c>
      <c r="E311" t="s">
        <v>460</v>
      </c>
      <c r="G311" t="s">
        <v>462</v>
      </c>
    </row>
    <row r="312" spans="1:7">
      <c r="A312" s="1">
        <v>301</v>
      </c>
      <c r="B312" s="8" t="s">
        <v>302</v>
      </c>
      <c r="C312" s="1">
        <v>186</v>
      </c>
      <c r="D312" s="1">
        <v>1</v>
      </c>
    </row>
    <row r="313" spans="1:7">
      <c r="A313" s="1">
        <v>302</v>
      </c>
      <c r="B313" s="4" t="s">
        <v>303</v>
      </c>
      <c r="C313" s="1">
        <v>134</v>
      </c>
      <c r="D313" s="1">
        <v>1</v>
      </c>
    </row>
    <row r="314" spans="1:7">
      <c r="A314" s="1">
        <v>303</v>
      </c>
      <c r="B314" s="8" t="s">
        <v>304</v>
      </c>
      <c r="C314" s="1">
        <v>534</v>
      </c>
      <c r="D314" s="1">
        <v>4</v>
      </c>
    </row>
    <row r="315" spans="1:7">
      <c r="A315" s="1">
        <v>304</v>
      </c>
      <c r="B315" s="20" t="s">
        <v>305</v>
      </c>
      <c r="C315" s="1">
        <v>279</v>
      </c>
      <c r="D315" s="1">
        <v>3</v>
      </c>
    </row>
    <row r="316" spans="1:7">
      <c r="A316" s="1">
        <v>305</v>
      </c>
      <c r="B316" s="4" t="s">
        <v>306</v>
      </c>
      <c r="C316" s="2">
        <v>595</v>
      </c>
      <c r="D316" s="2">
        <v>6</v>
      </c>
    </row>
    <row r="317" spans="1:7">
      <c r="A317" s="1">
        <v>306</v>
      </c>
      <c r="B317" s="8" t="s">
        <v>307</v>
      </c>
      <c r="C317" s="1">
        <v>787</v>
      </c>
      <c r="D317" s="1">
        <v>2</v>
      </c>
      <c r="E317" t="s">
        <v>460</v>
      </c>
      <c r="G317" t="s">
        <v>462</v>
      </c>
    </row>
    <row r="318" spans="1:7">
      <c r="A318" s="1">
        <v>307</v>
      </c>
      <c r="B318" s="8" t="s">
        <v>308</v>
      </c>
      <c r="C318" s="1">
        <v>638</v>
      </c>
      <c r="D318" s="1">
        <v>1</v>
      </c>
    </row>
    <row r="319" spans="1:7">
      <c r="A319" s="1">
        <v>308</v>
      </c>
      <c r="B319" s="8" t="s">
        <v>309</v>
      </c>
      <c r="C319" s="1">
        <v>565</v>
      </c>
      <c r="D319" s="1">
        <v>2</v>
      </c>
    </row>
    <row r="320" spans="1:7">
      <c r="A320" s="1">
        <v>309</v>
      </c>
      <c r="B320" s="8" t="s">
        <v>310</v>
      </c>
      <c r="C320" s="1">
        <v>691</v>
      </c>
      <c r="D320" s="1">
        <v>3</v>
      </c>
    </row>
    <row r="321" spans="1:7">
      <c r="A321" s="1">
        <v>310</v>
      </c>
      <c r="B321" s="8" t="s">
        <v>311</v>
      </c>
      <c r="C321" s="1">
        <v>607</v>
      </c>
      <c r="D321" s="1">
        <v>5</v>
      </c>
      <c r="E321" t="s">
        <v>460</v>
      </c>
    </row>
    <row r="322" spans="1:7">
      <c r="A322" s="1">
        <v>311</v>
      </c>
      <c r="B322" s="8" t="s">
        <v>312</v>
      </c>
      <c r="C322" s="1">
        <v>495</v>
      </c>
      <c r="D322" s="1">
        <v>5</v>
      </c>
      <c r="E322" t="s">
        <v>460</v>
      </c>
    </row>
    <row r="323" spans="1:7">
      <c r="A323" s="1">
        <v>312</v>
      </c>
      <c r="B323" s="8" t="s">
        <v>313</v>
      </c>
      <c r="C323" s="1">
        <v>830</v>
      </c>
      <c r="D323" s="1">
        <v>4</v>
      </c>
      <c r="E323" t="s">
        <v>460</v>
      </c>
    </row>
    <row r="324" spans="1:7">
      <c r="A324" s="1">
        <v>313</v>
      </c>
      <c r="B324" s="8" t="s">
        <v>314</v>
      </c>
      <c r="C324" s="1">
        <v>130</v>
      </c>
      <c r="D324" s="1">
        <v>1</v>
      </c>
    </row>
    <row r="325" spans="1:7">
      <c r="A325" s="1">
        <v>314</v>
      </c>
      <c r="B325" s="8" t="s">
        <v>315</v>
      </c>
      <c r="C325" s="1">
        <v>113</v>
      </c>
      <c r="D325" s="1">
        <v>1</v>
      </c>
      <c r="E325" t="s">
        <v>460</v>
      </c>
      <c r="G325" t="s">
        <v>462</v>
      </c>
    </row>
    <row r="326" spans="1:7">
      <c r="A326" s="1">
        <v>315</v>
      </c>
      <c r="B326" s="8" t="s">
        <v>316</v>
      </c>
      <c r="C326" s="1">
        <v>512</v>
      </c>
      <c r="D326" s="1">
        <v>2</v>
      </c>
      <c r="E326" t="s">
        <v>460</v>
      </c>
      <c r="G326" t="s">
        <v>462</v>
      </c>
    </row>
    <row r="327" spans="1:7">
      <c r="A327" s="1">
        <v>316</v>
      </c>
      <c r="B327" s="8" t="s">
        <v>317</v>
      </c>
      <c r="C327" s="1">
        <v>362</v>
      </c>
      <c r="D327" s="1">
        <v>5</v>
      </c>
      <c r="E327" t="s">
        <v>460</v>
      </c>
    </row>
    <row r="328" spans="1:7">
      <c r="A328" s="1">
        <v>317</v>
      </c>
      <c r="B328" s="8" t="s">
        <v>318</v>
      </c>
      <c r="C328" s="1">
        <v>106</v>
      </c>
      <c r="D328" s="1">
        <v>3</v>
      </c>
      <c r="E328" t="s">
        <v>460</v>
      </c>
      <c r="G328" t="s">
        <v>462</v>
      </c>
    </row>
    <row r="329" spans="1:7">
      <c r="A329" s="1">
        <v>318</v>
      </c>
      <c r="B329" s="8" t="s">
        <v>319</v>
      </c>
      <c r="C329" s="1">
        <v>774</v>
      </c>
      <c r="D329" s="1">
        <v>11</v>
      </c>
    </row>
    <row r="330" spans="1:7">
      <c r="A330" s="1">
        <v>319</v>
      </c>
      <c r="B330" s="8" t="s">
        <v>320</v>
      </c>
      <c r="C330" s="1">
        <v>242</v>
      </c>
      <c r="D330" s="1">
        <v>3</v>
      </c>
    </row>
    <row r="331" spans="1:7">
      <c r="A331" s="1">
        <v>320</v>
      </c>
      <c r="B331" s="9" t="s">
        <v>320</v>
      </c>
      <c r="C331" s="16">
        <v>484</v>
      </c>
      <c r="D331" s="1">
        <v>3</v>
      </c>
    </row>
    <row r="332" spans="1:7">
      <c r="A332" s="1">
        <v>321</v>
      </c>
      <c r="B332" s="20" t="s">
        <v>321</v>
      </c>
      <c r="C332" s="1">
        <v>243</v>
      </c>
      <c r="D332" s="1">
        <v>8</v>
      </c>
    </row>
    <row r="333" spans="1:7">
      <c r="A333" s="1">
        <v>322</v>
      </c>
      <c r="B333" s="8" t="s">
        <v>322</v>
      </c>
      <c r="C333" s="1">
        <v>107</v>
      </c>
      <c r="D333" s="1">
        <v>10</v>
      </c>
      <c r="E333" t="s">
        <v>460</v>
      </c>
    </row>
    <row r="334" spans="1:7">
      <c r="A334" s="1">
        <v>323</v>
      </c>
      <c r="B334" s="8" t="s">
        <v>323</v>
      </c>
      <c r="C334" s="1">
        <v>166</v>
      </c>
      <c r="D334" s="1">
        <v>5</v>
      </c>
      <c r="E334" t="s">
        <v>460</v>
      </c>
    </row>
    <row r="335" spans="1:7">
      <c r="A335" s="1">
        <v>324</v>
      </c>
      <c r="B335" s="8" t="s">
        <v>324</v>
      </c>
      <c r="C335" s="1">
        <v>167</v>
      </c>
      <c r="D335" s="1">
        <v>12</v>
      </c>
      <c r="E335" t="s">
        <v>460</v>
      </c>
    </row>
    <row r="336" spans="1:7">
      <c r="A336" s="1">
        <v>325</v>
      </c>
      <c r="B336" s="8" t="s">
        <v>325</v>
      </c>
      <c r="C336" s="1">
        <v>165</v>
      </c>
      <c r="D336" s="1">
        <v>11</v>
      </c>
    </row>
    <row r="337" spans="1:7">
      <c r="A337" s="1">
        <v>326</v>
      </c>
      <c r="B337" s="8" t="s">
        <v>326</v>
      </c>
      <c r="C337" s="1">
        <v>173</v>
      </c>
      <c r="D337" s="1">
        <v>3</v>
      </c>
      <c r="E337" t="s">
        <v>460</v>
      </c>
      <c r="G337" t="s">
        <v>462</v>
      </c>
    </row>
    <row r="338" spans="1:7">
      <c r="A338" s="1">
        <v>327</v>
      </c>
      <c r="B338" s="8" t="s">
        <v>327</v>
      </c>
      <c r="C338" s="1">
        <v>388</v>
      </c>
      <c r="D338" s="1">
        <v>9</v>
      </c>
      <c r="E338" t="s">
        <v>460</v>
      </c>
    </row>
    <row r="339" spans="1:7">
      <c r="A339" s="1">
        <v>328</v>
      </c>
      <c r="B339" s="8" t="s">
        <v>328</v>
      </c>
      <c r="C339" s="1">
        <v>122</v>
      </c>
      <c r="D339" s="1">
        <v>3</v>
      </c>
      <c r="E339" t="s">
        <v>460</v>
      </c>
      <c r="G339" t="s">
        <v>462</v>
      </c>
    </row>
    <row r="340" spans="1:7">
      <c r="A340" s="1">
        <v>329</v>
      </c>
      <c r="B340" s="8" t="s">
        <v>329</v>
      </c>
      <c r="C340" s="1">
        <v>196</v>
      </c>
      <c r="D340" s="1">
        <v>6</v>
      </c>
      <c r="E340" t="s">
        <v>460</v>
      </c>
    </row>
    <row r="341" spans="1:7">
      <c r="A341" s="1">
        <v>330</v>
      </c>
      <c r="B341" s="8" t="s">
        <v>330</v>
      </c>
      <c r="C341" s="1">
        <v>197</v>
      </c>
      <c r="D341" s="1">
        <v>8</v>
      </c>
      <c r="E341" t="s">
        <v>460</v>
      </c>
    </row>
    <row r="342" spans="1:7">
      <c r="A342" s="1">
        <v>331</v>
      </c>
      <c r="B342" s="8" t="s">
        <v>331</v>
      </c>
      <c r="C342" s="1">
        <v>236</v>
      </c>
      <c r="D342" s="1">
        <v>3</v>
      </c>
      <c r="E342" t="s">
        <v>460</v>
      </c>
      <c r="G342" t="s">
        <v>462</v>
      </c>
    </row>
    <row r="343" spans="1:7">
      <c r="A343" s="1">
        <v>332</v>
      </c>
      <c r="B343" s="8" t="s">
        <v>332</v>
      </c>
      <c r="C343" s="1">
        <v>237</v>
      </c>
      <c r="D343" s="1">
        <v>9</v>
      </c>
      <c r="E343" t="s">
        <v>460</v>
      </c>
    </row>
    <row r="344" spans="1:7">
      <c r="A344" s="1">
        <v>333</v>
      </c>
      <c r="B344" s="8" t="s">
        <v>333</v>
      </c>
      <c r="C344" s="1">
        <v>688</v>
      </c>
      <c r="D344" s="1">
        <v>3</v>
      </c>
      <c r="E344" t="s">
        <v>460</v>
      </c>
      <c r="G344" t="s">
        <v>462</v>
      </c>
    </row>
    <row r="345" spans="1:7">
      <c r="A345" s="1">
        <v>334</v>
      </c>
      <c r="B345" s="8" t="s">
        <v>334</v>
      </c>
      <c r="C345" s="1">
        <v>170</v>
      </c>
      <c r="D345" s="1">
        <v>3</v>
      </c>
      <c r="E345" t="s">
        <v>460</v>
      </c>
      <c r="G345" t="s">
        <v>462</v>
      </c>
    </row>
    <row r="346" spans="1:7">
      <c r="A346" s="1">
        <v>335</v>
      </c>
      <c r="B346" s="8" t="s">
        <v>335</v>
      </c>
      <c r="C346" s="1">
        <v>171</v>
      </c>
      <c r="D346" s="1">
        <v>8</v>
      </c>
      <c r="E346" t="s">
        <v>460</v>
      </c>
    </row>
    <row r="347" spans="1:7">
      <c r="A347" s="1">
        <v>336</v>
      </c>
      <c r="B347" s="8" t="s">
        <v>336</v>
      </c>
      <c r="C347" s="1">
        <v>177</v>
      </c>
      <c r="D347" s="1">
        <v>9</v>
      </c>
    </row>
    <row r="348" spans="1:7">
      <c r="A348" s="1">
        <v>337</v>
      </c>
      <c r="B348" s="8" t="s">
        <v>337</v>
      </c>
      <c r="C348" s="1">
        <v>764</v>
      </c>
      <c r="D348" s="1">
        <v>3</v>
      </c>
      <c r="E348" t="s">
        <v>460</v>
      </c>
      <c r="G348" t="s">
        <v>462</v>
      </c>
    </row>
    <row r="349" spans="1:7">
      <c r="A349" s="1">
        <v>338</v>
      </c>
      <c r="B349" s="19" t="s">
        <v>338</v>
      </c>
      <c r="C349" s="1">
        <v>765</v>
      </c>
      <c r="D349" s="1">
        <v>5</v>
      </c>
    </row>
    <row r="350" spans="1:7">
      <c r="A350" s="1">
        <v>339</v>
      </c>
      <c r="B350" s="8" t="s">
        <v>339</v>
      </c>
      <c r="C350" s="1">
        <v>192</v>
      </c>
      <c r="D350" s="1">
        <v>5</v>
      </c>
      <c r="E350" t="s">
        <v>460</v>
      </c>
    </row>
    <row r="351" spans="1:7">
      <c r="A351" s="1">
        <v>340</v>
      </c>
      <c r="B351" s="8" t="s">
        <v>340</v>
      </c>
      <c r="C351" s="1">
        <v>207</v>
      </c>
      <c r="D351" s="1">
        <v>4</v>
      </c>
    </row>
    <row r="352" spans="1:7">
      <c r="A352" s="1">
        <v>341</v>
      </c>
      <c r="B352" s="8" t="s">
        <v>341</v>
      </c>
      <c r="C352" s="1">
        <v>193</v>
      </c>
      <c r="D352" s="1">
        <v>8</v>
      </c>
      <c r="E352" t="s">
        <v>460</v>
      </c>
    </row>
    <row r="353" spans="1:7">
      <c r="A353" s="1">
        <v>342</v>
      </c>
      <c r="B353" s="8" t="s">
        <v>342</v>
      </c>
      <c r="C353" s="1">
        <v>200</v>
      </c>
      <c r="D353" s="1">
        <v>5</v>
      </c>
    </row>
    <row r="354" spans="1:7">
      <c r="A354" s="1">
        <v>343</v>
      </c>
      <c r="B354" s="8" t="s">
        <v>343</v>
      </c>
      <c r="C354" s="1">
        <v>102</v>
      </c>
      <c r="D354" s="1">
        <v>5</v>
      </c>
      <c r="E354" t="s">
        <v>460</v>
      </c>
    </row>
    <row r="355" spans="1:7">
      <c r="A355" s="1">
        <v>344</v>
      </c>
      <c r="B355" s="8" t="s">
        <v>344</v>
      </c>
      <c r="C355" s="1">
        <v>103</v>
      </c>
      <c r="D355" s="1">
        <v>8</v>
      </c>
      <c r="E355" t="s">
        <v>460</v>
      </c>
    </row>
    <row r="356" spans="1:7">
      <c r="A356" s="1">
        <v>345</v>
      </c>
      <c r="B356" s="8" t="s">
        <v>345</v>
      </c>
      <c r="C356" s="1">
        <v>555</v>
      </c>
      <c r="D356" s="1">
        <v>4</v>
      </c>
      <c r="E356" t="s">
        <v>460</v>
      </c>
    </row>
    <row r="357" spans="1:7">
      <c r="A357" s="1">
        <v>346</v>
      </c>
      <c r="B357" s="8" t="s">
        <v>346</v>
      </c>
      <c r="C357" s="1">
        <v>574</v>
      </c>
      <c r="D357" s="1">
        <v>5</v>
      </c>
    </row>
    <row r="358" spans="1:7">
      <c r="A358" s="1">
        <v>347</v>
      </c>
      <c r="B358" s="8" t="s">
        <v>347</v>
      </c>
      <c r="C358" s="1">
        <v>220</v>
      </c>
      <c r="D358" s="1">
        <v>3</v>
      </c>
      <c r="E358" t="s">
        <v>460</v>
      </c>
      <c r="G358" t="s">
        <v>462</v>
      </c>
    </row>
    <row r="359" spans="1:7">
      <c r="A359" s="1">
        <v>348</v>
      </c>
      <c r="B359" s="8" t="s">
        <v>348</v>
      </c>
      <c r="C359" s="1">
        <v>222</v>
      </c>
      <c r="D359" s="1">
        <v>4</v>
      </c>
    </row>
    <row r="360" spans="1:7">
      <c r="A360" s="1">
        <v>349</v>
      </c>
      <c r="B360" s="8" t="s">
        <v>349</v>
      </c>
      <c r="C360" s="1">
        <v>224</v>
      </c>
      <c r="D360" s="1">
        <v>2</v>
      </c>
      <c r="E360" t="s">
        <v>460</v>
      </c>
      <c r="G360" t="s">
        <v>462</v>
      </c>
    </row>
    <row r="361" spans="1:7">
      <c r="A361" s="1">
        <v>350</v>
      </c>
      <c r="B361" s="8" t="s">
        <v>350</v>
      </c>
      <c r="C361" s="1">
        <v>226</v>
      </c>
      <c r="D361" s="1">
        <v>5</v>
      </c>
    </row>
    <row r="362" spans="1:7">
      <c r="A362" s="1">
        <v>351</v>
      </c>
      <c r="B362" s="8" t="s">
        <v>351</v>
      </c>
      <c r="C362" s="1">
        <v>221</v>
      </c>
      <c r="D362" s="1">
        <v>10</v>
      </c>
      <c r="E362" t="s">
        <v>460</v>
      </c>
    </row>
    <row r="363" spans="1:7">
      <c r="A363" s="1">
        <v>352</v>
      </c>
      <c r="B363" s="8" t="s">
        <v>352</v>
      </c>
      <c r="C363" s="1">
        <v>223</v>
      </c>
      <c r="D363" s="1">
        <v>10</v>
      </c>
      <c r="E363" t="s">
        <v>460</v>
      </c>
    </row>
    <row r="364" spans="1:7">
      <c r="A364" s="1">
        <v>353</v>
      </c>
      <c r="B364" s="8" t="s">
        <v>353</v>
      </c>
      <c r="C364" s="1">
        <v>225</v>
      </c>
      <c r="D364" s="1">
        <v>8</v>
      </c>
    </row>
    <row r="365" spans="1:7">
      <c r="A365" s="1">
        <v>354</v>
      </c>
      <c r="B365" s="8" t="s">
        <v>354</v>
      </c>
      <c r="C365" s="1">
        <v>227</v>
      </c>
      <c r="D365" s="1">
        <v>8</v>
      </c>
    </row>
    <row r="366" spans="1:7">
      <c r="A366" s="1">
        <v>355</v>
      </c>
      <c r="B366" s="8" t="s">
        <v>355</v>
      </c>
      <c r="C366" s="1">
        <v>120</v>
      </c>
      <c r="D366" s="1">
        <v>7</v>
      </c>
      <c r="E366" t="s">
        <v>460</v>
      </c>
    </row>
    <row r="367" spans="1:7">
      <c r="A367" s="1">
        <v>356</v>
      </c>
      <c r="B367" s="8" t="s">
        <v>356</v>
      </c>
      <c r="C367" s="1">
        <v>502</v>
      </c>
      <c r="D367" s="1">
        <v>3</v>
      </c>
      <c r="E367" t="s">
        <v>460</v>
      </c>
      <c r="G367" t="s">
        <v>462</v>
      </c>
    </row>
    <row r="368" spans="1:7">
      <c r="A368" s="1">
        <v>357</v>
      </c>
      <c r="B368" s="8" t="s">
        <v>357</v>
      </c>
      <c r="C368" s="1">
        <v>481</v>
      </c>
      <c r="D368" s="1">
        <v>9</v>
      </c>
    </row>
    <row r="369" spans="1:7">
      <c r="A369" s="1">
        <v>358</v>
      </c>
      <c r="B369" s="8" t="s">
        <v>358</v>
      </c>
      <c r="C369" s="1">
        <v>148</v>
      </c>
      <c r="D369" s="1">
        <v>3</v>
      </c>
      <c r="E369" t="s">
        <v>460</v>
      </c>
      <c r="G369" t="s">
        <v>462</v>
      </c>
    </row>
    <row r="370" spans="1:7">
      <c r="A370" s="1">
        <v>359</v>
      </c>
      <c r="B370" s="8" t="s">
        <v>359</v>
      </c>
      <c r="C370" s="1">
        <v>149</v>
      </c>
      <c r="D370" s="1">
        <v>8</v>
      </c>
      <c r="E370" t="s">
        <v>460</v>
      </c>
    </row>
    <row r="371" spans="1:7">
      <c r="A371" s="1">
        <v>360</v>
      </c>
      <c r="B371" s="8" t="s">
        <v>360</v>
      </c>
      <c r="C371" s="1">
        <v>147</v>
      </c>
      <c r="D371" s="1">
        <v>11</v>
      </c>
    </row>
    <row r="372" spans="1:7">
      <c r="A372" s="1">
        <v>361</v>
      </c>
      <c r="B372" s="8" t="s">
        <v>361</v>
      </c>
      <c r="C372" s="1">
        <v>531</v>
      </c>
      <c r="D372" s="1">
        <v>4</v>
      </c>
      <c r="E372" t="s">
        <v>460</v>
      </c>
    </row>
    <row r="373" spans="1:7">
      <c r="A373" s="1">
        <v>362</v>
      </c>
      <c r="B373" s="14" t="s">
        <v>362</v>
      </c>
      <c r="C373" s="3">
        <v>266</v>
      </c>
      <c r="D373" s="3">
        <v>1</v>
      </c>
      <c r="E373" t="s">
        <v>460</v>
      </c>
      <c r="G373" t="s">
        <v>462</v>
      </c>
    </row>
    <row r="374" spans="1:7">
      <c r="A374" s="1">
        <v>363</v>
      </c>
      <c r="B374" s="8" t="s">
        <v>363</v>
      </c>
      <c r="C374" s="1">
        <v>487</v>
      </c>
      <c r="D374" s="1">
        <v>3</v>
      </c>
    </row>
    <row r="375" spans="1:7">
      <c r="A375" s="1">
        <v>364</v>
      </c>
      <c r="B375" s="8" t="s">
        <v>364</v>
      </c>
      <c r="C375" s="1">
        <v>505</v>
      </c>
      <c r="D375" s="1">
        <v>7</v>
      </c>
    </row>
    <row r="376" spans="1:7">
      <c r="A376" s="1">
        <v>365</v>
      </c>
      <c r="B376" s="8" t="s">
        <v>365</v>
      </c>
      <c r="C376" s="1">
        <v>485</v>
      </c>
      <c r="D376" s="1">
        <v>5</v>
      </c>
    </row>
    <row r="377" spans="1:7">
      <c r="A377" s="1">
        <v>366</v>
      </c>
      <c r="B377" s="8" t="s">
        <v>366</v>
      </c>
      <c r="C377" s="1">
        <v>508</v>
      </c>
      <c r="D377" s="1">
        <v>2</v>
      </c>
      <c r="E377" t="s">
        <v>460</v>
      </c>
      <c r="G377" t="s">
        <v>462</v>
      </c>
    </row>
    <row r="378" spans="1:7">
      <c r="A378" s="1">
        <v>367</v>
      </c>
      <c r="B378" s="8" t="s">
        <v>367</v>
      </c>
      <c r="C378" s="1">
        <v>500</v>
      </c>
      <c r="D378" s="1">
        <v>7</v>
      </c>
      <c r="E378" t="s">
        <v>460</v>
      </c>
    </row>
    <row r="379" spans="1:7">
      <c r="A379" s="1">
        <v>368</v>
      </c>
      <c r="B379" s="4" t="s">
        <v>368</v>
      </c>
      <c r="C379" s="2">
        <v>490</v>
      </c>
      <c r="D379" s="2">
        <v>6</v>
      </c>
    </row>
    <row r="380" spans="1:7">
      <c r="A380" s="1">
        <v>369</v>
      </c>
      <c r="B380" s="8" t="s">
        <v>369</v>
      </c>
      <c r="C380" s="1">
        <v>817</v>
      </c>
      <c r="D380" s="1">
        <v>4</v>
      </c>
    </row>
    <row r="381" spans="1:7">
      <c r="A381" s="1">
        <v>370</v>
      </c>
      <c r="B381" s="8" t="s">
        <v>370</v>
      </c>
      <c r="C381" s="1">
        <v>802</v>
      </c>
      <c r="D381" s="1">
        <v>4</v>
      </c>
      <c r="E381" t="s">
        <v>460</v>
      </c>
    </row>
    <row r="382" spans="1:7">
      <c r="A382" s="1">
        <v>371</v>
      </c>
      <c r="B382" s="8" t="s">
        <v>371</v>
      </c>
      <c r="C382" s="1">
        <v>848</v>
      </c>
      <c r="D382" s="1">
        <v>11</v>
      </c>
      <c r="E382" t="s">
        <v>460</v>
      </c>
    </row>
    <row r="383" spans="1:7">
      <c r="A383" s="1">
        <v>372</v>
      </c>
      <c r="B383" s="8" t="s">
        <v>372</v>
      </c>
      <c r="C383" s="1">
        <v>862</v>
      </c>
      <c r="D383" s="1">
        <v>4</v>
      </c>
      <c r="E383" t="s">
        <v>460</v>
      </c>
    </row>
    <row r="384" spans="1:7">
      <c r="A384" s="1">
        <v>373</v>
      </c>
      <c r="B384" s="8" t="s">
        <v>373</v>
      </c>
      <c r="C384" s="1">
        <v>851</v>
      </c>
      <c r="D384" s="1">
        <v>2</v>
      </c>
    </row>
    <row r="385" spans="1:7">
      <c r="A385" s="1">
        <v>374</v>
      </c>
      <c r="B385" s="8" t="s">
        <v>374</v>
      </c>
      <c r="C385" s="1">
        <v>530</v>
      </c>
      <c r="D385" s="1">
        <v>4</v>
      </c>
    </row>
    <row r="386" spans="1:7">
      <c r="A386" s="1">
        <v>375</v>
      </c>
      <c r="B386" s="8" t="s">
        <v>375</v>
      </c>
      <c r="C386" s="1">
        <v>543</v>
      </c>
      <c r="D386" s="1">
        <v>7</v>
      </c>
    </row>
    <row r="387" spans="1:7">
      <c r="A387" s="1">
        <v>376</v>
      </c>
      <c r="B387" s="21" t="s">
        <v>376</v>
      </c>
      <c r="C387" s="16">
        <v>479</v>
      </c>
      <c r="D387" s="16">
        <v>2</v>
      </c>
    </row>
    <row r="388" spans="1:7">
      <c r="A388" s="1">
        <v>377</v>
      </c>
      <c r="B388" s="17" t="s">
        <v>377</v>
      </c>
      <c r="C388" s="18">
        <v>792</v>
      </c>
      <c r="D388" s="18">
        <v>7</v>
      </c>
    </row>
    <row r="389" spans="1:7">
      <c r="A389" s="1">
        <v>378</v>
      </c>
      <c r="B389" s="8" t="s">
        <v>378</v>
      </c>
      <c r="C389" s="1">
        <v>603</v>
      </c>
      <c r="D389" s="1">
        <v>4</v>
      </c>
      <c r="E389" t="s">
        <v>460</v>
      </c>
    </row>
    <row r="390" spans="1:7">
      <c r="A390" s="1">
        <v>379</v>
      </c>
      <c r="B390" s="8" t="s">
        <v>379</v>
      </c>
      <c r="C390" s="1">
        <v>604</v>
      </c>
      <c r="D390" s="1">
        <v>2</v>
      </c>
      <c r="E390" t="s">
        <v>460</v>
      </c>
      <c r="G390" t="s">
        <v>462</v>
      </c>
    </row>
    <row r="391" spans="1:7">
      <c r="A391" s="1">
        <v>380</v>
      </c>
      <c r="B391" s="8" t="s">
        <v>380</v>
      </c>
      <c r="C391" s="1">
        <v>230</v>
      </c>
      <c r="D391" s="1">
        <v>11</v>
      </c>
      <c r="E391" t="s">
        <v>460</v>
      </c>
    </row>
    <row r="392" spans="1:7">
      <c r="A392" s="1">
        <v>381</v>
      </c>
      <c r="B392" s="8" t="s">
        <v>381</v>
      </c>
      <c r="C392" s="1">
        <v>231</v>
      </c>
      <c r="D392" s="1">
        <v>10</v>
      </c>
    </row>
    <row r="393" spans="1:7">
      <c r="A393" s="1">
        <v>382</v>
      </c>
      <c r="B393" s="8" t="s">
        <v>382</v>
      </c>
      <c r="C393" s="1">
        <v>234</v>
      </c>
      <c r="D393" s="1">
        <v>11</v>
      </c>
      <c r="E393" t="s">
        <v>460</v>
      </c>
    </row>
    <row r="394" spans="1:7">
      <c r="A394" s="1">
        <v>383</v>
      </c>
      <c r="B394" s="8" t="s">
        <v>383</v>
      </c>
      <c r="C394" s="1">
        <v>232</v>
      </c>
      <c r="D394" s="1">
        <v>9</v>
      </c>
      <c r="E394" t="s">
        <v>460</v>
      </c>
    </row>
    <row r="395" spans="1:7">
      <c r="A395" s="1">
        <v>384</v>
      </c>
      <c r="B395" s="8" t="s">
        <v>384</v>
      </c>
      <c r="C395" s="1">
        <v>497</v>
      </c>
      <c r="D395" s="1">
        <v>2</v>
      </c>
      <c r="E395" t="s">
        <v>460</v>
      </c>
      <c r="G395" t="s">
        <v>462</v>
      </c>
    </row>
    <row r="396" spans="1:7">
      <c r="A396" s="1">
        <v>385</v>
      </c>
      <c r="B396" s="8" t="s">
        <v>385</v>
      </c>
      <c r="C396" s="1">
        <v>304</v>
      </c>
      <c r="D396" s="1">
        <v>3</v>
      </c>
      <c r="E396" t="s">
        <v>460</v>
      </c>
      <c r="G396" t="s">
        <v>462</v>
      </c>
    </row>
    <row r="397" spans="1:7">
      <c r="A397" s="1">
        <v>386</v>
      </c>
      <c r="B397" s="8" t="s">
        <v>386</v>
      </c>
      <c r="C397" s="1">
        <v>325</v>
      </c>
      <c r="D397" s="1">
        <v>6</v>
      </c>
    </row>
    <row r="398" spans="1:7">
      <c r="A398" s="1">
        <v>387</v>
      </c>
      <c r="B398" s="8" t="s">
        <v>387</v>
      </c>
      <c r="C398" s="1">
        <v>367</v>
      </c>
      <c r="D398" s="1">
        <v>1</v>
      </c>
    </row>
    <row r="399" spans="1:7">
      <c r="A399" s="1">
        <v>388</v>
      </c>
      <c r="B399" s="8" t="s">
        <v>388</v>
      </c>
      <c r="C399" s="1">
        <v>345</v>
      </c>
      <c r="D399" s="1">
        <v>4</v>
      </c>
    </row>
    <row r="400" spans="1:7">
      <c r="A400" s="1">
        <v>389</v>
      </c>
      <c r="B400" s="4" t="s">
        <v>389</v>
      </c>
      <c r="C400" s="1">
        <v>329</v>
      </c>
      <c r="D400" s="1">
        <v>1</v>
      </c>
    </row>
    <row r="401" spans="1:7">
      <c r="A401" s="1">
        <v>390</v>
      </c>
      <c r="B401" s="8" t="s">
        <v>390</v>
      </c>
      <c r="C401" s="1">
        <v>592</v>
      </c>
      <c r="D401" s="1">
        <v>7</v>
      </c>
      <c r="E401" t="s">
        <v>460</v>
      </c>
    </row>
    <row r="402" spans="1:7">
      <c r="A402" s="1">
        <v>391</v>
      </c>
      <c r="B402" s="8" t="s">
        <v>391</v>
      </c>
      <c r="C402" s="1">
        <v>858</v>
      </c>
      <c r="D402" s="1">
        <v>5</v>
      </c>
      <c r="E402" t="s">
        <v>460</v>
      </c>
    </row>
    <row r="403" spans="1:7">
      <c r="A403" s="1">
        <v>392</v>
      </c>
      <c r="B403" s="8" t="s">
        <v>392</v>
      </c>
      <c r="C403" s="1">
        <v>561</v>
      </c>
      <c r="D403" s="1">
        <v>7</v>
      </c>
      <c r="E403" t="s">
        <v>460</v>
      </c>
    </row>
    <row r="404" spans="1:7">
      <c r="A404" s="1">
        <v>393</v>
      </c>
      <c r="B404" s="8" t="s">
        <v>393</v>
      </c>
      <c r="C404" s="1">
        <v>536</v>
      </c>
      <c r="D404" s="1">
        <v>6</v>
      </c>
      <c r="E404" t="s">
        <v>460</v>
      </c>
    </row>
    <row r="405" spans="1:7">
      <c r="A405" s="1">
        <v>394</v>
      </c>
      <c r="B405" s="8" t="s">
        <v>394</v>
      </c>
      <c r="C405" s="1">
        <v>157</v>
      </c>
      <c r="D405" s="1">
        <v>9</v>
      </c>
    </row>
    <row r="406" spans="1:7">
      <c r="A406" s="1">
        <v>395</v>
      </c>
      <c r="B406" s="8" t="s">
        <v>395</v>
      </c>
      <c r="C406" s="1">
        <v>526</v>
      </c>
      <c r="D406" s="1">
        <v>6</v>
      </c>
      <c r="E406" t="s">
        <v>460</v>
      </c>
    </row>
    <row r="407" spans="1:7">
      <c r="A407" s="1">
        <v>396</v>
      </c>
      <c r="B407" s="8" t="s">
        <v>396</v>
      </c>
      <c r="C407" s="1">
        <v>854</v>
      </c>
      <c r="D407" s="1">
        <v>4</v>
      </c>
      <c r="E407" t="s">
        <v>460</v>
      </c>
    </row>
    <row r="408" spans="1:7">
      <c r="A408" s="1">
        <v>397</v>
      </c>
      <c r="B408" s="8" t="s">
        <v>397</v>
      </c>
      <c r="C408" s="1">
        <v>844</v>
      </c>
      <c r="D408" s="1">
        <v>5</v>
      </c>
      <c r="E408" t="s">
        <v>460</v>
      </c>
    </row>
    <row r="409" spans="1:7">
      <c r="A409" s="1">
        <v>398</v>
      </c>
      <c r="B409" s="8" t="s">
        <v>398</v>
      </c>
      <c r="C409" s="1">
        <v>856</v>
      </c>
      <c r="D409" s="1">
        <v>2</v>
      </c>
    </row>
    <row r="410" spans="1:7">
      <c r="A410" s="1">
        <v>399</v>
      </c>
      <c r="B410" s="8" t="s">
        <v>399</v>
      </c>
      <c r="C410" s="1">
        <v>860</v>
      </c>
      <c r="D410" s="1">
        <v>4</v>
      </c>
      <c r="E410" t="s">
        <v>460</v>
      </c>
    </row>
    <row r="411" spans="1:7">
      <c r="A411" s="1">
        <v>400</v>
      </c>
      <c r="B411" s="8" t="s">
        <v>400</v>
      </c>
      <c r="C411" s="1">
        <v>840</v>
      </c>
      <c r="D411" s="1">
        <v>4</v>
      </c>
      <c r="E411" t="s">
        <v>460</v>
      </c>
    </row>
    <row r="412" spans="1:7">
      <c r="A412" s="1">
        <v>401</v>
      </c>
      <c r="B412" s="8" t="s">
        <v>401</v>
      </c>
      <c r="C412" s="1">
        <v>180</v>
      </c>
      <c r="D412" s="1">
        <v>12</v>
      </c>
      <c r="E412" t="s">
        <v>460</v>
      </c>
    </row>
    <row r="413" spans="1:7">
      <c r="A413" s="1">
        <v>402</v>
      </c>
      <c r="B413" s="8" t="s">
        <v>402</v>
      </c>
      <c r="C413" s="1">
        <v>176</v>
      </c>
      <c r="D413" s="1">
        <v>3</v>
      </c>
      <c r="E413" t="s">
        <v>460</v>
      </c>
      <c r="G413" t="s">
        <v>462</v>
      </c>
    </row>
    <row r="414" spans="1:7">
      <c r="A414" s="1">
        <v>403</v>
      </c>
      <c r="B414" s="8" t="s">
        <v>403</v>
      </c>
      <c r="C414" s="1">
        <v>118</v>
      </c>
      <c r="D414" s="1">
        <v>11</v>
      </c>
      <c r="E414" t="s">
        <v>460</v>
      </c>
    </row>
    <row r="415" spans="1:7">
      <c r="A415" s="1">
        <v>404</v>
      </c>
      <c r="B415" s="8" t="s">
        <v>404</v>
      </c>
      <c r="C415" s="1">
        <v>539</v>
      </c>
      <c r="D415" s="1">
        <v>6</v>
      </c>
      <c r="E415" t="s">
        <v>460</v>
      </c>
    </row>
    <row r="416" spans="1:7">
      <c r="A416" s="1">
        <v>405</v>
      </c>
      <c r="B416" s="8" t="s">
        <v>405</v>
      </c>
      <c r="C416" s="1">
        <v>519</v>
      </c>
      <c r="D416" s="1">
        <v>3</v>
      </c>
      <c r="E416" t="s">
        <v>460</v>
      </c>
      <c r="G416" t="s">
        <v>462</v>
      </c>
    </row>
    <row r="417" spans="1:7">
      <c r="A417" s="1">
        <v>406</v>
      </c>
      <c r="B417" s="8" t="s">
        <v>406</v>
      </c>
      <c r="C417" s="1">
        <v>518</v>
      </c>
      <c r="D417" s="1">
        <v>4</v>
      </c>
      <c r="E417" t="s">
        <v>460</v>
      </c>
    </row>
    <row r="418" spans="1:7">
      <c r="A418" s="1">
        <v>407</v>
      </c>
      <c r="B418" s="8" t="s">
        <v>407</v>
      </c>
      <c r="C418" s="1">
        <v>386</v>
      </c>
      <c r="D418" s="1">
        <v>11</v>
      </c>
    </row>
    <row r="419" spans="1:7">
      <c r="A419" s="1">
        <v>408</v>
      </c>
      <c r="B419" s="4" t="s">
        <v>408</v>
      </c>
      <c r="C419" s="1">
        <v>289</v>
      </c>
      <c r="D419" s="1">
        <v>1</v>
      </c>
    </row>
    <row r="420" spans="1:7">
      <c r="A420" s="1">
        <v>409</v>
      </c>
      <c r="B420" s="8" t="s">
        <v>409</v>
      </c>
      <c r="C420" s="1">
        <v>594</v>
      </c>
      <c r="D420" s="1">
        <v>5</v>
      </c>
    </row>
    <row r="421" spans="1:7">
      <c r="A421" s="1">
        <v>410</v>
      </c>
      <c r="B421" s="8" t="s">
        <v>410</v>
      </c>
      <c r="C421" s="1">
        <v>206</v>
      </c>
      <c r="D421" s="1">
        <v>2</v>
      </c>
    </row>
    <row r="422" spans="1:7">
      <c r="A422" s="1">
        <v>411</v>
      </c>
      <c r="B422" s="8" t="s">
        <v>411</v>
      </c>
      <c r="C422" s="1">
        <v>183</v>
      </c>
      <c r="D422" s="1">
        <v>1</v>
      </c>
      <c r="E422" t="s">
        <v>460</v>
      </c>
      <c r="G422" t="s">
        <v>462</v>
      </c>
    </row>
    <row r="423" spans="1:7">
      <c r="A423" s="1">
        <v>412</v>
      </c>
      <c r="B423" s="8" t="s">
        <v>412</v>
      </c>
      <c r="C423" s="1">
        <v>558</v>
      </c>
      <c r="D423" s="1">
        <v>9</v>
      </c>
      <c r="E423" t="s">
        <v>460</v>
      </c>
    </row>
    <row r="424" spans="1:7">
      <c r="A424" s="1">
        <v>413</v>
      </c>
      <c r="B424" s="8" t="s">
        <v>413</v>
      </c>
      <c r="C424" s="1">
        <v>179</v>
      </c>
      <c r="D424" s="1">
        <v>11</v>
      </c>
    </row>
    <row r="425" spans="1:7">
      <c r="A425" s="1">
        <v>414</v>
      </c>
      <c r="B425" s="8" t="s">
        <v>414</v>
      </c>
      <c r="C425" s="1">
        <v>127</v>
      </c>
      <c r="D425" s="1">
        <v>11</v>
      </c>
      <c r="E425" t="s">
        <v>460</v>
      </c>
    </row>
    <row r="426" spans="1:7">
      <c r="A426" s="1">
        <v>415</v>
      </c>
      <c r="B426" s="8" t="s">
        <v>415</v>
      </c>
      <c r="C426" s="1">
        <v>760</v>
      </c>
      <c r="D426" s="1">
        <v>11</v>
      </c>
      <c r="E426" t="s">
        <v>460</v>
      </c>
    </row>
    <row r="427" spans="1:7">
      <c r="A427" s="1">
        <v>416</v>
      </c>
      <c r="B427" s="8" t="s">
        <v>416</v>
      </c>
      <c r="C427" s="1">
        <v>770</v>
      </c>
      <c r="D427" s="1">
        <v>9</v>
      </c>
      <c r="E427" t="s">
        <v>460</v>
      </c>
    </row>
    <row r="428" spans="1:7">
      <c r="A428" s="1">
        <v>417</v>
      </c>
      <c r="B428" s="8" t="s">
        <v>417</v>
      </c>
      <c r="C428" s="1">
        <v>270</v>
      </c>
      <c r="D428" s="1">
        <v>11</v>
      </c>
      <c r="E428" t="s">
        <v>460</v>
      </c>
    </row>
    <row r="429" spans="1:7">
      <c r="A429" s="1">
        <v>418</v>
      </c>
      <c r="B429" s="8" t="s">
        <v>418</v>
      </c>
      <c r="C429" s="1">
        <v>150</v>
      </c>
      <c r="D429" s="1">
        <v>11</v>
      </c>
      <c r="E429" t="s">
        <v>460</v>
      </c>
    </row>
    <row r="430" spans="1:7">
      <c r="A430" s="1">
        <v>419</v>
      </c>
      <c r="B430" s="8" t="s">
        <v>419</v>
      </c>
      <c r="C430" s="1">
        <v>151</v>
      </c>
      <c r="D430" s="1">
        <v>5</v>
      </c>
    </row>
    <row r="431" spans="1:7">
      <c r="A431" s="1">
        <v>420</v>
      </c>
      <c r="B431" s="8" t="s">
        <v>420</v>
      </c>
      <c r="C431" s="1">
        <v>168</v>
      </c>
      <c r="D431" s="1">
        <v>11</v>
      </c>
      <c r="E431" t="s">
        <v>460</v>
      </c>
    </row>
    <row r="432" spans="1:7">
      <c r="A432" s="1">
        <v>421</v>
      </c>
      <c r="B432" s="8" t="s">
        <v>421</v>
      </c>
      <c r="C432" s="1">
        <v>169</v>
      </c>
      <c r="D432" s="1">
        <v>10</v>
      </c>
      <c r="E432" t="s">
        <v>460</v>
      </c>
    </row>
    <row r="433" spans="1:7">
      <c r="A433" s="1">
        <v>422</v>
      </c>
      <c r="B433" s="8" t="s">
        <v>422</v>
      </c>
      <c r="C433" s="1">
        <v>178</v>
      </c>
      <c r="D433" s="1">
        <v>9</v>
      </c>
      <c r="E433" t="s">
        <v>460</v>
      </c>
    </row>
    <row r="434" spans="1:7">
      <c r="A434" s="1">
        <v>423</v>
      </c>
      <c r="B434" s="11" t="s">
        <v>423</v>
      </c>
      <c r="C434" s="13">
        <v>606</v>
      </c>
      <c r="D434" s="12">
        <v>9</v>
      </c>
      <c r="E434" t="s">
        <v>460</v>
      </c>
    </row>
    <row r="435" spans="1:7">
      <c r="A435" s="1">
        <v>424</v>
      </c>
      <c r="B435" s="8" t="s">
        <v>424</v>
      </c>
      <c r="C435" s="1">
        <v>846</v>
      </c>
      <c r="D435" s="1">
        <v>11</v>
      </c>
      <c r="E435" t="s">
        <v>460</v>
      </c>
    </row>
    <row r="436" spans="1:7">
      <c r="A436" s="1">
        <v>425</v>
      </c>
      <c r="B436" s="8" t="s">
        <v>425</v>
      </c>
      <c r="C436" s="1">
        <v>550</v>
      </c>
      <c r="D436" s="1">
        <v>11</v>
      </c>
      <c r="E436" t="s">
        <v>460</v>
      </c>
    </row>
    <row r="437" spans="1:7">
      <c r="A437" s="1">
        <v>426</v>
      </c>
      <c r="B437" s="8" t="s">
        <v>426</v>
      </c>
      <c r="C437" s="1">
        <v>285</v>
      </c>
      <c r="D437" s="1">
        <v>11</v>
      </c>
    </row>
    <row r="438" spans="1:7">
      <c r="A438" s="1">
        <v>427</v>
      </c>
      <c r="B438" s="8" t="s">
        <v>427</v>
      </c>
      <c r="C438" s="1">
        <v>252</v>
      </c>
      <c r="D438" s="1">
        <v>11</v>
      </c>
      <c r="E438" t="s">
        <v>460</v>
      </c>
    </row>
    <row r="439" spans="1:7">
      <c r="A439" s="1">
        <v>428</v>
      </c>
      <c r="B439" s="8" t="s">
        <v>428</v>
      </c>
      <c r="C439" s="1">
        <v>582</v>
      </c>
      <c r="D439" s="1">
        <v>11</v>
      </c>
    </row>
    <row r="440" spans="1:7">
      <c r="A440" s="1">
        <v>429</v>
      </c>
      <c r="B440" s="8" t="s">
        <v>429</v>
      </c>
      <c r="C440" s="1">
        <v>366</v>
      </c>
      <c r="D440" s="1">
        <v>11</v>
      </c>
    </row>
    <row r="441" spans="1:7">
      <c r="A441" s="1">
        <v>430</v>
      </c>
      <c r="B441" s="8" t="s">
        <v>430</v>
      </c>
      <c r="C441" s="1">
        <v>276</v>
      </c>
      <c r="D441" s="1">
        <v>9</v>
      </c>
    </row>
    <row r="442" spans="1:7">
      <c r="A442" s="1">
        <v>431</v>
      </c>
      <c r="B442" s="8" t="s">
        <v>431</v>
      </c>
      <c r="C442" s="1">
        <v>613</v>
      </c>
      <c r="D442" s="1">
        <v>2</v>
      </c>
      <c r="E442" t="s">
        <v>460</v>
      </c>
      <c r="G442" t="s">
        <v>462</v>
      </c>
    </row>
    <row r="443" spans="1:7">
      <c r="A443" s="1">
        <v>432</v>
      </c>
      <c r="B443" s="8" t="s">
        <v>432</v>
      </c>
      <c r="C443" s="1">
        <v>204</v>
      </c>
      <c r="D443" s="1">
        <v>11</v>
      </c>
      <c r="E443" t="s">
        <v>460</v>
      </c>
    </row>
    <row r="444" spans="1:7">
      <c r="A444" s="1">
        <v>433</v>
      </c>
      <c r="B444" s="8" t="s">
        <v>433</v>
      </c>
      <c r="C444" s="1">
        <v>205</v>
      </c>
      <c r="D444" s="1">
        <v>10</v>
      </c>
    </row>
    <row r="445" spans="1:7">
      <c r="A445" s="1">
        <v>434</v>
      </c>
      <c r="B445" s="8" t="s">
        <v>434</v>
      </c>
      <c r="C445" s="1">
        <v>553</v>
      </c>
      <c r="D445" s="1">
        <v>9</v>
      </c>
      <c r="E445" t="s">
        <v>460</v>
      </c>
    </row>
    <row r="446" spans="1:7">
      <c r="A446" s="1">
        <v>435</v>
      </c>
      <c r="B446" s="8" t="s">
        <v>435</v>
      </c>
      <c r="C446" s="1">
        <v>498</v>
      </c>
      <c r="D446" s="1">
        <v>12</v>
      </c>
    </row>
    <row r="447" spans="1:7">
      <c r="A447" s="1">
        <v>436</v>
      </c>
      <c r="B447" s="8" t="s">
        <v>436</v>
      </c>
      <c r="C447" s="1">
        <v>524</v>
      </c>
      <c r="D447" s="1">
        <v>9</v>
      </c>
      <c r="E447" t="s">
        <v>460</v>
      </c>
    </row>
    <row r="448" spans="1:7">
      <c r="A448" s="1">
        <v>437</v>
      </c>
      <c r="B448" s="8" t="s">
        <v>437</v>
      </c>
      <c r="C448" s="1">
        <v>104</v>
      </c>
      <c r="D448" s="1">
        <v>11</v>
      </c>
      <c r="E448" t="s">
        <v>460</v>
      </c>
    </row>
    <row r="449" spans="1:8">
      <c r="A449" s="1">
        <v>438</v>
      </c>
      <c r="B449" s="20" t="s">
        <v>438</v>
      </c>
      <c r="C449" s="1">
        <v>105</v>
      </c>
      <c r="D449" s="1">
        <v>10</v>
      </c>
      <c r="E449" t="s">
        <v>460</v>
      </c>
    </row>
    <row r="450" spans="1:8">
      <c r="A450" s="1">
        <v>439</v>
      </c>
      <c r="B450" s="20" t="s">
        <v>439</v>
      </c>
      <c r="C450" s="1">
        <v>123</v>
      </c>
      <c r="D450" s="1">
        <v>11</v>
      </c>
    </row>
    <row r="451" spans="1:8">
      <c r="A451" s="1">
        <v>440</v>
      </c>
      <c r="B451" s="24" t="s">
        <v>440</v>
      </c>
      <c r="C451" s="13">
        <v>128</v>
      </c>
      <c r="D451" s="12">
        <v>6</v>
      </c>
      <c r="E451" t="s">
        <v>460</v>
      </c>
      <c r="H451" t="s">
        <v>465</v>
      </c>
    </row>
  </sheetData>
  <autoFilter ref="A10:H451"/>
  <mergeCells count="4">
    <mergeCell ref="D10:D11"/>
    <mergeCell ref="B10:B11"/>
    <mergeCell ref="C10:C11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1"/>
  <sheetViews>
    <sheetView workbookViewId="0">
      <selection activeCell="D10" sqref="D10:E10"/>
    </sheetView>
  </sheetViews>
  <sheetFormatPr defaultRowHeight="15"/>
  <sheetData>
    <row r="8" spans="4:6">
      <c r="D8">
        <f>38*4</f>
        <v>152</v>
      </c>
    </row>
    <row r="9" spans="4:6">
      <c r="D9">
        <v>25</v>
      </c>
    </row>
    <row r="10" spans="4:6">
      <c r="D10">
        <f>SUM(D8:D9)</f>
        <v>177</v>
      </c>
      <c r="E10">
        <v>68</v>
      </c>
      <c r="F10" t="s">
        <v>467</v>
      </c>
    </row>
    <row r="11" spans="4:6">
      <c r="D1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Satpal Nagar</dc:creator>
  <cp:lastModifiedBy>Pavan Dharawad</cp:lastModifiedBy>
  <dcterms:created xsi:type="dcterms:W3CDTF">2016-05-01T15:45:24Z</dcterms:created>
  <dcterms:modified xsi:type="dcterms:W3CDTF">2016-05-02T02:22:48Z</dcterms:modified>
</cp:coreProperties>
</file>