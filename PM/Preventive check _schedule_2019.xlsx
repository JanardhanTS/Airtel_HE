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HE\PM\"/>
    </mc:Choice>
  </mc:AlternateContent>
  <bookViews>
    <workbookView xWindow="120" yWindow="15" windowWidth="15195" windowHeight="8190" tabRatio="293"/>
  </bookViews>
  <sheets>
    <sheet name="PM schedule 2019 " sheetId="12" r:id="rId1"/>
    <sheet name="FR.CO.08" sheetId="13" r:id="rId2"/>
  </sheets>
  <externalReferences>
    <externalReference r:id="rId3"/>
  </externalReferences>
  <definedNames>
    <definedName name="Calendar">daysAndWks + DateOfFirst - WEEKDAY(DateOfFirst,2)</definedName>
    <definedName name="DateOfFirst">DATE(YEAR(#REF!),MONTH(#REF!),1)</definedName>
    <definedName name="daysAndWks">COLUMN(OFFSET(INDIRECT("$A$1"),0,0,1,42))-1</definedName>
    <definedName name="kada">daysAndWks + kada1 - WEEKDAY(kada1,2)</definedName>
    <definedName name="kada1">DATE(YEAR(#REF!),MONTH(#REF!),1)</definedName>
    <definedName name="kada3">[1]Mini!$C$6:$AR$6</definedName>
    <definedName name="m1_">#REF!</definedName>
    <definedName name="m10_">#REF!</definedName>
    <definedName name="m11_">#REF!</definedName>
    <definedName name="m12_">#REF!</definedName>
    <definedName name="m2_">#REF!</definedName>
    <definedName name="m3_">#REF!</definedName>
    <definedName name="m4_">#REF!</definedName>
    <definedName name="m5_">#REF!</definedName>
    <definedName name="m6_">#REF!</definedName>
    <definedName name="m7_">#REF!</definedName>
    <definedName name="m8_">#REF!</definedName>
    <definedName name="m9_">#REF!</definedName>
    <definedName name="year">[1]Full!$D$3</definedName>
  </definedNames>
  <calcPr calcId="152511"/>
</workbook>
</file>

<file path=xl/calcChain.xml><?xml version="1.0" encoding="utf-8"?>
<calcChain xmlns="http://schemas.openxmlformats.org/spreadsheetml/2006/main">
  <c r="C19" i="12" l="1"/>
  <c r="C17" i="12" l="1"/>
  <c r="C15" i="12"/>
  <c r="C13" i="12"/>
  <c r="C12" i="12"/>
  <c r="C18" i="12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B3" i="12"/>
</calcChain>
</file>

<file path=xl/sharedStrings.xml><?xml version="1.0" encoding="utf-8"?>
<sst xmlns="http://schemas.openxmlformats.org/spreadsheetml/2006/main" count="311" uniqueCount="153">
  <si>
    <t>Bharti Telemedia Ltd</t>
  </si>
  <si>
    <t>FR.CO.08, Rev-00</t>
  </si>
  <si>
    <t>Preventive Maintenance Scheduling &amp; Follow-Up</t>
  </si>
  <si>
    <t>Deptt:</t>
  </si>
  <si>
    <t>Reviewd By :</t>
  </si>
  <si>
    <t>[Updation of this check sheet needs to be done on weekly basis]</t>
  </si>
  <si>
    <t>#</t>
  </si>
  <si>
    <t>Equipment Name</t>
  </si>
  <si>
    <t>Equipment Sr. No.</t>
  </si>
  <si>
    <t>Vendor</t>
  </si>
  <si>
    <t>Commissioning Date</t>
  </si>
  <si>
    <t>Warranty 
Period</t>
  </si>
  <si>
    <t>PM Frequency</t>
  </si>
  <si>
    <t>Next PM Due Date</t>
  </si>
  <si>
    <t>Remarks</t>
  </si>
  <si>
    <t>UPS 200 KVA-1 HIPULSE 7400M</t>
  </si>
  <si>
    <t>200812HI3236</t>
  </si>
  <si>
    <t>Emerson</t>
  </si>
  <si>
    <t>30/04/2009</t>
  </si>
  <si>
    <t>UPS 200 KVA-2 HIPULSE 7400M</t>
  </si>
  <si>
    <t>200811HI3090</t>
  </si>
  <si>
    <t>UPS 30 KVA-3 HIPULSE 7400M</t>
  </si>
  <si>
    <t>2008117M4412</t>
  </si>
  <si>
    <t>Active Filter UPS -1-150Amp</t>
  </si>
  <si>
    <t>NA</t>
  </si>
  <si>
    <t>Active Filter UPS -2 -150 Amp</t>
  </si>
  <si>
    <t>Battery Bank UPS 200 KVA - 1</t>
  </si>
  <si>
    <t>8W0807</t>
  </si>
  <si>
    <t>Battery Bank UPS 200 KVA - 2</t>
  </si>
  <si>
    <t>Battery Bank UPS 30  KVA - 1</t>
  </si>
  <si>
    <t>HK16HI7YK4</t>
  </si>
  <si>
    <t>Headend PAC 1 PEX 380FA100</t>
  </si>
  <si>
    <t>090740260111</t>
  </si>
  <si>
    <t>16/06/2009</t>
  </si>
  <si>
    <t>Headend PAC 2 PEX 380FA100</t>
  </si>
  <si>
    <t>090740260112</t>
  </si>
  <si>
    <t>Headend PAC 3 PEX 380FA100</t>
  </si>
  <si>
    <t>090740260113</t>
  </si>
  <si>
    <t>Headend PAC 4 PEX 380FA100</t>
  </si>
  <si>
    <t>090740260114</t>
  </si>
  <si>
    <t>Headend PAC 5 PEX 380FA100</t>
  </si>
  <si>
    <t>090740260115</t>
  </si>
  <si>
    <t>RF Room 1 PAC1 PEX130FA100</t>
  </si>
  <si>
    <t>090640130209</t>
  </si>
  <si>
    <t>RF Room 2 PAC1 PEX130FA100</t>
  </si>
  <si>
    <t>090640130210</t>
  </si>
  <si>
    <t>RF Room 3 PAC1 PEX130FA100</t>
  </si>
  <si>
    <t>090640130211</t>
  </si>
  <si>
    <t>UPS Room1PAC 1 PEX130FA100</t>
  </si>
  <si>
    <t>090740125203</t>
  </si>
  <si>
    <t>UPS Room1PAC 2 PEX130FA100</t>
  </si>
  <si>
    <t>090740125204</t>
  </si>
  <si>
    <t>UPS Room1 PAC 3PEX130FA100</t>
  </si>
  <si>
    <t>090740125205</t>
  </si>
  <si>
    <t>CAS Room PAC PEC113FA100</t>
  </si>
  <si>
    <t>090740113107</t>
  </si>
  <si>
    <t>FM 200 Notifier Alarm System</t>
  </si>
  <si>
    <t>15219-G</t>
  </si>
  <si>
    <t>Newage</t>
  </si>
  <si>
    <t>30/05/2009</t>
  </si>
  <si>
    <t>Monitor Room AHU 1</t>
  </si>
  <si>
    <t>Unique</t>
  </si>
  <si>
    <t>16/06/09</t>
  </si>
  <si>
    <t>Monitor Room AHU 2</t>
  </si>
  <si>
    <t>18/06/09</t>
  </si>
  <si>
    <t>Office area AHU 1</t>
  </si>
  <si>
    <t>RF Room Exhaust Fan 2</t>
  </si>
  <si>
    <t>* Warranty period is from DOC</t>
  </si>
  <si>
    <t>Location</t>
  </si>
  <si>
    <t>SL No</t>
  </si>
  <si>
    <t>Week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</si>
  <si>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</si>
  <si>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</si>
  <si>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</si>
  <si>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</si>
  <si>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</si>
  <si>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</si>
  <si>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</si>
  <si>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</si>
  <si>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</si>
  <si>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</si>
  <si>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</si>
  <si>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</si>
  <si>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Monday</t>
  </si>
  <si>
    <t>Tuesday</t>
  </si>
  <si>
    <t>Wednesday</t>
  </si>
  <si>
    <t>Thursday</t>
  </si>
  <si>
    <t>Friday</t>
  </si>
  <si>
    <t>Saturday</t>
  </si>
  <si>
    <t>Sunday</t>
  </si>
  <si>
    <t>RF Equipments</t>
  </si>
  <si>
    <t>Spectrum Analyzer(Calibration)</t>
  </si>
  <si>
    <t>RF Room</t>
  </si>
  <si>
    <t>Terrace</t>
  </si>
  <si>
    <t>EQUIPMENT</t>
  </si>
  <si>
    <t>RF Room INLET Fan 1</t>
  </si>
  <si>
    <t>RF Room INLET Fan 2</t>
  </si>
  <si>
    <t>RF Room Exaust Fan 1</t>
  </si>
  <si>
    <t>UPS I/P &amp; O/P PANEL</t>
  </si>
  <si>
    <t>BLOWER STARTER PANEL</t>
  </si>
  <si>
    <t>UPS, RP &amp; UPS DISTRIBUTION BOARD</t>
  </si>
  <si>
    <t>June’09 to June’10</t>
  </si>
  <si>
    <t>30-04-2009 to 29-04-2012</t>
  </si>
  <si>
    <t>16-06-2009 to 15-06-2010</t>
  </si>
  <si>
    <t>31-05-2009 to 30-05-2010</t>
  </si>
  <si>
    <t>CPI</t>
  </si>
  <si>
    <t>ANTENNA</t>
  </si>
  <si>
    <t>GSI</t>
  </si>
  <si>
    <t>VIASAT</t>
  </si>
  <si>
    <t>23/07/2009</t>
  </si>
  <si>
    <t>23/07/2009 to 23/01/2011</t>
  </si>
  <si>
    <t>23/07/2009 to 23/07/2012</t>
  </si>
  <si>
    <t>16/06/2009 to 16/06/2010</t>
  </si>
  <si>
    <t>18/06/2009 to 18/06/2010</t>
  </si>
  <si>
    <t>Half yearly</t>
  </si>
  <si>
    <t>Bi monthly</t>
  </si>
  <si>
    <t>Quarterly</t>
  </si>
  <si>
    <t>PACE electricals</t>
  </si>
  <si>
    <t>Last PM Carried on Date(enter mm/dd/yyyy)</t>
  </si>
  <si>
    <t>other RF equipments</t>
  </si>
  <si>
    <t>SPECTRUM ANALYZER</t>
  </si>
  <si>
    <t>AGILENT</t>
  </si>
  <si>
    <t>Yearly</t>
  </si>
  <si>
    <t>LAST PM COMPLETION DATE</t>
  </si>
  <si>
    <t>Current date</t>
  </si>
  <si>
    <t>Equipment is not under warranty</t>
  </si>
  <si>
    <t>SF97XXXX</t>
  </si>
  <si>
    <t>MY45117191</t>
  </si>
  <si>
    <t>YA010869</t>
  </si>
  <si>
    <t>PSPLC75010901</t>
  </si>
  <si>
    <t>PSPLC75010902</t>
  </si>
  <si>
    <t>PSPLC75010903</t>
  </si>
  <si>
    <t>Main LT PANEL</t>
  </si>
  <si>
    <t>DTH</t>
  </si>
  <si>
    <t>Kabbur</t>
  </si>
  <si>
    <t>Monthly</t>
  </si>
  <si>
    <t xml:space="preserve">KHPA </t>
  </si>
  <si>
    <t>RO antenna's 1-7</t>
  </si>
  <si>
    <t>VESDA</t>
  </si>
  <si>
    <t>Honeywell</t>
  </si>
  <si>
    <t>SPACELINK</t>
  </si>
  <si>
    <t>Antenna 11.3m</t>
  </si>
  <si>
    <t>Q</t>
  </si>
  <si>
    <t>RO antenna's [1 - 9]</t>
  </si>
  <si>
    <t>HE Room</t>
  </si>
  <si>
    <t>KHPA [ADSAT}</t>
  </si>
  <si>
    <t>Y</t>
  </si>
  <si>
    <t>Legend               
  OTHER COLOURS ARE  INTERNAL PM
M          MONTHLY
Q           QUARTERLY
H           HALF YEARLY
Y           YEARLY</t>
  </si>
  <si>
    <t>HE  Equipments</t>
  </si>
  <si>
    <t>CAS  Equiment's</t>
  </si>
  <si>
    <t>53 WEEK PM SCHEDULE  YEAR 2019  BHARTI AIRTEL (DTH) BANGALORE</t>
  </si>
  <si>
    <t>Internal PM</t>
  </si>
  <si>
    <t>Vendor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</si>
</sst>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1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color indexed="23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u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Verdana"/>
      <family val="2"/>
    </font>
    <font>
      <sz val="8"/>
      <color rgb="FFFF0000"/>
      <name val="Verdana"/>
      <family val="2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u/>
      <sz val="18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DED1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14" fontId="3" fillId="0" borderId="1" xfId="1" applyNumberFormat="1" applyFont="1" applyBorder="1" applyAlignment="1">
      <alignment horizontal="left" vertical="center"/>
    </xf>
    <xf numFmtId="14" fontId="3" fillId="0" borderId="3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22" fontId="3" fillId="0" borderId="0" xfId="1" applyNumberFormat="1" applyFont="1" applyAlignment="1">
      <alignment horizontal="left" vertical="center"/>
    </xf>
    <xf numFmtId="14" fontId="3" fillId="0" borderId="0" xfId="1" applyNumberFormat="1" applyFont="1" applyAlignment="1">
      <alignment horizontal="left" vertical="center"/>
    </xf>
    <xf numFmtId="0" fontId="0" fillId="0" borderId="6" xfId="0" applyBorder="1"/>
    <xf numFmtId="0" fontId="5" fillId="0" borderId="7" xfId="0" applyFont="1" applyBorder="1" applyAlignment="1"/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3" borderId="2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/>
    <xf numFmtId="164" fontId="3" fillId="0" borderId="1" xfId="1" applyNumberFormat="1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/>
    </xf>
    <xf numFmtId="0" fontId="4" fillId="0" borderId="4" xfId="0" applyFont="1" applyFill="1" applyBorder="1" applyAlignment="1">
      <alignment wrapText="1"/>
    </xf>
    <xf numFmtId="0" fontId="4" fillId="0" borderId="1" xfId="1" applyFont="1" applyBorder="1" applyAlignment="1">
      <alignment horizontal="left" vertical="center"/>
    </xf>
    <xf numFmtId="164" fontId="7" fillId="0" borderId="1" xfId="0" applyNumberFormat="1" applyFont="1" applyFill="1" applyBorder="1" applyAlignment="1">
      <alignment horizontal="left"/>
    </xf>
    <xf numFmtId="15" fontId="0" fillId="0" borderId="0" xfId="0" applyNumberFormat="1" applyBorder="1" applyAlignment="1">
      <alignment horizontal="left"/>
    </xf>
    <xf numFmtId="0" fontId="12" fillId="0" borderId="1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wrapText="1"/>
    </xf>
    <xf numFmtId="0" fontId="12" fillId="0" borderId="1" xfId="0" applyFont="1" applyFill="1" applyBorder="1" applyAlignment="1">
      <alignment horizontal="center" wrapText="1"/>
    </xf>
    <xf numFmtId="0" fontId="12" fillId="0" borderId="1" xfId="1" applyFont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8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5" fillId="0" borderId="6" xfId="0" applyFont="1" applyBorder="1" applyAlignment="1"/>
    <xf numFmtId="0" fontId="8" fillId="3" borderId="16" xfId="0" applyFont="1" applyFill="1" applyBorder="1" applyAlignment="1">
      <alignment horizontal="center"/>
    </xf>
    <xf numFmtId="0" fontId="15" fillId="0" borderId="1" xfId="0" applyFont="1" applyBorder="1"/>
    <xf numFmtId="0" fontId="15" fillId="15" borderId="1" xfId="0" applyFont="1" applyFill="1" applyBorder="1"/>
    <xf numFmtId="164" fontId="7" fillId="15" borderId="1" xfId="0" applyNumberFormat="1" applyFont="1" applyFill="1" applyBorder="1" applyAlignment="1">
      <alignment horizontal="left"/>
    </xf>
    <xf numFmtId="0" fontId="0" fillId="15" borderId="1" xfId="0" applyFill="1" applyBorder="1"/>
    <xf numFmtId="0" fontId="7" fillId="0" borderId="3" xfId="0" applyFont="1" applyBorder="1" applyAlignment="1">
      <alignment horizontal="center" vertical="center"/>
    </xf>
    <xf numFmtId="0" fontId="2" fillId="19" borderId="0" xfId="1" applyFont="1" applyFill="1" applyAlignment="1">
      <alignment horizontal="left" vertical="center"/>
    </xf>
    <xf numFmtId="0" fontId="3" fillId="19" borderId="0" xfId="1" applyFont="1" applyFill="1" applyAlignment="1">
      <alignment horizontal="left" vertical="center"/>
    </xf>
    <xf numFmtId="0" fontId="4" fillId="19" borderId="1" xfId="1" applyFont="1" applyFill="1" applyBorder="1" applyAlignment="1">
      <alignment horizontal="left" vertical="center" wrapText="1"/>
    </xf>
    <xf numFmtId="164" fontId="3" fillId="19" borderId="1" xfId="1" applyNumberFormat="1" applyFont="1" applyFill="1" applyBorder="1" applyAlignment="1">
      <alignment horizontal="left" vertical="center"/>
    </xf>
    <xf numFmtId="0" fontId="7" fillId="5" borderId="17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9" borderId="17" xfId="0" applyFont="1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0" fontId="7" fillId="11" borderId="17" xfId="0" applyFont="1" applyFill="1" applyBorder="1" applyAlignment="1">
      <alignment horizontal="center"/>
    </xf>
    <xf numFmtId="0" fontId="7" fillId="12" borderId="17" xfId="0" applyFont="1" applyFill="1" applyBorder="1" applyAlignment="1">
      <alignment horizontal="center"/>
    </xf>
    <xf numFmtId="0" fontId="7" fillId="13" borderId="17" xfId="0" applyFont="1" applyFill="1" applyBorder="1" applyAlignment="1">
      <alignment horizontal="center"/>
    </xf>
    <xf numFmtId="0" fontId="7" fillId="14" borderId="17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9" fillId="20" borderId="3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15" borderId="10" xfId="0" applyFont="1" applyFill="1" applyBorder="1" applyAlignment="1">
      <alignment horizontal="center"/>
    </xf>
    <xf numFmtId="0" fontId="10" fillId="15" borderId="0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/>
    </xf>
    <xf numFmtId="0" fontId="6" fillId="17" borderId="4" xfId="0" applyFont="1" applyFill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/>
    </xf>
    <xf numFmtId="0" fontId="6" fillId="18" borderId="14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/>
    </xf>
    <xf numFmtId="0" fontId="14" fillId="16" borderId="12" xfId="0" applyFont="1" applyFill="1" applyBorder="1"/>
    <xf numFmtId="0" fontId="14" fillId="16" borderId="13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1" fillId="21" borderId="1" xfId="0" applyFont="1" applyFill="1" applyBorder="1" applyAlignment="1">
      <alignment horizontal="center"/>
    </xf>
  </cellXfs>
  <cellStyles count="2">
    <cellStyle name="Normal" xfId="0" builtinId="0"/>
    <cellStyle name="Normal_27-Preventive Maintenance Process1.1" xfId="1"/>
  </cellStyles>
  <dxfs count="745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DED12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rgb="FF00B050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rgb="FF00B050"/>
        </patternFill>
      </fill>
    </dxf>
    <dxf>
      <font>
        <condense val="0"/>
        <extend val="0"/>
        <color indexed="31"/>
      </font>
      <fill>
        <patternFill>
          <bgColor indexed="9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DED12"/>
        </patternFill>
      </fill>
    </dxf>
  </dxfs>
  <tableStyles count="0" defaultTableStyle="TableStyleMedium9" defaultPivotStyle="PivotStyleLight16"/>
  <colors>
    <mruColors>
      <color rgb="FF0DED12"/>
      <color rgb="FF663300"/>
      <color rgb="FFFFCC00"/>
      <color rgb="FF6666FF"/>
      <color rgb="FFFFFF00"/>
      <color rgb="FF00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591805286271119E-2"/>
          <c:y val="1.7777777777777781E-2"/>
          <c:w val="0.85264087228002405"/>
          <c:h val="0.227006824146981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val>
            <c:numRef>
              <c:f>'PM schedule 2014'!#REF!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99199888"/>
        <c:axId val="-1599210768"/>
      </c:barChart>
      <c:catAx>
        <c:axId val="-1599199888"/>
        <c:scaling>
          <c:orientation val="minMax"/>
        </c:scaling>
        <c:delete val="1"/>
        <c:axPos val="l"/>
        <c:majorTickMark val="out"/>
        <c:minorTickMark val="none"/>
        <c:tickLblPos val="none"/>
        <c:crossAx val="-1599210768"/>
        <c:crosses val="autoZero"/>
        <c:auto val="1"/>
        <c:lblAlgn val="ctr"/>
        <c:lblOffset val="100"/>
        <c:noMultiLvlLbl val="0"/>
      </c:catAx>
      <c:valAx>
        <c:axId val="-1599210768"/>
        <c:scaling>
          <c:orientation val="minMax"/>
          <c:max val="1"/>
          <c:min val="0"/>
        </c:scaling>
        <c:delete val="0"/>
        <c:axPos val="b"/>
        <c:majorGridlines/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-1599199888"/>
        <c:crosses val="autoZero"/>
        <c:crossBetween val="between"/>
        <c:majorUnit val="0.1"/>
        <c:minorUnit val="2.0000000000000011E-2"/>
      </c:valAx>
    </c:plotArea>
    <c:plotVisOnly val="1"/>
    <c:dispBlanksAs val="gap"/>
    <c:showDLblsOverMax val="0"/>
  </c:chart>
  <c:spPr>
    <a:gradFill flip="none" rotWithShape="1">
      <a:gsLst>
        <a:gs pos="0">
          <a:srgbClr val="8488C4"/>
        </a:gs>
        <a:gs pos="53000">
          <a:srgbClr val="D4DEFF"/>
        </a:gs>
        <a:gs pos="83000">
          <a:srgbClr val="D4DEFF"/>
        </a:gs>
        <a:gs pos="100000">
          <a:srgbClr val="96AB94"/>
        </a:gs>
      </a:gsLst>
      <a:lin ang="5400000" scaled="0"/>
      <a:tileRect/>
    </a:gradFill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15</xdr:row>
      <xdr:rowOff>0</xdr:rowOff>
    </xdr:from>
    <xdr:to>
      <xdr:col>4</xdr:col>
      <xdr:colOff>11205</xdr:colOff>
      <xdr:row>15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asad\2011-calendar-2k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"/>
      <sheetName val="Monthly"/>
      <sheetName val="Mini"/>
      <sheetName val="Full - color 1"/>
      <sheetName val="Full - color 2"/>
      <sheetName val="Full - color 3"/>
    </sheetNames>
    <sheetDataSet>
      <sheetData sheetId="0">
        <row r="3">
          <cell r="D3">
            <v>2011</v>
          </cell>
        </row>
      </sheetData>
      <sheetData sheetId="1"/>
      <sheetData sheetId="2">
        <row r="6">
          <cell r="C6">
            <v>40538</v>
          </cell>
          <cell r="D6">
            <v>40539</v>
          </cell>
          <cell r="E6">
            <v>40540</v>
          </cell>
          <cell r="F6">
            <v>40541</v>
          </cell>
          <cell r="G6">
            <v>40542</v>
          </cell>
          <cell r="H6">
            <v>40543</v>
          </cell>
          <cell r="I6">
            <v>40544</v>
          </cell>
          <cell r="J6">
            <v>40545</v>
          </cell>
          <cell r="K6">
            <v>40546</v>
          </cell>
          <cell r="L6">
            <v>40547</v>
          </cell>
          <cell r="M6">
            <v>40548</v>
          </cell>
          <cell r="N6">
            <v>40549</v>
          </cell>
          <cell r="O6">
            <v>40550</v>
          </cell>
          <cell r="P6">
            <v>40551</v>
          </cell>
          <cell r="Q6">
            <v>40552</v>
          </cell>
          <cell r="R6">
            <v>40553</v>
          </cell>
          <cell r="S6">
            <v>40554</v>
          </cell>
          <cell r="T6">
            <v>40555</v>
          </cell>
          <cell r="U6">
            <v>40556</v>
          </cell>
          <cell r="V6">
            <v>40557</v>
          </cell>
          <cell r="W6">
            <v>40558</v>
          </cell>
          <cell r="X6">
            <v>40559</v>
          </cell>
          <cell r="Y6">
            <v>40560</v>
          </cell>
          <cell r="Z6">
            <v>40561</v>
          </cell>
          <cell r="AA6">
            <v>40562</v>
          </cell>
          <cell r="AB6">
            <v>40563</v>
          </cell>
          <cell r="AC6">
            <v>40564</v>
          </cell>
          <cell r="AD6">
            <v>40565</v>
          </cell>
          <cell r="AE6">
            <v>40566</v>
          </cell>
          <cell r="AF6">
            <v>40567</v>
          </cell>
          <cell r="AG6">
            <v>40568</v>
          </cell>
          <cell r="AH6">
            <v>40569</v>
          </cell>
          <cell r="AI6">
            <v>40570</v>
          </cell>
          <cell r="AJ6">
            <v>40571</v>
          </cell>
          <cell r="AK6">
            <v>40572</v>
          </cell>
          <cell r="AL6">
            <v>40573</v>
          </cell>
          <cell r="AM6">
            <v>40574</v>
          </cell>
          <cell r="AN6">
            <v>40575</v>
          </cell>
          <cell r="AO6">
            <v>40576</v>
          </cell>
          <cell r="AP6">
            <v>40577</v>
          </cell>
          <cell r="AQ6">
            <v>40578</v>
          </cell>
          <cell r="AR6">
            <v>40579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"/>
  <sheetViews>
    <sheetView tabSelected="1" zoomScale="80" zoomScaleNormal="80" workbookViewId="0">
      <pane ySplit="9" topLeftCell="A10" activePane="bottomLeft" state="frozen"/>
      <selection pane="bottomLeft" activeCell="A19" sqref="A19"/>
    </sheetView>
  </sheetViews>
  <sheetFormatPr defaultRowHeight="15" x14ac:dyDescent="0.25"/>
  <cols>
    <col min="1" max="1" width="5.42578125" bestFit="1" customWidth="1"/>
    <col min="2" max="2" width="24.7109375" bestFit="1" customWidth="1"/>
    <col min="3" max="3" width="23.42578125" bestFit="1" customWidth="1"/>
    <col min="4" max="4" width="12.85546875" bestFit="1" customWidth="1"/>
    <col min="5" max="5" width="9.28515625" bestFit="1" customWidth="1"/>
    <col min="6" max="6" width="2" bestFit="1" customWidth="1"/>
    <col min="7" max="14" width="2.7109375" bestFit="1" customWidth="1"/>
    <col min="15" max="58" width="3" bestFit="1" customWidth="1"/>
  </cols>
  <sheetData>
    <row r="1" spans="1:58" ht="24" thickBot="1" x14ac:dyDescent="0.4">
      <c r="A1" s="68"/>
      <c r="B1" s="14"/>
      <c r="C1" s="14"/>
      <c r="D1" s="83" t="s">
        <v>150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5"/>
      <c r="AX1" s="15"/>
      <c r="AY1" s="15"/>
      <c r="AZ1" s="15"/>
      <c r="BA1" s="15"/>
      <c r="BB1" s="15"/>
      <c r="BC1" s="15"/>
      <c r="BD1" s="15"/>
      <c r="BE1" s="15"/>
      <c r="BF1" s="37"/>
    </row>
    <row r="2" spans="1:58" ht="15.75" thickBot="1" x14ac:dyDescent="0.3">
      <c r="A2" s="16" t="s">
        <v>69</v>
      </c>
      <c r="B2" s="17" t="s">
        <v>124</v>
      </c>
      <c r="C2" s="17"/>
      <c r="D2" s="62"/>
      <c r="E2" s="35" t="s">
        <v>70</v>
      </c>
      <c r="F2" s="34">
        <v>1</v>
      </c>
      <c r="G2" s="34">
        <v>2</v>
      </c>
      <c r="H2" s="34">
        <v>3</v>
      </c>
      <c r="I2" s="34">
        <v>4</v>
      </c>
      <c r="J2" s="34">
        <v>5</v>
      </c>
      <c r="K2" s="18">
        <v>6</v>
      </c>
      <c r="L2" s="18">
        <v>7</v>
      </c>
      <c r="M2" s="18">
        <v>8</v>
      </c>
      <c r="N2" s="18">
        <v>9</v>
      </c>
      <c r="O2" s="18">
        <v>10</v>
      </c>
      <c r="P2" s="18">
        <v>11</v>
      </c>
      <c r="Q2" s="18">
        <v>12</v>
      </c>
      <c r="R2" s="18">
        <v>13</v>
      </c>
      <c r="S2" s="18">
        <v>14</v>
      </c>
      <c r="T2" s="18">
        <v>15</v>
      </c>
      <c r="U2" s="18">
        <v>16</v>
      </c>
      <c r="V2" s="18">
        <v>17</v>
      </c>
      <c r="W2" s="18">
        <v>18</v>
      </c>
      <c r="X2" s="18">
        <v>19</v>
      </c>
      <c r="Y2" s="18">
        <v>20</v>
      </c>
      <c r="Z2" s="18">
        <v>21</v>
      </c>
      <c r="AA2" s="18">
        <v>22</v>
      </c>
      <c r="AB2" s="34">
        <v>23</v>
      </c>
      <c r="AC2" s="34">
        <v>24</v>
      </c>
      <c r="AD2" s="34">
        <v>25</v>
      </c>
      <c r="AE2" s="34">
        <v>26</v>
      </c>
      <c r="AF2" s="34">
        <v>27</v>
      </c>
      <c r="AG2" s="18">
        <v>28</v>
      </c>
      <c r="AH2" s="18">
        <v>29</v>
      </c>
      <c r="AI2" s="18">
        <v>30</v>
      </c>
      <c r="AJ2" s="18">
        <v>31</v>
      </c>
      <c r="AK2" s="34">
        <v>32</v>
      </c>
      <c r="AL2" s="34">
        <v>33</v>
      </c>
      <c r="AM2" s="34">
        <v>34</v>
      </c>
      <c r="AN2" s="34">
        <v>35</v>
      </c>
      <c r="AO2" s="34">
        <v>36</v>
      </c>
      <c r="AP2" s="34">
        <v>37</v>
      </c>
      <c r="AQ2" s="34">
        <v>38</v>
      </c>
      <c r="AR2" s="34">
        <v>39</v>
      </c>
      <c r="AS2" s="34">
        <v>40</v>
      </c>
      <c r="AT2" s="34">
        <v>41</v>
      </c>
      <c r="AU2" s="34">
        <v>42</v>
      </c>
      <c r="AV2" s="34">
        <v>43</v>
      </c>
      <c r="AW2" s="34">
        <v>44</v>
      </c>
      <c r="AX2" s="34">
        <v>45</v>
      </c>
      <c r="AY2" s="34">
        <v>46</v>
      </c>
      <c r="AZ2" s="34">
        <v>47</v>
      </c>
      <c r="BA2" s="34">
        <v>48</v>
      </c>
      <c r="BB2" s="34">
        <v>49</v>
      </c>
      <c r="BC2" s="34">
        <v>50</v>
      </c>
      <c r="BD2" s="34">
        <v>51</v>
      </c>
      <c r="BE2" s="34">
        <v>52</v>
      </c>
      <c r="BF2" s="38">
        <v>53</v>
      </c>
    </row>
    <row r="3" spans="1:58" ht="15.75" thickBot="1" x14ac:dyDescent="0.3">
      <c r="A3" s="69"/>
      <c r="B3" s="28">
        <f ca="1">TODAY()</f>
        <v>43472</v>
      </c>
      <c r="C3" s="19"/>
      <c r="D3" s="63"/>
      <c r="E3" s="20"/>
      <c r="F3" s="73" t="s">
        <v>71</v>
      </c>
      <c r="G3" s="73"/>
      <c r="H3" s="73"/>
      <c r="I3" s="73"/>
      <c r="J3" s="74"/>
      <c r="K3" s="72" t="s">
        <v>72</v>
      </c>
      <c r="L3" s="73"/>
      <c r="M3" s="73"/>
      <c r="N3" s="74"/>
      <c r="O3" s="72" t="s">
        <v>73</v>
      </c>
      <c r="P3" s="73"/>
      <c r="Q3" s="73"/>
      <c r="R3" s="74"/>
      <c r="S3" s="73" t="s">
        <v>74</v>
      </c>
      <c r="T3" s="73"/>
      <c r="U3" s="73"/>
      <c r="V3" s="73"/>
      <c r="W3" s="74"/>
      <c r="X3" s="72" t="s">
        <v>75</v>
      </c>
      <c r="Y3" s="73"/>
      <c r="Z3" s="73"/>
      <c r="AA3" s="74"/>
      <c r="AB3" s="72" t="s">
        <v>76</v>
      </c>
      <c r="AC3" s="73"/>
      <c r="AD3" s="73"/>
      <c r="AE3" s="74"/>
      <c r="AF3" s="72" t="s">
        <v>77</v>
      </c>
      <c r="AG3" s="73"/>
      <c r="AH3" s="73"/>
      <c r="AI3" s="73"/>
      <c r="AJ3" s="74"/>
      <c r="AK3" s="72" t="s">
        <v>78</v>
      </c>
      <c r="AL3" s="73"/>
      <c r="AM3" s="73"/>
      <c r="AN3" s="74"/>
      <c r="AO3" s="72" t="s">
        <v>79</v>
      </c>
      <c r="AP3" s="73"/>
      <c r="AQ3" s="73"/>
      <c r="AR3" s="73"/>
      <c r="AS3" s="74"/>
      <c r="AT3" s="72" t="s">
        <v>80</v>
      </c>
      <c r="AU3" s="73"/>
      <c r="AV3" s="73"/>
      <c r="AW3" s="74"/>
      <c r="AX3" s="72" t="s">
        <v>81</v>
      </c>
      <c r="AY3" s="73"/>
      <c r="AZ3" s="73"/>
      <c r="BA3" s="74"/>
      <c r="BB3" s="72" t="s">
        <v>82</v>
      </c>
      <c r="BC3" s="73"/>
      <c r="BD3" s="73"/>
      <c r="BE3" s="73"/>
      <c r="BF3" s="73"/>
    </row>
    <row r="4" spans="1:58" ht="15.75" thickBot="1" x14ac:dyDescent="0.3">
      <c r="A4" s="16"/>
      <c r="B4" s="75" t="s">
        <v>147</v>
      </c>
      <c r="C4" s="77" t="s">
        <v>123</v>
      </c>
      <c r="D4" s="80" t="s">
        <v>68</v>
      </c>
      <c r="E4" s="43" t="s">
        <v>83</v>
      </c>
      <c r="G4" s="48">
        <v>7</v>
      </c>
      <c r="H4" s="48">
        <v>14</v>
      </c>
      <c r="I4" s="48">
        <v>21</v>
      </c>
      <c r="J4" s="48">
        <v>28</v>
      </c>
      <c r="K4" s="49">
        <v>4</v>
      </c>
      <c r="L4" s="49">
        <v>11</v>
      </c>
      <c r="M4" s="49">
        <v>18</v>
      </c>
      <c r="N4" s="49">
        <v>25</v>
      </c>
      <c r="O4" s="50">
        <v>4</v>
      </c>
      <c r="P4" s="50">
        <v>11</v>
      </c>
      <c r="Q4" s="50">
        <v>18</v>
      </c>
      <c r="R4" s="50">
        <v>25</v>
      </c>
      <c r="S4" s="51">
        <v>1</v>
      </c>
      <c r="T4" s="51">
        <v>8</v>
      </c>
      <c r="U4" s="51">
        <v>15</v>
      </c>
      <c r="V4" s="51">
        <v>22</v>
      </c>
      <c r="W4" s="51">
        <v>29</v>
      </c>
      <c r="X4" s="52">
        <v>6</v>
      </c>
      <c r="Y4" s="52">
        <v>13</v>
      </c>
      <c r="Z4" s="52">
        <v>20</v>
      </c>
      <c r="AA4" s="52">
        <v>27</v>
      </c>
      <c r="AB4" s="53">
        <v>3</v>
      </c>
      <c r="AC4" s="53">
        <v>10</v>
      </c>
      <c r="AD4" s="53">
        <v>17</v>
      </c>
      <c r="AE4" s="53">
        <v>24</v>
      </c>
      <c r="AF4" s="54">
        <v>1</v>
      </c>
      <c r="AG4" s="54">
        <v>8</v>
      </c>
      <c r="AH4" s="54">
        <v>15</v>
      </c>
      <c r="AI4" s="54">
        <v>22</v>
      </c>
      <c r="AJ4" s="54">
        <v>29</v>
      </c>
      <c r="AK4" s="55">
        <v>5</v>
      </c>
      <c r="AL4" s="55">
        <v>12</v>
      </c>
      <c r="AM4" s="55">
        <v>19</v>
      </c>
      <c r="AN4" s="55">
        <v>26</v>
      </c>
      <c r="AO4" s="50">
        <v>2</v>
      </c>
      <c r="AP4" s="50">
        <v>9</v>
      </c>
      <c r="AQ4" s="50">
        <v>16</v>
      </c>
      <c r="AR4" s="50">
        <v>23</v>
      </c>
      <c r="AS4" s="61">
        <v>30</v>
      </c>
      <c r="AT4" s="61">
        <v>7</v>
      </c>
      <c r="AU4" s="61">
        <v>14</v>
      </c>
      <c r="AV4" s="61">
        <v>21</v>
      </c>
      <c r="AW4" s="61">
        <v>28</v>
      </c>
      <c r="AX4" s="57">
        <v>4</v>
      </c>
      <c r="AY4" s="57">
        <v>11</v>
      </c>
      <c r="AZ4" s="57">
        <v>18</v>
      </c>
      <c r="BA4" s="57">
        <v>25</v>
      </c>
      <c r="BB4" s="56">
        <v>2</v>
      </c>
      <c r="BC4" s="56">
        <v>9</v>
      </c>
      <c r="BD4" s="56">
        <v>16</v>
      </c>
      <c r="BE4" s="56">
        <v>23</v>
      </c>
      <c r="BF4" s="56">
        <v>30</v>
      </c>
    </row>
    <row r="5" spans="1:58" ht="15.75" thickBot="1" x14ac:dyDescent="0.3">
      <c r="A5" s="16"/>
      <c r="B5" s="76"/>
      <c r="C5" s="78"/>
      <c r="D5" s="81"/>
      <c r="E5" s="43" t="s">
        <v>84</v>
      </c>
      <c r="F5" s="58">
        <v>1</v>
      </c>
      <c r="G5" s="48">
        <v>8</v>
      </c>
      <c r="H5" s="48">
        <v>15</v>
      </c>
      <c r="I5" s="48">
        <v>22</v>
      </c>
      <c r="J5" s="48">
        <v>29</v>
      </c>
      <c r="K5" s="49">
        <v>5</v>
      </c>
      <c r="L5" s="49">
        <v>12</v>
      </c>
      <c r="M5" s="49">
        <v>19</v>
      </c>
      <c r="N5" s="49">
        <v>26</v>
      </c>
      <c r="O5" s="50">
        <v>5</v>
      </c>
      <c r="P5" s="50">
        <v>12</v>
      </c>
      <c r="Q5" s="50">
        <v>19</v>
      </c>
      <c r="R5" s="50">
        <v>26</v>
      </c>
      <c r="S5" s="51">
        <v>2</v>
      </c>
      <c r="T5" s="51">
        <v>9</v>
      </c>
      <c r="U5" s="51">
        <v>16</v>
      </c>
      <c r="V5" s="51">
        <v>23</v>
      </c>
      <c r="W5" s="51">
        <v>30</v>
      </c>
      <c r="X5" s="52">
        <v>7</v>
      </c>
      <c r="Y5" s="52">
        <v>14</v>
      </c>
      <c r="Z5" s="52">
        <v>21</v>
      </c>
      <c r="AA5" s="52">
        <v>28</v>
      </c>
      <c r="AB5" s="53">
        <v>4</v>
      </c>
      <c r="AC5" s="53">
        <v>11</v>
      </c>
      <c r="AD5" s="53">
        <v>18</v>
      </c>
      <c r="AE5" s="53">
        <v>25</v>
      </c>
      <c r="AF5" s="54">
        <v>2</v>
      </c>
      <c r="AG5" s="54">
        <v>9</v>
      </c>
      <c r="AH5" s="54">
        <v>16</v>
      </c>
      <c r="AI5" s="54">
        <v>23</v>
      </c>
      <c r="AJ5" s="54">
        <v>30</v>
      </c>
      <c r="AK5" s="55">
        <v>6</v>
      </c>
      <c r="AL5" s="55">
        <v>13</v>
      </c>
      <c r="AM5" s="55">
        <v>20</v>
      </c>
      <c r="AN5" s="55">
        <v>27</v>
      </c>
      <c r="AO5" s="50">
        <v>3</v>
      </c>
      <c r="AP5" s="50">
        <v>10</v>
      </c>
      <c r="AQ5" s="50">
        <v>17</v>
      </c>
      <c r="AR5" s="50">
        <v>24</v>
      </c>
      <c r="AS5" s="61">
        <v>1</v>
      </c>
      <c r="AT5" s="61">
        <v>8</v>
      </c>
      <c r="AU5" s="61">
        <v>15</v>
      </c>
      <c r="AV5" s="61">
        <v>22</v>
      </c>
      <c r="AW5" s="61">
        <v>29</v>
      </c>
      <c r="AX5" s="57">
        <v>5</v>
      </c>
      <c r="AY5" s="57">
        <v>12</v>
      </c>
      <c r="AZ5" s="57">
        <v>19</v>
      </c>
      <c r="BA5" s="57">
        <v>26</v>
      </c>
      <c r="BB5" s="56">
        <v>3</v>
      </c>
      <c r="BC5" s="56">
        <v>10</v>
      </c>
      <c r="BD5" s="56">
        <v>17</v>
      </c>
      <c r="BE5" s="56">
        <v>24</v>
      </c>
      <c r="BF5" s="56">
        <v>31</v>
      </c>
    </row>
    <row r="6" spans="1:58" ht="15.75" thickBot="1" x14ac:dyDescent="0.3">
      <c r="A6" s="16"/>
      <c r="B6" s="76"/>
      <c r="C6" s="78"/>
      <c r="D6" s="81"/>
      <c r="E6" s="43" t="s">
        <v>85</v>
      </c>
      <c r="F6" s="58">
        <v>2</v>
      </c>
      <c r="G6" s="48">
        <v>9</v>
      </c>
      <c r="H6" s="48">
        <v>16</v>
      </c>
      <c r="I6" s="48">
        <v>23</v>
      </c>
      <c r="J6" s="48">
        <v>30</v>
      </c>
      <c r="K6" s="49">
        <v>6</v>
      </c>
      <c r="L6" s="49">
        <v>13</v>
      </c>
      <c r="M6" s="49">
        <v>20</v>
      </c>
      <c r="N6" s="49">
        <v>27</v>
      </c>
      <c r="O6" s="50">
        <v>6</v>
      </c>
      <c r="P6" s="50">
        <v>13</v>
      </c>
      <c r="Q6" s="50">
        <v>20</v>
      </c>
      <c r="R6" s="50">
        <v>27</v>
      </c>
      <c r="S6" s="51">
        <v>3</v>
      </c>
      <c r="T6" s="51">
        <v>10</v>
      </c>
      <c r="U6" s="51">
        <v>17</v>
      </c>
      <c r="V6" s="51">
        <v>24</v>
      </c>
      <c r="W6" s="52">
        <v>1</v>
      </c>
      <c r="X6" s="52">
        <v>8</v>
      </c>
      <c r="Y6" s="52">
        <v>15</v>
      </c>
      <c r="Z6" s="52">
        <v>22</v>
      </c>
      <c r="AA6" s="52">
        <v>29</v>
      </c>
      <c r="AB6" s="53">
        <v>5</v>
      </c>
      <c r="AC6" s="53">
        <v>12</v>
      </c>
      <c r="AD6" s="53">
        <v>19</v>
      </c>
      <c r="AE6" s="53">
        <v>26</v>
      </c>
      <c r="AF6" s="54">
        <v>3</v>
      </c>
      <c r="AG6" s="54">
        <v>10</v>
      </c>
      <c r="AH6" s="54">
        <v>17</v>
      </c>
      <c r="AI6" s="54">
        <v>24</v>
      </c>
      <c r="AJ6" s="54">
        <v>31</v>
      </c>
      <c r="AK6" s="55">
        <v>7</v>
      </c>
      <c r="AL6" s="55">
        <v>14</v>
      </c>
      <c r="AM6" s="55">
        <v>21</v>
      </c>
      <c r="AN6" s="55">
        <v>28</v>
      </c>
      <c r="AO6" s="50">
        <v>4</v>
      </c>
      <c r="AP6" s="50">
        <v>11</v>
      </c>
      <c r="AQ6" s="50">
        <v>18</v>
      </c>
      <c r="AR6" s="50">
        <v>25</v>
      </c>
      <c r="AS6" s="61">
        <v>2</v>
      </c>
      <c r="AT6" s="61">
        <v>9</v>
      </c>
      <c r="AU6" s="61">
        <v>16</v>
      </c>
      <c r="AV6" s="61">
        <v>23</v>
      </c>
      <c r="AW6" s="61">
        <v>30</v>
      </c>
      <c r="AX6" s="57">
        <v>6</v>
      </c>
      <c r="AY6" s="57">
        <v>13</v>
      </c>
      <c r="AZ6" s="57">
        <v>20</v>
      </c>
      <c r="BA6" s="57">
        <v>27</v>
      </c>
      <c r="BB6" s="56">
        <v>4</v>
      </c>
      <c r="BC6" s="56">
        <v>11</v>
      </c>
      <c r="BD6" s="56">
        <v>18</v>
      </c>
      <c r="BE6" s="56">
        <v>25</v>
      </c>
      <c r="BF6" s="56"/>
    </row>
    <row r="7" spans="1:58" ht="15.75" thickBot="1" x14ac:dyDescent="0.3">
      <c r="A7" s="16"/>
      <c r="B7" s="76"/>
      <c r="C7" s="78"/>
      <c r="D7" s="81"/>
      <c r="E7" s="43" t="s">
        <v>86</v>
      </c>
      <c r="F7" s="58">
        <v>3</v>
      </c>
      <c r="G7" s="48">
        <v>10</v>
      </c>
      <c r="H7" s="48">
        <v>17</v>
      </c>
      <c r="I7" s="48">
        <v>24</v>
      </c>
      <c r="J7" s="48">
        <v>31</v>
      </c>
      <c r="K7" s="49">
        <v>7</v>
      </c>
      <c r="L7" s="49">
        <v>14</v>
      </c>
      <c r="M7" s="49">
        <v>21</v>
      </c>
      <c r="N7" s="49">
        <v>28</v>
      </c>
      <c r="O7" s="50">
        <v>7</v>
      </c>
      <c r="P7" s="50">
        <v>14</v>
      </c>
      <c r="Q7" s="50">
        <v>21</v>
      </c>
      <c r="R7" s="50">
        <v>28</v>
      </c>
      <c r="S7" s="51">
        <v>4</v>
      </c>
      <c r="T7" s="51">
        <v>11</v>
      </c>
      <c r="U7" s="51">
        <v>18</v>
      </c>
      <c r="V7" s="51">
        <v>25</v>
      </c>
      <c r="W7" s="52">
        <v>2</v>
      </c>
      <c r="X7" s="52">
        <v>9</v>
      </c>
      <c r="Y7" s="52">
        <v>16</v>
      </c>
      <c r="Z7" s="52">
        <v>23</v>
      </c>
      <c r="AA7" s="52">
        <v>30</v>
      </c>
      <c r="AB7" s="53">
        <v>6</v>
      </c>
      <c r="AC7" s="53">
        <v>13</v>
      </c>
      <c r="AD7" s="53">
        <v>20</v>
      </c>
      <c r="AE7" s="53">
        <v>27</v>
      </c>
      <c r="AF7" s="54">
        <v>4</v>
      </c>
      <c r="AG7" s="54">
        <v>11</v>
      </c>
      <c r="AH7" s="54">
        <v>18</v>
      </c>
      <c r="AI7" s="54">
        <v>25</v>
      </c>
      <c r="AJ7" s="55">
        <v>1</v>
      </c>
      <c r="AK7" s="55">
        <v>8</v>
      </c>
      <c r="AL7" s="55">
        <v>15</v>
      </c>
      <c r="AM7" s="55">
        <v>22</v>
      </c>
      <c r="AN7" s="55">
        <v>29</v>
      </c>
      <c r="AO7" s="50">
        <v>5</v>
      </c>
      <c r="AP7" s="50">
        <v>12</v>
      </c>
      <c r="AQ7" s="50">
        <v>19</v>
      </c>
      <c r="AR7" s="50">
        <v>26</v>
      </c>
      <c r="AS7" s="61">
        <v>3</v>
      </c>
      <c r="AT7" s="61">
        <v>10</v>
      </c>
      <c r="AU7" s="61">
        <v>17</v>
      </c>
      <c r="AV7" s="61">
        <v>24</v>
      </c>
      <c r="AW7" s="61">
        <v>31</v>
      </c>
      <c r="AX7" s="57">
        <v>7</v>
      </c>
      <c r="AY7" s="57">
        <v>14</v>
      </c>
      <c r="AZ7" s="57">
        <v>21</v>
      </c>
      <c r="BA7" s="57">
        <v>28</v>
      </c>
      <c r="BB7" s="56">
        <v>5</v>
      </c>
      <c r="BC7" s="56">
        <v>12</v>
      </c>
      <c r="BD7" s="56">
        <v>19</v>
      </c>
      <c r="BE7" s="56">
        <v>26</v>
      </c>
      <c r="BF7" s="56"/>
    </row>
    <row r="8" spans="1:58" ht="15.75" thickBot="1" x14ac:dyDescent="0.3">
      <c r="A8" s="16"/>
      <c r="B8" s="76"/>
      <c r="C8" s="78"/>
      <c r="D8" s="81"/>
      <c r="E8" s="43" t="s">
        <v>87</v>
      </c>
      <c r="F8" s="58">
        <v>4</v>
      </c>
      <c r="G8" s="48">
        <v>11</v>
      </c>
      <c r="H8" s="48">
        <v>18</v>
      </c>
      <c r="I8" s="48">
        <v>25</v>
      </c>
      <c r="J8" s="49">
        <v>1</v>
      </c>
      <c r="K8" s="49">
        <v>8</v>
      </c>
      <c r="L8" s="49">
        <v>15</v>
      </c>
      <c r="M8" s="49">
        <v>22</v>
      </c>
      <c r="N8" s="50">
        <v>1</v>
      </c>
      <c r="O8" s="50">
        <v>8</v>
      </c>
      <c r="P8" s="50">
        <v>15</v>
      </c>
      <c r="Q8" s="50">
        <v>22</v>
      </c>
      <c r="R8" s="50">
        <v>29</v>
      </c>
      <c r="S8" s="51">
        <v>5</v>
      </c>
      <c r="T8" s="51">
        <v>12</v>
      </c>
      <c r="U8" s="51">
        <v>19</v>
      </c>
      <c r="V8" s="51">
        <v>26</v>
      </c>
      <c r="W8" s="52">
        <v>3</v>
      </c>
      <c r="X8" s="52">
        <v>10</v>
      </c>
      <c r="Y8" s="52">
        <v>17</v>
      </c>
      <c r="Z8" s="52">
        <v>24</v>
      </c>
      <c r="AA8" s="52">
        <v>31</v>
      </c>
      <c r="AB8" s="53">
        <v>7</v>
      </c>
      <c r="AC8" s="53">
        <v>14</v>
      </c>
      <c r="AD8" s="53">
        <v>21</v>
      </c>
      <c r="AE8" s="53">
        <v>28</v>
      </c>
      <c r="AF8" s="54">
        <v>5</v>
      </c>
      <c r="AG8" s="54">
        <v>12</v>
      </c>
      <c r="AH8" s="54">
        <v>19</v>
      </c>
      <c r="AI8" s="54">
        <v>26</v>
      </c>
      <c r="AJ8" s="55">
        <v>2</v>
      </c>
      <c r="AK8" s="55">
        <v>9</v>
      </c>
      <c r="AL8" s="55">
        <v>16</v>
      </c>
      <c r="AM8" s="55">
        <v>23</v>
      </c>
      <c r="AN8" s="55">
        <v>30</v>
      </c>
      <c r="AO8" s="50">
        <v>6</v>
      </c>
      <c r="AP8" s="50">
        <v>13</v>
      </c>
      <c r="AQ8" s="50">
        <v>20</v>
      </c>
      <c r="AR8" s="50">
        <v>27</v>
      </c>
      <c r="AS8" s="61">
        <v>4</v>
      </c>
      <c r="AT8" s="61">
        <v>11</v>
      </c>
      <c r="AU8" s="61">
        <v>18</v>
      </c>
      <c r="AV8" s="61">
        <v>25</v>
      </c>
      <c r="AW8" s="57">
        <v>1</v>
      </c>
      <c r="AX8" s="57">
        <v>8</v>
      </c>
      <c r="AY8" s="57">
        <v>15</v>
      </c>
      <c r="AZ8" s="57">
        <v>22</v>
      </c>
      <c r="BA8" s="57">
        <v>29</v>
      </c>
      <c r="BB8" s="56">
        <v>6</v>
      </c>
      <c r="BC8" s="56">
        <v>13</v>
      </c>
      <c r="BD8" s="56">
        <v>20</v>
      </c>
      <c r="BE8" s="56">
        <v>27</v>
      </c>
      <c r="BF8" s="56"/>
    </row>
    <row r="9" spans="1:58" ht="15.75" thickBot="1" x14ac:dyDescent="0.3">
      <c r="A9" s="16"/>
      <c r="B9" s="76"/>
      <c r="C9" s="78"/>
      <c r="D9" s="81"/>
      <c r="E9" s="43" t="s">
        <v>88</v>
      </c>
      <c r="F9" s="58">
        <v>5</v>
      </c>
      <c r="G9" s="48">
        <v>12</v>
      </c>
      <c r="H9" s="48">
        <v>19</v>
      </c>
      <c r="I9" s="48">
        <v>26</v>
      </c>
      <c r="J9" s="49">
        <v>2</v>
      </c>
      <c r="K9" s="49">
        <v>9</v>
      </c>
      <c r="L9" s="49">
        <v>16</v>
      </c>
      <c r="M9" s="49">
        <v>23</v>
      </c>
      <c r="N9" s="50">
        <v>2</v>
      </c>
      <c r="O9" s="50">
        <v>9</v>
      </c>
      <c r="P9" s="50">
        <v>16</v>
      </c>
      <c r="Q9" s="50">
        <v>23</v>
      </c>
      <c r="R9" s="50">
        <v>30</v>
      </c>
      <c r="S9" s="51">
        <v>6</v>
      </c>
      <c r="T9" s="51">
        <v>13</v>
      </c>
      <c r="U9" s="51">
        <v>20</v>
      </c>
      <c r="V9" s="51">
        <v>27</v>
      </c>
      <c r="W9" s="52">
        <v>4</v>
      </c>
      <c r="X9" s="52">
        <v>11</v>
      </c>
      <c r="Y9" s="52">
        <v>18</v>
      </c>
      <c r="Z9" s="52">
        <v>25</v>
      </c>
      <c r="AA9" s="53">
        <v>1</v>
      </c>
      <c r="AB9" s="53">
        <v>8</v>
      </c>
      <c r="AC9" s="53">
        <v>15</v>
      </c>
      <c r="AD9" s="53">
        <v>22</v>
      </c>
      <c r="AE9" s="53">
        <v>29</v>
      </c>
      <c r="AF9" s="54">
        <v>6</v>
      </c>
      <c r="AG9" s="54">
        <v>13</v>
      </c>
      <c r="AH9" s="54">
        <v>20</v>
      </c>
      <c r="AI9" s="54">
        <v>27</v>
      </c>
      <c r="AJ9" s="55">
        <v>3</v>
      </c>
      <c r="AK9" s="55">
        <v>10</v>
      </c>
      <c r="AL9" s="55">
        <v>17</v>
      </c>
      <c r="AM9" s="55">
        <v>24</v>
      </c>
      <c r="AN9" s="55">
        <v>31</v>
      </c>
      <c r="AO9" s="50">
        <v>7</v>
      </c>
      <c r="AP9" s="50">
        <v>14</v>
      </c>
      <c r="AQ9" s="50">
        <v>21</v>
      </c>
      <c r="AR9" s="50">
        <v>28</v>
      </c>
      <c r="AS9" s="61">
        <v>5</v>
      </c>
      <c r="AT9" s="61">
        <v>12</v>
      </c>
      <c r="AU9" s="61">
        <v>19</v>
      </c>
      <c r="AV9" s="61">
        <v>26</v>
      </c>
      <c r="AW9" s="57">
        <v>2</v>
      </c>
      <c r="AX9" s="57">
        <v>9</v>
      </c>
      <c r="AY9" s="57">
        <v>16</v>
      </c>
      <c r="AZ9" s="57">
        <v>23</v>
      </c>
      <c r="BA9" s="57">
        <v>30</v>
      </c>
      <c r="BB9" s="56">
        <v>7</v>
      </c>
      <c r="BC9" s="56">
        <v>14</v>
      </c>
      <c r="BD9" s="56">
        <v>21</v>
      </c>
      <c r="BE9" s="56">
        <v>28</v>
      </c>
      <c r="BF9" s="56"/>
    </row>
    <row r="10" spans="1:58" ht="15.75" thickBot="1" x14ac:dyDescent="0.3">
      <c r="A10" s="16"/>
      <c r="B10" s="22" t="s">
        <v>94</v>
      </c>
      <c r="C10" s="79"/>
      <c r="D10" s="82"/>
      <c r="E10" s="66" t="s">
        <v>89</v>
      </c>
      <c r="F10" s="58">
        <v>6</v>
      </c>
      <c r="G10" s="58">
        <v>13</v>
      </c>
      <c r="H10" s="48">
        <v>20</v>
      </c>
      <c r="I10" s="48">
        <v>27</v>
      </c>
      <c r="J10" s="59">
        <v>3</v>
      </c>
      <c r="K10" s="49">
        <v>10</v>
      </c>
      <c r="L10" s="49">
        <v>17</v>
      </c>
      <c r="M10" s="49">
        <v>24</v>
      </c>
      <c r="N10" s="60">
        <v>3</v>
      </c>
      <c r="O10" s="50">
        <v>10</v>
      </c>
      <c r="P10" s="50">
        <v>17</v>
      </c>
      <c r="Q10" s="50">
        <v>24</v>
      </c>
      <c r="R10" s="50">
        <v>31</v>
      </c>
      <c r="S10" s="51">
        <v>7</v>
      </c>
      <c r="T10" s="51">
        <v>14</v>
      </c>
      <c r="U10" s="51">
        <v>21</v>
      </c>
      <c r="V10" s="51">
        <v>28</v>
      </c>
      <c r="W10" s="52">
        <v>5</v>
      </c>
      <c r="X10" s="52">
        <v>12</v>
      </c>
      <c r="Y10" s="52">
        <v>19</v>
      </c>
      <c r="Z10" s="52">
        <v>26</v>
      </c>
      <c r="AA10" s="67">
        <v>2</v>
      </c>
      <c r="AB10" s="53">
        <v>9</v>
      </c>
      <c r="AC10" s="53">
        <v>16</v>
      </c>
      <c r="AD10" s="53">
        <v>23</v>
      </c>
      <c r="AE10" s="53">
        <v>30</v>
      </c>
      <c r="AF10" s="54">
        <v>7</v>
      </c>
      <c r="AG10" s="54">
        <v>14</v>
      </c>
      <c r="AH10" s="54">
        <v>21</v>
      </c>
      <c r="AI10" s="54">
        <v>28</v>
      </c>
      <c r="AJ10" s="55">
        <v>4</v>
      </c>
      <c r="AK10" s="55">
        <v>11</v>
      </c>
      <c r="AL10" s="55">
        <v>18</v>
      </c>
      <c r="AM10" s="55">
        <v>25</v>
      </c>
      <c r="AN10" s="50">
        <v>1</v>
      </c>
      <c r="AO10" s="50">
        <v>8</v>
      </c>
      <c r="AP10" s="50">
        <v>15</v>
      </c>
      <c r="AQ10" s="50">
        <v>22</v>
      </c>
      <c r="AR10" s="50">
        <v>29</v>
      </c>
      <c r="AS10" s="61">
        <v>6</v>
      </c>
      <c r="AT10" s="61">
        <v>13</v>
      </c>
      <c r="AU10" s="61">
        <v>20</v>
      </c>
      <c r="AV10" s="61">
        <v>27</v>
      </c>
      <c r="AW10" s="57">
        <v>3</v>
      </c>
      <c r="AX10" s="57">
        <v>10</v>
      </c>
      <c r="AY10" s="57">
        <v>17</v>
      </c>
      <c r="AZ10" s="57">
        <v>24</v>
      </c>
      <c r="BA10" s="56">
        <v>1</v>
      </c>
      <c r="BB10" s="56">
        <v>8</v>
      </c>
      <c r="BC10" s="56">
        <v>15</v>
      </c>
      <c r="BD10" s="56">
        <v>22</v>
      </c>
      <c r="BE10" s="56">
        <v>29</v>
      </c>
      <c r="BF10" s="56"/>
    </row>
    <row r="11" spans="1:58" ht="15.75" x14ac:dyDescent="0.25">
      <c r="A11" s="87" t="s">
        <v>152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</row>
    <row r="12" spans="1:58" x14ac:dyDescent="0.25">
      <c r="A12" s="86">
        <v>1</v>
      </c>
      <c r="B12" s="40" t="s">
        <v>141</v>
      </c>
      <c r="C12" s="41">
        <f>FR.CO.08!I44</f>
        <v>42348</v>
      </c>
      <c r="D12" s="65" t="s">
        <v>93</v>
      </c>
      <c r="E12" s="42"/>
      <c r="F12" s="36"/>
      <c r="G12" s="36"/>
      <c r="H12" s="36"/>
      <c r="I12" s="20"/>
      <c r="J12" s="36" t="s">
        <v>142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20"/>
      <c r="AA12" s="36" t="s">
        <v>142</v>
      </c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 t="s">
        <v>142</v>
      </c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 t="s">
        <v>142</v>
      </c>
      <c r="BB12" s="36"/>
      <c r="BC12" s="36"/>
      <c r="BD12" s="36"/>
      <c r="BE12" s="36"/>
      <c r="BF12" s="36"/>
    </row>
    <row r="13" spans="1:58" x14ac:dyDescent="0.25">
      <c r="A13" s="86">
        <v>2</v>
      </c>
      <c r="B13" s="39" t="s">
        <v>145</v>
      </c>
      <c r="C13" s="27">
        <f>FR.CO.08!I39</f>
        <v>42363</v>
      </c>
      <c r="D13" s="64" t="s">
        <v>92</v>
      </c>
      <c r="E13" s="20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20"/>
      <c r="Q13" s="36" t="s">
        <v>142</v>
      </c>
      <c r="R13" s="36"/>
      <c r="S13" s="36"/>
      <c r="T13" s="42"/>
      <c r="U13" s="36"/>
      <c r="V13" s="36"/>
      <c r="W13" s="36"/>
      <c r="X13" s="36"/>
      <c r="Y13" s="36"/>
      <c r="Z13" s="36"/>
      <c r="AA13" s="36"/>
      <c r="AB13" s="36"/>
      <c r="AC13" s="36"/>
      <c r="AD13" s="36" t="s">
        <v>142</v>
      </c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 t="s">
        <v>142</v>
      </c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 t="s">
        <v>142</v>
      </c>
      <c r="BE13" s="36"/>
      <c r="BF13" s="36"/>
    </row>
    <row r="14" spans="1:58" x14ac:dyDescent="0.25">
      <c r="A14" s="86">
        <v>3</v>
      </c>
      <c r="B14" s="39" t="s">
        <v>149</v>
      </c>
      <c r="C14" s="27"/>
      <c r="D14" s="64" t="s">
        <v>144</v>
      </c>
      <c r="E14" s="20"/>
      <c r="F14" s="36"/>
      <c r="G14" s="36"/>
      <c r="H14" s="36"/>
      <c r="I14" s="36"/>
      <c r="J14" s="36"/>
      <c r="K14" s="36"/>
      <c r="L14" s="20"/>
      <c r="M14" s="36"/>
      <c r="N14" s="36" t="s">
        <v>142</v>
      </c>
      <c r="O14" s="20"/>
      <c r="P14" s="20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20"/>
      <c r="AC14" s="36" t="s">
        <v>142</v>
      </c>
      <c r="AD14" s="36"/>
      <c r="AE14" s="36"/>
      <c r="AF14" s="36"/>
      <c r="AG14" s="36"/>
      <c r="AH14" s="36"/>
      <c r="AI14" s="36"/>
      <c r="AJ14" s="36"/>
      <c r="AK14" s="36"/>
      <c r="AL14" s="20"/>
      <c r="AM14" s="20"/>
      <c r="AN14" s="20"/>
      <c r="AO14" s="20"/>
      <c r="AP14" s="20"/>
      <c r="AQ14" s="36" t="s">
        <v>142</v>
      </c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20"/>
      <c r="BC14" s="20"/>
      <c r="BD14" s="36" t="s">
        <v>142</v>
      </c>
      <c r="BE14" s="36"/>
      <c r="BF14" s="36"/>
    </row>
    <row r="15" spans="1:58" x14ac:dyDescent="0.25">
      <c r="A15" s="86">
        <v>4</v>
      </c>
      <c r="B15" s="39" t="s">
        <v>91</v>
      </c>
      <c r="C15" s="27">
        <f>FR.CO.08!I41</f>
        <v>42461</v>
      </c>
      <c r="D15" s="64" t="s">
        <v>92</v>
      </c>
      <c r="E15" s="20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89" t="s">
        <v>146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</row>
    <row r="16" spans="1:58" ht="15.75" x14ac:dyDescent="0.25">
      <c r="A16" s="70" t="s">
        <v>151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</row>
    <row r="17" spans="1:58" x14ac:dyDescent="0.25">
      <c r="A17" s="86">
        <v>5</v>
      </c>
      <c r="B17" s="39" t="s">
        <v>148</v>
      </c>
      <c r="C17" s="27">
        <f>FR.CO.08!I52</f>
        <v>0</v>
      </c>
      <c r="D17" s="64" t="s">
        <v>144</v>
      </c>
      <c r="E17" s="20"/>
      <c r="F17" s="36"/>
      <c r="G17" s="36"/>
      <c r="H17" s="36"/>
      <c r="I17" s="36"/>
      <c r="J17" s="36"/>
      <c r="K17" s="36"/>
      <c r="L17" s="36"/>
      <c r="M17" s="36"/>
      <c r="N17" s="36"/>
      <c r="O17" s="36" t="s">
        <v>142</v>
      </c>
      <c r="P17" s="36"/>
      <c r="Q17" s="36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36" t="s">
        <v>142</v>
      </c>
      <c r="AE17" s="20"/>
      <c r="AF17" s="20"/>
      <c r="AG17" s="20"/>
      <c r="AH17" s="20"/>
      <c r="AI17" s="36"/>
      <c r="AJ17" s="36"/>
      <c r="AK17" s="36"/>
      <c r="AL17" s="36"/>
      <c r="AM17" s="36"/>
      <c r="AN17" s="36"/>
      <c r="AO17" s="36"/>
      <c r="AP17" s="36"/>
      <c r="AQ17" s="36"/>
      <c r="AR17" s="36" t="s">
        <v>142</v>
      </c>
      <c r="AS17" s="20"/>
      <c r="AT17" s="20"/>
      <c r="AU17" s="20"/>
      <c r="AV17" s="36"/>
      <c r="AW17" s="36"/>
      <c r="AX17" s="36"/>
      <c r="AY17" s="36"/>
      <c r="AZ17" s="36"/>
      <c r="BA17" s="36"/>
      <c r="BB17" s="36" t="s">
        <v>142</v>
      </c>
      <c r="BC17" s="36"/>
      <c r="BD17" s="36"/>
      <c r="BE17" s="36"/>
      <c r="BF17" s="36"/>
    </row>
    <row r="18" spans="1:58" x14ac:dyDescent="0.25">
      <c r="A18" s="86">
        <v>6</v>
      </c>
      <c r="B18" s="39" t="s">
        <v>143</v>
      </c>
      <c r="C18" s="27">
        <f>FR.CO.08!I40</f>
        <v>42437</v>
      </c>
      <c r="D18" s="64" t="s">
        <v>93</v>
      </c>
      <c r="E18" s="20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 t="s">
        <v>142</v>
      </c>
      <c r="Q18" s="20"/>
      <c r="R18" s="20"/>
      <c r="S18" s="20"/>
      <c r="T18" s="20"/>
      <c r="U18" s="36"/>
      <c r="V18" s="36"/>
      <c r="W18" s="36"/>
      <c r="X18" s="36"/>
      <c r="Y18" s="36"/>
      <c r="Z18" s="36"/>
      <c r="AA18" s="36"/>
      <c r="AB18" s="36" t="s">
        <v>142</v>
      </c>
      <c r="AC18" s="20"/>
      <c r="AD18" s="20"/>
      <c r="AE18" s="20"/>
      <c r="AF18" s="20"/>
      <c r="AG18" s="20"/>
      <c r="AH18" s="36"/>
      <c r="AI18" s="36"/>
      <c r="AJ18" s="36"/>
      <c r="AK18" s="36"/>
      <c r="AL18" s="36"/>
      <c r="AM18" s="36"/>
      <c r="AN18" s="36"/>
      <c r="AO18" s="36"/>
      <c r="AP18" s="36" t="s">
        <v>142</v>
      </c>
      <c r="AQ18" s="20"/>
      <c r="AR18" s="20"/>
      <c r="AS18" s="20"/>
      <c r="AT18" s="20"/>
      <c r="AU18" s="36"/>
      <c r="AV18" s="36"/>
      <c r="AW18" s="36"/>
      <c r="AX18" s="36"/>
      <c r="AY18" s="36"/>
      <c r="AZ18" s="36"/>
      <c r="BA18" s="36"/>
      <c r="BB18" s="36"/>
      <c r="BC18" s="36" t="s">
        <v>142</v>
      </c>
      <c r="BD18" s="20"/>
      <c r="BE18" s="20"/>
      <c r="BF18" s="20"/>
    </row>
    <row r="19" spans="1:58" x14ac:dyDescent="0.25">
      <c r="A19" s="86">
        <v>7</v>
      </c>
      <c r="B19" s="39" t="s">
        <v>90</v>
      </c>
      <c r="C19" s="27">
        <f>FR.CO.08!I51</f>
        <v>0</v>
      </c>
      <c r="D19" s="64" t="s">
        <v>92</v>
      </c>
      <c r="E19" s="20"/>
      <c r="F19" s="36"/>
      <c r="G19" s="36"/>
      <c r="H19" s="36"/>
      <c r="I19" s="36"/>
      <c r="J19" s="36" t="s">
        <v>142</v>
      </c>
      <c r="K19" s="20"/>
      <c r="L19" s="36"/>
      <c r="M19" s="36"/>
      <c r="N19" s="36"/>
      <c r="O19" s="36"/>
      <c r="P19" s="36"/>
      <c r="Q19" s="36"/>
      <c r="R19" s="36"/>
      <c r="S19" s="36" t="s">
        <v>142</v>
      </c>
      <c r="T19" s="36"/>
      <c r="U19" s="36"/>
      <c r="V19" s="36"/>
      <c r="W19" s="36"/>
      <c r="X19" s="36"/>
      <c r="Y19" s="36"/>
      <c r="Z19" s="36"/>
      <c r="AA19" s="36"/>
      <c r="AB19" s="36" t="s">
        <v>142</v>
      </c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 t="s">
        <v>142</v>
      </c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 t="s">
        <v>142</v>
      </c>
      <c r="BC19" s="36"/>
      <c r="BD19" s="36"/>
      <c r="BE19" s="36"/>
      <c r="BF19" s="36"/>
    </row>
  </sheetData>
  <mergeCells count="18">
    <mergeCell ref="D1:AW1"/>
    <mergeCell ref="F3:J3"/>
    <mergeCell ref="K3:N3"/>
    <mergeCell ref="O3:R3"/>
    <mergeCell ref="S3:W3"/>
    <mergeCell ref="X3:AA3"/>
    <mergeCell ref="AB3:AE3"/>
    <mergeCell ref="AF3:AJ3"/>
    <mergeCell ref="AK3:AN3"/>
    <mergeCell ref="AO3:AS3"/>
    <mergeCell ref="A11:BF11"/>
    <mergeCell ref="A16:BF16"/>
    <mergeCell ref="AT3:AW3"/>
    <mergeCell ref="AX3:BA3"/>
    <mergeCell ref="BB3:BF3"/>
    <mergeCell ref="B4:B9"/>
    <mergeCell ref="C4:C10"/>
    <mergeCell ref="D4:D10"/>
  </mergeCells>
  <conditionalFormatting sqref="D10:E10 G10 D4:E4 D5:G9 G4 J5:J10 N4:N6 N8:N10 W4:W5 AA4:AA10">
    <cfRule type="expression" dxfId="436" priority="1135" stopIfTrue="1">
      <formula>MONTH($B4)&lt;&gt;MONTH(D4)</formula>
    </cfRule>
  </conditionalFormatting>
  <conditionalFormatting sqref="AN13 BE12:BF13 AI17:AO17 AH18:AO18 AV17:BA17 F15:V15 AM15:BB15 AD17 F13:O13 Q13 AA13:AB13 AD13 AY13:BD13 J12 F17:Q18 F12:H12 BB12:BD12 BE15:BF15 U18:AD18 AP17:AR18 AU18:BE18">
    <cfRule type="containsText" dxfId="434" priority="1132" operator="containsText" text="Q">
      <formula>NOT(ISERROR(SEARCH("Q",F12)))</formula>
    </cfRule>
    <cfRule type="containsText" priority="1133" operator="containsText" text="Q">
      <formula>NOT(ISERROR(SEARCH("Q",F12)))</formula>
    </cfRule>
  </conditionalFormatting>
  <conditionalFormatting sqref="AN13 AI17:AO17 AH18:AO18 AV17:BA17 AD17 F13:O13 Q13 AA13:AB13 AD13 AY13:BD13 J12 F17:Q18 F12:H12 BB12:BD12 U18:AD18 AP17:AR18 AU18:BE18">
    <cfRule type="containsText" dxfId="433" priority="1127" operator="containsText" text="Y">
      <formula>NOT(ISERROR(SEARCH("Y",F12)))</formula>
    </cfRule>
    <cfRule type="containsText" dxfId="432" priority="1128" operator="containsText" text="HV">
      <formula>NOT(ISERROR(SEARCH("HV",F12)))</formula>
    </cfRule>
    <cfRule type="containsText" dxfId="431" priority="1129" operator="containsText" text="H">
      <formula>NOT(ISERROR(SEARCH("H",F12)))</formula>
    </cfRule>
    <cfRule type="containsText" dxfId="430" priority="1131" operator="containsText" text="v">
      <formula>NOT(ISERROR(SEARCH("v",F12)))</formula>
    </cfRule>
  </conditionalFormatting>
  <conditionalFormatting sqref="BE12:BF13 F15:V15 AM15:BB15 BE15:BF15">
    <cfRule type="containsText" dxfId="429" priority="1122" operator="containsText" text="Yv">
      <formula>NOT(ISERROR(SEARCH("Yv",F12)))</formula>
    </cfRule>
    <cfRule type="containsText" dxfId="428" priority="1123" operator="containsText" text="y">
      <formula>NOT(ISERROR(SEARCH("y",F12)))</formula>
    </cfRule>
    <cfRule type="containsText" dxfId="427" priority="1124" operator="containsText" text="HV">
      <formula>NOT(ISERROR(SEARCH("HV",F12)))</formula>
    </cfRule>
    <cfRule type="containsText" dxfId="426" priority="1125" operator="containsText" text="H">
      <formula>NOT(ISERROR(SEARCH("H",F12)))</formula>
    </cfRule>
    <cfRule type="containsText" dxfId="425" priority="1126" operator="containsText" text="hv">
      <formula>NOT(ISERROR(SEARCH("hv",F12)))</formula>
    </cfRule>
    <cfRule type="containsText" dxfId="424" priority="1130" operator="containsText" text="v">
      <formula>NOT(ISERROR(SEARCH("v",F12)))</formula>
    </cfRule>
  </conditionalFormatting>
  <conditionalFormatting sqref="AL5:AN5 AF5:AJ6 AF7:AI10 AO5:AR10 AL6:AM10">
    <cfRule type="expression" dxfId="338" priority="1020" stopIfTrue="1">
      <formula>MONTH($B4)&lt;&gt;MONTH(AF5)</formula>
    </cfRule>
  </conditionalFormatting>
  <conditionalFormatting sqref="AJ7:AJ10">
    <cfRule type="expression" dxfId="269" priority="938" stopIfTrue="1">
      <formula>MONTH($B6)&lt;&gt;MONTH(AJ7)</formula>
    </cfRule>
  </conditionalFormatting>
  <conditionalFormatting sqref="AK5">
    <cfRule type="expression" dxfId="268" priority="937" stopIfTrue="1">
      <formula>MONTH($B4)&lt;&gt;MONTH(AK5)</formula>
    </cfRule>
  </conditionalFormatting>
  <conditionalFormatting sqref="AK6:AK10">
    <cfRule type="expression" dxfId="267" priority="936" stopIfTrue="1">
      <formula>MONTH($B5)&lt;&gt;MONTH(AK6)</formula>
    </cfRule>
  </conditionalFormatting>
  <conditionalFormatting sqref="AN6:AN10">
    <cfRule type="expression" dxfId="266" priority="935" stopIfTrue="1">
      <formula>MONTH($B5)&lt;&gt;MONTH(AN6)</formula>
    </cfRule>
  </conditionalFormatting>
  <conditionalFormatting sqref="BC17:BF17">
    <cfRule type="containsText" dxfId="265" priority="933" operator="containsText" text="Q">
      <formula>NOT(ISERROR(SEARCH("Q",BC17)))</formula>
    </cfRule>
    <cfRule type="containsText" priority="934" operator="containsText" text="Q">
      <formula>NOT(ISERROR(SEARCH("Q",BC17)))</formula>
    </cfRule>
  </conditionalFormatting>
  <conditionalFormatting sqref="BC17:BF17">
    <cfRule type="containsText" dxfId="264" priority="932" operator="containsText" text="H">
      <formula>NOT(ISERROR(SEARCH("H",BC17)))</formula>
    </cfRule>
  </conditionalFormatting>
  <conditionalFormatting sqref="BC17:BF17">
    <cfRule type="containsText" dxfId="263" priority="926" operator="containsText" text="Yv">
      <formula>NOT(ISERROR(SEARCH("Yv",BC17)))</formula>
    </cfRule>
    <cfRule type="containsText" dxfId="262" priority="927" operator="containsText" text="y">
      <formula>NOT(ISERROR(SEARCH("y",BC17)))</formula>
    </cfRule>
    <cfRule type="containsText" dxfId="261" priority="928" operator="containsText" text="HV">
      <formula>NOT(ISERROR(SEARCH("HV",BC17)))</formula>
    </cfRule>
    <cfRule type="containsText" dxfId="260" priority="929" operator="containsText" text="H">
      <formula>NOT(ISERROR(SEARCH("H",BC17)))</formula>
    </cfRule>
    <cfRule type="containsText" dxfId="259" priority="930" operator="containsText" text="hv">
      <formula>NOT(ISERROR(SEARCH("hv",BC17)))</formula>
    </cfRule>
    <cfRule type="containsText" dxfId="258" priority="931" operator="containsText" text="v">
      <formula>NOT(ISERROR(SEARCH("v",BC17)))</formula>
    </cfRule>
  </conditionalFormatting>
  <conditionalFormatting sqref="F10">
    <cfRule type="expression" dxfId="257" priority="1136" stopIfTrue="1">
      <formula>MONTH($B4)&lt;&gt;MONTH(F10)</formula>
    </cfRule>
  </conditionalFormatting>
  <conditionalFormatting sqref="H5:I10 K5:M10 O5:V10 X5:Z10 W6:W10 AB5:AE10">
    <cfRule type="expression" dxfId="256" priority="1137" stopIfTrue="1">
      <formula>MONTH($B4)&lt;&gt;MONTH(H5)</formula>
    </cfRule>
  </conditionalFormatting>
  <conditionalFormatting sqref="H4">
    <cfRule type="expression" dxfId="255" priority="919" stopIfTrue="1">
      <formula>MONTH($B3)&lt;&gt;MONTH(H4)</formula>
    </cfRule>
  </conditionalFormatting>
  <conditionalFormatting sqref="I4">
    <cfRule type="expression" dxfId="254" priority="918" stopIfTrue="1">
      <formula>MONTH($B3)&lt;&gt;MONTH(I4)</formula>
    </cfRule>
  </conditionalFormatting>
  <conditionalFormatting sqref="J4">
    <cfRule type="expression" dxfId="253" priority="917" stopIfTrue="1">
      <formula>MONTH($B3)&lt;&gt;MONTH(J4)</formula>
    </cfRule>
  </conditionalFormatting>
  <conditionalFormatting sqref="K4">
    <cfRule type="expression" dxfId="252" priority="916" stopIfTrue="1">
      <formula>MONTH($B3)&lt;&gt;MONTH(K4)</formula>
    </cfRule>
  </conditionalFormatting>
  <conditionalFormatting sqref="L4:M4">
    <cfRule type="expression" dxfId="251" priority="915" stopIfTrue="1">
      <formula>MONTH($B3)&lt;&gt;MONTH(L4)</formula>
    </cfRule>
  </conditionalFormatting>
  <conditionalFormatting sqref="N7">
    <cfRule type="expression" dxfId="250" priority="914" stopIfTrue="1">
      <formula>MONTH($B6)&lt;&gt;MONTH(N7)</formula>
    </cfRule>
  </conditionalFormatting>
  <conditionalFormatting sqref="S4:V4">
    <cfRule type="expression" dxfId="249" priority="913" stopIfTrue="1">
      <formula>MONTH($B4)&lt;&gt;MONTH(S4)</formula>
    </cfRule>
  </conditionalFormatting>
  <conditionalFormatting sqref="O4:R4">
    <cfRule type="expression" dxfId="248" priority="912" stopIfTrue="1">
      <formula>MONTH($B3)&lt;&gt;MONTH(O4)</formula>
    </cfRule>
  </conditionalFormatting>
  <conditionalFormatting sqref="X4:Z4">
    <cfRule type="expression" dxfId="241" priority="904" stopIfTrue="1">
      <formula>MONTH($B3)&lt;&gt;MONTH(X4)</formula>
    </cfRule>
  </conditionalFormatting>
  <conditionalFormatting sqref="AB4:AE4">
    <cfRule type="expression" dxfId="240" priority="903" stopIfTrue="1">
      <formula>MONTH($B3)&lt;&gt;MONTH(AB4)</formula>
    </cfRule>
  </conditionalFormatting>
  <conditionalFormatting sqref="AO4:AR4">
    <cfRule type="expression" dxfId="239" priority="902" stopIfTrue="1">
      <formula>MONTH($B3)&lt;&gt;MONTH(AO4)</formula>
    </cfRule>
  </conditionalFormatting>
  <conditionalFormatting sqref="AK4:AN4">
    <cfRule type="expression" dxfId="238" priority="901" stopIfTrue="1">
      <formula>MONTH($B3)&lt;&gt;MONTH(AK4)</formula>
    </cfRule>
  </conditionalFormatting>
  <conditionalFormatting sqref="AF4:AJ4">
    <cfRule type="expression" dxfId="237" priority="900" stopIfTrue="1">
      <formula>MONTH($B3)&lt;&gt;MONTH(AF4)</formula>
    </cfRule>
  </conditionalFormatting>
  <conditionalFormatting sqref="AS13:AX13">
    <cfRule type="containsText" dxfId="236" priority="898" operator="containsText" text="Q">
      <formula>NOT(ISERROR(SEARCH("Q",AS13)))</formula>
    </cfRule>
    <cfRule type="containsText" priority="899" operator="containsText" text="Q">
      <formula>NOT(ISERROR(SEARCH("Q",AS13)))</formula>
    </cfRule>
  </conditionalFormatting>
  <conditionalFormatting sqref="AS13:AX13">
    <cfRule type="containsText" dxfId="235" priority="894" operator="containsText" text="Y">
      <formula>NOT(ISERROR(SEARCH("Y",AS13)))</formula>
    </cfRule>
    <cfRule type="containsText" dxfId="234" priority="895" operator="containsText" text="HV">
      <formula>NOT(ISERROR(SEARCH("HV",AS13)))</formula>
    </cfRule>
    <cfRule type="containsText" dxfId="233" priority="896" operator="containsText" text="H">
      <formula>NOT(ISERROR(SEARCH("H",AS13)))</formula>
    </cfRule>
    <cfRule type="containsText" dxfId="232" priority="897" operator="containsText" text="v">
      <formula>NOT(ISERROR(SEARCH("v",AS13)))</formula>
    </cfRule>
  </conditionalFormatting>
  <conditionalFormatting sqref="AG13:AM13">
    <cfRule type="containsText" dxfId="231" priority="892" operator="containsText" text="Q">
      <formula>NOT(ISERROR(SEARCH("Q",AG13)))</formula>
    </cfRule>
    <cfRule type="containsText" priority="893" operator="containsText" text="Q">
      <formula>NOT(ISERROR(SEARCH("Q",AG13)))</formula>
    </cfRule>
  </conditionalFormatting>
  <conditionalFormatting sqref="AG13:AM13">
    <cfRule type="containsText" dxfId="230" priority="888" operator="containsText" text="Y">
      <formula>NOT(ISERROR(SEARCH("Y",AG13)))</formula>
    </cfRule>
    <cfRule type="containsText" dxfId="229" priority="889" operator="containsText" text="HV">
      <formula>NOT(ISERROR(SEARCH("HV",AG13)))</formula>
    </cfRule>
    <cfRule type="containsText" dxfId="228" priority="890" operator="containsText" text="H">
      <formula>NOT(ISERROR(SEARCH("H",AG13)))</formula>
    </cfRule>
    <cfRule type="containsText" dxfId="227" priority="891" operator="containsText" text="v">
      <formula>NOT(ISERROR(SEARCH("v",AG13)))</formula>
    </cfRule>
  </conditionalFormatting>
  <conditionalFormatting sqref="BC15:BD15">
    <cfRule type="containsText" dxfId="226" priority="886" operator="containsText" text="Q">
      <formula>NOT(ISERROR(SEARCH("Q",BC15)))</formula>
    </cfRule>
    <cfRule type="containsText" priority="887" operator="containsText" text="Q">
      <formula>NOT(ISERROR(SEARCH("Q",BC15)))</formula>
    </cfRule>
  </conditionalFormatting>
  <conditionalFormatting sqref="BC15:BD15">
    <cfRule type="containsText" dxfId="225" priority="880" operator="containsText" text="Yv">
      <formula>NOT(ISERROR(SEARCH("Yv",BC15)))</formula>
    </cfRule>
    <cfRule type="containsText" dxfId="224" priority="881" operator="containsText" text="y">
      <formula>NOT(ISERROR(SEARCH("y",BC15)))</formula>
    </cfRule>
    <cfRule type="containsText" dxfId="223" priority="882" operator="containsText" text="HV">
      <formula>NOT(ISERROR(SEARCH("HV",BC15)))</formula>
    </cfRule>
    <cfRule type="containsText" dxfId="222" priority="883" operator="containsText" text="H">
      <formula>NOT(ISERROR(SEARCH("H",BC15)))</formula>
    </cfRule>
    <cfRule type="containsText" dxfId="221" priority="884" operator="containsText" text="hv">
      <formula>NOT(ISERROR(SEARCH("hv",BC15)))</formula>
    </cfRule>
    <cfRule type="containsText" dxfId="220" priority="885" operator="containsText" text="v">
      <formula>NOT(ISERROR(SEARCH("v",BC15)))</formula>
    </cfRule>
  </conditionalFormatting>
  <conditionalFormatting sqref="AR13">
    <cfRule type="containsText" dxfId="219" priority="860" operator="containsText" text="Q">
      <formula>NOT(ISERROR(SEARCH("Q",AR13)))</formula>
    </cfRule>
    <cfRule type="containsText" priority="861" operator="containsText" text="Q">
      <formula>NOT(ISERROR(SEARCH("Q",AR13)))</formula>
    </cfRule>
  </conditionalFormatting>
  <conditionalFormatting sqref="AR13">
    <cfRule type="containsText" dxfId="218" priority="856" operator="containsText" text="Y">
      <formula>NOT(ISERROR(SEARCH("Y",AR13)))</formula>
    </cfRule>
    <cfRule type="containsText" dxfId="217" priority="857" operator="containsText" text="HV">
      <formula>NOT(ISERROR(SEARCH("HV",AR13)))</formula>
    </cfRule>
    <cfRule type="containsText" dxfId="216" priority="858" operator="containsText" text="H">
      <formula>NOT(ISERROR(SEARCH("H",AR13)))</formula>
    </cfRule>
    <cfRule type="containsText" dxfId="215" priority="859" operator="containsText" text="v">
      <formula>NOT(ISERROR(SEARCH("v",AR13)))</formula>
    </cfRule>
  </conditionalFormatting>
  <conditionalFormatting sqref="P18:Q18">
    <cfRule type="containsText" dxfId="214" priority="704" operator="containsText" text="Q">
      <formula>NOT(ISERROR(SEARCH("Q",P18)))</formula>
    </cfRule>
    <cfRule type="containsText" priority="705" operator="containsText" text="Q">
      <formula>NOT(ISERROR(SEARCH("Q",P18)))</formula>
    </cfRule>
  </conditionalFormatting>
  <conditionalFormatting sqref="P18:Q18">
    <cfRule type="containsText" dxfId="213" priority="700" operator="containsText" text="Y">
      <formula>NOT(ISERROR(SEARCH("Y",P18)))</formula>
    </cfRule>
    <cfRule type="containsText" dxfId="212" priority="701" operator="containsText" text="HV">
      <formula>NOT(ISERROR(SEARCH("HV",P18)))</formula>
    </cfRule>
    <cfRule type="containsText" dxfId="211" priority="702" operator="containsText" text="H">
      <formula>NOT(ISERROR(SEARCH("H",P18)))</formula>
    </cfRule>
    <cfRule type="containsText" dxfId="210" priority="703" operator="containsText" text="v">
      <formula>NOT(ISERROR(SEARCH("v",P18)))</formula>
    </cfRule>
  </conditionalFormatting>
  <conditionalFormatting sqref="R13:S13 U13:Z13 AC13">
    <cfRule type="containsText" dxfId="209" priority="740" operator="containsText" text="Q">
      <formula>NOT(ISERROR(SEARCH("Q",R13)))</formula>
    </cfRule>
    <cfRule type="containsText" priority="741" operator="containsText" text="Q">
      <formula>NOT(ISERROR(SEARCH("Q",R13)))</formula>
    </cfRule>
  </conditionalFormatting>
  <conditionalFormatting sqref="R13:S13 U13:Z13 AC13">
    <cfRule type="containsText" dxfId="208" priority="736" operator="containsText" text="Y">
      <formula>NOT(ISERROR(SEARCH("Y",R13)))</formula>
    </cfRule>
    <cfRule type="containsText" dxfId="207" priority="737" operator="containsText" text="HV">
      <formula>NOT(ISERROR(SEARCH("HV",R13)))</formula>
    </cfRule>
    <cfRule type="containsText" dxfId="206" priority="738" operator="containsText" text="H">
      <formula>NOT(ISERROR(SEARCH("H",R13)))</formula>
    </cfRule>
    <cfRule type="containsText" dxfId="205" priority="739" operator="containsText" text="v">
      <formula>NOT(ISERROR(SEARCH("v",R13)))</formula>
    </cfRule>
  </conditionalFormatting>
  <conditionalFormatting sqref="AE13:AF13">
    <cfRule type="containsText" dxfId="204" priority="734" operator="containsText" text="Q">
      <formula>NOT(ISERROR(SEARCH("Q",AE13)))</formula>
    </cfRule>
    <cfRule type="containsText" priority="735" operator="containsText" text="Q">
      <formula>NOT(ISERROR(SEARCH("Q",AE13)))</formula>
    </cfRule>
  </conditionalFormatting>
  <conditionalFormatting sqref="AE13:AF13">
    <cfRule type="containsText" dxfId="203" priority="730" operator="containsText" text="Y">
      <formula>NOT(ISERROR(SEARCH("Y",AE13)))</formula>
    </cfRule>
    <cfRule type="containsText" dxfId="202" priority="731" operator="containsText" text="HV">
      <formula>NOT(ISERROR(SEARCH("HV",AE13)))</formula>
    </cfRule>
    <cfRule type="containsText" dxfId="201" priority="732" operator="containsText" text="H">
      <formula>NOT(ISERROR(SEARCH("H",AE13)))</formula>
    </cfRule>
    <cfRule type="containsText" dxfId="200" priority="733" operator="containsText" text="v">
      <formula>NOT(ISERROR(SEARCH("v",AE13)))</formula>
    </cfRule>
  </conditionalFormatting>
  <conditionalFormatting sqref="AB18:AE18 AD17">
    <cfRule type="containsText" dxfId="199" priority="698" operator="containsText" text="Q">
      <formula>NOT(ISERROR(SEARCH("Q",AB17)))</formula>
    </cfRule>
    <cfRule type="containsText" priority="699" operator="containsText" text="Q">
      <formula>NOT(ISERROR(SEARCH("Q",AB17)))</formula>
    </cfRule>
  </conditionalFormatting>
  <conditionalFormatting sqref="AB18:AE18 AD17">
    <cfRule type="containsText" dxfId="198" priority="694" operator="containsText" text="Y">
      <formula>NOT(ISERROR(SEARCH("Y",AB17)))</formula>
    </cfRule>
    <cfRule type="containsText" dxfId="197" priority="695" operator="containsText" text="HV">
      <formula>NOT(ISERROR(SEARCH("HV",AB17)))</formula>
    </cfRule>
    <cfRule type="containsText" dxfId="196" priority="696" operator="containsText" text="H">
      <formula>NOT(ISERROR(SEARCH("H",AB17)))</formula>
    </cfRule>
    <cfRule type="containsText" dxfId="195" priority="697" operator="containsText" text="v">
      <formula>NOT(ISERROR(SEARCH("v",AB17)))</formula>
    </cfRule>
  </conditionalFormatting>
  <conditionalFormatting sqref="W15:AL15">
    <cfRule type="containsText" dxfId="194" priority="560" operator="containsText" text="Q">
      <formula>NOT(ISERROR(SEARCH("Q",W15)))</formula>
    </cfRule>
    <cfRule type="containsText" priority="561" operator="containsText" text="Q">
      <formula>NOT(ISERROR(SEARCH("Q",W15)))</formula>
    </cfRule>
  </conditionalFormatting>
  <conditionalFormatting sqref="W15:AL15">
    <cfRule type="containsText" dxfId="193" priority="550" operator="containsText" text="Yv">
      <formula>NOT(ISERROR(SEARCH("Yv",W15)))</formula>
    </cfRule>
    <cfRule type="containsText" dxfId="192" priority="551" operator="containsText" text="y">
      <formula>NOT(ISERROR(SEARCH("y",W15)))</formula>
    </cfRule>
    <cfRule type="containsText" dxfId="191" priority="552" operator="containsText" text="HV">
      <formula>NOT(ISERROR(SEARCH("HV",W15)))</formula>
    </cfRule>
    <cfRule type="containsText" dxfId="190" priority="553" operator="containsText" text="H">
      <formula>NOT(ISERROR(SEARCH("H",W15)))</formula>
    </cfRule>
    <cfRule type="containsText" dxfId="189" priority="554" operator="containsText" text="hv">
      <formula>NOT(ISERROR(SEARCH("hv",W15)))</formula>
    </cfRule>
    <cfRule type="containsText" dxfId="188" priority="558" operator="containsText" text="v">
      <formula>NOT(ISERROR(SEARCH("v",W15)))</formula>
    </cfRule>
  </conditionalFormatting>
  <conditionalFormatting sqref="AP17:AR18">
    <cfRule type="containsText" dxfId="187" priority="416" operator="containsText" text="Q">
      <formula>NOT(ISERROR(SEARCH("Q",AP17)))</formula>
    </cfRule>
    <cfRule type="containsText" priority="417" operator="containsText" text="Q">
      <formula>NOT(ISERROR(SEARCH("Q",AP17)))</formula>
    </cfRule>
  </conditionalFormatting>
  <conditionalFormatting sqref="AP17:AR18">
    <cfRule type="containsText" dxfId="186" priority="412" operator="containsText" text="Y">
      <formula>NOT(ISERROR(SEARCH("Y",AP17)))</formula>
    </cfRule>
    <cfRule type="containsText" dxfId="185" priority="413" operator="containsText" text="HV">
      <formula>NOT(ISERROR(SEARCH("HV",AP17)))</formula>
    </cfRule>
    <cfRule type="containsText" dxfId="184" priority="414" operator="containsText" text="H">
      <formula>NOT(ISERROR(SEARCH("H",AP17)))</formula>
    </cfRule>
    <cfRule type="containsText" dxfId="183" priority="415" operator="containsText" text="v">
      <formula>NOT(ISERROR(SEARCH("v",AP17)))</formula>
    </cfRule>
  </conditionalFormatting>
  <conditionalFormatting sqref="BC18:BE18">
    <cfRule type="containsText" dxfId="182" priority="404" operator="containsText" text="Q">
      <formula>NOT(ISERROR(SEARCH("Q",BC18)))</formula>
    </cfRule>
    <cfRule type="containsText" priority="405" operator="containsText" text="Q">
      <formula>NOT(ISERROR(SEARCH("Q",BC18)))</formula>
    </cfRule>
  </conditionalFormatting>
  <conditionalFormatting sqref="BC18:BE18">
    <cfRule type="containsText" dxfId="181" priority="400" operator="containsText" text="Y">
      <formula>NOT(ISERROR(SEARCH("Y",BC18)))</formula>
    </cfRule>
    <cfRule type="containsText" dxfId="180" priority="401" operator="containsText" text="HV">
      <formula>NOT(ISERROR(SEARCH("HV",BC18)))</formula>
    </cfRule>
    <cfRule type="containsText" dxfId="179" priority="402" operator="containsText" text="H">
      <formula>NOT(ISERROR(SEARCH("H",BC18)))</formula>
    </cfRule>
    <cfRule type="containsText" dxfId="178" priority="403" operator="containsText" text="v">
      <formula>NOT(ISERROR(SEARCH("v",BC18)))</formula>
    </cfRule>
  </conditionalFormatting>
  <conditionalFormatting sqref="AA12">
    <cfRule type="containsText" dxfId="177" priority="344" operator="containsText" text="Q">
      <formula>NOT(ISERROR(SEARCH("Q",AA12)))</formula>
    </cfRule>
    <cfRule type="containsText" priority="345" operator="containsText" text="Q">
      <formula>NOT(ISERROR(SEARCH("Q",AA12)))</formula>
    </cfRule>
  </conditionalFormatting>
  <conditionalFormatting sqref="AA12">
    <cfRule type="containsText" dxfId="176" priority="340" operator="containsText" text="Y">
      <formula>NOT(ISERROR(SEARCH("Y",AA12)))</formula>
    </cfRule>
    <cfRule type="containsText" dxfId="175" priority="341" operator="containsText" text="HV">
      <formula>NOT(ISERROR(SEARCH("HV",AA12)))</formula>
    </cfRule>
    <cfRule type="containsText" dxfId="174" priority="342" operator="containsText" text="H">
      <formula>NOT(ISERROR(SEARCH("H",AA12)))</formula>
    </cfRule>
    <cfRule type="containsText" dxfId="173" priority="343" operator="containsText" text="v">
      <formula>NOT(ISERROR(SEARCH("v",AA12)))</formula>
    </cfRule>
  </conditionalFormatting>
  <conditionalFormatting sqref="AM12">
    <cfRule type="containsText" dxfId="172" priority="326" operator="containsText" text="Q">
      <formula>NOT(ISERROR(SEARCH("Q",AM12)))</formula>
    </cfRule>
    <cfRule type="containsText" priority="327" operator="containsText" text="Q">
      <formula>NOT(ISERROR(SEARCH("Q",AM12)))</formula>
    </cfRule>
  </conditionalFormatting>
  <conditionalFormatting sqref="AM12">
    <cfRule type="containsText" dxfId="171" priority="322" operator="containsText" text="Y">
      <formula>NOT(ISERROR(SEARCH("Y",AM12)))</formula>
    </cfRule>
    <cfRule type="containsText" dxfId="170" priority="323" operator="containsText" text="HV">
      <formula>NOT(ISERROR(SEARCH("HV",AM12)))</formula>
    </cfRule>
    <cfRule type="containsText" dxfId="169" priority="324" operator="containsText" text="H">
      <formula>NOT(ISERROR(SEARCH("H",AM12)))</formula>
    </cfRule>
    <cfRule type="containsText" dxfId="168" priority="325" operator="containsText" text="v">
      <formula>NOT(ISERROR(SEARCH("v",AM12)))</formula>
    </cfRule>
  </conditionalFormatting>
  <conditionalFormatting sqref="AN12">
    <cfRule type="containsText" dxfId="167" priority="332" operator="containsText" text="Q">
      <formula>NOT(ISERROR(SEARCH("Q",AN12)))</formula>
    </cfRule>
    <cfRule type="containsText" priority="333" operator="containsText" text="Q">
      <formula>NOT(ISERROR(SEARCH("Q",AN12)))</formula>
    </cfRule>
  </conditionalFormatting>
  <conditionalFormatting sqref="AN12">
    <cfRule type="containsText" dxfId="166" priority="328" operator="containsText" text="Y">
      <formula>NOT(ISERROR(SEARCH("Y",AN12)))</formula>
    </cfRule>
    <cfRule type="containsText" dxfId="165" priority="329" operator="containsText" text="HV">
      <formula>NOT(ISERROR(SEARCH("HV",AN12)))</formula>
    </cfRule>
    <cfRule type="containsText" dxfId="164" priority="330" operator="containsText" text="H">
      <formula>NOT(ISERROR(SEARCH("H",AN12)))</formula>
    </cfRule>
    <cfRule type="containsText" dxfId="163" priority="331" operator="containsText" text="v">
      <formula>NOT(ISERROR(SEARCH("v",AN12)))</formula>
    </cfRule>
  </conditionalFormatting>
  <conditionalFormatting sqref="BB17">
    <cfRule type="containsText" dxfId="162" priority="278" operator="containsText" text="Q">
      <formula>NOT(ISERROR(SEARCH("Q",BB17)))</formula>
    </cfRule>
    <cfRule type="containsText" priority="279" operator="containsText" text="Q">
      <formula>NOT(ISERROR(SEARCH("Q",BB17)))</formula>
    </cfRule>
  </conditionalFormatting>
  <conditionalFormatting sqref="BB17">
    <cfRule type="containsText" dxfId="161" priority="274" operator="containsText" text="Y">
      <formula>NOT(ISERROR(SEARCH("Y",BB17)))</formula>
    </cfRule>
    <cfRule type="containsText" dxfId="160" priority="275" operator="containsText" text="HV">
      <formula>NOT(ISERROR(SEARCH("HV",BB17)))</formula>
    </cfRule>
    <cfRule type="containsText" dxfId="159" priority="276" operator="containsText" text="H">
      <formula>NOT(ISERROR(SEARCH("H",BB17)))</formula>
    </cfRule>
    <cfRule type="containsText" dxfId="158" priority="277" operator="containsText" text="v">
      <formula>NOT(ISERROR(SEARCH("v",BB17)))</formula>
    </cfRule>
  </conditionalFormatting>
  <conditionalFormatting sqref="AO13:AQ13">
    <cfRule type="containsText" dxfId="157" priority="302" operator="containsText" text="Q">
      <formula>NOT(ISERROR(SEARCH("Q",AO13)))</formula>
    </cfRule>
    <cfRule type="containsText" priority="303" operator="containsText" text="Q">
      <formula>NOT(ISERROR(SEARCH("Q",AO13)))</formula>
    </cfRule>
  </conditionalFormatting>
  <conditionalFormatting sqref="AO13:AQ13">
    <cfRule type="containsText" dxfId="156" priority="298" operator="containsText" text="Y">
      <formula>NOT(ISERROR(SEARCH("Y",AO13)))</formula>
    </cfRule>
    <cfRule type="containsText" dxfId="155" priority="299" operator="containsText" text="HV">
      <formula>NOT(ISERROR(SEARCH("HV",AO13)))</formula>
    </cfRule>
    <cfRule type="containsText" dxfId="154" priority="300" operator="containsText" text="H">
      <formula>NOT(ISERROR(SEARCH("H",AO13)))</formula>
    </cfRule>
    <cfRule type="containsText" dxfId="153" priority="301" operator="containsText" text="v">
      <formula>NOT(ISERROR(SEARCH("v",AO13)))</formula>
    </cfRule>
  </conditionalFormatting>
  <conditionalFormatting sqref="AP13:AQ13">
    <cfRule type="containsText" dxfId="152" priority="296" operator="containsText" text="Q">
      <formula>NOT(ISERROR(SEARCH("Q",AP13)))</formula>
    </cfRule>
    <cfRule type="containsText" priority="297" operator="containsText" text="Q">
      <formula>NOT(ISERROR(SEARCH("Q",AP13)))</formula>
    </cfRule>
  </conditionalFormatting>
  <conditionalFormatting sqref="AP13:AQ13">
    <cfRule type="containsText" dxfId="151" priority="292" operator="containsText" text="Y">
      <formula>NOT(ISERROR(SEARCH("Y",AP13)))</formula>
    </cfRule>
    <cfRule type="containsText" dxfId="150" priority="293" operator="containsText" text="HV">
      <formula>NOT(ISERROR(SEARCH("HV",AP13)))</formula>
    </cfRule>
    <cfRule type="containsText" dxfId="149" priority="294" operator="containsText" text="H">
      <formula>NOT(ISERROR(SEARCH("H",AP13)))</formula>
    </cfRule>
    <cfRule type="containsText" dxfId="148" priority="295" operator="containsText" text="v">
      <formula>NOT(ISERROR(SEARCH("v",AP13)))</formula>
    </cfRule>
  </conditionalFormatting>
  <conditionalFormatting sqref="BD13">
    <cfRule type="containsText" dxfId="147" priority="284" operator="containsText" text="Q">
      <formula>NOT(ISERROR(SEARCH("Q",BD13)))</formula>
    </cfRule>
    <cfRule type="containsText" priority="285" operator="containsText" text="Q">
      <formula>NOT(ISERROR(SEARCH("Q",BD13)))</formula>
    </cfRule>
  </conditionalFormatting>
  <conditionalFormatting sqref="BD13">
    <cfRule type="containsText" dxfId="146" priority="280" operator="containsText" text="Y">
      <formula>NOT(ISERROR(SEARCH("Y",BD13)))</formula>
    </cfRule>
    <cfRule type="containsText" dxfId="145" priority="281" operator="containsText" text="HV">
      <formula>NOT(ISERROR(SEARCH("HV",BD13)))</formula>
    </cfRule>
    <cfRule type="containsText" dxfId="144" priority="282" operator="containsText" text="H">
      <formula>NOT(ISERROR(SEARCH("H",BD13)))</formula>
    </cfRule>
    <cfRule type="containsText" dxfId="143" priority="283" operator="containsText" text="v">
      <formula>NOT(ISERROR(SEARCH("v",BD13)))</formula>
    </cfRule>
  </conditionalFormatting>
  <conditionalFormatting sqref="BB17">
    <cfRule type="containsText" dxfId="142" priority="272" operator="containsText" text="Q">
      <formula>NOT(ISERROR(SEARCH("Q",BB17)))</formula>
    </cfRule>
    <cfRule type="containsText" priority="273" operator="containsText" text="Q">
      <formula>NOT(ISERROR(SEARCH("Q",BB17)))</formula>
    </cfRule>
  </conditionalFormatting>
  <conditionalFormatting sqref="BB17">
    <cfRule type="containsText" dxfId="141" priority="268" operator="containsText" text="Y">
      <formula>NOT(ISERROR(SEARCH("Y",BB17)))</formula>
    </cfRule>
    <cfRule type="containsText" dxfId="140" priority="269" operator="containsText" text="HV">
      <formula>NOT(ISERROR(SEARCH("HV",BB17)))</formula>
    </cfRule>
    <cfRule type="containsText" dxfId="139" priority="270" operator="containsText" text="H">
      <formula>NOT(ISERROR(SEARCH("H",BB17)))</formula>
    </cfRule>
    <cfRule type="containsText" dxfId="138" priority="271" operator="containsText" text="v">
      <formula>NOT(ISERROR(SEARCH("v",BB17)))</formula>
    </cfRule>
  </conditionalFormatting>
  <conditionalFormatting sqref="K12:X12">
    <cfRule type="containsText" dxfId="137" priority="260" operator="containsText" text="Q">
      <formula>NOT(ISERROR(SEARCH("Q",K12)))</formula>
    </cfRule>
    <cfRule type="containsText" priority="261" operator="containsText" text="Q">
      <formula>NOT(ISERROR(SEARCH("Q",K12)))</formula>
    </cfRule>
  </conditionalFormatting>
  <conditionalFormatting sqref="K12:X12">
    <cfRule type="containsText" dxfId="136" priority="256" operator="containsText" text="Y">
      <formula>NOT(ISERROR(SEARCH("Y",K12)))</formula>
    </cfRule>
    <cfRule type="containsText" dxfId="135" priority="257" operator="containsText" text="HV">
      <formula>NOT(ISERROR(SEARCH("HV",K12)))</formula>
    </cfRule>
    <cfRule type="containsText" dxfId="134" priority="258" operator="containsText" text="H">
      <formula>NOT(ISERROR(SEARCH("H",K12)))</formula>
    </cfRule>
    <cfRule type="containsText" dxfId="133" priority="259" operator="containsText" text="v">
      <formula>NOT(ISERROR(SEARCH("v",K12)))</formula>
    </cfRule>
  </conditionalFormatting>
  <conditionalFormatting sqref="Y12 AB12:AL12">
    <cfRule type="containsText" dxfId="132" priority="248" operator="containsText" text="Q">
      <formula>NOT(ISERROR(SEARCH("Q",Y12)))</formula>
    </cfRule>
    <cfRule type="containsText" priority="249" operator="containsText" text="Q">
      <formula>NOT(ISERROR(SEARCH("Q",Y12)))</formula>
    </cfRule>
  </conditionalFormatting>
  <conditionalFormatting sqref="Y12 AB12:AL12">
    <cfRule type="containsText" dxfId="131" priority="244" operator="containsText" text="Y">
      <formula>NOT(ISERROR(SEARCH("Y",Y12)))</formula>
    </cfRule>
    <cfRule type="containsText" dxfId="130" priority="245" operator="containsText" text="HV">
      <formula>NOT(ISERROR(SEARCH("HV",Y12)))</formula>
    </cfRule>
    <cfRule type="containsText" dxfId="129" priority="246" operator="containsText" text="H">
      <formula>NOT(ISERROR(SEARCH("H",Y12)))</formula>
    </cfRule>
    <cfRule type="containsText" dxfId="128" priority="247" operator="containsText" text="v">
      <formula>NOT(ISERROR(SEARCH("v",Y12)))</formula>
    </cfRule>
  </conditionalFormatting>
  <conditionalFormatting sqref="AZ12">
    <cfRule type="containsText" dxfId="127" priority="242" operator="containsText" text="Q">
      <formula>NOT(ISERROR(SEARCH("Q",AZ12)))</formula>
    </cfRule>
    <cfRule type="containsText" priority="243" operator="containsText" text="Q">
      <formula>NOT(ISERROR(SEARCH("Q",AZ12)))</formula>
    </cfRule>
  </conditionalFormatting>
  <conditionalFormatting sqref="AZ12">
    <cfRule type="containsText" dxfId="126" priority="238" operator="containsText" text="Y">
      <formula>NOT(ISERROR(SEARCH("Y",AZ12)))</formula>
    </cfRule>
    <cfRule type="containsText" dxfId="125" priority="239" operator="containsText" text="HV">
      <formula>NOT(ISERROR(SEARCH("HV",AZ12)))</formula>
    </cfRule>
    <cfRule type="containsText" dxfId="124" priority="240" operator="containsText" text="H">
      <formula>NOT(ISERROR(SEARCH("H",AZ12)))</formula>
    </cfRule>
    <cfRule type="containsText" dxfId="123" priority="241" operator="containsText" text="v">
      <formula>NOT(ISERROR(SEARCH("v",AZ12)))</formula>
    </cfRule>
  </conditionalFormatting>
  <conditionalFormatting sqref="AO12:AY12">
    <cfRule type="containsText" dxfId="122" priority="230" operator="containsText" text="Q">
      <formula>NOT(ISERROR(SEARCH("Q",AO12)))</formula>
    </cfRule>
    <cfRule type="containsText" priority="231" operator="containsText" text="Q">
      <formula>NOT(ISERROR(SEARCH("Q",AO12)))</formula>
    </cfRule>
  </conditionalFormatting>
  <conditionalFormatting sqref="AO12:AY12">
    <cfRule type="containsText" dxfId="121" priority="226" operator="containsText" text="Y">
      <formula>NOT(ISERROR(SEARCH("Y",AO12)))</formula>
    </cfRule>
    <cfRule type="containsText" dxfId="120" priority="227" operator="containsText" text="HV">
      <formula>NOT(ISERROR(SEARCH("HV",AO12)))</formula>
    </cfRule>
    <cfRule type="containsText" dxfId="119" priority="228" operator="containsText" text="H">
      <formula>NOT(ISERROR(SEARCH("H",AO12)))</formula>
    </cfRule>
    <cfRule type="containsText" dxfId="118" priority="229" operator="containsText" text="v">
      <formula>NOT(ISERROR(SEARCH("v",AO12)))</formula>
    </cfRule>
  </conditionalFormatting>
  <conditionalFormatting sqref="BA12">
    <cfRule type="containsText" dxfId="117" priority="224" operator="containsText" text="Q">
      <formula>NOT(ISERROR(SEARCH("Q",BA12)))</formula>
    </cfRule>
    <cfRule type="containsText" priority="225" operator="containsText" text="Q">
      <formula>NOT(ISERROR(SEARCH("Q",BA12)))</formula>
    </cfRule>
  </conditionalFormatting>
  <conditionalFormatting sqref="BA12">
    <cfRule type="containsText" dxfId="116" priority="220" operator="containsText" text="Y">
      <formula>NOT(ISERROR(SEARCH("Y",BA12)))</formula>
    </cfRule>
    <cfRule type="containsText" dxfId="115" priority="221" operator="containsText" text="HV">
      <formula>NOT(ISERROR(SEARCH("HV",BA12)))</formula>
    </cfRule>
    <cfRule type="containsText" dxfId="114" priority="222" operator="containsText" text="H">
      <formula>NOT(ISERROR(SEARCH("H",BA12)))</formula>
    </cfRule>
    <cfRule type="containsText" dxfId="113" priority="223" operator="containsText" text="v">
      <formula>NOT(ISERROR(SEARCH("v",BA12)))</formula>
    </cfRule>
  </conditionalFormatting>
  <conditionalFormatting sqref="AB19 F19:J19">
    <cfRule type="containsText" dxfId="112" priority="134" operator="containsText" text="Q">
      <formula>NOT(ISERROR(SEARCH("Q",F19)))</formula>
    </cfRule>
    <cfRule type="containsText" priority="135" operator="containsText" text="Q">
      <formula>NOT(ISERROR(SEARCH("Q",F19)))</formula>
    </cfRule>
  </conditionalFormatting>
  <conditionalFormatting sqref="AB19 F19:J19">
    <cfRule type="containsText" dxfId="111" priority="130" operator="containsText" text="Y">
      <formula>NOT(ISERROR(SEARCH("Y",F19)))</formula>
    </cfRule>
    <cfRule type="containsText" dxfId="110" priority="131" operator="containsText" text="HV">
      <formula>NOT(ISERROR(SEARCH("HV",F19)))</formula>
    </cfRule>
    <cfRule type="containsText" dxfId="109" priority="132" operator="containsText" text="H">
      <formula>NOT(ISERROR(SEARCH("H",F19)))</formula>
    </cfRule>
    <cfRule type="containsText" dxfId="108" priority="133" operator="containsText" text="v">
      <formula>NOT(ISERROR(SEARCH("v",F19)))</formula>
    </cfRule>
  </conditionalFormatting>
  <conditionalFormatting sqref="BE19:BF19">
    <cfRule type="containsText" dxfId="107" priority="128" operator="containsText" text="Q">
      <formula>NOT(ISERROR(SEARCH("Q",BE19)))</formula>
    </cfRule>
    <cfRule type="containsText" priority="129" operator="containsText" text="Q">
      <formula>NOT(ISERROR(SEARCH("Q",BE19)))</formula>
    </cfRule>
  </conditionalFormatting>
  <conditionalFormatting sqref="BE19:BF19">
    <cfRule type="containsText" dxfId="106" priority="124" operator="containsText" text="Y">
      <formula>NOT(ISERROR(SEARCH("Y",BE19)))</formula>
    </cfRule>
    <cfRule type="containsText" dxfId="105" priority="125" operator="containsText" text="HV">
      <formula>NOT(ISERROR(SEARCH("HV",BE19)))</formula>
    </cfRule>
    <cfRule type="containsText" dxfId="104" priority="126" operator="containsText" text="H">
      <formula>NOT(ISERROR(SEARCH("H",BE19)))</formula>
    </cfRule>
    <cfRule type="containsText" dxfId="103" priority="127" operator="containsText" text="v">
      <formula>NOT(ISERROR(SEARCH("v",BE19)))</formula>
    </cfRule>
  </conditionalFormatting>
  <conditionalFormatting sqref="AO19">
    <cfRule type="containsText" dxfId="102" priority="122" operator="containsText" text="Q">
      <formula>NOT(ISERROR(SEARCH("Q",AO19)))</formula>
    </cfRule>
    <cfRule type="containsText" priority="123" operator="containsText" text="Q">
      <formula>NOT(ISERROR(SEARCH("Q",AO19)))</formula>
    </cfRule>
  </conditionalFormatting>
  <conditionalFormatting sqref="AO19">
    <cfRule type="containsText" dxfId="101" priority="118" operator="containsText" text="Y">
      <formula>NOT(ISERROR(SEARCH("Y",AO19)))</formula>
    </cfRule>
    <cfRule type="containsText" dxfId="100" priority="119" operator="containsText" text="HV">
      <formula>NOT(ISERROR(SEARCH("HV",AO19)))</formula>
    </cfRule>
    <cfRule type="containsText" dxfId="99" priority="120" operator="containsText" text="H">
      <formula>NOT(ISERROR(SEARCH("H",AO19)))</formula>
    </cfRule>
    <cfRule type="containsText" dxfId="98" priority="121" operator="containsText" text="v">
      <formula>NOT(ISERROR(SEARCH("v",AO19)))</formula>
    </cfRule>
  </conditionalFormatting>
  <conditionalFormatting sqref="BB19:BD19">
    <cfRule type="containsText" dxfId="97" priority="116" operator="containsText" text="Q">
      <formula>NOT(ISERROR(SEARCH("Q",BB19)))</formula>
    </cfRule>
    <cfRule type="containsText" priority="117" operator="containsText" text="Q">
      <formula>NOT(ISERROR(SEARCH("Q",BB19)))</formula>
    </cfRule>
  </conditionalFormatting>
  <conditionalFormatting sqref="BB19:BD19">
    <cfRule type="containsText" dxfId="96" priority="112" operator="containsText" text="Y">
      <formula>NOT(ISERROR(SEARCH("Y",BB19)))</formula>
    </cfRule>
    <cfRule type="containsText" dxfId="95" priority="113" operator="containsText" text="HV">
      <formula>NOT(ISERROR(SEARCH("HV",BB19)))</formula>
    </cfRule>
    <cfRule type="containsText" dxfId="94" priority="114" operator="containsText" text="H">
      <formula>NOT(ISERROR(SEARCH("H",BB19)))</formula>
    </cfRule>
    <cfRule type="containsText" dxfId="93" priority="115" operator="containsText" text="v">
      <formula>NOT(ISERROR(SEARCH("v",BB19)))</formula>
    </cfRule>
  </conditionalFormatting>
  <conditionalFormatting sqref="X19:AA19">
    <cfRule type="containsText" dxfId="92" priority="110" operator="containsText" text="Q">
      <formula>NOT(ISERROR(SEARCH("Q",X19)))</formula>
    </cfRule>
    <cfRule type="containsText" priority="111" operator="containsText" text="Q">
      <formula>NOT(ISERROR(SEARCH("Q",X19)))</formula>
    </cfRule>
  </conditionalFormatting>
  <conditionalFormatting sqref="X19:AA19">
    <cfRule type="containsText" dxfId="91" priority="106" operator="containsText" text="Y">
      <formula>NOT(ISERROR(SEARCH("Y",X19)))</formula>
    </cfRule>
    <cfRule type="containsText" dxfId="90" priority="107" operator="containsText" text="HV">
      <formula>NOT(ISERROR(SEARCH("HV",X19)))</formula>
    </cfRule>
    <cfRule type="containsText" dxfId="89" priority="108" operator="containsText" text="H">
      <formula>NOT(ISERROR(SEARCH("H",X19)))</formula>
    </cfRule>
    <cfRule type="containsText" dxfId="88" priority="109" operator="containsText" text="v">
      <formula>NOT(ISERROR(SEARCH("v",X19)))</formula>
    </cfRule>
  </conditionalFormatting>
  <conditionalFormatting sqref="AC19:AL19">
    <cfRule type="containsText" dxfId="87" priority="98" operator="containsText" text="Q">
      <formula>NOT(ISERROR(SEARCH("Q",AC19)))</formula>
    </cfRule>
    <cfRule type="containsText" priority="99" operator="containsText" text="Q">
      <formula>NOT(ISERROR(SEARCH("Q",AC19)))</formula>
    </cfRule>
  </conditionalFormatting>
  <conditionalFormatting sqref="AC19:AL19">
    <cfRule type="containsText" dxfId="86" priority="94" operator="containsText" text="Y">
      <formula>NOT(ISERROR(SEARCH("Y",AC19)))</formula>
    </cfRule>
    <cfRule type="containsText" dxfId="85" priority="95" operator="containsText" text="HV">
      <formula>NOT(ISERROR(SEARCH("HV",AC19)))</formula>
    </cfRule>
    <cfRule type="containsText" dxfId="84" priority="96" operator="containsText" text="H">
      <formula>NOT(ISERROR(SEARCH("H",AC19)))</formula>
    </cfRule>
    <cfRule type="containsText" dxfId="83" priority="97" operator="containsText" text="v">
      <formula>NOT(ISERROR(SEARCH("v",AC19)))</formula>
    </cfRule>
  </conditionalFormatting>
  <conditionalFormatting sqref="AZ19:BA19">
    <cfRule type="containsText" dxfId="82" priority="92" operator="containsText" text="Q">
      <formula>NOT(ISERROR(SEARCH("Q",AZ19)))</formula>
    </cfRule>
    <cfRule type="containsText" priority="93" operator="containsText" text="Q">
      <formula>NOT(ISERROR(SEARCH("Q",AZ19)))</formula>
    </cfRule>
  </conditionalFormatting>
  <conditionalFormatting sqref="AZ19:BA19">
    <cfRule type="containsText" dxfId="81" priority="88" operator="containsText" text="Y">
      <formula>NOT(ISERROR(SEARCH("Y",AZ19)))</formula>
    </cfRule>
    <cfRule type="containsText" dxfId="80" priority="89" operator="containsText" text="HV">
      <formula>NOT(ISERROR(SEARCH("HV",AZ19)))</formula>
    </cfRule>
    <cfRule type="containsText" dxfId="79" priority="90" operator="containsText" text="H">
      <formula>NOT(ISERROR(SEARCH("H",AZ19)))</formula>
    </cfRule>
    <cfRule type="containsText" dxfId="78" priority="91" operator="containsText" text="v">
      <formula>NOT(ISERROR(SEARCH("v",AZ19)))</formula>
    </cfRule>
  </conditionalFormatting>
  <conditionalFormatting sqref="AM19:AN19">
    <cfRule type="containsText" dxfId="77" priority="104" operator="containsText" text="Q">
      <formula>NOT(ISERROR(SEARCH("Q",AM19)))</formula>
    </cfRule>
    <cfRule type="containsText" priority="105" operator="containsText" text="Q">
      <formula>NOT(ISERROR(SEARCH("Q",AM19)))</formula>
    </cfRule>
  </conditionalFormatting>
  <conditionalFormatting sqref="AM19:AN19">
    <cfRule type="containsText" dxfId="76" priority="100" operator="containsText" text="Y">
      <formula>NOT(ISERROR(SEARCH("Y",AM19)))</formula>
    </cfRule>
    <cfRule type="containsText" dxfId="75" priority="101" operator="containsText" text="HV">
      <formula>NOT(ISERROR(SEARCH("HV",AM19)))</formula>
    </cfRule>
    <cfRule type="containsText" dxfId="74" priority="102" operator="containsText" text="H">
      <formula>NOT(ISERROR(SEARCH("H",AM19)))</formula>
    </cfRule>
    <cfRule type="containsText" dxfId="73" priority="103" operator="containsText" text="v">
      <formula>NOT(ISERROR(SEARCH("v",AM19)))</formula>
    </cfRule>
  </conditionalFormatting>
  <conditionalFormatting sqref="AP19:AY19">
    <cfRule type="containsText" dxfId="72" priority="86" operator="containsText" text="Q">
      <formula>NOT(ISERROR(SEARCH("Q",AP19)))</formula>
    </cfRule>
    <cfRule type="containsText" priority="87" operator="containsText" text="Q">
      <formula>NOT(ISERROR(SEARCH("Q",AP19)))</formula>
    </cfRule>
  </conditionalFormatting>
  <conditionalFormatting sqref="AP19:AY19">
    <cfRule type="containsText" dxfId="71" priority="82" operator="containsText" text="Y">
      <formula>NOT(ISERROR(SEARCH("Y",AP19)))</formula>
    </cfRule>
    <cfRule type="containsText" dxfId="70" priority="83" operator="containsText" text="HV">
      <formula>NOT(ISERROR(SEARCH("HV",AP19)))</formula>
    </cfRule>
    <cfRule type="containsText" dxfId="69" priority="84" operator="containsText" text="H">
      <formula>NOT(ISERROR(SEARCH("H",AP19)))</formula>
    </cfRule>
    <cfRule type="containsText" dxfId="68" priority="85" operator="containsText" text="v">
      <formula>NOT(ISERROR(SEARCH("v",AP19)))</formula>
    </cfRule>
  </conditionalFormatting>
  <conditionalFormatting sqref="T19:W19">
    <cfRule type="containsText" dxfId="67" priority="80" operator="containsText" text="Q">
      <formula>NOT(ISERROR(SEARCH("Q",T19)))</formula>
    </cfRule>
    <cfRule type="containsText" priority="81" operator="containsText" text="Q">
      <formula>NOT(ISERROR(SEARCH("Q",T19)))</formula>
    </cfRule>
  </conditionalFormatting>
  <conditionalFormatting sqref="T19:W19">
    <cfRule type="containsText" dxfId="66" priority="76" operator="containsText" text="Y">
      <formula>NOT(ISERROR(SEARCH("Y",T19)))</formula>
    </cfRule>
    <cfRule type="containsText" dxfId="65" priority="77" operator="containsText" text="HV">
      <formula>NOT(ISERROR(SEARCH("HV",T19)))</formula>
    </cfRule>
    <cfRule type="containsText" dxfId="64" priority="78" operator="containsText" text="H">
      <formula>NOT(ISERROR(SEARCH("H",T19)))</formula>
    </cfRule>
    <cfRule type="containsText" dxfId="63" priority="79" operator="containsText" text="v">
      <formula>NOT(ISERROR(SEARCH("v",T19)))</formula>
    </cfRule>
  </conditionalFormatting>
  <conditionalFormatting sqref="N19:O19">
    <cfRule type="containsText" dxfId="62" priority="74" operator="containsText" text="Q">
      <formula>NOT(ISERROR(SEARCH("Q",N19)))</formula>
    </cfRule>
    <cfRule type="containsText" priority="75" operator="containsText" text="Q">
      <formula>NOT(ISERROR(SEARCH("Q",N19)))</formula>
    </cfRule>
  </conditionalFormatting>
  <conditionalFormatting sqref="N19:O19">
    <cfRule type="containsText" dxfId="61" priority="70" operator="containsText" text="Y">
      <formula>NOT(ISERROR(SEARCH("Y",N19)))</formula>
    </cfRule>
    <cfRule type="containsText" dxfId="60" priority="71" operator="containsText" text="HV">
      <formula>NOT(ISERROR(SEARCH("HV",N19)))</formula>
    </cfRule>
    <cfRule type="containsText" dxfId="59" priority="72" operator="containsText" text="H">
      <formula>NOT(ISERROR(SEARCH("H",N19)))</formula>
    </cfRule>
    <cfRule type="containsText" dxfId="58" priority="73" operator="containsText" text="v">
      <formula>NOT(ISERROR(SEARCH("v",N19)))</formula>
    </cfRule>
  </conditionalFormatting>
  <conditionalFormatting sqref="L19:M19 P19:R19">
    <cfRule type="containsText" dxfId="57" priority="68" operator="containsText" text="Q">
      <formula>NOT(ISERROR(SEARCH("Q",L19)))</formula>
    </cfRule>
    <cfRule type="containsText" priority="69" operator="containsText" text="Q">
      <formula>NOT(ISERROR(SEARCH("Q",L19)))</formula>
    </cfRule>
  </conditionalFormatting>
  <conditionalFormatting sqref="L19:M19 P19:R19">
    <cfRule type="containsText" dxfId="56" priority="64" operator="containsText" text="Y">
      <formula>NOT(ISERROR(SEARCH("Y",L19)))</formula>
    </cfRule>
    <cfRule type="containsText" dxfId="55" priority="65" operator="containsText" text="HV">
      <formula>NOT(ISERROR(SEARCH("HV",L19)))</formula>
    </cfRule>
    <cfRule type="containsText" dxfId="54" priority="66" operator="containsText" text="H">
      <formula>NOT(ISERROR(SEARCH("H",L19)))</formula>
    </cfRule>
    <cfRule type="containsText" dxfId="53" priority="67" operator="containsText" text="v">
      <formula>NOT(ISERROR(SEARCH("v",L19)))</formula>
    </cfRule>
  </conditionalFormatting>
  <conditionalFormatting sqref="S19">
    <cfRule type="containsText" dxfId="52" priority="62" operator="containsText" text="Q">
      <formula>NOT(ISERROR(SEARCH("Q",S19)))</formula>
    </cfRule>
    <cfRule type="containsText" priority="63" operator="containsText" text="Q">
      <formula>NOT(ISERROR(SEARCH("Q",S19)))</formula>
    </cfRule>
  </conditionalFormatting>
  <conditionalFormatting sqref="S19">
    <cfRule type="containsText" dxfId="51" priority="58" operator="containsText" text="Y">
      <formula>NOT(ISERROR(SEARCH("Y",S19)))</formula>
    </cfRule>
    <cfRule type="containsText" dxfId="50" priority="59" operator="containsText" text="HV">
      <formula>NOT(ISERROR(SEARCH("HV",S19)))</formula>
    </cfRule>
    <cfRule type="containsText" dxfId="49" priority="60" operator="containsText" text="H">
      <formula>NOT(ISERROR(SEARCH("H",S19)))</formula>
    </cfRule>
    <cfRule type="containsText" dxfId="48" priority="61" operator="containsText" text="v">
      <formula>NOT(ISERROR(SEARCH("v",S19)))</formula>
    </cfRule>
  </conditionalFormatting>
  <conditionalFormatting sqref="F14:K14 AH14:AK14 AU14:BA14 Q14:AD14 M14:N14">
    <cfRule type="containsText" dxfId="47" priority="56" operator="containsText" text="Q">
      <formula>NOT(ISERROR(SEARCH("Q",F14)))</formula>
    </cfRule>
    <cfRule type="containsText" priority="57" operator="containsText" text="Q">
      <formula>NOT(ISERROR(SEARCH("Q",F14)))</formula>
    </cfRule>
  </conditionalFormatting>
  <conditionalFormatting sqref="F14:K14 AH14:AK14 AU14:BA14 Q14:AD14 M14:N14">
    <cfRule type="containsText" dxfId="46" priority="52" operator="containsText" text="Y">
      <formula>NOT(ISERROR(SEARCH("Y",F14)))</formula>
    </cfRule>
    <cfRule type="containsText" dxfId="45" priority="53" operator="containsText" text="HV">
      <formula>NOT(ISERROR(SEARCH("HV",F14)))</formula>
    </cfRule>
    <cfRule type="containsText" dxfId="44" priority="54" operator="containsText" text="H">
      <formula>NOT(ISERROR(SEARCH("H",F14)))</formula>
    </cfRule>
    <cfRule type="containsText" dxfId="43" priority="55" operator="containsText" text="v">
      <formula>NOT(ISERROR(SEARCH("v",F14)))</formula>
    </cfRule>
  </conditionalFormatting>
  <conditionalFormatting sqref="BF14">
    <cfRule type="containsText" dxfId="42" priority="50" operator="containsText" text="Q">
      <formula>NOT(ISERROR(SEARCH("Q",BF14)))</formula>
    </cfRule>
    <cfRule type="containsText" priority="51" operator="containsText" text="Q">
      <formula>NOT(ISERROR(SEARCH("Q",BF14)))</formula>
    </cfRule>
  </conditionalFormatting>
  <conditionalFormatting sqref="BF14">
    <cfRule type="containsText" dxfId="41" priority="49" operator="containsText" text="H">
      <formula>NOT(ISERROR(SEARCH("H",BF14)))</formula>
    </cfRule>
  </conditionalFormatting>
  <conditionalFormatting sqref="BF14">
    <cfRule type="containsText" dxfId="40" priority="43" operator="containsText" text="Yv">
      <formula>NOT(ISERROR(SEARCH("Yv",BF14)))</formula>
    </cfRule>
    <cfRule type="containsText" dxfId="39" priority="44" operator="containsText" text="y">
      <formula>NOT(ISERROR(SEARCH("y",BF14)))</formula>
    </cfRule>
    <cfRule type="containsText" dxfId="38" priority="45" operator="containsText" text="HV">
      <formula>NOT(ISERROR(SEARCH("HV",BF14)))</formula>
    </cfRule>
    <cfRule type="containsText" dxfId="37" priority="46" operator="containsText" text="H">
      <formula>NOT(ISERROR(SEARCH("H",BF14)))</formula>
    </cfRule>
    <cfRule type="containsText" dxfId="36" priority="47" operator="containsText" text="hv">
      <formula>NOT(ISERROR(SEARCH("hv",BF14)))</formula>
    </cfRule>
    <cfRule type="containsText" dxfId="35" priority="48" operator="containsText" text="v">
      <formula>NOT(ISERROR(SEARCH("v",BF14)))</formula>
    </cfRule>
  </conditionalFormatting>
  <conditionalFormatting sqref="AC14:AG14">
    <cfRule type="containsText" dxfId="34" priority="41" operator="containsText" text="Q">
      <formula>NOT(ISERROR(SEARCH("Q",AC14)))</formula>
    </cfRule>
    <cfRule type="containsText" priority="42" operator="containsText" text="Q">
      <formula>NOT(ISERROR(SEARCH("Q",AC14)))</formula>
    </cfRule>
  </conditionalFormatting>
  <conditionalFormatting sqref="AC14:AG14">
    <cfRule type="containsText" dxfId="33" priority="37" operator="containsText" text="Y">
      <formula>NOT(ISERROR(SEARCH("Y",AC14)))</formula>
    </cfRule>
    <cfRule type="containsText" dxfId="32" priority="38" operator="containsText" text="HV">
      <formula>NOT(ISERROR(SEARCH("HV",AC14)))</formula>
    </cfRule>
    <cfRule type="containsText" dxfId="31" priority="39" operator="containsText" text="H">
      <formula>NOT(ISERROR(SEARCH("H",AC14)))</formula>
    </cfRule>
    <cfRule type="containsText" dxfId="30" priority="40" operator="containsText" text="v">
      <formula>NOT(ISERROR(SEARCH("v",AC14)))</formula>
    </cfRule>
  </conditionalFormatting>
  <conditionalFormatting sqref="AT14">
    <cfRule type="containsText" dxfId="29" priority="35" operator="containsText" text="Q">
      <formula>NOT(ISERROR(SEARCH("Q",AT14)))</formula>
    </cfRule>
    <cfRule type="containsText" priority="36" operator="containsText" text="Q">
      <formula>NOT(ISERROR(SEARCH("Q",AT14)))</formula>
    </cfRule>
  </conditionalFormatting>
  <conditionalFormatting sqref="AT14">
    <cfRule type="containsText" dxfId="28" priority="31" operator="containsText" text="Y">
      <formula>NOT(ISERROR(SEARCH("Y",AT14)))</formula>
    </cfRule>
    <cfRule type="containsText" dxfId="27" priority="32" operator="containsText" text="HV">
      <formula>NOT(ISERROR(SEARCH("HV",AT14)))</formula>
    </cfRule>
    <cfRule type="containsText" dxfId="26" priority="33" operator="containsText" text="H">
      <formula>NOT(ISERROR(SEARCH("H",AT14)))</formula>
    </cfRule>
    <cfRule type="containsText" dxfId="25" priority="34" operator="containsText" text="v">
      <formula>NOT(ISERROR(SEARCH("v",AT14)))</formula>
    </cfRule>
  </conditionalFormatting>
  <conditionalFormatting sqref="AS14">
    <cfRule type="containsText" dxfId="24" priority="29" operator="containsText" text="Q">
      <formula>NOT(ISERROR(SEARCH("Q",AS14)))</formula>
    </cfRule>
    <cfRule type="containsText" priority="30" operator="containsText" text="Q">
      <formula>NOT(ISERROR(SEARCH("Q",AS14)))</formula>
    </cfRule>
  </conditionalFormatting>
  <conditionalFormatting sqref="AS14">
    <cfRule type="containsText" dxfId="23" priority="25" operator="containsText" text="Y">
      <formula>NOT(ISERROR(SEARCH("Y",AS14)))</formula>
    </cfRule>
    <cfRule type="containsText" dxfId="22" priority="26" operator="containsText" text="HV">
      <formula>NOT(ISERROR(SEARCH("HV",AS14)))</formula>
    </cfRule>
    <cfRule type="containsText" dxfId="21" priority="27" operator="containsText" text="H">
      <formula>NOT(ISERROR(SEARCH("H",AS14)))</formula>
    </cfRule>
    <cfRule type="containsText" dxfId="20" priority="28" operator="containsText" text="v">
      <formula>NOT(ISERROR(SEARCH("v",AS14)))</formula>
    </cfRule>
  </conditionalFormatting>
  <conditionalFormatting sqref="AP14:AR14">
    <cfRule type="containsText" dxfId="19" priority="23" operator="containsText" text="Q">
      <formula>NOT(ISERROR(SEARCH("Q",AP14)))</formula>
    </cfRule>
    <cfRule type="containsText" priority="24" operator="containsText" text="Q">
      <formula>NOT(ISERROR(SEARCH("Q",AP14)))</formula>
    </cfRule>
  </conditionalFormatting>
  <conditionalFormatting sqref="AP14:AR14">
    <cfRule type="containsText" dxfId="18" priority="19" operator="containsText" text="Y">
      <formula>NOT(ISERROR(SEARCH("Y",AP14)))</formula>
    </cfRule>
    <cfRule type="containsText" dxfId="17" priority="20" operator="containsText" text="HV">
      <formula>NOT(ISERROR(SEARCH("HV",AP14)))</formula>
    </cfRule>
    <cfRule type="containsText" dxfId="16" priority="21" operator="containsText" text="H">
      <formula>NOT(ISERROR(SEARCH("H",AP14)))</formula>
    </cfRule>
    <cfRule type="containsText" dxfId="15" priority="22" operator="containsText" text="v">
      <formula>NOT(ISERROR(SEARCH("v",AP14)))</formula>
    </cfRule>
  </conditionalFormatting>
  <conditionalFormatting sqref="AQ14:AR14">
    <cfRule type="containsText" dxfId="14" priority="17" operator="containsText" text="Q">
      <formula>NOT(ISERROR(SEARCH("Q",AQ14)))</formula>
    </cfRule>
    <cfRule type="containsText" priority="18" operator="containsText" text="Q">
      <formula>NOT(ISERROR(SEARCH("Q",AQ14)))</formula>
    </cfRule>
  </conditionalFormatting>
  <conditionalFormatting sqref="AQ14:AR14">
    <cfRule type="containsText" dxfId="13" priority="13" operator="containsText" text="Y">
      <formula>NOT(ISERROR(SEARCH("Y",AQ14)))</formula>
    </cfRule>
    <cfRule type="containsText" dxfId="12" priority="14" operator="containsText" text="HV">
      <formula>NOT(ISERROR(SEARCH("HV",AQ14)))</formula>
    </cfRule>
    <cfRule type="containsText" dxfId="11" priority="15" operator="containsText" text="H">
      <formula>NOT(ISERROR(SEARCH("H",AQ14)))</formula>
    </cfRule>
    <cfRule type="containsText" dxfId="10" priority="16" operator="containsText" text="v">
      <formula>NOT(ISERROR(SEARCH("v",AQ14)))</formula>
    </cfRule>
  </conditionalFormatting>
  <conditionalFormatting sqref="BC14:BE14">
    <cfRule type="containsText" dxfId="9" priority="11" operator="containsText" text="Q">
      <formula>NOT(ISERROR(SEARCH("Q",BC14)))</formula>
    </cfRule>
    <cfRule type="containsText" priority="12" operator="containsText" text="Q">
      <formula>NOT(ISERROR(SEARCH("Q",BC14)))</formula>
    </cfRule>
  </conditionalFormatting>
  <conditionalFormatting sqref="BC14:BE14">
    <cfRule type="containsText" dxfId="8" priority="7" operator="containsText" text="Y">
      <formula>NOT(ISERROR(SEARCH("Y",BC14)))</formula>
    </cfRule>
    <cfRule type="containsText" dxfId="7" priority="8" operator="containsText" text="HV">
      <formula>NOT(ISERROR(SEARCH("HV",BC14)))</formula>
    </cfRule>
    <cfRule type="containsText" dxfId="6" priority="9" operator="containsText" text="H">
      <formula>NOT(ISERROR(SEARCH("H",BC14)))</formula>
    </cfRule>
    <cfRule type="containsText" dxfId="5" priority="10" operator="containsText" text="v">
      <formula>NOT(ISERROR(SEARCH("v",BC14)))</formula>
    </cfRule>
  </conditionalFormatting>
  <conditionalFormatting sqref="BD14:BE14">
    <cfRule type="containsText" dxfId="4" priority="5" operator="containsText" text="Q">
      <formula>NOT(ISERROR(SEARCH("Q",BD14)))</formula>
    </cfRule>
    <cfRule type="containsText" priority="6" operator="containsText" text="Q">
      <formula>NOT(ISERROR(SEARCH("Q",BD14)))</formula>
    </cfRule>
  </conditionalFormatting>
  <conditionalFormatting sqref="BD14:BE14">
    <cfRule type="containsText" dxfId="3" priority="1" operator="containsText" text="Y">
      <formula>NOT(ISERROR(SEARCH("Y",BD14)))</formula>
    </cfRule>
    <cfRule type="containsText" dxfId="2" priority="2" operator="containsText" text="HV">
      <formula>NOT(ISERROR(SEARCH("HV",BD14)))</formula>
    </cfRule>
    <cfRule type="containsText" dxfId="1" priority="3" operator="containsText" text="H">
      <formula>NOT(ISERROR(SEARCH("H",BD14)))</formula>
    </cfRule>
    <cfRule type="containsText" dxfId="0" priority="4" operator="containsText" text="v">
      <formula>NOT(ISERROR(SEARCH("v",BD14)))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>
      <selection sqref="A1:XFD1048576"/>
    </sheetView>
  </sheetViews>
  <sheetFormatPr defaultRowHeight="15" x14ac:dyDescent="0.25"/>
  <cols>
    <col min="1" max="1" width="3" style="2" bestFit="1" customWidth="1"/>
    <col min="2" max="2" width="33.42578125" style="2" bestFit="1" customWidth="1"/>
    <col min="3" max="3" width="55.28515625" style="2" bestFit="1" customWidth="1"/>
    <col min="4" max="4" width="14.28515625" style="2" bestFit="1" customWidth="1"/>
    <col min="5" max="5" width="15.140625" style="2" bestFit="1" customWidth="1"/>
    <col min="6" max="6" width="27.42578125" style="2" bestFit="1" customWidth="1"/>
    <col min="7" max="7" width="10.85546875" style="2" bestFit="1" customWidth="1"/>
    <col min="8" max="8" width="14.5703125" style="2" bestFit="1" customWidth="1"/>
    <col min="9" max="9" width="12.5703125" style="45" bestFit="1" customWidth="1"/>
    <col min="10" max="10" width="15.85546875" style="2" bestFit="1" customWidth="1"/>
  </cols>
  <sheetData>
    <row r="1" spans="1:10" x14ac:dyDescent="0.25">
      <c r="A1" s="3"/>
      <c r="B1" s="3" t="s">
        <v>0</v>
      </c>
      <c r="C1" s="3"/>
      <c r="D1" s="3"/>
      <c r="E1" s="3"/>
      <c r="F1" s="3"/>
      <c r="G1" s="3"/>
      <c r="H1" s="3"/>
      <c r="I1" s="44"/>
      <c r="J1" s="3" t="s">
        <v>1</v>
      </c>
    </row>
    <row r="2" spans="1:10" x14ac:dyDescent="0.25">
      <c r="C2" s="2" t="s">
        <v>2</v>
      </c>
    </row>
    <row r="3" spans="1:10" x14ac:dyDescent="0.25">
      <c r="B3" s="13"/>
      <c r="C3" s="2" t="s">
        <v>3</v>
      </c>
      <c r="D3" s="2" t="s">
        <v>133</v>
      </c>
    </row>
    <row r="4" spans="1:10" x14ac:dyDescent="0.25">
      <c r="C4" s="2" t="s">
        <v>4</v>
      </c>
      <c r="D4" s="2" t="s">
        <v>134</v>
      </c>
    </row>
    <row r="5" spans="1:10" x14ac:dyDescent="0.25">
      <c r="A5" s="3"/>
      <c r="B5" s="3"/>
      <c r="C5" s="3" t="s">
        <v>5</v>
      </c>
      <c r="D5" s="3"/>
      <c r="E5" s="3"/>
      <c r="F5" s="3"/>
      <c r="G5" s="3"/>
      <c r="H5" s="3"/>
      <c r="I5" s="44"/>
      <c r="J5" s="3"/>
    </row>
    <row r="6" spans="1:10" ht="42" x14ac:dyDescent="0.2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118</v>
      </c>
      <c r="I6" s="46" t="s">
        <v>13</v>
      </c>
      <c r="J6" s="4" t="s">
        <v>14</v>
      </c>
    </row>
    <row r="7" spans="1:10" x14ac:dyDescent="0.25">
      <c r="A7" s="5">
        <v>1</v>
      </c>
      <c r="B7" s="24" t="s">
        <v>132</v>
      </c>
      <c r="C7" s="6" t="s">
        <v>129</v>
      </c>
      <c r="D7" s="1" t="s">
        <v>117</v>
      </c>
      <c r="E7" s="8" t="s">
        <v>24</v>
      </c>
      <c r="F7" s="29" t="s">
        <v>101</v>
      </c>
      <c r="G7" s="6" t="s">
        <v>116</v>
      </c>
      <c r="H7" s="21">
        <v>42358</v>
      </c>
      <c r="I7" s="47">
        <f>DATE(YEAR(H7), MONTH(H7)+3, DAY(H7))</f>
        <v>42449</v>
      </c>
      <c r="J7" s="6"/>
    </row>
    <row r="8" spans="1:10" x14ac:dyDescent="0.25">
      <c r="A8" s="5">
        <v>2</v>
      </c>
      <c r="B8" s="24" t="s">
        <v>98</v>
      </c>
      <c r="C8" s="6" t="s">
        <v>130</v>
      </c>
      <c r="D8" s="1" t="s">
        <v>117</v>
      </c>
      <c r="E8" s="8" t="s">
        <v>24</v>
      </c>
      <c r="F8" s="29" t="s">
        <v>101</v>
      </c>
      <c r="G8" s="6" t="s">
        <v>116</v>
      </c>
      <c r="H8" s="21">
        <v>42358</v>
      </c>
      <c r="I8" s="47">
        <f t="shared" ref="I8:I18" si="0">DATE(YEAR(H8), MONTH(H8)+3, DAY(H8))</f>
        <v>42449</v>
      </c>
      <c r="J8" s="6"/>
    </row>
    <row r="9" spans="1:10" x14ac:dyDescent="0.25">
      <c r="A9" s="5">
        <v>3</v>
      </c>
      <c r="B9" s="24" t="s">
        <v>99</v>
      </c>
      <c r="C9" s="6" t="s">
        <v>131</v>
      </c>
      <c r="D9" s="1" t="s">
        <v>117</v>
      </c>
      <c r="E9" s="8" t="s">
        <v>24</v>
      </c>
      <c r="F9" s="29" t="s">
        <v>101</v>
      </c>
      <c r="G9" s="6" t="s">
        <v>116</v>
      </c>
      <c r="H9" s="21">
        <v>42358</v>
      </c>
      <c r="I9" s="47">
        <f t="shared" si="0"/>
        <v>42449</v>
      </c>
      <c r="J9" s="6"/>
    </row>
    <row r="10" spans="1:10" x14ac:dyDescent="0.25">
      <c r="A10" s="5">
        <v>4</v>
      </c>
      <c r="B10" s="24" t="s">
        <v>100</v>
      </c>
      <c r="C10" s="6" t="s">
        <v>24</v>
      </c>
      <c r="D10" s="1" t="s">
        <v>117</v>
      </c>
      <c r="E10" s="8" t="s">
        <v>24</v>
      </c>
      <c r="F10" s="29" t="s">
        <v>101</v>
      </c>
      <c r="G10" s="6" t="s">
        <v>116</v>
      </c>
      <c r="H10" s="21">
        <v>42358</v>
      </c>
      <c r="I10" s="47">
        <f t="shared" si="0"/>
        <v>42449</v>
      </c>
      <c r="J10" s="6"/>
    </row>
    <row r="11" spans="1:10" x14ac:dyDescent="0.25">
      <c r="A11" s="5">
        <v>5</v>
      </c>
      <c r="B11" s="1" t="s">
        <v>15</v>
      </c>
      <c r="C11" s="6" t="s">
        <v>16</v>
      </c>
      <c r="D11" s="1" t="s">
        <v>17</v>
      </c>
      <c r="E11" s="8" t="s">
        <v>18</v>
      </c>
      <c r="F11" s="25" t="s">
        <v>102</v>
      </c>
      <c r="G11" s="6" t="s">
        <v>116</v>
      </c>
      <c r="H11" s="21">
        <v>42297</v>
      </c>
      <c r="I11" s="47">
        <f t="shared" si="0"/>
        <v>42389</v>
      </c>
      <c r="J11" s="6"/>
    </row>
    <row r="12" spans="1:10" x14ac:dyDescent="0.25">
      <c r="A12" s="5">
        <v>6</v>
      </c>
      <c r="B12" s="1" t="s">
        <v>19</v>
      </c>
      <c r="C12" s="6" t="s">
        <v>20</v>
      </c>
      <c r="D12" s="1" t="s">
        <v>17</v>
      </c>
      <c r="E12" s="6" t="s">
        <v>18</v>
      </c>
      <c r="F12" s="25" t="s">
        <v>102</v>
      </c>
      <c r="G12" s="6" t="s">
        <v>116</v>
      </c>
      <c r="H12" s="21">
        <v>42297</v>
      </c>
      <c r="I12" s="47">
        <f t="shared" si="0"/>
        <v>42389</v>
      </c>
      <c r="J12" s="6"/>
    </row>
    <row r="13" spans="1:10" x14ac:dyDescent="0.25">
      <c r="A13" s="5">
        <v>7</v>
      </c>
      <c r="B13" s="1" t="s">
        <v>21</v>
      </c>
      <c r="C13" s="6" t="s">
        <v>22</v>
      </c>
      <c r="D13" s="1" t="s">
        <v>17</v>
      </c>
      <c r="E13" s="6" t="s">
        <v>18</v>
      </c>
      <c r="F13" s="25" t="s">
        <v>102</v>
      </c>
      <c r="G13" s="6" t="s">
        <v>116</v>
      </c>
      <c r="H13" s="21">
        <v>42297</v>
      </c>
      <c r="I13" s="47">
        <f t="shared" si="0"/>
        <v>42389</v>
      </c>
      <c r="J13" s="6"/>
    </row>
    <row r="14" spans="1:10" x14ac:dyDescent="0.25">
      <c r="A14" s="5">
        <v>8</v>
      </c>
      <c r="B14" s="1" t="s">
        <v>23</v>
      </c>
      <c r="C14" s="6" t="s">
        <v>24</v>
      </c>
      <c r="D14" s="1" t="s">
        <v>17</v>
      </c>
      <c r="E14" s="6" t="s">
        <v>24</v>
      </c>
      <c r="F14" s="25" t="s">
        <v>102</v>
      </c>
      <c r="G14" s="6" t="s">
        <v>116</v>
      </c>
      <c r="H14" s="21">
        <v>42297</v>
      </c>
      <c r="I14" s="47">
        <f t="shared" si="0"/>
        <v>42389</v>
      </c>
      <c r="J14" s="6"/>
    </row>
    <row r="15" spans="1:10" x14ac:dyDescent="0.25">
      <c r="A15" s="5">
        <v>9</v>
      </c>
      <c r="B15" s="1" t="s">
        <v>25</v>
      </c>
      <c r="C15" s="6" t="s">
        <v>24</v>
      </c>
      <c r="D15" s="1" t="s">
        <v>17</v>
      </c>
      <c r="E15" s="6" t="s">
        <v>24</v>
      </c>
      <c r="F15" s="25" t="s">
        <v>102</v>
      </c>
      <c r="G15" s="6" t="s">
        <v>116</v>
      </c>
      <c r="H15" s="21">
        <v>42297</v>
      </c>
      <c r="I15" s="47">
        <f t="shared" si="0"/>
        <v>42389</v>
      </c>
      <c r="J15" s="6"/>
    </row>
    <row r="16" spans="1:10" x14ac:dyDescent="0.25">
      <c r="A16" s="5">
        <v>10</v>
      </c>
      <c r="B16" s="1" t="s">
        <v>26</v>
      </c>
      <c r="C16" s="6" t="s">
        <v>27</v>
      </c>
      <c r="D16" s="1" t="s">
        <v>17</v>
      </c>
      <c r="E16" s="6" t="s">
        <v>18</v>
      </c>
      <c r="F16" s="25" t="s">
        <v>102</v>
      </c>
      <c r="G16" s="6" t="s">
        <v>116</v>
      </c>
      <c r="H16" s="21">
        <v>42297</v>
      </c>
      <c r="I16" s="47">
        <f t="shared" si="0"/>
        <v>42389</v>
      </c>
      <c r="J16" s="6"/>
    </row>
    <row r="17" spans="1:10" x14ac:dyDescent="0.25">
      <c r="A17" s="5">
        <v>11</v>
      </c>
      <c r="B17" s="1" t="s">
        <v>28</v>
      </c>
      <c r="C17" s="6" t="s">
        <v>27</v>
      </c>
      <c r="D17" s="1" t="s">
        <v>17</v>
      </c>
      <c r="E17" s="6" t="s">
        <v>18</v>
      </c>
      <c r="F17" s="25" t="s">
        <v>102</v>
      </c>
      <c r="G17" s="6" t="s">
        <v>116</v>
      </c>
      <c r="H17" s="21">
        <v>42297</v>
      </c>
      <c r="I17" s="47">
        <f t="shared" si="0"/>
        <v>42389</v>
      </c>
      <c r="J17" s="6"/>
    </row>
    <row r="18" spans="1:10" x14ac:dyDescent="0.25">
      <c r="A18" s="5">
        <v>12</v>
      </c>
      <c r="B18" s="1" t="s">
        <v>29</v>
      </c>
      <c r="C18" s="6" t="s">
        <v>30</v>
      </c>
      <c r="D18" s="23" t="s">
        <v>17</v>
      </c>
      <c r="E18" s="6" t="s">
        <v>18</v>
      </c>
      <c r="F18" s="25" t="s">
        <v>102</v>
      </c>
      <c r="G18" s="6" t="s">
        <v>116</v>
      </c>
      <c r="H18" s="21">
        <v>42297</v>
      </c>
      <c r="I18" s="47">
        <f t="shared" si="0"/>
        <v>42389</v>
      </c>
      <c r="J18" s="6"/>
    </row>
    <row r="19" spans="1:10" x14ac:dyDescent="0.25">
      <c r="A19" s="5">
        <v>13</v>
      </c>
      <c r="B19" s="1" t="s">
        <v>31</v>
      </c>
      <c r="C19" s="7" t="s">
        <v>32</v>
      </c>
      <c r="D19" s="23" t="s">
        <v>17</v>
      </c>
      <c r="E19" s="6" t="s">
        <v>33</v>
      </c>
      <c r="F19" s="30" t="s">
        <v>103</v>
      </c>
      <c r="G19" s="6" t="s">
        <v>115</v>
      </c>
      <c r="H19" s="21">
        <v>42329</v>
      </c>
      <c r="I19" s="47">
        <f>DATE(YEAR(H19), MONTH(H19)+2, DAY(H19))</f>
        <v>42390</v>
      </c>
      <c r="J19" s="6"/>
    </row>
    <row r="20" spans="1:10" x14ac:dyDescent="0.25">
      <c r="A20" s="5">
        <v>14</v>
      </c>
      <c r="B20" s="1" t="s">
        <v>34</v>
      </c>
      <c r="C20" s="7" t="s">
        <v>35</v>
      </c>
      <c r="D20" s="23" t="s">
        <v>17</v>
      </c>
      <c r="E20" s="6" t="s">
        <v>33</v>
      </c>
      <c r="F20" s="30" t="s">
        <v>103</v>
      </c>
      <c r="G20" s="6" t="s">
        <v>115</v>
      </c>
      <c r="H20" s="21">
        <v>42329</v>
      </c>
      <c r="I20" s="47">
        <f t="shared" ref="I20:I30" si="1">DATE(YEAR(H20), MONTH(H20)+2, DAY(H20))</f>
        <v>42390</v>
      </c>
      <c r="J20" s="6"/>
    </row>
    <row r="21" spans="1:10" x14ac:dyDescent="0.25">
      <c r="A21" s="5">
        <v>15</v>
      </c>
      <c r="B21" s="1" t="s">
        <v>36</v>
      </c>
      <c r="C21" s="7" t="s">
        <v>37</v>
      </c>
      <c r="D21" s="23" t="s">
        <v>17</v>
      </c>
      <c r="E21" s="6" t="s">
        <v>33</v>
      </c>
      <c r="F21" s="30" t="s">
        <v>103</v>
      </c>
      <c r="G21" s="6" t="s">
        <v>115</v>
      </c>
      <c r="H21" s="21">
        <v>42329</v>
      </c>
      <c r="I21" s="47">
        <f t="shared" si="1"/>
        <v>42390</v>
      </c>
      <c r="J21" s="6"/>
    </row>
    <row r="22" spans="1:10" x14ac:dyDescent="0.25">
      <c r="A22" s="5">
        <v>16</v>
      </c>
      <c r="B22" s="1" t="s">
        <v>38</v>
      </c>
      <c r="C22" s="7" t="s">
        <v>39</v>
      </c>
      <c r="D22" s="23" t="s">
        <v>17</v>
      </c>
      <c r="E22" s="6" t="s">
        <v>33</v>
      </c>
      <c r="F22" s="30" t="s">
        <v>103</v>
      </c>
      <c r="G22" s="6" t="s">
        <v>115</v>
      </c>
      <c r="H22" s="21">
        <v>42329</v>
      </c>
      <c r="I22" s="47">
        <f t="shared" si="1"/>
        <v>42390</v>
      </c>
      <c r="J22" s="6"/>
    </row>
    <row r="23" spans="1:10" x14ac:dyDescent="0.25">
      <c r="A23" s="5">
        <v>17</v>
      </c>
      <c r="B23" s="1" t="s">
        <v>40</v>
      </c>
      <c r="C23" s="7" t="s">
        <v>41</v>
      </c>
      <c r="D23" s="23" t="s">
        <v>17</v>
      </c>
      <c r="E23" s="6" t="s">
        <v>33</v>
      </c>
      <c r="F23" s="30" t="s">
        <v>103</v>
      </c>
      <c r="G23" s="6" t="s">
        <v>115</v>
      </c>
      <c r="H23" s="21">
        <v>42329</v>
      </c>
      <c r="I23" s="47">
        <f t="shared" si="1"/>
        <v>42390</v>
      </c>
      <c r="J23" s="6"/>
    </row>
    <row r="24" spans="1:10" x14ac:dyDescent="0.25">
      <c r="A24" s="5">
        <v>18</v>
      </c>
      <c r="B24" s="1" t="s">
        <v>42</v>
      </c>
      <c r="C24" s="7" t="s">
        <v>43</v>
      </c>
      <c r="D24" s="23" t="s">
        <v>17</v>
      </c>
      <c r="E24" s="6" t="s">
        <v>33</v>
      </c>
      <c r="F24" s="30" t="s">
        <v>103</v>
      </c>
      <c r="G24" s="6" t="s">
        <v>115</v>
      </c>
      <c r="H24" s="21">
        <v>42329</v>
      </c>
      <c r="I24" s="47">
        <f t="shared" si="1"/>
        <v>42390</v>
      </c>
      <c r="J24" s="6"/>
    </row>
    <row r="25" spans="1:10" x14ac:dyDescent="0.25">
      <c r="A25" s="5">
        <v>19</v>
      </c>
      <c r="B25" s="1" t="s">
        <v>44</v>
      </c>
      <c r="C25" s="7" t="s">
        <v>45</v>
      </c>
      <c r="D25" s="23" t="s">
        <v>17</v>
      </c>
      <c r="E25" s="6" t="s">
        <v>33</v>
      </c>
      <c r="F25" s="30" t="s">
        <v>103</v>
      </c>
      <c r="G25" s="6" t="s">
        <v>115</v>
      </c>
      <c r="H25" s="21">
        <v>42329</v>
      </c>
      <c r="I25" s="47">
        <f t="shared" si="1"/>
        <v>42390</v>
      </c>
      <c r="J25" s="6"/>
    </row>
    <row r="26" spans="1:10" x14ac:dyDescent="0.25">
      <c r="A26" s="5">
        <v>20</v>
      </c>
      <c r="B26" s="1" t="s">
        <v>46</v>
      </c>
      <c r="C26" s="7" t="s">
        <v>47</v>
      </c>
      <c r="D26" s="23" t="s">
        <v>17</v>
      </c>
      <c r="E26" s="6" t="s">
        <v>33</v>
      </c>
      <c r="F26" s="30" t="s">
        <v>103</v>
      </c>
      <c r="G26" s="6" t="s">
        <v>115</v>
      </c>
      <c r="H26" s="21">
        <v>42329</v>
      </c>
      <c r="I26" s="47">
        <f t="shared" si="1"/>
        <v>42390</v>
      </c>
      <c r="J26" s="6"/>
    </row>
    <row r="27" spans="1:10" x14ac:dyDescent="0.25">
      <c r="A27" s="5">
        <v>21</v>
      </c>
      <c r="B27" s="1" t="s">
        <v>48</v>
      </c>
      <c r="C27" s="7" t="s">
        <v>49</v>
      </c>
      <c r="D27" s="23" t="s">
        <v>17</v>
      </c>
      <c r="E27" s="6" t="s">
        <v>33</v>
      </c>
      <c r="F27" s="30" t="s">
        <v>103</v>
      </c>
      <c r="G27" s="6" t="s">
        <v>115</v>
      </c>
      <c r="H27" s="21">
        <v>42329</v>
      </c>
      <c r="I27" s="47">
        <f t="shared" si="1"/>
        <v>42390</v>
      </c>
      <c r="J27" s="6"/>
    </row>
    <row r="28" spans="1:10" x14ac:dyDescent="0.25">
      <c r="A28" s="5">
        <v>22</v>
      </c>
      <c r="B28" s="1" t="s">
        <v>50</v>
      </c>
      <c r="C28" s="7" t="s">
        <v>51</v>
      </c>
      <c r="D28" s="23" t="s">
        <v>17</v>
      </c>
      <c r="E28" s="6" t="s">
        <v>33</v>
      </c>
      <c r="F28" s="30" t="s">
        <v>103</v>
      </c>
      <c r="G28" s="6" t="s">
        <v>115</v>
      </c>
      <c r="H28" s="21">
        <v>42329</v>
      </c>
      <c r="I28" s="47">
        <f t="shared" si="1"/>
        <v>42390</v>
      </c>
      <c r="J28" s="6"/>
    </row>
    <row r="29" spans="1:10" x14ac:dyDescent="0.25">
      <c r="A29" s="5">
        <v>23</v>
      </c>
      <c r="B29" s="1" t="s">
        <v>52</v>
      </c>
      <c r="C29" s="7" t="s">
        <v>53</v>
      </c>
      <c r="D29" s="23" t="s">
        <v>17</v>
      </c>
      <c r="E29" s="6" t="s">
        <v>33</v>
      </c>
      <c r="F29" s="30" t="s">
        <v>103</v>
      </c>
      <c r="G29" s="6" t="s">
        <v>115</v>
      </c>
      <c r="H29" s="21">
        <v>42329</v>
      </c>
      <c r="I29" s="47">
        <f t="shared" si="1"/>
        <v>42390</v>
      </c>
      <c r="J29" s="6"/>
    </row>
    <row r="30" spans="1:10" x14ac:dyDescent="0.25">
      <c r="A30" s="5">
        <v>24</v>
      </c>
      <c r="B30" s="1" t="s">
        <v>54</v>
      </c>
      <c r="C30" s="7" t="s">
        <v>55</v>
      </c>
      <c r="D30" s="23" t="s">
        <v>17</v>
      </c>
      <c r="E30" s="6" t="s">
        <v>33</v>
      </c>
      <c r="F30" s="30" t="s">
        <v>103</v>
      </c>
      <c r="G30" s="6" t="s">
        <v>115</v>
      </c>
      <c r="H30" s="21">
        <v>42329</v>
      </c>
      <c r="I30" s="47">
        <f t="shared" si="1"/>
        <v>42390</v>
      </c>
      <c r="J30" s="6"/>
    </row>
    <row r="31" spans="1:10" x14ac:dyDescent="0.25">
      <c r="A31" s="5">
        <v>25</v>
      </c>
      <c r="B31" s="1" t="s">
        <v>56</v>
      </c>
      <c r="C31" s="1" t="s">
        <v>57</v>
      </c>
      <c r="D31" s="23" t="s">
        <v>58</v>
      </c>
      <c r="E31" s="9" t="s">
        <v>59</v>
      </c>
      <c r="F31" s="31" t="s">
        <v>104</v>
      </c>
      <c r="G31" s="6" t="s">
        <v>116</v>
      </c>
      <c r="H31" s="21">
        <v>42291</v>
      </c>
      <c r="I31" s="47">
        <f>DATE(YEAR(H31), MONTH(H31)+3, DAY(H31))</f>
        <v>42383</v>
      </c>
      <c r="J31" s="6"/>
    </row>
    <row r="32" spans="1:10" x14ac:dyDescent="0.25">
      <c r="A32" s="5">
        <v>26</v>
      </c>
      <c r="B32" s="1" t="s">
        <v>60</v>
      </c>
      <c r="C32" s="6" t="s">
        <v>24</v>
      </c>
      <c r="D32" s="23" t="s">
        <v>61</v>
      </c>
      <c r="E32" s="9" t="s">
        <v>62</v>
      </c>
      <c r="F32" s="32" t="s">
        <v>112</v>
      </c>
      <c r="G32" s="6" t="s">
        <v>116</v>
      </c>
      <c r="H32" s="21">
        <v>42358</v>
      </c>
      <c r="I32" s="47">
        <f t="shared" ref="I32:I34" si="2">DATE(YEAR(H32), MONTH(H32)+3, DAY(H32))</f>
        <v>42449</v>
      </c>
      <c r="J32" s="10"/>
    </row>
    <row r="33" spans="1:10" x14ac:dyDescent="0.25">
      <c r="A33" s="5">
        <v>27</v>
      </c>
      <c r="B33" s="1" t="s">
        <v>63</v>
      </c>
      <c r="C33" s="6" t="s">
        <v>24</v>
      </c>
      <c r="D33" s="23" t="s">
        <v>61</v>
      </c>
      <c r="E33" s="9" t="s">
        <v>64</v>
      </c>
      <c r="F33" s="32" t="s">
        <v>113</v>
      </c>
      <c r="G33" s="6" t="s">
        <v>116</v>
      </c>
      <c r="H33" s="21">
        <v>42358</v>
      </c>
      <c r="I33" s="47">
        <f t="shared" si="2"/>
        <v>42449</v>
      </c>
      <c r="J33" s="10"/>
    </row>
    <row r="34" spans="1:10" x14ac:dyDescent="0.25">
      <c r="A34" s="5">
        <v>28</v>
      </c>
      <c r="B34" s="1" t="s">
        <v>65</v>
      </c>
      <c r="C34" s="6" t="s">
        <v>24</v>
      </c>
      <c r="D34" s="23" t="s">
        <v>61</v>
      </c>
      <c r="E34" s="9" t="s">
        <v>64</v>
      </c>
      <c r="F34" s="32" t="s">
        <v>113</v>
      </c>
      <c r="G34" s="6" t="s">
        <v>116</v>
      </c>
      <c r="H34" s="21">
        <v>42358</v>
      </c>
      <c r="I34" s="47">
        <f t="shared" si="2"/>
        <v>42449</v>
      </c>
      <c r="J34" s="10"/>
    </row>
    <row r="35" spans="1:10" x14ac:dyDescent="0.25">
      <c r="A35" s="5">
        <v>29</v>
      </c>
      <c r="B35" s="1" t="s">
        <v>95</v>
      </c>
      <c r="C35" s="6" t="s">
        <v>24</v>
      </c>
      <c r="D35" s="23" t="s">
        <v>61</v>
      </c>
      <c r="E35" s="9" t="s">
        <v>64</v>
      </c>
      <c r="F35" s="32" t="s">
        <v>113</v>
      </c>
      <c r="G35" s="6" t="s">
        <v>135</v>
      </c>
      <c r="H35" s="21">
        <v>42358</v>
      </c>
      <c r="I35" s="47">
        <f>DATE(YEAR(H35), MONTH(H35)+1, DAY(H35))</f>
        <v>42389</v>
      </c>
      <c r="J35" s="10"/>
    </row>
    <row r="36" spans="1:10" x14ac:dyDescent="0.25">
      <c r="A36" s="5">
        <v>30</v>
      </c>
      <c r="B36" s="1" t="s">
        <v>96</v>
      </c>
      <c r="C36" s="6" t="s">
        <v>24</v>
      </c>
      <c r="D36" s="23" t="s">
        <v>61</v>
      </c>
      <c r="E36" s="9" t="s">
        <v>64</v>
      </c>
      <c r="F36" s="32" t="s">
        <v>113</v>
      </c>
      <c r="G36" s="6" t="s">
        <v>135</v>
      </c>
      <c r="H36" s="21">
        <v>42358</v>
      </c>
      <c r="I36" s="47">
        <f>DATE(YEAR(H36), MONTH(H36)+1, DAY(H36))</f>
        <v>42389</v>
      </c>
      <c r="J36" s="10"/>
    </row>
    <row r="37" spans="1:10" x14ac:dyDescent="0.25">
      <c r="A37" s="5">
        <v>31</v>
      </c>
      <c r="B37" s="1" t="s">
        <v>97</v>
      </c>
      <c r="C37" s="6" t="s">
        <v>24</v>
      </c>
      <c r="D37" s="23" t="s">
        <v>61</v>
      </c>
      <c r="E37" s="9" t="s">
        <v>64</v>
      </c>
      <c r="F37" s="32" t="s">
        <v>113</v>
      </c>
      <c r="G37" s="6" t="s">
        <v>135</v>
      </c>
      <c r="H37" s="21">
        <v>42358</v>
      </c>
      <c r="I37" s="47">
        <f>DATE(YEAR(H37), MONTH(H37)+1, DAY(H37))</f>
        <v>42389</v>
      </c>
      <c r="J37" s="10"/>
    </row>
    <row r="38" spans="1:10" x14ac:dyDescent="0.25">
      <c r="A38" s="5">
        <v>32</v>
      </c>
      <c r="B38" s="1" t="s">
        <v>66</v>
      </c>
      <c r="C38" s="6" t="s">
        <v>24</v>
      </c>
      <c r="D38" s="23" t="s">
        <v>61</v>
      </c>
      <c r="E38" s="9" t="s">
        <v>64</v>
      </c>
      <c r="F38" s="32" t="s">
        <v>113</v>
      </c>
      <c r="G38" s="6" t="s">
        <v>135</v>
      </c>
      <c r="H38" s="21">
        <v>42358</v>
      </c>
      <c r="I38" s="47">
        <f>DATE(YEAR(H38), MONTH(H38)+1, DAY(H38))</f>
        <v>42389</v>
      </c>
      <c r="J38" s="10"/>
    </row>
    <row r="39" spans="1:10" x14ac:dyDescent="0.25">
      <c r="A39" s="5">
        <v>33</v>
      </c>
      <c r="B39" s="1" t="s">
        <v>136</v>
      </c>
      <c r="C39" s="6" t="s">
        <v>126</v>
      </c>
      <c r="D39" s="23" t="s">
        <v>105</v>
      </c>
      <c r="E39" s="9" t="s">
        <v>109</v>
      </c>
      <c r="F39" s="32" t="s">
        <v>110</v>
      </c>
      <c r="G39" s="6" t="s">
        <v>116</v>
      </c>
      <c r="H39" s="21">
        <v>42272</v>
      </c>
      <c r="I39" s="47">
        <f>DATE(YEAR(H39), MONTH(H39)+3, DAY(H39))</f>
        <v>42363</v>
      </c>
      <c r="J39" s="10"/>
    </row>
    <row r="40" spans="1:10" x14ac:dyDescent="0.25">
      <c r="A40" s="5">
        <v>34</v>
      </c>
      <c r="B40" s="1" t="s">
        <v>137</v>
      </c>
      <c r="C40" s="6"/>
      <c r="D40" s="23" t="s">
        <v>140</v>
      </c>
      <c r="E40" s="9"/>
      <c r="F40" s="32"/>
      <c r="G40" s="6" t="s">
        <v>116</v>
      </c>
      <c r="H40" s="21">
        <v>42346</v>
      </c>
      <c r="I40" s="47">
        <f>DATE(YEAR(H40), MONTH(H40)+3, DAY(H40))</f>
        <v>42437</v>
      </c>
      <c r="J40" s="10"/>
    </row>
    <row r="41" spans="1:10" x14ac:dyDescent="0.25">
      <c r="A41" s="5">
        <v>35</v>
      </c>
      <c r="B41" s="1" t="s">
        <v>120</v>
      </c>
      <c r="C41" s="6" t="s">
        <v>127</v>
      </c>
      <c r="D41" s="23" t="s">
        <v>121</v>
      </c>
      <c r="E41" s="9" t="s">
        <v>109</v>
      </c>
      <c r="F41" s="26" t="s">
        <v>111</v>
      </c>
      <c r="G41" s="6" t="s">
        <v>122</v>
      </c>
      <c r="H41" s="21">
        <v>42095</v>
      </c>
      <c r="I41" s="47">
        <f>DATE(YEAR(H41), MONTH(H41)+12, DAY(H41))</f>
        <v>42461</v>
      </c>
      <c r="J41" s="10"/>
    </row>
    <row r="42" spans="1:10" x14ac:dyDescent="0.25">
      <c r="A42" s="5">
        <v>36</v>
      </c>
      <c r="B42" s="1" t="s">
        <v>138</v>
      </c>
      <c r="C42" s="6"/>
      <c r="D42" s="23" t="s">
        <v>139</v>
      </c>
      <c r="E42" s="9"/>
      <c r="F42" s="26"/>
      <c r="G42" s="6" t="s">
        <v>114</v>
      </c>
      <c r="H42" s="21">
        <v>42335</v>
      </c>
      <c r="I42" s="47">
        <f>DATE(YEAR(H42), MONTH(H42)+6, DAY(H42))</f>
        <v>42517</v>
      </c>
      <c r="J42" s="10"/>
    </row>
    <row r="43" spans="1:10" x14ac:dyDescent="0.25">
      <c r="A43" s="5">
        <v>37</v>
      </c>
      <c r="B43" s="1" t="s">
        <v>119</v>
      </c>
      <c r="C43" s="6" t="s">
        <v>24</v>
      </c>
      <c r="D43" s="23" t="s">
        <v>107</v>
      </c>
      <c r="E43" s="9" t="s">
        <v>109</v>
      </c>
      <c r="F43" s="26" t="s">
        <v>111</v>
      </c>
      <c r="G43" s="6" t="s">
        <v>116</v>
      </c>
      <c r="H43" s="21">
        <v>42348</v>
      </c>
      <c r="I43" s="47">
        <f>DATE(YEAR(H43), MONTH(H43)+3, DAY(H43))</f>
        <v>42439</v>
      </c>
      <c r="J43" s="10"/>
    </row>
    <row r="44" spans="1:10" x14ac:dyDescent="0.25">
      <c r="A44" s="5">
        <v>38</v>
      </c>
      <c r="B44" s="1" t="s">
        <v>106</v>
      </c>
      <c r="C44" s="6" t="s">
        <v>128</v>
      </c>
      <c r="D44" s="23" t="s">
        <v>108</v>
      </c>
      <c r="E44" s="9" t="s">
        <v>109</v>
      </c>
      <c r="F44" s="26" t="s">
        <v>111</v>
      </c>
      <c r="G44" s="6" t="s">
        <v>116</v>
      </c>
      <c r="H44" s="21">
        <v>42257</v>
      </c>
      <c r="I44" s="47">
        <f>DATE(YEAR(H44), MONTH(H44)+3, DAY(H44))</f>
        <v>42348</v>
      </c>
      <c r="J44" s="10"/>
    </row>
    <row r="45" spans="1:10" x14ac:dyDescent="0.25">
      <c r="B45" s="11" t="s">
        <v>67</v>
      </c>
    </row>
    <row r="46" spans="1:10" x14ac:dyDescent="0.25">
      <c r="B46" s="33" t="s">
        <v>125</v>
      </c>
    </row>
    <row r="56" spans="6:6" x14ac:dyDescent="0.25">
      <c r="F56" s="12"/>
    </row>
    <row r="92" spans="8:8" x14ac:dyDescent="0.25">
      <c r="H92" s="13">
        <v>41610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 schedule 2019 </vt:lpstr>
      <vt:lpstr>FR.CO.08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Kabbur</dc:creator>
  <cp:lastModifiedBy>Janardhan</cp:lastModifiedBy>
  <cp:lastPrinted>2012-12-03T19:52:55Z</cp:lastPrinted>
  <dcterms:created xsi:type="dcterms:W3CDTF">2009-12-19T12:53:54Z</dcterms:created>
  <dcterms:modified xsi:type="dcterms:W3CDTF">2019-01-07T06:05:20Z</dcterms:modified>
</cp:coreProperties>
</file>