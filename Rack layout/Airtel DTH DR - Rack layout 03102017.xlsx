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drawings/drawing3.xml" ContentType="application/vnd.openxmlformats-officedocument.drawing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4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5.xml" ContentType="application/vnd.openxmlformats-officedocument.drawing+xml"/>
  <Override PartName="/xl/ctrlProps/ctrlProp61.xml" ContentType="application/vnd.ms-excel.controlproperties+xml"/>
  <Override PartName="/xl/drawings/drawing6.xml" ContentType="application/vnd.openxmlformats-officedocument.drawing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"/>
    </mc:Choice>
  </mc:AlternateContent>
  <bookViews>
    <workbookView xWindow="0" yWindow="0" windowWidth="15360" windowHeight="7260"/>
  </bookViews>
  <sheets>
    <sheet name="Row-3 Layout" sheetId="68" r:id="rId1"/>
    <sheet name="Row-1 Layout" sheetId="69" r:id="rId2"/>
    <sheet name="Old Rack Elevation" sheetId="15" r:id="rId3"/>
    <sheet name="Sheet1" sheetId="70" r:id="rId4"/>
    <sheet name="Port Requirements" sheetId="67" state="veryHidden" r:id="rId5"/>
    <sheet name="Port Counts" sheetId="65" state="veryHidden" r:id="rId6"/>
    <sheet name="Port Usage" sheetId="66" state="veryHidden" r:id="rId7"/>
    <sheet name="Switch Port Usage" sheetId="33" state="veryHidden" r:id="rId8"/>
    <sheet name="IP" sheetId="60" state="veryHidden" r:id="rId9"/>
    <sheet name="Sources" sheetId="63" state="veryHidden" r:id="rId10"/>
    <sheet name="Linear &amp; VOD Profiles" sheetId="61" state="veryHidden" r:id="rId11"/>
  </sheets>
  <definedNames>
    <definedName name="_DEVICES_">#REF!</definedName>
    <definedName name="_DST_SW_">#REF!</definedName>
    <definedName name="_ESXI_IP_">#REF!</definedName>
    <definedName name="_FILEPATH_">#REF!</definedName>
    <definedName name="_xlnm._FilterDatabase" localSheetId="4" hidden="1">'Port Requirements'!$B$2:$B$84</definedName>
    <definedName name="_IDRAC_IP_">#REF!</definedName>
    <definedName name="_MGMT_IP_">#REF!</definedName>
    <definedName name="_POWER_SUPPLIES_">#REF!</definedName>
    <definedName name="_PROJECTNAME_">#REF!</definedName>
    <definedName name="_PS_BACKUP_">#REF!</definedName>
    <definedName name="_PS_PRIMARY_">#REF!</definedName>
    <definedName name="_QTY_">#REF!</definedName>
    <definedName name="_RACK00_">'Old Rack Elevation'!$C$3:$C$46</definedName>
    <definedName name="_RACK01_">'Old Rack Elevation'!$F$3:$F$46</definedName>
    <definedName name="_RACK02_">'Old Rack Elevation'!$J$3:$J$46</definedName>
    <definedName name="_RACK03_">'Old Rack Elevation'!#REF!</definedName>
    <definedName name="_RACK04_">'Old Rack Elevation'!$Z$3:$Z$46</definedName>
    <definedName name="_RACK05_">'Old Rack Elevation'!$AD$3:$AD$46</definedName>
    <definedName name="_RACK06_">'Old Rack Elevation'!#REF!</definedName>
    <definedName name="_RACK07_">'Old Rack Elevation'!#REF!</definedName>
    <definedName name="_RACK08_">'Old Rack Elevation'!#REF!</definedName>
    <definedName name="_RACK09_">'Old Rack Elevation'!#REF!</definedName>
    <definedName name="_RACK10_">'Old Rack Elevation'!#REF!</definedName>
    <definedName name="_RACK11">'Old Rack Elevation'!#REF!</definedName>
    <definedName name="_RACK11_">'Old Rack Elevation'!#REF!</definedName>
    <definedName name="_RACK12_">'Old Rack Elevation'!#REF!</definedName>
    <definedName name="_RACK13_">'Old Rack Elevation'!#REF!</definedName>
    <definedName name="_RACK14_">'Old Rack Elevation'!#REF!</definedName>
    <definedName name="_RACK15_">'Old Rack Elevation'!#REF!</definedName>
    <definedName name="_RACK16_">'Old Rack Elevation'!#REF!</definedName>
    <definedName name="_RACK17_">'Old Rack Elevation'!#REF!</definedName>
    <definedName name="_RU_">'Old Rack Elevation'!$C$3:$C$45</definedName>
    <definedName name="_VALIDCFGNAMES_">#REF!</definedName>
    <definedName name="_ValidDevices_" localSheetId="4">'Port Requirements'!$A$4:$A$81</definedName>
    <definedName name="_ValidDevices_">#REF!</definedName>
    <definedName name="_VIDIN_IP_">#REF!</definedName>
    <definedName name="_VIDOUT_IP_">#REF!</definedName>
    <definedName name="_VLANS_DEVICE">IP!$K$1:$K$308</definedName>
    <definedName name="_VLANS_FUNCTION">IP!$M$1:$M$308</definedName>
    <definedName name="_VLANS_IP">IP!$I$1:$I$308</definedName>
    <definedName name="_VLANS_PORT">IP!$L$1:$L$308</definedName>
    <definedName name="_VLANS_VLAN">IP!$J$1:$J$308</definedName>
    <definedName name="_VOLTAGE_">#REF!</definedName>
    <definedName name="_WATTS_">#REF!</definedName>
    <definedName name="_xlnm.Print_Area" localSheetId="2">'Old Rack Elevation'!$B$3:$AI$46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44" i="68" l="1"/>
  <c r="M44" i="68"/>
  <c r="O43" i="68"/>
  <c r="M43" i="68"/>
  <c r="B43" i="68"/>
  <c r="B42" i="68"/>
  <c r="C42" i="68"/>
  <c r="O42" i="68"/>
  <c r="M42" i="68"/>
  <c r="O41" i="68"/>
  <c r="M41" i="68"/>
  <c r="O40" i="68"/>
  <c r="M40" i="68"/>
  <c r="O39" i="68"/>
  <c r="M39" i="68"/>
  <c r="O38" i="68"/>
  <c r="M38" i="68"/>
  <c r="O37" i="68"/>
  <c r="M37" i="68"/>
  <c r="O36" i="68"/>
  <c r="M36" i="68"/>
  <c r="O35" i="68"/>
  <c r="M35" i="68"/>
  <c r="O34" i="68"/>
  <c r="M34" i="68"/>
  <c r="O33" i="68"/>
  <c r="M33" i="68"/>
  <c r="O32" i="68"/>
  <c r="M32" i="68"/>
  <c r="O31" i="68"/>
  <c r="M31" i="68"/>
  <c r="O30" i="68"/>
  <c r="M30" i="68"/>
  <c r="O29" i="68"/>
  <c r="M29" i="68"/>
  <c r="O28" i="68"/>
  <c r="M28" i="68"/>
  <c r="O27" i="68"/>
  <c r="M27" i="68"/>
  <c r="O26" i="68"/>
  <c r="M26" i="68"/>
  <c r="O25" i="68"/>
  <c r="M25" i="68"/>
  <c r="O24" i="68"/>
  <c r="M24" i="68"/>
  <c r="O23" i="68"/>
  <c r="M23" i="68"/>
  <c r="O22" i="68"/>
  <c r="M22" i="68"/>
  <c r="O21" i="68"/>
  <c r="M21" i="68"/>
  <c r="O20" i="68"/>
  <c r="M20" i="68"/>
  <c r="O19" i="68"/>
  <c r="M19" i="68"/>
  <c r="O18" i="68"/>
  <c r="M18" i="68"/>
  <c r="O17" i="68"/>
  <c r="M17" i="68"/>
  <c r="O16" i="68"/>
  <c r="M16" i="68"/>
  <c r="O15" i="68"/>
  <c r="M15" i="68"/>
  <c r="O14" i="68"/>
  <c r="M14" i="68"/>
  <c r="O13" i="68"/>
  <c r="M13" i="68"/>
  <c r="O12" i="68"/>
  <c r="M12" i="68"/>
  <c r="O11" i="68"/>
  <c r="M11" i="68"/>
  <c r="O10" i="68"/>
  <c r="M10" i="68"/>
  <c r="O9" i="68"/>
  <c r="M9" i="68"/>
  <c r="O8" i="68"/>
  <c r="M8" i="68"/>
  <c r="O7" i="68"/>
  <c r="M7" i="68"/>
  <c r="O6" i="68"/>
  <c r="M6" i="68"/>
  <c r="O5" i="68"/>
  <c r="M5" i="68"/>
  <c r="O4" i="68"/>
  <c r="M4" i="68"/>
  <c r="B41" i="68"/>
  <c r="B40" i="68"/>
  <c r="B39" i="68"/>
  <c r="B38" i="68"/>
  <c r="B37" i="68"/>
  <c r="B36" i="68"/>
  <c r="B35" i="68"/>
  <c r="B34" i="68"/>
  <c r="B33" i="68"/>
  <c r="B32" i="68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C3" i="68"/>
  <c r="O3" i="68"/>
  <c r="M3" i="68"/>
  <c r="P44" i="70"/>
  <c r="N44" i="70"/>
  <c r="P43" i="70"/>
  <c r="N43" i="70"/>
  <c r="P42" i="70"/>
  <c r="N42" i="70"/>
  <c r="P41" i="70"/>
  <c r="N41" i="70"/>
  <c r="P40" i="70"/>
  <c r="N40" i="70"/>
  <c r="P39" i="70"/>
  <c r="N39" i="70"/>
  <c r="P38" i="70"/>
  <c r="N38" i="70"/>
  <c r="P37" i="70"/>
  <c r="N37" i="70"/>
  <c r="P36" i="70"/>
  <c r="N36" i="70"/>
  <c r="P35" i="70"/>
  <c r="N35" i="70"/>
  <c r="P34" i="70"/>
  <c r="N34" i="70"/>
  <c r="P33" i="70"/>
  <c r="N33" i="70"/>
  <c r="P32" i="70"/>
  <c r="N32" i="70"/>
  <c r="P31" i="70"/>
  <c r="N31" i="70"/>
  <c r="P30" i="70"/>
  <c r="N30" i="70"/>
  <c r="P29" i="70"/>
  <c r="N29" i="70"/>
  <c r="P28" i="70"/>
  <c r="N28" i="70"/>
  <c r="P27" i="70"/>
  <c r="N27" i="70"/>
  <c r="P26" i="70"/>
  <c r="N26" i="70"/>
  <c r="P25" i="70"/>
  <c r="N25" i="70"/>
  <c r="P24" i="70"/>
  <c r="N24" i="70"/>
  <c r="P23" i="70"/>
  <c r="N23" i="70"/>
  <c r="P22" i="70"/>
  <c r="N22" i="70"/>
  <c r="P21" i="70"/>
  <c r="N21" i="70"/>
  <c r="P20" i="70"/>
  <c r="N20" i="70"/>
  <c r="P19" i="70"/>
  <c r="N19" i="70"/>
  <c r="P18" i="70"/>
  <c r="N18" i="70"/>
  <c r="P17" i="70"/>
  <c r="N17" i="70"/>
  <c r="P16" i="70"/>
  <c r="N16" i="70"/>
  <c r="P15" i="70"/>
  <c r="N15" i="70"/>
  <c r="P14" i="70"/>
  <c r="N14" i="70"/>
  <c r="P13" i="70"/>
  <c r="N13" i="70"/>
  <c r="P12" i="70"/>
  <c r="N12" i="70"/>
  <c r="P11" i="70"/>
  <c r="N11" i="70"/>
  <c r="P10" i="70"/>
  <c r="N10" i="70"/>
  <c r="P9" i="70"/>
  <c r="N9" i="70"/>
  <c r="P8" i="70"/>
  <c r="N8" i="70"/>
  <c r="P7" i="70"/>
  <c r="N7" i="70"/>
  <c r="P6" i="70"/>
  <c r="N6" i="70"/>
  <c r="P5" i="70"/>
  <c r="N5" i="70"/>
  <c r="P4" i="70"/>
  <c r="N4" i="70"/>
  <c r="P3" i="70"/>
  <c r="N3" i="70"/>
  <c r="L44" i="70"/>
  <c r="J44" i="70"/>
  <c r="L43" i="70"/>
  <c r="J43" i="70"/>
  <c r="L42" i="70"/>
  <c r="J42" i="70"/>
  <c r="L41" i="70"/>
  <c r="J41" i="70"/>
  <c r="L40" i="70"/>
  <c r="J40" i="70"/>
  <c r="L39" i="70"/>
  <c r="J39" i="70"/>
  <c r="L38" i="70"/>
  <c r="J38" i="70"/>
  <c r="L37" i="70"/>
  <c r="J37" i="70"/>
  <c r="L36" i="70"/>
  <c r="J36" i="70"/>
  <c r="L35" i="70"/>
  <c r="J35" i="70"/>
  <c r="L34" i="70"/>
  <c r="J34" i="70"/>
  <c r="L33" i="70"/>
  <c r="J33" i="70"/>
  <c r="L32" i="70"/>
  <c r="J32" i="70"/>
  <c r="L31" i="70"/>
  <c r="J31" i="70"/>
  <c r="L30" i="70"/>
  <c r="J30" i="70"/>
  <c r="L29" i="70"/>
  <c r="J29" i="70"/>
  <c r="L28" i="70"/>
  <c r="J28" i="70"/>
  <c r="L27" i="70"/>
  <c r="J27" i="70"/>
  <c r="L26" i="70"/>
  <c r="J26" i="70"/>
  <c r="L25" i="70"/>
  <c r="J25" i="70"/>
  <c r="L24" i="70"/>
  <c r="J24" i="70"/>
  <c r="L23" i="70"/>
  <c r="J23" i="70"/>
  <c r="L22" i="70"/>
  <c r="J22" i="70"/>
  <c r="L21" i="70"/>
  <c r="J21" i="70"/>
  <c r="L20" i="70"/>
  <c r="J20" i="70"/>
  <c r="L19" i="70"/>
  <c r="J19" i="70"/>
  <c r="L18" i="70"/>
  <c r="J18" i="70"/>
  <c r="L17" i="70"/>
  <c r="J17" i="70"/>
  <c r="L16" i="70"/>
  <c r="J16" i="70"/>
  <c r="L15" i="70"/>
  <c r="J15" i="70"/>
  <c r="L14" i="70"/>
  <c r="J14" i="70"/>
  <c r="L13" i="70"/>
  <c r="J13" i="70"/>
  <c r="L12" i="70"/>
  <c r="J12" i="70"/>
  <c r="L11" i="70"/>
  <c r="J11" i="70"/>
  <c r="L10" i="70"/>
  <c r="J10" i="70"/>
  <c r="L9" i="70"/>
  <c r="J9" i="70"/>
  <c r="L8" i="70"/>
  <c r="J8" i="70"/>
  <c r="L7" i="70"/>
  <c r="J7" i="70"/>
  <c r="L6" i="70"/>
  <c r="J6" i="70"/>
  <c r="L5" i="70"/>
  <c r="J5" i="70"/>
  <c r="L4" i="70"/>
  <c r="J4" i="70"/>
  <c r="L3" i="70"/>
  <c r="J3" i="70"/>
  <c r="H44" i="70"/>
  <c r="F44" i="70"/>
  <c r="H43" i="70"/>
  <c r="F43" i="70"/>
  <c r="H42" i="70"/>
  <c r="F42" i="70"/>
  <c r="H41" i="70"/>
  <c r="F41" i="70"/>
  <c r="H40" i="70"/>
  <c r="F40" i="70"/>
  <c r="H39" i="70"/>
  <c r="F39" i="70"/>
  <c r="H38" i="70"/>
  <c r="F38" i="70"/>
  <c r="H37" i="70"/>
  <c r="F37" i="70"/>
  <c r="H36" i="70"/>
  <c r="F36" i="70"/>
  <c r="H35" i="70"/>
  <c r="F35" i="70"/>
  <c r="H34" i="70"/>
  <c r="F34" i="70"/>
  <c r="H33" i="70"/>
  <c r="F33" i="70"/>
  <c r="H32" i="70"/>
  <c r="F32" i="70"/>
  <c r="H31" i="70"/>
  <c r="F31" i="70"/>
  <c r="H30" i="70"/>
  <c r="F30" i="70"/>
  <c r="H29" i="70"/>
  <c r="F29" i="70"/>
  <c r="H28" i="70"/>
  <c r="F28" i="70"/>
  <c r="H27" i="70"/>
  <c r="F27" i="70"/>
  <c r="H26" i="70"/>
  <c r="F26" i="70"/>
  <c r="H25" i="70"/>
  <c r="F25" i="70"/>
  <c r="H24" i="70"/>
  <c r="F24" i="70"/>
  <c r="H23" i="70"/>
  <c r="F23" i="70"/>
  <c r="H22" i="70"/>
  <c r="F22" i="70"/>
  <c r="H21" i="70"/>
  <c r="F21" i="70"/>
  <c r="H20" i="70"/>
  <c r="F20" i="70"/>
  <c r="H19" i="70"/>
  <c r="F19" i="70"/>
  <c r="H18" i="70"/>
  <c r="F18" i="70"/>
  <c r="H17" i="70"/>
  <c r="F17" i="70"/>
  <c r="H16" i="70"/>
  <c r="F16" i="70"/>
  <c r="H15" i="70"/>
  <c r="F15" i="70"/>
  <c r="H14" i="70"/>
  <c r="F14" i="70"/>
  <c r="H13" i="70"/>
  <c r="F13" i="70"/>
  <c r="H12" i="70"/>
  <c r="F12" i="70"/>
  <c r="H11" i="70"/>
  <c r="F11" i="70"/>
  <c r="H10" i="70"/>
  <c r="F10" i="70"/>
  <c r="H9" i="70"/>
  <c r="F9" i="70"/>
  <c r="H8" i="70"/>
  <c r="F8" i="70"/>
  <c r="H7" i="70"/>
  <c r="F7" i="70"/>
  <c r="H6" i="70"/>
  <c r="F6" i="70"/>
  <c r="H5" i="70"/>
  <c r="F5" i="70"/>
  <c r="H4" i="70"/>
  <c r="F4" i="70"/>
  <c r="H3" i="70"/>
  <c r="F3" i="70"/>
  <c r="C44" i="69"/>
  <c r="AA44" i="69"/>
  <c r="Y44" i="69"/>
  <c r="B43" i="69"/>
  <c r="C43" i="69"/>
  <c r="AA43" i="69"/>
  <c r="Y43" i="69"/>
  <c r="AA42" i="69"/>
  <c r="Y42" i="69"/>
  <c r="B42" i="69"/>
  <c r="B41" i="69"/>
  <c r="C41" i="69"/>
  <c r="AA41" i="69"/>
  <c r="Y41" i="69"/>
  <c r="B40" i="69"/>
  <c r="C40" i="69"/>
  <c r="AA40" i="69"/>
  <c r="Y40" i="69"/>
  <c r="B39" i="69"/>
  <c r="C39" i="69"/>
  <c r="AA39" i="69"/>
  <c r="Y39" i="69"/>
  <c r="B38" i="69"/>
  <c r="C38" i="69"/>
  <c r="AA38" i="69"/>
  <c r="Y38" i="69"/>
  <c r="B37" i="69"/>
  <c r="C37" i="69"/>
  <c r="AA37" i="69"/>
  <c r="Y37" i="69"/>
  <c r="B36" i="69"/>
  <c r="C36" i="69"/>
  <c r="AA36" i="69"/>
  <c r="Y36" i="69"/>
  <c r="B35" i="69"/>
  <c r="C35" i="69"/>
  <c r="AA35" i="69"/>
  <c r="Y35" i="69"/>
  <c r="B34" i="69"/>
  <c r="C34" i="69"/>
  <c r="AA34" i="69"/>
  <c r="Y34" i="69"/>
  <c r="B33" i="69"/>
  <c r="C33" i="69"/>
  <c r="AA33" i="69"/>
  <c r="Y33" i="69"/>
  <c r="B32" i="69"/>
  <c r="C32" i="69"/>
  <c r="AA32" i="69"/>
  <c r="Y32" i="69"/>
  <c r="B31" i="69"/>
  <c r="C31" i="69"/>
  <c r="AA31" i="69"/>
  <c r="Y31" i="69"/>
  <c r="AA30" i="69"/>
  <c r="Y30" i="69"/>
  <c r="B30" i="69"/>
  <c r="B29" i="69"/>
  <c r="C29" i="69"/>
  <c r="AA29" i="69"/>
  <c r="Y29" i="69"/>
  <c r="B28" i="69"/>
  <c r="C28" i="69"/>
  <c r="AA28" i="69"/>
  <c r="Y28" i="69"/>
  <c r="B27" i="69"/>
  <c r="C27" i="69"/>
  <c r="AA27" i="69"/>
  <c r="Y27" i="69"/>
  <c r="B26" i="69"/>
  <c r="C26" i="69"/>
  <c r="AA26" i="69"/>
  <c r="Y26" i="69"/>
  <c r="B25" i="69"/>
  <c r="C25" i="69"/>
  <c r="AA25" i="69"/>
  <c r="Y25" i="69"/>
  <c r="B24" i="69"/>
  <c r="C24" i="69"/>
  <c r="AA24" i="69"/>
  <c r="Y24" i="69"/>
  <c r="B23" i="69"/>
  <c r="C23" i="69"/>
  <c r="AA23" i="69"/>
  <c r="Y23" i="69"/>
  <c r="B22" i="69"/>
  <c r="C22" i="69"/>
  <c r="AA22" i="69"/>
  <c r="Y22" i="69"/>
  <c r="B21" i="69"/>
  <c r="C21" i="69"/>
  <c r="AA21" i="69"/>
  <c r="Y21" i="69"/>
  <c r="B20" i="69"/>
  <c r="C20" i="69"/>
  <c r="AA20" i="69"/>
  <c r="Y20" i="69"/>
  <c r="B19" i="69"/>
  <c r="C19" i="69"/>
  <c r="AA19" i="69"/>
  <c r="Y19" i="69"/>
  <c r="B18" i="69"/>
  <c r="C18" i="69"/>
  <c r="AA18" i="69"/>
  <c r="Y18" i="69"/>
  <c r="B17" i="69"/>
  <c r="C17" i="69"/>
  <c r="AA17" i="69"/>
  <c r="Y17" i="69"/>
  <c r="AA16" i="69"/>
  <c r="Y16" i="69"/>
  <c r="B16" i="69"/>
  <c r="B15" i="69"/>
  <c r="C15" i="69"/>
  <c r="AA15" i="69"/>
  <c r="Y15" i="69"/>
  <c r="B14" i="69"/>
  <c r="C14" i="69"/>
  <c r="AA14" i="69"/>
  <c r="Y14" i="69"/>
  <c r="B13" i="69"/>
  <c r="C13" i="69"/>
  <c r="AA13" i="69"/>
  <c r="Y13" i="69"/>
  <c r="B12" i="69"/>
  <c r="C12" i="69"/>
  <c r="AA12" i="69"/>
  <c r="Y12" i="69"/>
  <c r="B11" i="69"/>
  <c r="C11" i="69"/>
  <c r="AA11" i="69"/>
  <c r="Y11" i="69"/>
  <c r="B10" i="69"/>
  <c r="C10" i="69"/>
  <c r="AA10" i="69"/>
  <c r="Y10" i="69"/>
  <c r="B9" i="69"/>
  <c r="C9" i="69"/>
  <c r="AA9" i="69"/>
  <c r="Y9" i="69"/>
  <c r="B8" i="69"/>
  <c r="C8" i="69"/>
  <c r="AA8" i="69"/>
  <c r="Y8" i="69"/>
  <c r="B7" i="69"/>
  <c r="C7" i="69"/>
  <c r="AA7" i="69"/>
  <c r="Y7" i="69"/>
  <c r="B6" i="69"/>
  <c r="C6" i="69"/>
  <c r="AA6" i="69"/>
  <c r="Y6" i="69"/>
  <c r="B5" i="69"/>
  <c r="C5" i="69"/>
  <c r="AA5" i="69"/>
  <c r="Y5" i="69"/>
  <c r="B4" i="69"/>
  <c r="C4" i="69"/>
  <c r="AA4" i="69"/>
  <c r="Y4" i="69"/>
  <c r="B3" i="69"/>
  <c r="C3" i="69"/>
  <c r="AA3" i="69"/>
  <c r="Y3" i="69"/>
  <c r="AC3" i="69"/>
  <c r="AE3" i="69"/>
  <c r="AG3" i="69"/>
  <c r="AI3" i="69"/>
  <c r="AC4" i="69"/>
  <c r="AE4" i="69"/>
  <c r="AG4" i="69"/>
  <c r="AI4" i="69"/>
  <c r="AC5" i="69"/>
  <c r="AE5" i="69"/>
  <c r="AG5" i="69"/>
  <c r="AI5" i="69"/>
  <c r="AC6" i="69"/>
  <c r="AE6" i="69"/>
  <c r="AG6" i="69"/>
  <c r="AI6" i="69"/>
  <c r="AC7" i="69"/>
  <c r="AE7" i="69"/>
  <c r="AG7" i="69"/>
  <c r="AI7" i="69"/>
  <c r="AC8" i="69"/>
  <c r="AE8" i="69"/>
  <c r="AG8" i="69"/>
  <c r="AI8" i="69"/>
  <c r="AC9" i="69"/>
  <c r="AE9" i="69"/>
  <c r="AG9" i="69"/>
  <c r="AI9" i="69"/>
  <c r="AC10" i="69"/>
  <c r="AE10" i="69"/>
  <c r="AG10" i="69"/>
  <c r="AI10" i="69"/>
  <c r="AC11" i="69"/>
  <c r="AE11" i="69"/>
  <c r="AG11" i="69"/>
  <c r="AI11" i="69"/>
  <c r="AC12" i="69"/>
  <c r="AE12" i="69"/>
  <c r="AG12" i="69"/>
  <c r="AI12" i="69"/>
  <c r="AC13" i="69"/>
  <c r="AE13" i="69"/>
  <c r="AG13" i="69"/>
  <c r="AI13" i="69"/>
  <c r="AC14" i="69"/>
  <c r="AE14" i="69"/>
  <c r="AG14" i="69"/>
  <c r="AI14" i="69"/>
  <c r="AC15" i="69"/>
  <c r="AE15" i="69"/>
  <c r="AG15" i="69"/>
  <c r="AI15" i="69"/>
  <c r="C16" i="69"/>
  <c r="AC16" i="69"/>
  <c r="AE16" i="69"/>
  <c r="AG16" i="69"/>
  <c r="AI16" i="69"/>
  <c r="AC17" i="69"/>
  <c r="AE17" i="69"/>
  <c r="AG17" i="69"/>
  <c r="AI17" i="69"/>
  <c r="AC18" i="69"/>
  <c r="AE18" i="69"/>
  <c r="AG18" i="69"/>
  <c r="AI18" i="69"/>
  <c r="AC19" i="69"/>
  <c r="AE19" i="69"/>
  <c r="AG19" i="69"/>
  <c r="AI19" i="69"/>
  <c r="AC20" i="69"/>
  <c r="AE20" i="69"/>
  <c r="AG20" i="69"/>
  <c r="AI20" i="69"/>
  <c r="AC21" i="69"/>
  <c r="AE21" i="69"/>
  <c r="AG21" i="69"/>
  <c r="AI21" i="69"/>
  <c r="AC22" i="69"/>
  <c r="AE22" i="69"/>
  <c r="AG22" i="69"/>
  <c r="AI22" i="69"/>
  <c r="AC23" i="69"/>
  <c r="AE23" i="69"/>
  <c r="AG23" i="69"/>
  <c r="AI23" i="69"/>
  <c r="AC24" i="69"/>
  <c r="AE24" i="69"/>
  <c r="AG24" i="69"/>
  <c r="AI24" i="69"/>
  <c r="AC25" i="69"/>
  <c r="AE25" i="69"/>
  <c r="AG25" i="69"/>
  <c r="AI25" i="69"/>
  <c r="AC26" i="69"/>
  <c r="AE26" i="69"/>
  <c r="AG26" i="69"/>
  <c r="AI26" i="69"/>
  <c r="AC27" i="69"/>
  <c r="AE27" i="69"/>
  <c r="AG27" i="69"/>
  <c r="AI27" i="69"/>
  <c r="AC28" i="69"/>
  <c r="AE28" i="69"/>
  <c r="AG28" i="69"/>
  <c r="AI28" i="69"/>
  <c r="AC29" i="69"/>
  <c r="AE29" i="69"/>
  <c r="AG29" i="69"/>
  <c r="AI29" i="69"/>
  <c r="C30" i="69"/>
  <c r="AC30" i="69"/>
  <c r="AE30" i="69"/>
  <c r="AG30" i="69"/>
  <c r="AI30" i="69"/>
  <c r="AC31" i="69"/>
  <c r="AE31" i="69"/>
  <c r="AG31" i="69"/>
  <c r="AI31" i="69"/>
  <c r="AC32" i="69"/>
  <c r="AE32" i="69"/>
  <c r="AG32" i="69"/>
  <c r="AI32" i="69"/>
  <c r="AC33" i="69"/>
  <c r="AE33" i="69"/>
  <c r="AG33" i="69"/>
  <c r="AI33" i="69"/>
  <c r="AC34" i="69"/>
  <c r="AE34" i="69"/>
  <c r="AG34" i="69"/>
  <c r="AI34" i="69"/>
  <c r="AC35" i="69"/>
  <c r="AE35" i="69"/>
  <c r="AG35" i="69"/>
  <c r="AI35" i="69"/>
  <c r="AC36" i="69"/>
  <c r="AE36" i="69"/>
  <c r="AG36" i="69"/>
  <c r="AI36" i="69"/>
  <c r="AC37" i="69"/>
  <c r="AE37" i="69"/>
  <c r="AG37" i="69"/>
  <c r="AI37" i="69"/>
  <c r="AC38" i="69"/>
  <c r="AE38" i="69"/>
  <c r="AG38" i="69"/>
  <c r="AI38" i="69"/>
  <c r="AC39" i="69"/>
  <c r="AE39" i="69"/>
  <c r="AG39" i="69"/>
  <c r="AI39" i="69"/>
  <c r="AC40" i="69"/>
  <c r="AE40" i="69"/>
  <c r="AG40" i="69"/>
  <c r="AI40" i="69"/>
  <c r="AC41" i="69"/>
  <c r="AE41" i="69"/>
  <c r="AG41" i="69"/>
  <c r="AI41" i="69"/>
  <c r="AC42" i="69"/>
  <c r="AE42" i="69"/>
  <c r="AG42" i="69"/>
  <c r="AI42" i="69"/>
  <c r="AC43" i="69"/>
  <c r="AE43" i="69"/>
  <c r="AG43" i="69"/>
  <c r="AI43" i="69"/>
  <c r="AC44" i="69"/>
  <c r="AE44" i="69"/>
  <c r="AG44" i="69"/>
  <c r="AI44" i="69"/>
  <c r="S44" i="68"/>
  <c r="Q44" i="68"/>
  <c r="S43" i="68"/>
  <c r="Q43" i="68"/>
  <c r="S42" i="68"/>
  <c r="Q42" i="68"/>
  <c r="S41" i="68"/>
  <c r="Q41" i="68"/>
  <c r="S40" i="68"/>
  <c r="Q40" i="68"/>
  <c r="S39" i="68"/>
  <c r="Q39" i="68"/>
  <c r="S38" i="68"/>
  <c r="Q38" i="68"/>
  <c r="S37" i="68"/>
  <c r="Q37" i="68"/>
  <c r="S36" i="68"/>
  <c r="Q36" i="68"/>
  <c r="S35" i="68"/>
  <c r="Q35" i="68"/>
  <c r="S34" i="68"/>
  <c r="Q34" i="68"/>
  <c r="S33" i="68"/>
  <c r="Q33" i="68"/>
  <c r="S32" i="68"/>
  <c r="Q32" i="68"/>
  <c r="S31" i="68"/>
  <c r="Q31" i="68"/>
  <c r="S30" i="68"/>
  <c r="Q30" i="68"/>
  <c r="S29" i="68"/>
  <c r="Q29" i="68"/>
  <c r="S28" i="68"/>
  <c r="Q28" i="68"/>
  <c r="S27" i="68"/>
  <c r="Q27" i="68"/>
  <c r="S26" i="68"/>
  <c r="Q26" i="68"/>
  <c r="S25" i="68"/>
  <c r="Q25" i="68"/>
  <c r="S24" i="68"/>
  <c r="Q24" i="68"/>
  <c r="S23" i="68"/>
  <c r="Q23" i="68"/>
  <c r="S22" i="68"/>
  <c r="Q22" i="68"/>
  <c r="S21" i="68"/>
  <c r="Q21" i="68"/>
  <c r="S20" i="68"/>
  <c r="Q20" i="68"/>
  <c r="S19" i="68"/>
  <c r="Q19" i="68"/>
  <c r="S18" i="68"/>
  <c r="Q18" i="68"/>
  <c r="S17" i="68"/>
  <c r="Q17" i="68"/>
  <c r="S16" i="68"/>
  <c r="Q16" i="68"/>
  <c r="C15" i="68"/>
  <c r="S15" i="68"/>
  <c r="Q15" i="68"/>
  <c r="S14" i="68"/>
  <c r="Q14" i="68"/>
  <c r="C13" i="68"/>
  <c r="S13" i="68"/>
  <c r="Q13" i="68"/>
  <c r="C12" i="68"/>
  <c r="S12" i="68"/>
  <c r="Q12" i="68"/>
  <c r="S11" i="68"/>
  <c r="Q11" i="68"/>
  <c r="C10" i="68"/>
  <c r="S10" i="68"/>
  <c r="Q10" i="68"/>
  <c r="C9" i="68"/>
  <c r="S9" i="68"/>
  <c r="Q9" i="68"/>
  <c r="S8" i="68"/>
  <c r="Q8" i="68"/>
  <c r="C7" i="68"/>
  <c r="S7" i="68"/>
  <c r="Q7" i="68"/>
  <c r="C6" i="68"/>
  <c r="S6" i="68"/>
  <c r="Q6" i="68"/>
  <c r="S5" i="68"/>
  <c r="Q5" i="68"/>
  <c r="C4" i="68"/>
  <c r="S4" i="68"/>
  <c r="Q4" i="68"/>
  <c r="S3" i="68"/>
  <c r="Q3" i="68"/>
  <c r="AQ44" i="68"/>
  <c r="AO44" i="68"/>
  <c r="AQ43" i="68"/>
  <c r="AO43" i="68"/>
  <c r="AQ41" i="68"/>
  <c r="AO41" i="68"/>
  <c r="AQ40" i="68"/>
  <c r="AO40" i="68"/>
  <c r="AQ39" i="68"/>
  <c r="AO39" i="68"/>
  <c r="AQ38" i="68"/>
  <c r="AO38" i="68"/>
  <c r="AQ37" i="68"/>
  <c r="AO37" i="68"/>
  <c r="AQ36" i="68"/>
  <c r="AO36" i="68"/>
  <c r="AQ35" i="68"/>
  <c r="AO35" i="68"/>
  <c r="AQ34" i="68"/>
  <c r="AO34" i="68"/>
  <c r="AQ33" i="68"/>
  <c r="AO33" i="68"/>
  <c r="AQ32" i="68"/>
  <c r="AO32" i="68"/>
  <c r="AQ31" i="68"/>
  <c r="AO31" i="68"/>
  <c r="AQ30" i="68"/>
  <c r="AO30" i="68"/>
  <c r="AQ29" i="68"/>
  <c r="AO29" i="68"/>
  <c r="AQ28" i="68"/>
  <c r="AO28" i="68"/>
  <c r="AQ27" i="68"/>
  <c r="AO27" i="68"/>
  <c r="AQ26" i="68"/>
  <c r="AO26" i="68"/>
  <c r="AQ25" i="68"/>
  <c r="AO25" i="68"/>
  <c r="AQ24" i="68"/>
  <c r="AO24" i="68"/>
  <c r="AQ23" i="68"/>
  <c r="AO23" i="68"/>
  <c r="AQ22" i="68"/>
  <c r="AO22" i="68"/>
  <c r="AQ21" i="68"/>
  <c r="AO21" i="68"/>
  <c r="AQ20" i="68"/>
  <c r="AO20" i="68"/>
  <c r="AQ19" i="68"/>
  <c r="AO19" i="68"/>
  <c r="AQ18" i="68"/>
  <c r="AO18" i="68"/>
  <c r="AQ17" i="68"/>
  <c r="AO17" i="68"/>
  <c r="AQ16" i="68"/>
  <c r="AO16" i="68"/>
  <c r="AQ15" i="68"/>
  <c r="AO15" i="68"/>
  <c r="AQ14" i="68"/>
  <c r="AO14" i="68"/>
  <c r="AQ13" i="68"/>
  <c r="AO13" i="68"/>
  <c r="AQ12" i="68"/>
  <c r="AO12" i="68"/>
  <c r="AQ11" i="68"/>
  <c r="AO11" i="68"/>
  <c r="AQ10" i="68"/>
  <c r="AO10" i="68"/>
  <c r="AQ9" i="68"/>
  <c r="AO9" i="68"/>
  <c r="AQ8" i="68"/>
  <c r="AO8" i="68"/>
  <c r="AQ7" i="68"/>
  <c r="AO7" i="68"/>
  <c r="AQ6" i="68"/>
  <c r="AO6" i="68"/>
  <c r="AQ5" i="68"/>
  <c r="AO5" i="68"/>
  <c r="AQ4" i="68"/>
  <c r="AO4" i="68"/>
  <c r="AM41" i="69"/>
  <c r="AK41" i="69"/>
  <c r="AM38" i="69"/>
  <c r="AK38" i="69"/>
  <c r="AM8" i="69"/>
  <c r="AK8" i="69"/>
  <c r="AM5" i="69"/>
  <c r="AK5" i="69"/>
  <c r="W44" i="69"/>
  <c r="U44" i="69"/>
  <c r="W43" i="69"/>
  <c r="U43" i="69"/>
  <c r="W41" i="69"/>
  <c r="U41" i="69"/>
  <c r="W40" i="69"/>
  <c r="U40" i="69"/>
  <c r="W39" i="69"/>
  <c r="U39" i="69"/>
  <c r="W38" i="69"/>
  <c r="U38" i="69"/>
  <c r="W37" i="69"/>
  <c r="U37" i="69"/>
  <c r="W36" i="69"/>
  <c r="U36" i="69"/>
  <c r="W35" i="69"/>
  <c r="U35" i="69"/>
  <c r="W34" i="69"/>
  <c r="U34" i="69"/>
  <c r="W33" i="69"/>
  <c r="U33" i="69"/>
  <c r="W32" i="69"/>
  <c r="U32" i="69"/>
  <c r="W31" i="69"/>
  <c r="U31" i="69"/>
  <c r="W30" i="69"/>
  <c r="U30" i="69"/>
  <c r="W29" i="69"/>
  <c r="U29" i="69"/>
  <c r="W28" i="69"/>
  <c r="U28" i="69"/>
  <c r="W27" i="69"/>
  <c r="U27" i="69"/>
  <c r="W26" i="69"/>
  <c r="U26" i="69"/>
  <c r="W25" i="69"/>
  <c r="U25" i="69"/>
  <c r="W24" i="69"/>
  <c r="U24" i="69"/>
  <c r="W23" i="69"/>
  <c r="U23" i="69"/>
  <c r="W22" i="69"/>
  <c r="U22" i="69"/>
  <c r="W21" i="69"/>
  <c r="U21" i="69"/>
  <c r="W20" i="69"/>
  <c r="U20" i="69"/>
  <c r="W19" i="69"/>
  <c r="U19" i="69"/>
  <c r="W18" i="69"/>
  <c r="U18" i="69"/>
  <c r="W17" i="69"/>
  <c r="U17" i="69"/>
  <c r="W16" i="69"/>
  <c r="U16" i="69"/>
  <c r="W15" i="69"/>
  <c r="U15" i="69"/>
  <c r="W14" i="69"/>
  <c r="U14" i="69"/>
  <c r="W13" i="69"/>
  <c r="U13" i="69"/>
  <c r="W12" i="69"/>
  <c r="U12" i="69"/>
  <c r="W11" i="69"/>
  <c r="U11" i="69"/>
  <c r="W10" i="69"/>
  <c r="U10" i="69"/>
  <c r="W9" i="69"/>
  <c r="U9" i="69"/>
  <c r="W8" i="69"/>
  <c r="U8" i="69"/>
  <c r="W7" i="69"/>
  <c r="U7" i="69"/>
  <c r="W6" i="69"/>
  <c r="U6" i="69"/>
  <c r="W5" i="69"/>
  <c r="U5" i="69"/>
  <c r="W4" i="69"/>
  <c r="U4" i="69"/>
  <c r="S44" i="69"/>
  <c r="Q44" i="69"/>
  <c r="S43" i="69"/>
  <c r="Q43" i="69"/>
  <c r="S41" i="69"/>
  <c r="Q41" i="69"/>
  <c r="S40" i="69"/>
  <c r="Q40" i="69"/>
  <c r="S39" i="69"/>
  <c r="Q39" i="69"/>
  <c r="S38" i="69"/>
  <c r="Q38" i="69"/>
  <c r="S37" i="69"/>
  <c r="Q37" i="69"/>
  <c r="S36" i="69"/>
  <c r="Q36" i="69"/>
  <c r="S35" i="69"/>
  <c r="Q35" i="69"/>
  <c r="S34" i="69"/>
  <c r="Q34" i="69"/>
  <c r="S33" i="69"/>
  <c r="Q33" i="69"/>
  <c r="S32" i="69"/>
  <c r="Q32" i="69"/>
  <c r="S31" i="69"/>
  <c r="Q31" i="69"/>
  <c r="S30" i="69"/>
  <c r="Q30" i="69"/>
  <c r="S29" i="69"/>
  <c r="Q29" i="69"/>
  <c r="S28" i="69"/>
  <c r="Q28" i="69"/>
  <c r="S27" i="69"/>
  <c r="Q27" i="69"/>
  <c r="S26" i="69"/>
  <c r="Q26" i="69"/>
  <c r="S25" i="69"/>
  <c r="Q25" i="69"/>
  <c r="S24" i="69"/>
  <c r="Q24" i="69"/>
  <c r="S23" i="69"/>
  <c r="Q23" i="69"/>
  <c r="S22" i="69"/>
  <c r="Q22" i="69"/>
  <c r="S21" i="69"/>
  <c r="Q21" i="69"/>
  <c r="S20" i="69"/>
  <c r="Q20" i="69"/>
  <c r="S19" i="69"/>
  <c r="Q19" i="69"/>
  <c r="S18" i="69"/>
  <c r="Q18" i="69"/>
  <c r="S17" i="69"/>
  <c r="Q17" i="69"/>
  <c r="S16" i="69"/>
  <c r="Q16" i="69"/>
  <c r="S15" i="69"/>
  <c r="Q15" i="69"/>
  <c r="S14" i="69"/>
  <c r="Q14" i="69"/>
  <c r="S13" i="69"/>
  <c r="Q13" i="69"/>
  <c r="S12" i="69"/>
  <c r="Q12" i="69"/>
  <c r="S11" i="69"/>
  <c r="Q11" i="69"/>
  <c r="S10" i="69"/>
  <c r="Q10" i="69"/>
  <c r="S9" i="69"/>
  <c r="Q9" i="69"/>
  <c r="S8" i="69"/>
  <c r="Q8" i="69"/>
  <c r="S7" i="69"/>
  <c r="Q7" i="69"/>
  <c r="S6" i="69"/>
  <c r="Q6" i="69"/>
  <c r="S5" i="69"/>
  <c r="Q5" i="69"/>
  <c r="S4" i="69"/>
  <c r="Q4" i="69"/>
  <c r="O44" i="69"/>
  <c r="M44" i="69"/>
  <c r="O43" i="69"/>
  <c r="M43" i="69"/>
  <c r="O41" i="69"/>
  <c r="M41" i="69"/>
  <c r="O40" i="69"/>
  <c r="M40" i="69"/>
  <c r="O39" i="69"/>
  <c r="M39" i="69"/>
  <c r="O38" i="69"/>
  <c r="M38" i="69"/>
  <c r="O37" i="69"/>
  <c r="M37" i="69"/>
  <c r="O36" i="69"/>
  <c r="M36" i="69"/>
  <c r="O35" i="69"/>
  <c r="M35" i="69"/>
  <c r="O34" i="69"/>
  <c r="M34" i="69"/>
  <c r="O33" i="69"/>
  <c r="M33" i="69"/>
  <c r="O32" i="69"/>
  <c r="M32" i="69"/>
  <c r="O31" i="69"/>
  <c r="M31" i="69"/>
  <c r="O30" i="69"/>
  <c r="M30" i="69"/>
  <c r="O29" i="69"/>
  <c r="M29" i="69"/>
  <c r="O28" i="69"/>
  <c r="M28" i="69"/>
  <c r="O27" i="69"/>
  <c r="M27" i="69"/>
  <c r="O26" i="69"/>
  <c r="M26" i="69"/>
  <c r="O25" i="69"/>
  <c r="M25" i="69"/>
  <c r="O24" i="69"/>
  <c r="M24" i="69"/>
  <c r="O23" i="69"/>
  <c r="M23" i="69"/>
  <c r="O22" i="69"/>
  <c r="M22" i="69"/>
  <c r="O21" i="69"/>
  <c r="M21" i="69"/>
  <c r="O20" i="69"/>
  <c r="M20" i="69"/>
  <c r="O19" i="69"/>
  <c r="M19" i="69"/>
  <c r="O18" i="69"/>
  <c r="M18" i="69"/>
  <c r="O17" i="69"/>
  <c r="M17" i="69"/>
  <c r="O16" i="69"/>
  <c r="M16" i="69"/>
  <c r="O15" i="69"/>
  <c r="M15" i="69"/>
  <c r="O14" i="69"/>
  <c r="M14" i="69"/>
  <c r="O13" i="69"/>
  <c r="M13" i="69"/>
  <c r="O12" i="69"/>
  <c r="M12" i="69"/>
  <c r="O11" i="69"/>
  <c r="M11" i="69"/>
  <c r="O10" i="69"/>
  <c r="M10" i="69"/>
  <c r="O9" i="69"/>
  <c r="M9" i="69"/>
  <c r="O8" i="69"/>
  <c r="M8" i="69"/>
  <c r="O7" i="69"/>
  <c r="M7" i="69"/>
  <c r="O6" i="69"/>
  <c r="M6" i="69"/>
  <c r="O5" i="69"/>
  <c r="M5" i="69"/>
  <c r="O4" i="69"/>
  <c r="M4" i="69"/>
  <c r="K44" i="69"/>
  <c r="I44" i="69"/>
  <c r="G44" i="69"/>
  <c r="E44" i="69"/>
  <c r="K43" i="69"/>
  <c r="I43" i="69"/>
  <c r="G43" i="69"/>
  <c r="E43" i="69"/>
  <c r="K41" i="69"/>
  <c r="I41" i="69"/>
  <c r="G41" i="69"/>
  <c r="E41" i="69"/>
  <c r="K40" i="69"/>
  <c r="I40" i="69"/>
  <c r="G40" i="69"/>
  <c r="E40" i="69"/>
  <c r="K39" i="69"/>
  <c r="I39" i="69"/>
  <c r="G39" i="69"/>
  <c r="E39" i="69"/>
  <c r="K38" i="69"/>
  <c r="I38" i="69"/>
  <c r="G38" i="69"/>
  <c r="E38" i="69"/>
  <c r="K37" i="69"/>
  <c r="I37" i="69"/>
  <c r="G37" i="69"/>
  <c r="E37" i="69"/>
  <c r="K36" i="69"/>
  <c r="I36" i="69"/>
  <c r="G36" i="69"/>
  <c r="E36" i="69"/>
  <c r="K35" i="69"/>
  <c r="I35" i="69"/>
  <c r="G35" i="69"/>
  <c r="E35" i="69"/>
  <c r="K34" i="69"/>
  <c r="I34" i="69"/>
  <c r="G34" i="69"/>
  <c r="E34" i="69"/>
  <c r="K33" i="69"/>
  <c r="I33" i="69"/>
  <c r="G33" i="69"/>
  <c r="E33" i="69"/>
  <c r="K32" i="69"/>
  <c r="I32" i="69"/>
  <c r="G32" i="69"/>
  <c r="E32" i="69"/>
  <c r="K31" i="69"/>
  <c r="I31" i="69"/>
  <c r="G31" i="69"/>
  <c r="E31" i="69"/>
  <c r="K30" i="69"/>
  <c r="I30" i="69"/>
  <c r="G30" i="69"/>
  <c r="E30" i="69"/>
  <c r="K29" i="69"/>
  <c r="I29" i="69"/>
  <c r="G29" i="69"/>
  <c r="E29" i="69"/>
  <c r="K28" i="69"/>
  <c r="I28" i="69"/>
  <c r="G28" i="69"/>
  <c r="E28" i="69"/>
  <c r="K27" i="69"/>
  <c r="I27" i="69"/>
  <c r="G27" i="69"/>
  <c r="E27" i="69"/>
  <c r="K26" i="69"/>
  <c r="I26" i="69"/>
  <c r="G26" i="69"/>
  <c r="E26" i="69"/>
  <c r="K25" i="69"/>
  <c r="I25" i="69"/>
  <c r="G25" i="69"/>
  <c r="E25" i="69"/>
  <c r="K24" i="69"/>
  <c r="I24" i="69"/>
  <c r="G24" i="69"/>
  <c r="E24" i="69"/>
  <c r="K23" i="69"/>
  <c r="I23" i="69"/>
  <c r="G23" i="69"/>
  <c r="E23" i="69"/>
  <c r="K22" i="69"/>
  <c r="I22" i="69"/>
  <c r="G22" i="69"/>
  <c r="E22" i="69"/>
  <c r="K21" i="69"/>
  <c r="I21" i="69"/>
  <c r="G21" i="69"/>
  <c r="E21" i="69"/>
  <c r="K20" i="69"/>
  <c r="I20" i="69"/>
  <c r="G20" i="69"/>
  <c r="E20" i="69"/>
  <c r="K19" i="69"/>
  <c r="I19" i="69"/>
  <c r="G19" i="69"/>
  <c r="E19" i="69"/>
  <c r="K18" i="69"/>
  <c r="I18" i="69"/>
  <c r="G18" i="69"/>
  <c r="E18" i="69"/>
  <c r="K17" i="69"/>
  <c r="I17" i="69"/>
  <c r="G17" i="69"/>
  <c r="E17" i="69"/>
  <c r="K16" i="69"/>
  <c r="I16" i="69"/>
  <c r="G16" i="69"/>
  <c r="E16" i="69"/>
  <c r="K15" i="69"/>
  <c r="I15" i="69"/>
  <c r="G15" i="69"/>
  <c r="E15" i="69"/>
  <c r="K14" i="69"/>
  <c r="I14" i="69"/>
  <c r="G14" i="69"/>
  <c r="E14" i="69"/>
  <c r="K13" i="69"/>
  <c r="I13" i="69"/>
  <c r="G13" i="69"/>
  <c r="E13" i="69"/>
  <c r="K12" i="69"/>
  <c r="I12" i="69"/>
  <c r="G12" i="69"/>
  <c r="E12" i="69"/>
  <c r="K11" i="69"/>
  <c r="I11" i="69"/>
  <c r="G11" i="69"/>
  <c r="E11" i="69"/>
  <c r="K10" i="69"/>
  <c r="I10" i="69"/>
  <c r="G10" i="69"/>
  <c r="E10" i="69"/>
  <c r="K9" i="69"/>
  <c r="I9" i="69"/>
  <c r="G9" i="69"/>
  <c r="E9" i="69"/>
  <c r="K8" i="69"/>
  <c r="I8" i="69"/>
  <c r="G8" i="69"/>
  <c r="E8" i="69"/>
  <c r="K7" i="69"/>
  <c r="I7" i="69"/>
  <c r="G7" i="69"/>
  <c r="E7" i="69"/>
  <c r="K6" i="69"/>
  <c r="I6" i="69"/>
  <c r="G6" i="69"/>
  <c r="E6" i="69"/>
  <c r="K5" i="69"/>
  <c r="I5" i="69"/>
  <c r="G5" i="69"/>
  <c r="E5" i="69"/>
  <c r="K4" i="69"/>
  <c r="I4" i="69"/>
  <c r="G4" i="69"/>
  <c r="E4" i="69"/>
  <c r="C44" i="68"/>
  <c r="AM44" i="68"/>
  <c r="AK44" i="68"/>
  <c r="C43" i="68"/>
  <c r="AM43" i="68"/>
  <c r="AK43" i="68"/>
  <c r="AM41" i="68"/>
  <c r="AK41" i="68"/>
  <c r="AM40" i="68"/>
  <c r="AK40" i="68"/>
  <c r="AM38" i="68"/>
  <c r="AK38" i="68"/>
  <c r="AM37" i="68"/>
  <c r="AK37" i="68"/>
  <c r="AM35" i="68"/>
  <c r="AK35" i="68"/>
  <c r="AM33" i="68"/>
  <c r="AK33" i="68"/>
  <c r="AM31" i="68"/>
  <c r="AK31" i="68"/>
  <c r="AM29" i="68"/>
  <c r="AK29" i="68"/>
  <c r="AM27" i="68"/>
  <c r="AK27" i="68"/>
  <c r="AM25" i="68"/>
  <c r="AK25" i="68"/>
  <c r="AM23" i="68"/>
  <c r="AK23" i="68"/>
  <c r="AM22" i="68"/>
  <c r="AK22" i="68"/>
  <c r="AM19" i="68"/>
  <c r="AK19" i="68"/>
  <c r="AM15" i="68"/>
  <c r="AK15" i="68"/>
  <c r="AM12" i="68"/>
  <c r="AK12" i="68"/>
  <c r="AM10" i="68"/>
  <c r="AK10" i="68"/>
  <c r="AM8" i="68"/>
  <c r="AK8" i="68"/>
  <c r="AM6" i="68"/>
  <c r="AK6" i="68"/>
  <c r="AI44" i="68"/>
  <c r="AG44" i="68"/>
  <c r="AI43" i="68"/>
  <c r="AG43" i="68"/>
  <c r="AI41" i="68"/>
  <c r="AG41" i="68"/>
  <c r="C40" i="68"/>
  <c r="AI40" i="68"/>
  <c r="AG40" i="68"/>
  <c r="AI38" i="68"/>
  <c r="AG38" i="68"/>
  <c r="C37" i="68"/>
  <c r="AI37" i="68"/>
  <c r="AG37" i="68"/>
  <c r="AI35" i="68"/>
  <c r="AG35" i="68"/>
  <c r="AA41" i="68"/>
  <c r="Y41" i="68"/>
  <c r="W41" i="68"/>
  <c r="U41" i="68"/>
  <c r="W40" i="68"/>
  <c r="U40" i="68"/>
  <c r="AA38" i="68"/>
  <c r="Y38" i="68"/>
  <c r="W38" i="68"/>
  <c r="U38" i="68"/>
  <c r="AA35" i="68"/>
  <c r="Y35" i="68"/>
  <c r="W35" i="68"/>
  <c r="U35" i="68"/>
  <c r="AA32" i="68"/>
  <c r="Y32" i="68"/>
  <c r="W32" i="68"/>
  <c r="U32" i="68"/>
  <c r="AA29" i="68"/>
  <c r="Y29" i="68"/>
  <c r="W29" i="68"/>
  <c r="U29" i="68"/>
  <c r="AA26" i="68"/>
  <c r="Y26" i="68"/>
  <c r="W26" i="68"/>
  <c r="U26" i="68"/>
  <c r="AA23" i="68"/>
  <c r="Y23" i="68"/>
  <c r="W23" i="68"/>
  <c r="U23" i="68"/>
  <c r="AA20" i="68"/>
  <c r="Y20" i="68"/>
  <c r="W20" i="68"/>
  <c r="U20" i="68"/>
  <c r="AA17" i="68"/>
  <c r="Y17" i="68"/>
  <c r="W17" i="68"/>
  <c r="U17" i="68"/>
  <c r="AA14" i="68"/>
  <c r="Y14" i="68"/>
  <c r="W14" i="68"/>
  <c r="U14" i="68"/>
  <c r="AA11" i="68"/>
  <c r="Y11" i="68"/>
  <c r="W11" i="68"/>
  <c r="U11" i="68"/>
  <c r="AA8" i="68"/>
  <c r="Y8" i="68"/>
  <c r="W8" i="68"/>
  <c r="U8" i="68"/>
  <c r="AA5" i="68"/>
  <c r="Y5" i="68"/>
  <c r="W5" i="68"/>
  <c r="U5" i="68"/>
  <c r="AE41" i="68"/>
  <c r="AC41" i="68"/>
  <c r="AE38" i="68"/>
  <c r="AC38" i="68"/>
  <c r="AE32" i="68"/>
  <c r="AC32" i="68"/>
  <c r="AE26" i="68"/>
  <c r="AC26" i="68"/>
  <c r="AE23" i="68"/>
  <c r="AC23" i="68"/>
  <c r="AE20" i="68"/>
  <c r="AC20" i="68"/>
  <c r="AE17" i="68"/>
  <c r="AC17" i="68"/>
  <c r="AE14" i="68"/>
  <c r="AC14" i="68"/>
  <c r="AE11" i="68"/>
  <c r="AC11" i="68"/>
  <c r="AE8" i="68"/>
  <c r="AC8" i="68"/>
  <c r="AE5" i="68"/>
  <c r="AC5" i="68"/>
  <c r="K41" i="68"/>
  <c r="I41" i="68"/>
  <c r="G41" i="68"/>
  <c r="E41" i="68"/>
  <c r="G40" i="68"/>
  <c r="E40" i="68"/>
  <c r="K38" i="68"/>
  <c r="I38" i="68"/>
  <c r="G38" i="68"/>
  <c r="E38" i="68"/>
  <c r="K35" i="68"/>
  <c r="I35" i="68"/>
  <c r="G35" i="68"/>
  <c r="E35" i="68"/>
  <c r="K32" i="68"/>
  <c r="I32" i="68"/>
  <c r="G32" i="68"/>
  <c r="E32" i="68"/>
  <c r="K29" i="68"/>
  <c r="I29" i="68"/>
  <c r="G29" i="68"/>
  <c r="E29" i="68"/>
  <c r="K26" i="68"/>
  <c r="I26" i="68"/>
  <c r="G26" i="68"/>
  <c r="E26" i="68"/>
  <c r="K23" i="68"/>
  <c r="I23" i="68"/>
  <c r="G23" i="68"/>
  <c r="E23" i="68"/>
  <c r="K20" i="68"/>
  <c r="I20" i="68"/>
  <c r="G20" i="68"/>
  <c r="E20" i="68"/>
  <c r="K17" i="68"/>
  <c r="I17" i="68"/>
  <c r="G17" i="68"/>
  <c r="E17" i="68"/>
  <c r="K14" i="68"/>
  <c r="I14" i="68"/>
  <c r="G14" i="68"/>
  <c r="E14" i="68"/>
  <c r="K11" i="68"/>
  <c r="I11" i="68"/>
  <c r="G11" i="68"/>
  <c r="E11" i="68"/>
  <c r="K8" i="68"/>
  <c r="I8" i="68"/>
  <c r="G8" i="68"/>
  <c r="E8" i="68"/>
  <c r="K5" i="68"/>
  <c r="I5" i="68"/>
  <c r="G5" i="68"/>
  <c r="E5" i="68"/>
  <c r="K4" i="68"/>
  <c r="I4" i="68"/>
  <c r="G4" i="68"/>
  <c r="E4" i="68"/>
  <c r="C42" i="69"/>
  <c r="AM14" i="69"/>
  <c r="AK14" i="69"/>
  <c r="AM17" i="69"/>
  <c r="AK17" i="69"/>
  <c r="AM20" i="69"/>
  <c r="AK20" i="69"/>
  <c r="AM23" i="69"/>
  <c r="AK23" i="69"/>
  <c r="AM26" i="69"/>
  <c r="AK26" i="69"/>
  <c r="AM29" i="69"/>
  <c r="AK29" i="69"/>
  <c r="AM32" i="69"/>
  <c r="AK32" i="69"/>
  <c r="AM35" i="69"/>
  <c r="AK35" i="69"/>
  <c r="AM11" i="69"/>
  <c r="AK11" i="69"/>
  <c r="AM7" i="69"/>
  <c r="AK7" i="69"/>
  <c r="AK4" i="69"/>
  <c r="AM4" i="69"/>
  <c r="AM43" i="69"/>
  <c r="AK43" i="69"/>
  <c r="AM44" i="69"/>
  <c r="AK44" i="69"/>
  <c r="AK3" i="69"/>
  <c r="AM3" i="69"/>
  <c r="AM6" i="69"/>
  <c r="AK6" i="69"/>
  <c r="AM9" i="69"/>
  <c r="AK9" i="69"/>
  <c r="AM10" i="69"/>
  <c r="AK10" i="69"/>
  <c r="AM12" i="69"/>
  <c r="AK12" i="69"/>
  <c r="AM13" i="69"/>
  <c r="AK13" i="69"/>
  <c r="AK15" i="69"/>
  <c r="AM15" i="69"/>
  <c r="AM16" i="69"/>
  <c r="AK16" i="69"/>
  <c r="AM18" i="69"/>
  <c r="AK18" i="69"/>
  <c r="AK19" i="69"/>
  <c r="AM19" i="69"/>
  <c r="AM21" i="69"/>
  <c r="AK21" i="69"/>
  <c r="AM22" i="69"/>
  <c r="AK22" i="69"/>
  <c r="AM24" i="69"/>
  <c r="AK24" i="69"/>
  <c r="AM25" i="69"/>
  <c r="AK25" i="69"/>
  <c r="AK27" i="69"/>
  <c r="AM27" i="69"/>
  <c r="AM28" i="69"/>
  <c r="AK28" i="69"/>
  <c r="AM30" i="69"/>
  <c r="AK30" i="69"/>
  <c r="AK31" i="69"/>
  <c r="AM31" i="69"/>
  <c r="AK33" i="69"/>
  <c r="AM33" i="69"/>
  <c r="AM34" i="69"/>
  <c r="AK34" i="69"/>
  <c r="AM36" i="69"/>
  <c r="AK36" i="69"/>
  <c r="AK37" i="69"/>
  <c r="AM37" i="69"/>
  <c r="AM39" i="69"/>
  <c r="AK39" i="69"/>
  <c r="AM40" i="69"/>
  <c r="AK40" i="69"/>
  <c r="AM42" i="69"/>
  <c r="AK42" i="69"/>
  <c r="W3" i="69"/>
  <c r="U3" i="69"/>
  <c r="W42" i="69"/>
  <c r="U42" i="69"/>
  <c r="Q3" i="69"/>
  <c r="S3" i="69"/>
  <c r="S42" i="69"/>
  <c r="Q42" i="69"/>
  <c r="O3" i="69"/>
  <c r="M3" i="69"/>
  <c r="O42" i="69"/>
  <c r="M42" i="69"/>
  <c r="K3" i="69"/>
  <c r="I3" i="69"/>
  <c r="G3" i="69"/>
  <c r="E3" i="69"/>
  <c r="K42" i="69"/>
  <c r="I42" i="69"/>
  <c r="G42" i="69"/>
  <c r="E42" i="69"/>
  <c r="AM42" i="15"/>
  <c r="AM40" i="15"/>
  <c r="AM38" i="15"/>
  <c r="AM37" i="15"/>
  <c r="AM36" i="15"/>
  <c r="AM35" i="15"/>
  <c r="AM34" i="15"/>
  <c r="AM33" i="15"/>
  <c r="AM32" i="15"/>
  <c r="AM31" i="15"/>
  <c r="AM30" i="15"/>
  <c r="AM29" i="15"/>
  <c r="AM28" i="15"/>
  <c r="AM27" i="15"/>
  <c r="AM26" i="15"/>
  <c r="AM25" i="15"/>
  <c r="AM24" i="15"/>
  <c r="AM23" i="15"/>
  <c r="AM22" i="15"/>
  <c r="AM21" i="15"/>
  <c r="AM20" i="15"/>
  <c r="AM19" i="15"/>
  <c r="AM18" i="15"/>
  <c r="AM17" i="15"/>
  <c r="AM16" i="15"/>
  <c r="AM15" i="15"/>
  <c r="AM14" i="15"/>
  <c r="AM13" i="15"/>
  <c r="AM12" i="15"/>
  <c r="AM11" i="15"/>
  <c r="AM10" i="15"/>
  <c r="AM9" i="15"/>
  <c r="AM7" i="15"/>
  <c r="AM6" i="15"/>
  <c r="AM4" i="15"/>
  <c r="AM3" i="15"/>
  <c r="AI43" i="15"/>
  <c r="AI41" i="15"/>
  <c r="AI40" i="15"/>
  <c r="AI38" i="15"/>
  <c r="AI37" i="15"/>
  <c r="AI35" i="15"/>
  <c r="AI33" i="15"/>
  <c r="AI31" i="15"/>
  <c r="AI29" i="15"/>
  <c r="AI27" i="15"/>
  <c r="AI25" i="15"/>
  <c r="AI23" i="15"/>
  <c r="AI22" i="15"/>
  <c r="AI19" i="15"/>
  <c r="AI17" i="15"/>
  <c r="AI15" i="15"/>
  <c r="AI13" i="15"/>
  <c r="AI12" i="15"/>
  <c r="AI11" i="15"/>
  <c r="AI10" i="15"/>
  <c r="AI9" i="15"/>
  <c r="AI8" i="15"/>
  <c r="AI7" i="15"/>
  <c r="AI6" i="15"/>
  <c r="AI5" i="15"/>
  <c r="AI4" i="15"/>
  <c r="AI3" i="15"/>
  <c r="AE43" i="15"/>
  <c r="AE41" i="15"/>
  <c r="AE38" i="15"/>
  <c r="AE35" i="15"/>
  <c r="AE32" i="15"/>
  <c r="AE29" i="15"/>
  <c r="AE26" i="15"/>
  <c r="AE23" i="15"/>
  <c r="AE20" i="15"/>
  <c r="AE17" i="15"/>
  <c r="AE14" i="15"/>
  <c r="AE11" i="15"/>
  <c r="AE8" i="15"/>
  <c r="AE7" i="15"/>
  <c r="AE5" i="15"/>
  <c r="AE4" i="15"/>
  <c r="AA43" i="15"/>
  <c r="AA42" i="15"/>
  <c r="AA39" i="15"/>
  <c r="AA36" i="15"/>
  <c r="AA33" i="15"/>
  <c r="AA30" i="15"/>
  <c r="AA27" i="15"/>
  <c r="AA24" i="15"/>
  <c r="AA21" i="15"/>
  <c r="AA20" i="15"/>
  <c r="AA17" i="15"/>
  <c r="AA14" i="15"/>
  <c r="AA11" i="15"/>
  <c r="AA8" i="15"/>
  <c r="AA7" i="15"/>
  <c r="AA5" i="15"/>
  <c r="AA4" i="15"/>
  <c r="S41" i="15"/>
  <c r="S38" i="15"/>
  <c r="S35" i="15"/>
  <c r="S32" i="15"/>
  <c r="S29" i="15"/>
  <c r="S26" i="15"/>
  <c r="S23" i="15"/>
  <c r="S20" i="15"/>
  <c r="S17" i="15"/>
  <c r="S14" i="15"/>
  <c r="S11" i="15"/>
  <c r="S8" i="15"/>
  <c r="S5" i="15"/>
  <c r="S4" i="15"/>
  <c r="O41" i="15"/>
  <c r="O40" i="15"/>
  <c r="O38" i="15"/>
  <c r="O35" i="15"/>
  <c r="O32" i="15"/>
  <c r="O29" i="15"/>
  <c r="O26" i="15"/>
  <c r="O23" i="15"/>
  <c r="O20" i="15"/>
  <c r="O17" i="15"/>
  <c r="O14" i="15"/>
  <c r="O11" i="15"/>
  <c r="O8" i="15"/>
  <c r="O5" i="15"/>
  <c r="O4" i="15"/>
  <c r="K43" i="15"/>
  <c r="K41" i="15"/>
  <c r="K40" i="15"/>
  <c r="K39" i="15"/>
  <c r="K38" i="15"/>
  <c r="K37" i="15"/>
  <c r="K36" i="15"/>
  <c r="K35" i="15"/>
  <c r="K34" i="15"/>
  <c r="K33" i="15"/>
  <c r="K31" i="15"/>
  <c r="K30" i="15"/>
  <c r="K28" i="15"/>
  <c r="K27" i="15"/>
  <c r="K25" i="15"/>
  <c r="K24" i="15"/>
  <c r="K22" i="15"/>
  <c r="K21" i="15"/>
  <c r="K19" i="15"/>
  <c r="K18" i="15"/>
  <c r="K16" i="15"/>
  <c r="K14" i="15"/>
  <c r="K12" i="15"/>
  <c r="K10" i="15"/>
  <c r="K8" i="15"/>
  <c r="K7" i="15"/>
  <c r="K5" i="15"/>
  <c r="K4" i="15"/>
  <c r="AK42" i="15"/>
  <c r="AK40" i="15"/>
  <c r="AK38" i="15"/>
  <c r="AK37" i="15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AK12" i="15"/>
  <c r="AK11" i="15"/>
  <c r="AK10" i="15"/>
  <c r="AK9" i="15"/>
  <c r="AK7" i="15"/>
  <c r="AK6" i="15"/>
  <c r="AK4" i="15"/>
  <c r="AK3" i="15"/>
  <c r="AG43" i="15"/>
  <c r="AG41" i="15"/>
  <c r="AG40" i="15"/>
  <c r="AG38" i="15"/>
  <c r="AG37" i="15"/>
  <c r="AG35" i="15"/>
  <c r="AG33" i="15"/>
  <c r="AG31" i="15"/>
  <c r="AG29" i="15"/>
  <c r="AG27" i="15"/>
  <c r="AG25" i="15"/>
  <c r="AG23" i="15"/>
  <c r="AG22" i="15"/>
  <c r="AG19" i="15"/>
  <c r="AG17" i="15"/>
  <c r="AG15" i="15"/>
  <c r="AG13" i="15"/>
  <c r="AG12" i="15"/>
  <c r="AG11" i="15"/>
  <c r="AG10" i="15"/>
  <c r="AG9" i="15"/>
  <c r="AG8" i="15"/>
  <c r="AG7" i="15"/>
  <c r="AG6" i="15"/>
  <c r="AG5" i="15"/>
  <c r="AG4" i="15"/>
  <c r="AG3" i="15"/>
  <c r="AC43" i="15"/>
  <c r="AC41" i="15"/>
  <c r="AC38" i="15"/>
  <c r="AC35" i="15"/>
  <c r="AC32" i="15"/>
  <c r="AC29" i="15"/>
  <c r="AC26" i="15"/>
  <c r="AC23" i="15"/>
  <c r="AC20" i="15"/>
  <c r="AC17" i="15"/>
  <c r="AC14" i="15"/>
  <c r="AC11" i="15"/>
  <c r="AC8" i="15"/>
  <c r="AC7" i="15"/>
  <c r="AC5" i="15"/>
  <c r="AC4" i="15"/>
  <c r="Y43" i="15"/>
  <c r="Y42" i="15"/>
  <c r="Y39" i="15"/>
  <c r="Y36" i="15"/>
  <c r="Y33" i="15"/>
  <c r="Y30" i="15"/>
  <c r="Y27" i="15"/>
  <c r="Y24" i="15"/>
  <c r="Y21" i="15"/>
  <c r="Y20" i="15"/>
  <c r="Y17" i="15"/>
  <c r="Y14" i="15"/>
  <c r="Y11" i="15"/>
  <c r="Y8" i="15"/>
  <c r="Y7" i="15"/>
  <c r="Y5" i="15"/>
  <c r="Y4" i="15"/>
  <c r="Q41" i="15"/>
  <c r="Q38" i="15"/>
  <c r="Q35" i="15"/>
  <c r="Q32" i="15"/>
  <c r="Q29" i="15"/>
  <c r="Q26" i="15"/>
  <c r="Q23" i="15"/>
  <c r="Q20" i="15"/>
  <c r="Q17" i="15"/>
  <c r="Q14" i="15"/>
  <c r="Q11" i="15"/>
  <c r="Q8" i="15"/>
  <c r="Q5" i="15"/>
  <c r="Q4" i="15"/>
  <c r="M41" i="15"/>
  <c r="M40" i="15"/>
  <c r="M38" i="15"/>
  <c r="M35" i="15"/>
  <c r="M32" i="15"/>
  <c r="M29" i="15"/>
  <c r="M26" i="15"/>
  <c r="M23" i="15"/>
  <c r="M20" i="15"/>
  <c r="M17" i="15"/>
  <c r="M14" i="15"/>
  <c r="M11" i="15"/>
  <c r="M8" i="15"/>
  <c r="M5" i="15"/>
  <c r="M4" i="15"/>
  <c r="I43" i="15"/>
  <c r="I41" i="15"/>
  <c r="I40" i="15"/>
  <c r="I39" i="15"/>
  <c r="I38" i="15"/>
  <c r="I37" i="15"/>
  <c r="I36" i="15"/>
  <c r="I35" i="15"/>
  <c r="I34" i="15"/>
  <c r="I33" i="15"/>
  <c r="I31" i="15"/>
  <c r="I30" i="15"/>
  <c r="I28" i="15"/>
  <c r="I27" i="15"/>
  <c r="I25" i="15"/>
  <c r="I24" i="15"/>
  <c r="I22" i="15"/>
  <c r="I21" i="15"/>
  <c r="I19" i="15"/>
  <c r="I18" i="15"/>
  <c r="I16" i="15"/>
  <c r="I14" i="15"/>
  <c r="I12" i="15"/>
  <c r="I10" i="15"/>
  <c r="I8" i="15"/>
  <c r="I7" i="15"/>
  <c r="I5" i="15"/>
  <c r="I4" i="15"/>
  <c r="G43" i="15"/>
  <c r="G41" i="15"/>
  <c r="G39" i="15"/>
  <c r="G37" i="15"/>
  <c r="G35" i="15"/>
  <c r="G33" i="15"/>
  <c r="G31" i="15"/>
  <c r="G29" i="15"/>
  <c r="G28" i="15"/>
  <c r="G27" i="15"/>
  <c r="G26" i="15"/>
  <c r="G24" i="15"/>
  <c r="G22" i="15"/>
  <c r="G20" i="15"/>
  <c r="G18" i="15"/>
  <c r="G16" i="15"/>
  <c r="G14" i="15"/>
  <c r="G12" i="15"/>
  <c r="G10" i="15"/>
  <c r="G8" i="15"/>
  <c r="G7" i="15"/>
  <c r="G5" i="15"/>
  <c r="G4" i="15"/>
  <c r="E44" i="15"/>
  <c r="E43" i="15"/>
  <c r="E41" i="15"/>
  <c r="E39" i="15"/>
  <c r="E37" i="15"/>
  <c r="E35" i="15"/>
  <c r="E33" i="15"/>
  <c r="E31" i="15"/>
  <c r="E29" i="15"/>
  <c r="E28" i="15"/>
  <c r="E27" i="15"/>
  <c r="E26" i="15"/>
  <c r="E24" i="15"/>
  <c r="E22" i="15"/>
  <c r="E20" i="15"/>
  <c r="E18" i="15"/>
  <c r="E16" i="15"/>
  <c r="E14" i="15"/>
  <c r="E12" i="15"/>
  <c r="E10" i="15"/>
  <c r="E8" i="15"/>
  <c r="E7" i="15"/>
  <c r="E5" i="15"/>
  <c r="E4" i="15"/>
  <c r="AG44" i="15"/>
  <c r="AC44" i="15"/>
  <c r="Y44" i="15"/>
  <c r="I44" i="15"/>
  <c r="AI44" i="15"/>
  <c r="AE44" i="15"/>
  <c r="AA44" i="15"/>
  <c r="K44" i="15"/>
  <c r="G44" i="15"/>
  <c r="B4" i="67"/>
  <c r="U4" i="67"/>
  <c r="B80" i="67"/>
  <c r="AB80" i="67"/>
  <c r="B79" i="67"/>
  <c r="B78" i="67"/>
  <c r="AF78" i="67"/>
  <c r="B77" i="67"/>
  <c r="B76" i="67"/>
  <c r="B75" i="67"/>
  <c r="B74" i="67"/>
  <c r="AB74" i="67"/>
  <c r="B73" i="67"/>
  <c r="V73" i="67"/>
  <c r="B72" i="67"/>
  <c r="B71" i="67"/>
  <c r="B70" i="67"/>
  <c r="AB70" i="67"/>
  <c r="B69" i="67"/>
  <c r="B68" i="67"/>
  <c r="B67" i="67"/>
  <c r="B66" i="67"/>
  <c r="B65" i="67"/>
  <c r="V65" i="67"/>
  <c r="B64" i="67"/>
  <c r="B63" i="67"/>
  <c r="B62" i="67"/>
  <c r="AF62" i="67"/>
  <c r="B61" i="67"/>
  <c r="B60" i="67"/>
  <c r="B59" i="67"/>
  <c r="B58" i="67"/>
  <c r="B57" i="67"/>
  <c r="S57" i="67"/>
  <c r="B56" i="67"/>
  <c r="AF56" i="67"/>
  <c r="B55" i="67"/>
  <c r="B54" i="67"/>
  <c r="AB54" i="67"/>
  <c r="B53" i="67"/>
  <c r="B52" i="67"/>
  <c r="B51" i="67"/>
  <c r="O51" i="67"/>
  <c r="B50" i="67"/>
  <c r="B49" i="67"/>
  <c r="B48" i="67"/>
  <c r="B47" i="67"/>
  <c r="AA47" i="67"/>
  <c r="B46" i="67"/>
  <c r="Y46" i="67"/>
  <c r="B45" i="67"/>
  <c r="B44" i="67"/>
  <c r="B43" i="67"/>
  <c r="C43" i="67"/>
  <c r="B42" i="67"/>
  <c r="B41" i="67"/>
  <c r="B40" i="67"/>
  <c r="B39" i="67"/>
  <c r="B38" i="67"/>
  <c r="B37" i="67"/>
  <c r="Q37" i="67"/>
  <c r="B36" i="67"/>
  <c r="B35" i="67"/>
  <c r="F35" i="67"/>
  <c r="B34" i="67"/>
  <c r="B33" i="67"/>
  <c r="B32" i="67"/>
  <c r="B31" i="67"/>
  <c r="AB31" i="67"/>
  <c r="B30" i="67"/>
  <c r="Z30" i="67"/>
  <c r="B29" i="67"/>
  <c r="N29" i="67"/>
  <c r="B28" i="67"/>
  <c r="B27" i="67"/>
  <c r="AE27" i="67"/>
  <c r="B26" i="67"/>
  <c r="B25" i="67"/>
  <c r="B24" i="67"/>
  <c r="B23" i="67"/>
  <c r="AA23" i="67"/>
  <c r="B22" i="67"/>
  <c r="Y22" i="67"/>
  <c r="B21" i="67"/>
  <c r="Y21" i="67"/>
  <c r="B20" i="67"/>
  <c r="B19" i="67"/>
  <c r="AD19" i="67"/>
  <c r="B18" i="67"/>
  <c r="B17" i="67"/>
  <c r="B16" i="67"/>
  <c r="B15" i="67"/>
  <c r="AD15" i="67"/>
  <c r="B14" i="67"/>
  <c r="AB14" i="67"/>
  <c r="B13" i="67"/>
  <c r="B12" i="67"/>
  <c r="B10" i="67"/>
  <c r="Y10" i="67"/>
  <c r="B9" i="67"/>
  <c r="B8" i="67"/>
  <c r="B7" i="67"/>
  <c r="B6" i="67"/>
  <c r="B5" i="67"/>
  <c r="G5" i="67"/>
  <c r="B11" i="67"/>
  <c r="AD11" i="67"/>
  <c r="AF81" i="67"/>
  <c r="AE81" i="67"/>
  <c r="AD81" i="67"/>
  <c r="AC81" i="67"/>
  <c r="AB81" i="67"/>
  <c r="AA81" i="67"/>
  <c r="Z81" i="67"/>
  <c r="Y81" i="67"/>
  <c r="X81" i="67"/>
  <c r="W81" i="67"/>
  <c r="V81" i="67"/>
  <c r="U81" i="67"/>
  <c r="T81" i="67"/>
  <c r="S81" i="67"/>
  <c r="R81" i="67"/>
  <c r="Q81" i="67"/>
  <c r="P81" i="67"/>
  <c r="O81" i="67"/>
  <c r="N81" i="67"/>
  <c r="M81" i="67"/>
  <c r="L81" i="67"/>
  <c r="K81" i="67"/>
  <c r="J81" i="67"/>
  <c r="I81" i="67"/>
  <c r="H81" i="67"/>
  <c r="G81" i="67"/>
  <c r="F81" i="67"/>
  <c r="E81" i="67"/>
  <c r="D81" i="67"/>
  <c r="C81" i="67"/>
  <c r="X57" i="67"/>
  <c r="Z57" i="67"/>
  <c r="I4" i="67"/>
  <c r="I87" i="67"/>
  <c r="J57" i="67"/>
  <c r="P71" i="67"/>
  <c r="T62" i="67"/>
  <c r="Y62" i="67"/>
  <c r="G38" i="67"/>
  <c r="S38" i="67"/>
  <c r="AF9" i="67"/>
  <c r="W4" i="67"/>
  <c r="W87" i="67"/>
  <c r="D4" i="67"/>
  <c r="AC4" i="67"/>
  <c r="G4" i="67"/>
  <c r="G87" i="67"/>
  <c r="AF4" i="67"/>
  <c r="K4" i="67"/>
  <c r="AE4" i="67"/>
  <c r="P4" i="67"/>
  <c r="T4" i="67"/>
  <c r="C62" i="67"/>
  <c r="O9" i="67"/>
  <c r="AC9" i="67"/>
  <c r="H9" i="67"/>
  <c r="Q62" i="67"/>
  <c r="U9" i="67"/>
  <c r="P9" i="67"/>
  <c r="X9" i="67"/>
  <c r="C38" i="67"/>
  <c r="M80" i="67"/>
  <c r="N80" i="67"/>
  <c r="V80" i="67"/>
  <c r="AD80" i="67"/>
  <c r="AC80" i="67"/>
  <c r="O80" i="67"/>
  <c r="AE80" i="67"/>
  <c r="P80" i="67"/>
  <c r="X80" i="67"/>
  <c r="AF80" i="67"/>
  <c r="Q80" i="67"/>
  <c r="Y80" i="67"/>
  <c r="J80" i="67"/>
  <c r="Z80" i="67"/>
  <c r="U80" i="67"/>
  <c r="G80" i="67"/>
  <c r="C80" i="67"/>
  <c r="K80" i="67"/>
  <c r="S80" i="67"/>
  <c r="D80" i="67"/>
  <c r="L80" i="67"/>
  <c r="T80" i="67"/>
  <c r="K79" i="67"/>
  <c r="L79" i="67"/>
  <c r="U79" i="67"/>
  <c r="N79" i="67"/>
  <c r="X79" i="67"/>
  <c r="Q79" i="67"/>
  <c r="M79" i="67"/>
  <c r="P79" i="67"/>
  <c r="AF79" i="67"/>
  <c r="I78" i="67"/>
  <c r="Q78" i="67"/>
  <c r="Y78" i="67"/>
  <c r="J78" i="67"/>
  <c r="R78" i="67"/>
  <c r="Z78" i="67"/>
  <c r="K78" i="67"/>
  <c r="S78" i="67"/>
  <c r="D78" i="67"/>
  <c r="T78" i="67"/>
  <c r="E78" i="67"/>
  <c r="U78" i="67"/>
  <c r="F78" i="67"/>
  <c r="V78" i="67"/>
  <c r="AD78" i="67"/>
  <c r="G78" i="67"/>
  <c r="O78" i="67"/>
  <c r="W78" i="67"/>
  <c r="AE78" i="67"/>
  <c r="C78" i="67"/>
  <c r="AA78" i="67"/>
  <c r="L78" i="67"/>
  <c r="AB78" i="67"/>
  <c r="M78" i="67"/>
  <c r="AC78" i="67"/>
  <c r="N78" i="67"/>
  <c r="H78" i="67"/>
  <c r="P78" i="67"/>
  <c r="X78" i="67"/>
  <c r="R77" i="67"/>
  <c r="U77" i="67"/>
  <c r="C76" i="67"/>
  <c r="N74" i="67"/>
  <c r="V74" i="67"/>
  <c r="AD74" i="67"/>
  <c r="AE74" i="67"/>
  <c r="P74" i="67"/>
  <c r="Q74" i="67"/>
  <c r="R74" i="67"/>
  <c r="Z74" i="67"/>
  <c r="E74" i="67"/>
  <c r="W74" i="67"/>
  <c r="X74" i="67"/>
  <c r="C74" i="67"/>
  <c r="S74" i="67"/>
  <c r="AA74" i="67"/>
  <c r="U74" i="67"/>
  <c r="O74" i="67"/>
  <c r="H74" i="67"/>
  <c r="AF74" i="67"/>
  <c r="Y74" i="67"/>
  <c r="D74" i="67"/>
  <c r="L74" i="67"/>
  <c r="C73" i="67"/>
  <c r="M73" i="67"/>
  <c r="P73" i="67"/>
  <c r="Q73" i="67"/>
  <c r="AE73" i="67"/>
  <c r="I72" i="67"/>
  <c r="Q72" i="67"/>
  <c r="Y72" i="67"/>
  <c r="Z72" i="67"/>
  <c r="S72" i="67"/>
  <c r="L72" i="67"/>
  <c r="AB72" i="67"/>
  <c r="M72" i="67"/>
  <c r="AC72" i="67"/>
  <c r="V72" i="67"/>
  <c r="AD72" i="67"/>
  <c r="C72" i="67"/>
  <c r="G72" i="67"/>
  <c r="O72" i="67"/>
  <c r="AE72" i="67"/>
  <c r="P72" i="67"/>
  <c r="E70" i="67"/>
  <c r="M70" i="67"/>
  <c r="U70" i="67"/>
  <c r="AC70" i="67"/>
  <c r="F70" i="67"/>
  <c r="N70" i="67"/>
  <c r="V70" i="67"/>
  <c r="AD70" i="67"/>
  <c r="J70" i="67"/>
  <c r="R70" i="67"/>
  <c r="Z70" i="67"/>
  <c r="G70" i="67"/>
  <c r="AE70" i="67"/>
  <c r="P70" i="67"/>
  <c r="AF70" i="67"/>
  <c r="I70" i="67"/>
  <c r="Y70" i="67"/>
  <c r="C70" i="67"/>
  <c r="K70" i="67"/>
  <c r="S70" i="67"/>
  <c r="AA70" i="67"/>
  <c r="O70" i="67"/>
  <c r="W70" i="67"/>
  <c r="H70" i="67"/>
  <c r="X70" i="67"/>
  <c r="Q70" i="67"/>
  <c r="D70" i="67"/>
  <c r="L70" i="67"/>
  <c r="T70" i="67"/>
  <c r="P69" i="67"/>
  <c r="U69" i="67"/>
  <c r="AD69" i="67"/>
  <c r="AB66" i="67"/>
  <c r="U66" i="67"/>
  <c r="D66" i="67"/>
  <c r="X66" i="67"/>
  <c r="AF66" i="67"/>
  <c r="F66" i="67"/>
  <c r="Y66" i="67"/>
  <c r="N66" i="67"/>
  <c r="P66" i="67"/>
  <c r="W65" i="67"/>
  <c r="R65" i="67"/>
  <c r="H65" i="67"/>
  <c r="G64" i="67"/>
  <c r="S62" i="67"/>
  <c r="AA62" i="67"/>
  <c r="AB62" i="67"/>
  <c r="I62" i="67"/>
  <c r="K62" i="67"/>
  <c r="D62" i="67"/>
  <c r="L62" i="67"/>
  <c r="AA63" i="67"/>
  <c r="D63" i="67"/>
  <c r="L63" i="67"/>
  <c r="AB63" i="67"/>
  <c r="E63" i="67"/>
  <c r="M63" i="67"/>
  <c r="AC63" i="67"/>
  <c r="C63" i="67"/>
  <c r="K63" i="67"/>
  <c r="V63" i="67"/>
  <c r="G63" i="67"/>
  <c r="W63" i="67"/>
  <c r="AF63" i="67"/>
  <c r="I63" i="67"/>
  <c r="Q63" i="67"/>
  <c r="S63" i="67"/>
  <c r="N63" i="67"/>
  <c r="AD63" i="67"/>
  <c r="AE63" i="67"/>
  <c r="H63" i="67"/>
  <c r="X63" i="67"/>
  <c r="R63" i="67"/>
  <c r="J62" i="67"/>
  <c r="R62" i="67"/>
  <c r="Z62" i="67"/>
  <c r="E62" i="67"/>
  <c r="U62" i="67"/>
  <c r="AC62" i="67"/>
  <c r="N62" i="67"/>
  <c r="V62" i="67"/>
  <c r="AD62" i="67"/>
  <c r="F62" i="67"/>
  <c r="G62" i="67"/>
  <c r="O62" i="67"/>
  <c r="W62" i="67"/>
  <c r="AE62" i="67"/>
  <c r="M62" i="67"/>
  <c r="H62" i="67"/>
  <c r="P62" i="67"/>
  <c r="X62" i="67"/>
  <c r="H61" i="67"/>
  <c r="V61" i="67"/>
  <c r="AD60" i="67"/>
  <c r="AC60" i="67"/>
  <c r="AB59" i="67"/>
  <c r="W58" i="67"/>
  <c r="P58" i="67"/>
  <c r="AA56" i="67"/>
  <c r="I56" i="67"/>
  <c r="Y56" i="67"/>
  <c r="R56" i="67"/>
  <c r="K56" i="67"/>
  <c r="L56" i="67"/>
  <c r="U56" i="67"/>
  <c r="AC56" i="67"/>
  <c r="F56" i="67"/>
  <c r="AD56" i="67"/>
  <c r="S56" i="67"/>
  <c r="D56" i="67"/>
  <c r="E56" i="67"/>
  <c r="G56" i="67"/>
  <c r="O56" i="67"/>
  <c r="AE56" i="67"/>
  <c r="H56" i="67"/>
  <c r="P56" i="67"/>
  <c r="R55" i="67"/>
  <c r="G55" i="67"/>
  <c r="W55" i="67"/>
  <c r="H55" i="67"/>
  <c r="X55" i="67"/>
  <c r="AF55" i="67"/>
  <c r="C55" i="67"/>
  <c r="S55" i="67"/>
  <c r="D55" i="67"/>
  <c r="M55" i="67"/>
  <c r="U55" i="67"/>
  <c r="Y55" i="67"/>
  <c r="K55" i="67"/>
  <c r="L55" i="67"/>
  <c r="AB55" i="67"/>
  <c r="V55" i="67"/>
  <c r="O54" i="67"/>
  <c r="AE54" i="67"/>
  <c r="P54" i="67"/>
  <c r="X54" i="67"/>
  <c r="E54" i="67"/>
  <c r="M54" i="67"/>
  <c r="U54" i="67"/>
  <c r="AC54" i="67"/>
  <c r="F54" i="67"/>
  <c r="N54" i="67"/>
  <c r="V54" i="67"/>
  <c r="AD54" i="67"/>
  <c r="C54" i="67"/>
  <c r="K54" i="67"/>
  <c r="S54" i="67"/>
  <c r="AA54" i="67"/>
  <c r="G54" i="67"/>
  <c r="W54" i="67"/>
  <c r="H54" i="67"/>
  <c r="AF54" i="67"/>
  <c r="I54" i="67"/>
  <c r="Q54" i="67"/>
  <c r="Y54" i="67"/>
  <c r="J54" i="67"/>
  <c r="R54" i="67"/>
  <c r="Z54" i="67"/>
  <c r="D54" i="67"/>
  <c r="L54" i="67"/>
  <c r="T54" i="67"/>
  <c r="J53" i="67"/>
  <c r="C52" i="67"/>
  <c r="Y52" i="67"/>
  <c r="AB50" i="67"/>
  <c r="I50" i="67"/>
  <c r="V50" i="67"/>
  <c r="O49" i="67"/>
  <c r="Y49" i="67"/>
  <c r="I48" i="67"/>
  <c r="F48" i="67"/>
  <c r="AD48" i="67"/>
  <c r="O48" i="67"/>
  <c r="H48" i="67"/>
  <c r="AF48" i="67"/>
  <c r="C48" i="67"/>
  <c r="S48" i="67"/>
  <c r="AA48" i="67"/>
  <c r="D48" i="67"/>
  <c r="L48" i="67"/>
  <c r="E48" i="67"/>
  <c r="F47" i="67"/>
  <c r="AD47" i="67"/>
  <c r="G47" i="67"/>
  <c r="D47" i="67"/>
  <c r="L47" i="67"/>
  <c r="T47" i="67"/>
  <c r="E47" i="67"/>
  <c r="M47" i="67"/>
  <c r="U47" i="67"/>
  <c r="V47" i="67"/>
  <c r="O47" i="67"/>
  <c r="P47" i="67"/>
  <c r="I47" i="67"/>
  <c r="Q47" i="67"/>
  <c r="Y47" i="67"/>
  <c r="R47" i="67"/>
  <c r="Z47" i="67"/>
  <c r="N47" i="67"/>
  <c r="H47" i="67"/>
  <c r="X47" i="67"/>
  <c r="C47" i="67"/>
  <c r="S47" i="67"/>
  <c r="D46" i="67"/>
  <c r="T46" i="67"/>
  <c r="M46" i="67"/>
  <c r="AC46" i="67"/>
  <c r="J46" i="67"/>
  <c r="R46" i="67"/>
  <c r="Z46" i="67"/>
  <c r="C46" i="67"/>
  <c r="K46" i="67"/>
  <c r="S46" i="67"/>
  <c r="AA46" i="67"/>
  <c r="O46" i="67"/>
  <c r="AE46" i="67"/>
  <c r="H46" i="67"/>
  <c r="P46" i="67"/>
  <c r="X46" i="67"/>
  <c r="AF46" i="67"/>
  <c r="L46" i="67"/>
  <c r="AB46" i="67"/>
  <c r="E46" i="67"/>
  <c r="U46" i="67"/>
  <c r="F46" i="67"/>
  <c r="N46" i="67"/>
  <c r="V46" i="67"/>
  <c r="AD46" i="67"/>
  <c r="G46" i="67"/>
  <c r="W46" i="67"/>
  <c r="I46" i="67"/>
  <c r="Q46" i="67"/>
  <c r="J45" i="67"/>
  <c r="D44" i="67"/>
  <c r="AB44" i="67"/>
  <c r="J42" i="67"/>
  <c r="Z42" i="67"/>
  <c r="I42" i="67"/>
  <c r="Y42" i="67"/>
  <c r="T42" i="67"/>
  <c r="M42" i="67"/>
  <c r="F42" i="67"/>
  <c r="V42" i="67"/>
  <c r="AD42" i="67"/>
  <c r="K42" i="67"/>
  <c r="E42" i="67"/>
  <c r="AC42" i="67"/>
  <c r="G42" i="67"/>
  <c r="W42" i="67"/>
  <c r="AE42" i="67"/>
  <c r="Q42" i="67"/>
  <c r="AA42" i="67"/>
  <c r="D42" i="67"/>
  <c r="AB42" i="67"/>
  <c r="H42" i="67"/>
  <c r="P42" i="67"/>
  <c r="X42" i="67"/>
  <c r="AC41" i="67"/>
  <c r="AA40" i="67"/>
  <c r="G40" i="67"/>
  <c r="E40" i="67"/>
  <c r="R38" i="67"/>
  <c r="I38" i="67"/>
  <c r="Y38" i="67"/>
  <c r="J38" i="67"/>
  <c r="Z38" i="67"/>
  <c r="K38" i="67"/>
  <c r="AA38" i="67"/>
  <c r="O38" i="67"/>
  <c r="AE38" i="67"/>
  <c r="K39" i="67"/>
  <c r="AB39" i="67"/>
  <c r="Q39" i="67"/>
  <c r="Y39" i="67"/>
  <c r="Z39" i="67"/>
  <c r="S39" i="67"/>
  <c r="T39" i="67"/>
  <c r="F39" i="67"/>
  <c r="V39" i="67"/>
  <c r="O39" i="67"/>
  <c r="AE39" i="67"/>
  <c r="AA39" i="67"/>
  <c r="L39" i="67"/>
  <c r="N39" i="67"/>
  <c r="AD39" i="67"/>
  <c r="H39" i="67"/>
  <c r="H38" i="67"/>
  <c r="P38" i="67"/>
  <c r="X38" i="67"/>
  <c r="AF38" i="67"/>
  <c r="D38" i="67"/>
  <c r="L38" i="67"/>
  <c r="T38" i="67"/>
  <c r="AB38" i="67"/>
  <c r="E38" i="67"/>
  <c r="M38" i="67"/>
  <c r="U38" i="67"/>
  <c r="AC38" i="67"/>
  <c r="F38" i="67"/>
  <c r="N38" i="67"/>
  <c r="V38" i="67"/>
  <c r="C37" i="67"/>
  <c r="E36" i="67"/>
  <c r="K36" i="67"/>
  <c r="AC36" i="67"/>
  <c r="V34" i="67"/>
  <c r="H34" i="67"/>
  <c r="K34" i="67"/>
  <c r="E33" i="67"/>
  <c r="H33" i="67"/>
  <c r="N33" i="67"/>
  <c r="G32" i="67"/>
  <c r="O32" i="67"/>
  <c r="H32" i="67"/>
  <c r="X32" i="67"/>
  <c r="J32" i="67"/>
  <c r="Z32" i="67"/>
  <c r="L32" i="67"/>
  <c r="AB32" i="67"/>
  <c r="Y32" i="67"/>
  <c r="E32" i="67"/>
  <c r="M32" i="67"/>
  <c r="F32" i="67"/>
  <c r="Q31" i="67"/>
  <c r="M31" i="67"/>
  <c r="V31" i="67"/>
  <c r="AD31" i="67"/>
  <c r="C31" i="67"/>
  <c r="S31" i="67"/>
  <c r="J31" i="67"/>
  <c r="R31" i="67"/>
  <c r="E30" i="67"/>
  <c r="AC30" i="67"/>
  <c r="C30" i="67"/>
  <c r="K30" i="67"/>
  <c r="S30" i="67"/>
  <c r="AA30" i="67"/>
  <c r="D30" i="67"/>
  <c r="L30" i="67"/>
  <c r="T30" i="67"/>
  <c r="AB30" i="67"/>
  <c r="U30" i="67"/>
  <c r="F30" i="67"/>
  <c r="V30" i="67"/>
  <c r="O30" i="67"/>
  <c r="H30" i="67"/>
  <c r="P30" i="67"/>
  <c r="X30" i="67"/>
  <c r="AF30" i="67"/>
  <c r="I30" i="67"/>
  <c r="Q30" i="67"/>
  <c r="Y30" i="67"/>
  <c r="M30" i="67"/>
  <c r="N30" i="67"/>
  <c r="AD30" i="67"/>
  <c r="G30" i="67"/>
  <c r="W30" i="67"/>
  <c r="AE30" i="67"/>
  <c r="J30" i="67"/>
  <c r="R30" i="67"/>
  <c r="M29" i="67"/>
  <c r="X29" i="67"/>
  <c r="AA26" i="67"/>
  <c r="F26" i="67"/>
  <c r="M26" i="67"/>
  <c r="Q27" i="67"/>
  <c r="T26" i="67"/>
  <c r="O26" i="67"/>
  <c r="AE26" i="67"/>
  <c r="Y26" i="67"/>
  <c r="C25" i="67"/>
  <c r="O24" i="67"/>
  <c r="P24" i="67"/>
  <c r="L24" i="67"/>
  <c r="F24" i="67"/>
  <c r="N24" i="67"/>
  <c r="AD24" i="67"/>
  <c r="G24" i="67"/>
  <c r="AE24" i="67"/>
  <c r="AF24" i="67"/>
  <c r="Y24" i="67"/>
  <c r="J24" i="67"/>
  <c r="Z24" i="67"/>
  <c r="C24" i="67"/>
  <c r="K24" i="67"/>
  <c r="AA24" i="67"/>
  <c r="W24" i="67"/>
  <c r="X24" i="67"/>
  <c r="D24" i="67"/>
  <c r="T24" i="67"/>
  <c r="AB24" i="67"/>
  <c r="M24" i="67"/>
  <c r="U24" i="67"/>
  <c r="F23" i="67"/>
  <c r="D23" i="67"/>
  <c r="T23" i="67"/>
  <c r="AB23" i="67"/>
  <c r="AC23" i="67"/>
  <c r="N23" i="67"/>
  <c r="H23" i="67"/>
  <c r="J23" i="67"/>
  <c r="Z23" i="67"/>
  <c r="W23" i="67"/>
  <c r="C23" i="67"/>
  <c r="K23" i="67"/>
  <c r="S23" i="67"/>
  <c r="J22" i="67"/>
  <c r="R22" i="67"/>
  <c r="Z22" i="67"/>
  <c r="C22" i="67"/>
  <c r="K22" i="67"/>
  <c r="S22" i="67"/>
  <c r="AA22" i="67"/>
  <c r="D22" i="67"/>
  <c r="L22" i="67"/>
  <c r="T22" i="67"/>
  <c r="AB22" i="67"/>
  <c r="E22" i="67"/>
  <c r="U22" i="67"/>
  <c r="F22" i="67"/>
  <c r="V22" i="67"/>
  <c r="G22" i="67"/>
  <c r="O22" i="67"/>
  <c r="W22" i="67"/>
  <c r="AE22" i="67"/>
  <c r="M22" i="67"/>
  <c r="AC22" i="67"/>
  <c r="N22" i="67"/>
  <c r="AD22" i="67"/>
  <c r="H22" i="67"/>
  <c r="P22" i="67"/>
  <c r="X22" i="67"/>
  <c r="AF22" i="67"/>
  <c r="I22" i="67"/>
  <c r="Q22" i="67"/>
  <c r="X21" i="67"/>
  <c r="C21" i="67"/>
  <c r="E21" i="67"/>
  <c r="Q21" i="67"/>
  <c r="U21" i="67"/>
  <c r="AB20" i="67"/>
  <c r="H20" i="67"/>
  <c r="D19" i="67"/>
  <c r="V19" i="67"/>
  <c r="N18" i="67"/>
  <c r="E18" i="67"/>
  <c r="H18" i="67"/>
  <c r="X18" i="67"/>
  <c r="R18" i="67"/>
  <c r="Z18" i="67"/>
  <c r="G18" i="67"/>
  <c r="C18" i="67"/>
  <c r="K18" i="67"/>
  <c r="AC18" i="67"/>
  <c r="AF18" i="67"/>
  <c r="T18" i="67"/>
  <c r="H17" i="67"/>
  <c r="I16" i="67"/>
  <c r="AB16" i="67"/>
  <c r="O16" i="67"/>
  <c r="Q15" i="67"/>
  <c r="Y15" i="67"/>
  <c r="I15" i="67"/>
  <c r="G15" i="67"/>
  <c r="O15" i="67"/>
  <c r="W15" i="67"/>
  <c r="H15" i="67"/>
  <c r="P15" i="67"/>
  <c r="X15" i="67"/>
  <c r="R15" i="67"/>
  <c r="C15" i="67"/>
  <c r="K15" i="67"/>
  <c r="D15" i="67"/>
  <c r="T15" i="67"/>
  <c r="E15" i="67"/>
  <c r="U15" i="67"/>
  <c r="AC15" i="67"/>
  <c r="J15" i="67"/>
  <c r="L15" i="67"/>
  <c r="AB15" i="67"/>
  <c r="F15" i="67"/>
  <c r="V15" i="67"/>
  <c r="F14" i="67"/>
  <c r="AD14" i="67"/>
  <c r="W14" i="67"/>
  <c r="P14" i="67"/>
  <c r="E14" i="67"/>
  <c r="M14" i="67"/>
  <c r="U14" i="67"/>
  <c r="AC14" i="67"/>
  <c r="N14" i="67"/>
  <c r="G14" i="67"/>
  <c r="AE14" i="67"/>
  <c r="H14" i="67"/>
  <c r="X14" i="67"/>
  <c r="I14" i="67"/>
  <c r="Q14" i="67"/>
  <c r="Y14" i="67"/>
  <c r="J14" i="67"/>
  <c r="R14" i="67"/>
  <c r="Z14" i="67"/>
  <c r="C14" i="67"/>
  <c r="K14" i="67"/>
  <c r="S14" i="67"/>
  <c r="AA14" i="67"/>
  <c r="V14" i="67"/>
  <c r="O14" i="67"/>
  <c r="AF14" i="67"/>
  <c r="D14" i="67"/>
  <c r="L14" i="67"/>
  <c r="T14" i="67"/>
  <c r="AD13" i="67"/>
  <c r="S12" i="67"/>
  <c r="AE12" i="67"/>
  <c r="H12" i="67"/>
  <c r="AB12" i="67"/>
  <c r="C12" i="67"/>
  <c r="F9" i="67"/>
  <c r="N9" i="67"/>
  <c r="V9" i="67"/>
  <c r="I9" i="67"/>
  <c r="J9" i="67"/>
  <c r="R9" i="67"/>
  <c r="Q9" i="67"/>
  <c r="C9" i="67"/>
  <c r="K9" i="67"/>
  <c r="AA9" i="67"/>
  <c r="Y9" i="67"/>
  <c r="D9" i="67"/>
  <c r="T9" i="67"/>
  <c r="I10" i="67"/>
  <c r="D8" i="67"/>
  <c r="AB8" i="67"/>
  <c r="I7" i="67"/>
  <c r="Z7" i="67"/>
  <c r="Y7" i="67"/>
  <c r="AF35" i="67"/>
  <c r="X35" i="67"/>
  <c r="Y35" i="67"/>
  <c r="P35" i="67"/>
  <c r="H35" i="67"/>
  <c r="W35" i="67"/>
  <c r="O35" i="67"/>
  <c r="G35" i="67"/>
  <c r="AB35" i="67"/>
  <c r="S35" i="67"/>
  <c r="K35" i="67"/>
  <c r="C35" i="67"/>
  <c r="Z35" i="67"/>
  <c r="L35" i="67"/>
  <c r="V35" i="67"/>
  <c r="J35" i="67"/>
  <c r="U35" i="67"/>
  <c r="I35" i="67"/>
  <c r="AC35" i="67"/>
  <c r="N35" i="67"/>
  <c r="AF43" i="67"/>
  <c r="X43" i="67"/>
  <c r="P43" i="67"/>
  <c r="H43" i="67"/>
  <c r="W43" i="67"/>
  <c r="N43" i="67"/>
  <c r="E43" i="67"/>
  <c r="AE43" i="67"/>
  <c r="V43" i="67"/>
  <c r="M43" i="67"/>
  <c r="D43" i="67"/>
  <c r="AA43" i="67"/>
  <c r="R43" i="67"/>
  <c r="I43" i="67"/>
  <c r="Y43" i="67"/>
  <c r="J43" i="67"/>
  <c r="U43" i="67"/>
  <c r="G43" i="67"/>
  <c r="T43" i="67"/>
  <c r="F43" i="67"/>
  <c r="AB43" i="67"/>
  <c r="L43" i="67"/>
  <c r="G10" i="67"/>
  <c r="T19" i="67"/>
  <c r="L27" i="67"/>
  <c r="AD27" i="67"/>
  <c r="D35" i="67"/>
  <c r="AD35" i="67"/>
  <c r="AC43" i="67"/>
  <c r="AA51" i="67"/>
  <c r="W59" i="67"/>
  <c r="Q67" i="67"/>
  <c r="L8" i="67"/>
  <c r="S8" i="67"/>
  <c r="G17" i="67"/>
  <c r="P17" i="67"/>
  <c r="AF17" i="67"/>
  <c r="V17" i="67"/>
  <c r="E25" i="67"/>
  <c r="I25" i="67"/>
  <c r="AB33" i="67"/>
  <c r="T33" i="67"/>
  <c r="D33" i="67"/>
  <c r="AA33" i="67"/>
  <c r="S33" i="67"/>
  <c r="C33" i="67"/>
  <c r="AE33" i="67"/>
  <c r="W33" i="67"/>
  <c r="G33" i="67"/>
  <c r="Y33" i="67"/>
  <c r="M33" i="67"/>
  <c r="J33" i="67"/>
  <c r="V33" i="67"/>
  <c r="I33" i="67"/>
  <c r="P33" i="67"/>
  <c r="AB41" i="67"/>
  <c r="O41" i="67"/>
  <c r="W41" i="67"/>
  <c r="I41" i="67"/>
  <c r="G41" i="67"/>
  <c r="Y41" i="67"/>
  <c r="J41" i="67"/>
  <c r="L49" i="67"/>
  <c r="D49" i="67"/>
  <c r="W49" i="67"/>
  <c r="E49" i="67"/>
  <c r="V49" i="67"/>
  <c r="M49" i="67"/>
  <c r="Q49" i="67"/>
  <c r="H49" i="67"/>
  <c r="S49" i="67"/>
  <c r="AD49" i="67"/>
  <c r="P49" i="67"/>
  <c r="I49" i="67"/>
  <c r="AB57" i="67"/>
  <c r="T57" i="67"/>
  <c r="L57" i="67"/>
  <c r="D57" i="67"/>
  <c r="AE57" i="67"/>
  <c r="V57" i="67"/>
  <c r="M57" i="67"/>
  <c r="C57" i="67"/>
  <c r="AD57" i="67"/>
  <c r="U57" i="67"/>
  <c r="K57" i="67"/>
  <c r="Y57" i="67"/>
  <c r="P57" i="67"/>
  <c r="G57" i="67"/>
  <c r="R57" i="67"/>
  <c r="E57" i="67"/>
  <c r="AF57" i="67"/>
  <c r="Q57" i="67"/>
  <c r="AC57" i="67"/>
  <c r="O57" i="67"/>
  <c r="W57" i="67"/>
  <c r="H57" i="67"/>
  <c r="AB65" i="67"/>
  <c r="T65" i="67"/>
  <c r="L65" i="67"/>
  <c r="D65" i="67"/>
  <c r="AD65" i="67"/>
  <c r="U65" i="67"/>
  <c r="K65" i="67"/>
  <c r="AC65" i="67"/>
  <c r="S65" i="67"/>
  <c r="J65" i="67"/>
  <c r="X65" i="67"/>
  <c r="O65" i="67"/>
  <c r="F65" i="67"/>
  <c r="AA65" i="67"/>
  <c r="N65" i="67"/>
  <c r="Z65" i="67"/>
  <c r="M65" i="67"/>
  <c r="Y65" i="67"/>
  <c r="I65" i="67"/>
  <c r="AF65" i="67"/>
  <c r="Q65" i="67"/>
  <c r="C65" i="67"/>
  <c r="E4" i="67"/>
  <c r="R4" i="67"/>
  <c r="R87" i="67"/>
  <c r="AC8" i="67"/>
  <c r="H10" i="67"/>
  <c r="J17" i="67"/>
  <c r="U19" i="67"/>
  <c r="M27" i="67"/>
  <c r="AF33" i="67"/>
  <c r="E35" i="67"/>
  <c r="AE35" i="67"/>
  <c r="AD43" i="67"/>
  <c r="AE44" i="67"/>
  <c r="AC51" i="67"/>
  <c r="N57" i="67"/>
  <c r="Y60" i="67"/>
  <c r="P65" i="67"/>
  <c r="U67" i="67"/>
  <c r="S69" i="67"/>
  <c r="AD75" i="67"/>
  <c r="AA27" i="67"/>
  <c r="S27" i="67"/>
  <c r="K27" i="67"/>
  <c r="C27" i="67"/>
  <c r="Y27" i="67"/>
  <c r="P27" i="67"/>
  <c r="G27" i="67"/>
  <c r="X27" i="67"/>
  <c r="O27" i="67"/>
  <c r="F27" i="67"/>
  <c r="AF27" i="67"/>
  <c r="W27" i="67"/>
  <c r="N27" i="67"/>
  <c r="E27" i="67"/>
  <c r="AB27" i="67"/>
  <c r="R27" i="67"/>
  <c r="I27" i="67"/>
  <c r="AF59" i="67"/>
  <c r="P59" i="67"/>
  <c r="H59" i="67"/>
  <c r="AD59" i="67"/>
  <c r="L59" i="67"/>
  <c r="C59" i="67"/>
  <c r="AC59" i="67"/>
  <c r="K59" i="67"/>
  <c r="Y59" i="67"/>
  <c r="O59" i="67"/>
  <c r="V59" i="67"/>
  <c r="G59" i="67"/>
  <c r="S59" i="67"/>
  <c r="R59" i="67"/>
  <c r="D59" i="67"/>
  <c r="Z59" i="67"/>
  <c r="AC12" i="67"/>
  <c r="U12" i="67"/>
  <c r="AF12" i="67"/>
  <c r="W12" i="67"/>
  <c r="N12" i="67"/>
  <c r="P12" i="67"/>
  <c r="G12" i="67"/>
  <c r="R36" i="67"/>
  <c r="J36" i="67"/>
  <c r="AE36" i="67"/>
  <c r="M36" i="67"/>
  <c r="D36" i="67"/>
  <c r="AD36" i="67"/>
  <c r="L36" i="67"/>
  <c r="C36" i="67"/>
  <c r="Y36" i="67"/>
  <c r="G36" i="67"/>
  <c r="X36" i="67"/>
  <c r="I36" i="67"/>
  <c r="H36" i="67"/>
  <c r="T36" i="67"/>
  <c r="F36" i="67"/>
  <c r="N36" i="67"/>
  <c r="Z52" i="67"/>
  <c r="AC52" i="67"/>
  <c r="T52" i="67"/>
  <c r="K52" i="67"/>
  <c r="I52" i="67"/>
  <c r="AF52" i="67"/>
  <c r="N52" i="67"/>
  <c r="X52" i="67"/>
  <c r="V52" i="67"/>
  <c r="G52" i="67"/>
  <c r="AA52" i="67"/>
  <c r="M52" i="67"/>
  <c r="X10" i="67"/>
  <c r="AC19" i="67"/>
  <c r="Q35" i="67"/>
  <c r="O36" i="67"/>
  <c r="O43" i="67"/>
  <c r="K51" i="67"/>
  <c r="I59" i="67"/>
  <c r="G60" i="67"/>
  <c r="G75" i="67"/>
  <c r="AD4" i="67"/>
  <c r="V4" i="67"/>
  <c r="N4" i="67"/>
  <c r="N87" i="67"/>
  <c r="F4" i="67"/>
  <c r="F87" i="67"/>
  <c r="Z4" i="67"/>
  <c r="Q4" i="67"/>
  <c r="Q87" i="67"/>
  <c r="H4" i="67"/>
  <c r="H87" i="67"/>
  <c r="AB4" i="67"/>
  <c r="S4" i="67"/>
  <c r="J4" i="67"/>
  <c r="J87" i="67"/>
  <c r="AB29" i="67"/>
  <c r="AA29" i="67"/>
  <c r="S29" i="67"/>
  <c r="C29" i="67"/>
  <c r="G29" i="67"/>
  <c r="AF29" i="67"/>
  <c r="AD29" i="67"/>
  <c r="E29" i="67"/>
  <c r="V29" i="67"/>
  <c r="I29" i="67"/>
  <c r="I53" i="67"/>
  <c r="AB77" i="67"/>
  <c r="T77" i="67"/>
  <c r="X77" i="67"/>
  <c r="O77" i="67"/>
  <c r="F77" i="67"/>
  <c r="N77" i="67"/>
  <c r="E77" i="67"/>
  <c r="V77" i="67"/>
  <c r="C77" i="67"/>
  <c r="Q77" i="67"/>
  <c r="H77" i="67"/>
  <c r="K77" i="67"/>
  <c r="AC77" i="67"/>
  <c r="J77" i="67"/>
  <c r="L4" i="67"/>
  <c r="X4" i="67"/>
  <c r="M8" i="67"/>
  <c r="X12" i="67"/>
  <c r="L19" i="67"/>
  <c r="F21" i="67"/>
  <c r="D27" i="67"/>
  <c r="V27" i="67"/>
  <c r="R33" i="67"/>
  <c r="R35" i="67"/>
  <c r="Q43" i="67"/>
  <c r="O52" i="67"/>
  <c r="AA57" i="67"/>
  <c r="L60" i="67"/>
  <c r="K61" i="67"/>
  <c r="AE65" i="67"/>
  <c r="Y77" i="67"/>
  <c r="AA19" i="67"/>
  <c r="S19" i="67"/>
  <c r="K19" i="67"/>
  <c r="C19" i="67"/>
  <c r="Y19" i="67"/>
  <c r="P19" i="67"/>
  <c r="G19" i="67"/>
  <c r="X19" i="67"/>
  <c r="O19" i="67"/>
  <c r="F19" i="67"/>
  <c r="AF19" i="67"/>
  <c r="W19" i="67"/>
  <c r="N19" i="67"/>
  <c r="E19" i="67"/>
  <c r="AB19" i="67"/>
  <c r="R19" i="67"/>
  <c r="I19" i="67"/>
  <c r="AF51" i="67"/>
  <c r="X51" i="67"/>
  <c r="P51" i="67"/>
  <c r="H51" i="67"/>
  <c r="AE51" i="67"/>
  <c r="V51" i="67"/>
  <c r="M51" i="67"/>
  <c r="D51" i="67"/>
  <c r="AD51" i="67"/>
  <c r="U51" i="67"/>
  <c r="L51" i="67"/>
  <c r="C51" i="67"/>
  <c r="Z51" i="67"/>
  <c r="Q51" i="67"/>
  <c r="G51" i="67"/>
  <c r="Y51" i="67"/>
  <c r="J51" i="67"/>
  <c r="W51" i="67"/>
  <c r="I51" i="67"/>
  <c r="T51" i="67"/>
  <c r="F51" i="67"/>
  <c r="AB51" i="67"/>
  <c r="N51" i="67"/>
  <c r="AF75" i="67"/>
  <c r="P75" i="67"/>
  <c r="H75" i="67"/>
  <c r="AC75" i="67"/>
  <c r="K75" i="67"/>
  <c r="AB75" i="67"/>
  <c r="S75" i="67"/>
  <c r="AA75" i="67"/>
  <c r="R75" i="67"/>
  <c r="I75" i="67"/>
  <c r="V75" i="67"/>
  <c r="M75" i="67"/>
  <c r="D75" i="67"/>
  <c r="C75" i="67"/>
  <c r="Q75" i="67"/>
  <c r="O75" i="67"/>
  <c r="F75" i="67"/>
  <c r="AC20" i="67"/>
  <c r="W20" i="67"/>
  <c r="AE20" i="67"/>
  <c r="T20" i="67"/>
  <c r="Y20" i="67"/>
  <c r="J44" i="67"/>
  <c r="AD44" i="67"/>
  <c r="K44" i="67"/>
  <c r="O44" i="67"/>
  <c r="S44" i="67"/>
  <c r="E44" i="67"/>
  <c r="R76" i="67"/>
  <c r="J76" i="67"/>
  <c r="Q76" i="67"/>
  <c r="G76" i="67"/>
  <c r="X76" i="67"/>
  <c r="AC76" i="67"/>
  <c r="K76" i="67"/>
  <c r="W76" i="67"/>
  <c r="E76" i="67"/>
  <c r="M76" i="67"/>
  <c r="J12" i="67"/>
  <c r="J19" i="67"/>
  <c r="U27" i="67"/>
  <c r="Q33" i="67"/>
  <c r="L52" i="67"/>
  <c r="AE21" i="67"/>
  <c r="W21" i="67"/>
  <c r="G21" i="67"/>
  <c r="AC21" i="67"/>
  <c r="T21" i="67"/>
  <c r="AB21" i="67"/>
  <c r="S21" i="67"/>
  <c r="J21" i="67"/>
  <c r="AA21" i="67"/>
  <c r="R21" i="67"/>
  <c r="I21" i="67"/>
  <c r="AF21" i="67"/>
  <c r="V21" i="67"/>
  <c r="M21" i="67"/>
  <c r="D21" i="67"/>
  <c r="T45" i="67"/>
  <c r="L45" i="67"/>
  <c r="AA45" i="67"/>
  <c r="I45" i="67"/>
  <c r="Q45" i="67"/>
  <c r="H45" i="67"/>
  <c r="M45" i="67"/>
  <c r="C45" i="67"/>
  <c r="W45" i="67"/>
  <c r="F45" i="67"/>
  <c r="S45" i="67"/>
  <c r="Y45" i="67"/>
  <c r="AB69" i="67"/>
  <c r="T69" i="67"/>
  <c r="L69" i="67"/>
  <c r="D69" i="67"/>
  <c r="X69" i="67"/>
  <c r="O69" i="67"/>
  <c r="F69" i="67"/>
  <c r="AF69" i="67"/>
  <c r="W69" i="67"/>
  <c r="N69" i="67"/>
  <c r="E69" i="67"/>
  <c r="AA69" i="67"/>
  <c r="R69" i="67"/>
  <c r="I69" i="67"/>
  <c r="AC69" i="67"/>
  <c r="M69" i="67"/>
  <c r="Z69" i="67"/>
  <c r="K69" i="67"/>
  <c r="Y69" i="67"/>
  <c r="J69" i="67"/>
  <c r="AE69" i="67"/>
  <c r="Q69" i="67"/>
  <c r="M4" i="67"/>
  <c r="Y4" i="67"/>
  <c r="Z12" i="67"/>
  <c r="T17" i="67"/>
  <c r="M19" i="67"/>
  <c r="AE19" i="67"/>
  <c r="H21" i="67"/>
  <c r="Z21" i="67"/>
  <c r="L25" i="67"/>
  <c r="H27" i="67"/>
  <c r="Z27" i="67"/>
  <c r="H29" i="67"/>
  <c r="U33" i="67"/>
  <c r="T35" i="67"/>
  <c r="S36" i="67"/>
  <c r="M41" i="67"/>
  <c r="S43" i="67"/>
  <c r="P45" i="67"/>
  <c r="J49" i="67"/>
  <c r="R51" i="67"/>
  <c r="P52" i="67"/>
  <c r="F57" i="67"/>
  <c r="N59" i="67"/>
  <c r="E65" i="67"/>
  <c r="G69" i="67"/>
  <c r="N75" i="67"/>
  <c r="AA77" i="67"/>
  <c r="Q10" i="67"/>
  <c r="O10" i="67"/>
  <c r="W10" i="67"/>
  <c r="AF67" i="67"/>
  <c r="X67" i="67"/>
  <c r="H67" i="67"/>
  <c r="AC67" i="67"/>
  <c r="T67" i="67"/>
  <c r="AB67" i="67"/>
  <c r="S67" i="67"/>
  <c r="J67" i="67"/>
  <c r="N67" i="67"/>
  <c r="E67" i="67"/>
  <c r="AD67" i="67"/>
  <c r="AA67" i="67"/>
  <c r="M67" i="67"/>
  <c r="Z67" i="67"/>
  <c r="R67" i="67"/>
  <c r="D67" i="67"/>
  <c r="P10" i="67"/>
  <c r="H19" i="67"/>
  <c r="Z19" i="67"/>
  <c r="T27" i="67"/>
  <c r="M35" i="67"/>
  <c r="K43" i="67"/>
  <c r="E51" i="67"/>
  <c r="AE59" i="67"/>
  <c r="Y67" i="67"/>
  <c r="E75" i="67"/>
  <c r="AA10" i="67"/>
  <c r="M28" i="67"/>
  <c r="V28" i="67"/>
  <c r="Z60" i="67"/>
  <c r="R60" i="67"/>
  <c r="J60" i="67"/>
  <c r="AB60" i="67"/>
  <c r="S60" i="67"/>
  <c r="I60" i="67"/>
  <c r="AA60" i="67"/>
  <c r="Q60" i="67"/>
  <c r="H60" i="67"/>
  <c r="AE60" i="67"/>
  <c r="V60" i="67"/>
  <c r="M60" i="67"/>
  <c r="D60" i="67"/>
  <c r="U60" i="67"/>
  <c r="F60" i="67"/>
  <c r="T60" i="67"/>
  <c r="E60" i="67"/>
  <c r="AF60" i="67"/>
  <c r="P60" i="67"/>
  <c r="C60" i="67"/>
  <c r="X60" i="67"/>
  <c r="K60" i="67"/>
  <c r="O13" i="67"/>
  <c r="T37" i="67"/>
  <c r="S37" i="67"/>
  <c r="J37" i="67"/>
  <c r="AF37" i="67"/>
  <c r="W37" i="67"/>
  <c r="H37" i="67"/>
  <c r="G37" i="67"/>
  <c r="M37" i="67"/>
  <c r="AB61" i="67"/>
  <c r="T61" i="67"/>
  <c r="D61" i="67"/>
  <c r="Y61" i="67"/>
  <c r="P61" i="67"/>
  <c r="X61" i="67"/>
  <c r="O61" i="67"/>
  <c r="F61" i="67"/>
  <c r="S61" i="67"/>
  <c r="J61" i="67"/>
  <c r="U61" i="67"/>
  <c r="AF61" i="67"/>
  <c r="R61" i="67"/>
  <c r="C61" i="67"/>
  <c r="Q61" i="67"/>
  <c r="W61" i="67"/>
  <c r="I61" i="67"/>
  <c r="AE10" i="67"/>
  <c r="L12" i="67"/>
  <c r="C4" i="67"/>
  <c r="O4" i="67"/>
  <c r="AA4" i="67"/>
  <c r="AA8" i="67"/>
  <c r="AF10" i="67"/>
  <c r="AA12" i="67"/>
  <c r="U17" i="67"/>
  <c r="Q19" i="67"/>
  <c r="L21" i="67"/>
  <c r="AD21" i="67"/>
  <c r="Q25" i="67"/>
  <c r="J27" i="67"/>
  <c r="AC27" i="67"/>
  <c r="J29" i="67"/>
  <c r="Z33" i="67"/>
  <c r="AA35" i="67"/>
  <c r="AA36" i="67"/>
  <c r="Y37" i="67"/>
  <c r="Z43" i="67"/>
  <c r="X45" i="67"/>
  <c r="S51" i="67"/>
  <c r="Q52" i="67"/>
  <c r="I57" i="67"/>
  <c r="Q59" i="67"/>
  <c r="O60" i="67"/>
  <c r="N61" i="67"/>
  <c r="G65" i="67"/>
  <c r="I67" i="67"/>
  <c r="H69" i="67"/>
  <c r="W75" i="67"/>
  <c r="AD76" i="67"/>
  <c r="AB73" i="67"/>
  <c r="T73" i="67"/>
  <c r="L73" i="67"/>
  <c r="D73" i="67"/>
  <c r="AD73" i="67"/>
  <c r="U73" i="67"/>
  <c r="K73" i="67"/>
  <c r="AC73" i="67"/>
  <c r="S73" i="67"/>
  <c r="J73" i="67"/>
  <c r="AA73" i="67"/>
  <c r="R73" i="67"/>
  <c r="I73" i="67"/>
  <c r="AF73" i="67"/>
  <c r="W73" i="67"/>
  <c r="N73" i="67"/>
  <c r="E73" i="67"/>
  <c r="O73" i="67"/>
  <c r="F73" i="67"/>
  <c r="X73" i="67"/>
  <c r="G73" i="67"/>
  <c r="Y73" i="67"/>
  <c r="H73" i="67"/>
  <c r="Z73" i="67"/>
  <c r="O5" i="67"/>
  <c r="O87" i="67"/>
  <c r="W5" i="67"/>
  <c r="AE5" i="67"/>
  <c r="I6" i="67"/>
  <c r="S7" i="67"/>
  <c r="AA7" i="67"/>
  <c r="J5" i="67"/>
  <c r="R5" i="67"/>
  <c r="Z5" i="67"/>
  <c r="Z87" i="67"/>
  <c r="D6" i="67"/>
  <c r="F7" i="67"/>
  <c r="N7" i="67"/>
  <c r="H8" i="67"/>
  <c r="P8" i="67"/>
  <c r="AF8" i="67"/>
  <c r="D10" i="67"/>
  <c r="L10" i="67"/>
  <c r="T10" i="67"/>
  <c r="AB10" i="67"/>
  <c r="C5" i="67"/>
  <c r="K5" i="67"/>
  <c r="S5" i="67"/>
  <c r="AA5" i="67"/>
  <c r="AA87" i="67"/>
  <c r="AC6" i="67"/>
  <c r="G7" i="67"/>
  <c r="AE7" i="67"/>
  <c r="I8" i="67"/>
  <c r="Q8" i="67"/>
  <c r="E10" i="67"/>
  <c r="M10" i="67"/>
  <c r="U10" i="67"/>
  <c r="AC10" i="67"/>
  <c r="D5" i="67"/>
  <c r="L5" i="67"/>
  <c r="L87" i="67"/>
  <c r="T5" i="67"/>
  <c r="AB5" i="67"/>
  <c r="V6" i="67"/>
  <c r="H7" i="67"/>
  <c r="X7" i="67"/>
  <c r="J8" i="67"/>
  <c r="R8" i="67"/>
  <c r="Z8" i="67"/>
  <c r="F10" i="67"/>
  <c r="N10" i="67"/>
  <c r="V10" i="67"/>
  <c r="AD10" i="67"/>
  <c r="M5" i="67"/>
  <c r="AC5" i="67"/>
  <c r="O6" i="67"/>
  <c r="F5" i="67"/>
  <c r="V5" i="67"/>
  <c r="H6" i="67"/>
  <c r="C7" i="67"/>
  <c r="E5" i="67"/>
  <c r="E87" i="67"/>
  <c r="U5" i="67"/>
  <c r="U87" i="67"/>
  <c r="H5" i="67"/>
  <c r="P5" i="67"/>
  <c r="X5" i="67"/>
  <c r="AF5" i="67"/>
  <c r="R6" i="67"/>
  <c r="D7" i="67"/>
  <c r="T7" i="67"/>
  <c r="F8" i="67"/>
  <c r="N8" i="67"/>
  <c r="V8" i="67"/>
  <c r="J10" i="67"/>
  <c r="R10" i="67"/>
  <c r="Z10" i="67"/>
  <c r="I5" i="67"/>
  <c r="Q5" i="67"/>
  <c r="Y5" i="67"/>
  <c r="C6" i="67"/>
  <c r="E7" i="67"/>
  <c r="U7" i="67"/>
  <c r="G8" i="67"/>
  <c r="O8" i="67"/>
  <c r="C10" i="67"/>
  <c r="K10" i="67"/>
  <c r="S10" i="67"/>
  <c r="N5" i="67"/>
  <c r="AD5" i="67"/>
  <c r="AD87" i="67"/>
  <c r="H11" i="67"/>
  <c r="P11" i="67"/>
  <c r="AF11" i="67"/>
  <c r="K11" i="67"/>
  <c r="D11" i="67"/>
  <c r="G11" i="67"/>
  <c r="O11" i="67"/>
  <c r="W11" i="67"/>
  <c r="I11" i="67"/>
  <c r="Q11" i="67"/>
  <c r="Y11" i="67"/>
  <c r="AB11" i="67"/>
  <c r="J11" i="67"/>
  <c r="R11" i="67"/>
  <c r="C11" i="67"/>
  <c r="AA11" i="67"/>
  <c r="L11" i="67"/>
  <c r="M11" i="67"/>
  <c r="U11" i="67"/>
  <c r="AC11" i="67"/>
  <c r="N11" i="67"/>
  <c r="V11" i="67"/>
  <c r="A2" i="67"/>
  <c r="AC87" i="67"/>
  <c r="D87" i="67"/>
  <c r="AE87" i="67"/>
  <c r="X87" i="67"/>
  <c r="T87" i="67"/>
  <c r="K87" i="67"/>
  <c r="C87" i="67"/>
  <c r="AF87" i="67"/>
  <c r="M87" i="67"/>
  <c r="AB87" i="67"/>
  <c r="Y87" i="67"/>
  <c r="V87" i="67"/>
  <c r="S87" i="67"/>
  <c r="A1" i="60"/>
  <c r="A1" i="33"/>
  <c r="A1" i="66"/>
  <c r="AC13" i="65"/>
  <c r="Z13" i="65"/>
  <c r="W13" i="65"/>
  <c r="T13" i="65"/>
  <c r="Q13" i="65"/>
  <c r="N13" i="65"/>
  <c r="K13" i="65"/>
  <c r="H13" i="65"/>
  <c r="E13" i="65"/>
  <c r="O91" i="66"/>
  <c r="N91" i="66"/>
  <c r="L91" i="66"/>
  <c r="J91" i="66"/>
  <c r="O85" i="66"/>
  <c r="N85" i="66"/>
  <c r="G85" i="66"/>
  <c r="M85" i="66"/>
  <c r="L85" i="66"/>
  <c r="E85" i="66"/>
  <c r="K85" i="66"/>
  <c r="J85" i="66"/>
  <c r="D85" i="66"/>
  <c r="AF82" i="66"/>
  <c r="AE82" i="66"/>
  <c r="X82" i="66"/>
  <c r="AD82" i="66"/>
  <c r="W82" i="66"/>
  <c r="AC82" i="66"/>
  <c r="V82" i="66"/>
  <c r="AB82" i="66"/>
  <c r="U82" i="66"/>
  <c r="AA82" i="66"/>
  <c r="T82" i="66"/>
  <c r="AF75" i="66"/>
  <c r="Y75" i="66"/>
  <c r="AE75" i="66"/>
  <c r="X75" i="66"/>
  <c r="AD75" i="66"/>
  <c r="W75" i="66"/>
  <c r="AC75" i="66"/>
  <c r="V75" i="66"/>
  <c r="AB75" i="66"/>
  <c r="U75" i="66"/>
  <c r="AA75" i="66"/>
  <c r="T75" i="66"/>
  <c r="O72" i="66"/>
  <c r="H72" i="66"/>
  <c r="N72" i="66"/>
  <c r="M72" i="66"/>
  <c r="F72" i="66"/>
  <c r="L72" i="66"/>
  <c r="K72" i="66"/>
  <c r="K90" i="66"/>
  <c r="K92" i="66"/>
  <c r="J72" i="66"/>
  <c r="C72" i="66"/>
  <c r="AF66" i="66"/>
  <c r="Y66" i="66"/>
  <c r="AE66" i="66"/>
  <c r="AD66" i="66"/>
  <c r="W66" i="66"/>
  <c r="AC66" i="66"/>
  <c r="V66" i="66"/>
  <c r="AB66" i="66"/>
  <c r="AA66" i="66"/>
  <c r="T66" i="66"/>
  <c r="O59" i="66"/>
  <c r="H59" i="66"/>
  <c r="N59" i="66"/>
  <c r="G59" i="66"/>
  <c r="M59" i="66"/>
  <c r="F59" i="66"/>
  <c r="L59" i="66"/>
  <c r="E59" i="66"/>
  <c r="K59" i="66"/>
  <c r="D59" i="66"/>
  <c r="J59" i="66"/>
  <c r="C59" i="66"/>
  <c r="AF58" i="66"/>
  <c r="Y58" i="66"/>
  <c r="AE58" i="66"/>
  <c r="X58" i="66"/>
  <c r="AD58" i="66"/>
  <c r="AD90" i="66"/>
  <c r="W58" i="66"/>
  <c r="AC58" i="66"/>
  <c r="V58" i="66"/>
  <c r="AB58" i="66"/>
  <c r="U58" i="66"/>
  <c r="AA58" i="66"/>
  <c r="T58" i="66"/>
  <c r="O50" i="66"/>
  <c r="H50" i="66"/>
  <c r="N50" i="66"/>
  <c r="G50" i="66"/>
  <c r="M50" i="66"/>
  <c r="F50" i="66"/>
  <c r="L50" i="66"/>
  <c r="E50" i="66"/>
  <c r="K50" i="66"/>
  <c r="D50" i="66"/>
  <c r="J50" i="66"/>
  <c r="C50" i="66"/>
  <c r="AF50" i="66"/>
  <c r="Y50" i="66"/>
  <c r="AE50" i="66"/>
  <c r="X50" i="66"/>
  <c r="AD50" i="66"/>
  <c r="W50" i="66"/>
  <c r="AC50" i="66"/>
  <c r="V50" i="66"/>
  <c r="AB50" i="66"/>
  <c r="U50" i="66"/>
  <c r="AA50" i="66"/>
  <c r="T50" i="66"/>
  <c r="O41" i="66"/>
  <c r="H41" i="66"/>
  <c r="N41" i="66"/>
  <c r="G41" i="66"/>
  <c r="M41" i="66"/>
  <c r="F41" i="66"/>
  <c r="L41" i="66"/>
  <c r="E41" i="66"/>
  <c r="K41" i="66"/>
  <c r="D41" i="66"/>
  <c r="J41" i="66"/>
  <c r="C41" i="66"/>
  <c r="AF40" i="66"/>
  <c r="Y40" i="66"/>
  <c r="AE40" i="66"/>
  <c r="X40" i="66"/>
  <c r="AD40" i="66"/>
  <c r="W40" i="66"/>
  <c r="AC40" i="66"/>
  <c r="V40" i="66"/>
  <c r="AB40" i="66"/>
  <c r="U40" i="66"/>
  <c r="AA40" i="66"/>
  <c r="T40" i="66"/>
  <c r="O35" i="66"/>
  <c r="H35" i="66"/>
  <c r="N35" i="66"/>
  <c r="G35" i="66"/>
  <c r="M35" i="66"/>
  <c r="F35" i="66"/>
  <c r="L35" i="66"/>
  <c r="E35" i="66"/>
  <c r="K35" i="66"/>
  <c r="D35" i="66"/>
  <c r="J35" i="66"/>
  <c r="C35" i="66"/>
  <c r="AF30" i="66"/>
  <c r="Y30" i="66"/>
  <c r="AE30" i="66"/>
  <c r="X30" i="66"/>
  <c r="AD30" i="66"/>
  <c r="W30" i="66"/>
  <c r="AC30" i="66"/>
  <c r="V30" i="66"/>
  <c r="AB30" i="66"/>
  <c r="U30" i="66"/>
  <c r="AA30" i="66"/>
  <c r="T30" i="66"/>
  <c r="O27" i="66"/>
  <c r="H27" i="66"/>
  <c r="N27" i="66"/>
  <c r="G27" i="66"/>
  <c r="M27" i="66"/>
  <c r="F27" i="66"/>
  <c r="L27" i="66"/>
  <c r="E27" i="66"/>
  <c r="K27" i="66"/>
  <c r="D27" i="66"/>
  <c r="J27" i="66"/>
  <c r="C27" i="66"/>
  <c r="O21" i="66"/>
  <c r="H21" i="66"/>
  <c r="N21" i="66"/>
  <c r="G21" i="66"/>
  <c r="M21" i="66"/>
  <c r="F21" i="66"/>
  <c r="L21" i="66"/>
  <c r="K21" i="66"/>
  <c r="D21" i="66"/>
  <c r="J21" i="66"/>
  <c r="C21" i="66"/>
  <c r="E21" i="66"/>
  <c r="AF21" i="66"/>
  <c r="Y21" i="66"/>
  <c r="AE21" i="66"/>
  <c r="X21" i="66"/>
  <c r="AD21" i="66"/>
  <c r="W21" i="66"/>
  <c r="AC21" i="66"/>
  <c r="V21" i="66"/>
  <c r="AB21" i="66"/>
  <c r="AA21" i="66"/>
  <c r="T21" i="66"/>
  <c r="U21" i="66"/>
  <c r="AG4" i="65"/>
  <c r="E4" i="65"/>
  <c r="E16" i="65"/>
  <c r="E15" i="65"/>
  <c r="E14" i="65"/>
  <c r="E12" i="65"/>
  <c r="E11" i="65"/>
  <c r="E10" i="65"/>
  <c r="E9" i="65"/>
  <c r="E8" i="65"/>
  <c r="E7" i="65"/>
  <c r="E6" i="65"/>
  <c r="E5" i="65"/>
  <c r="AC4" i="65"/>
  <c r="Z4" i="65"/>
  <c r="W4" i="65"/>
  <c r="T4" i="65"/>
  <c r="AF6" i="65"/>
  <c r="Q4" i="65"/>
  <c r="AG5" i="65"/>
  <c r="N4" i="65"/>
  <c r="K4" i="65"/>
  <c r="H4" i="65"/>
  <c r="H16" i="65"/>
  <c r="H15" i="65"/>
  <c r="H14" i="65"/>
  <c r="H12" i="65"/>
  <c r="H11" i="65"/>
  <c r="H10" i="65"/>
  <c r="H9" i="65"/>
  <c r="H8" i="65"/>
  <c r="H7" i="65"/>
  <c r="K16" i="65"/>
  <c r="K15" i="65"/>
  <c r="K14" i="65"/>
  <c r="K12" i="65"/>
  <c r="K11" i="65"/>
  <c r="K10" i="65"/>
  <c r="K9" i="65"/>
  <c r="K8" i="65"/>
  <c r="K7" i="65"/>
  <c r="N16" i="65"/>
  <c r="N15" i="65"/>
  <c r="N14" i="65"/>
  <c r="N12" i="65"/>
  <c r="N11" i="65"/>
  <c r="N10" i="65"/>
  <c r="N9" i="65"/>
  <c r="N8" i="65"/>
  <c r="N7" i="65"/>
  <c r="Q16" i="65"/>
  <c r="Q15" i="65"/>
  <c r="Q14" i="65"/>
  <c r="Q12" i="65"/>
  <c r="Q11" i="65"/>
  <c r="Q10" i="65"/>
  <c r="Q9" i="65"/>
  <c r="Q8" i="65"/>
  <c r="Q7" i="65"/>
  <c r="AC16" i="65"/>
  <c r="AC15" i="65"/>
  <c r="AC14" i="65"/>
  <c r="AC12" i="65"/>
  <c r="AC11" i="65"/>
  <c r="AC10" i="65"/>
  <c r="AC9" i="65"/>
  <c r="AC8" i="65"/>
  <c r="AC7" i="65"/>
  <c r="Z16" i="65"/>
  <c r="Z15" i="65"/>
  <c r="Z14" i="65"/>
  <c r="Z12" i="65"/>
  <c r="Z11" i="65"/>
  <c r="Z10" i="65"/>
  <c r="Z9" i="65"/>
  <c r="Z8" i="65"/>
  <c r="Z7" i="65"/>
  <c r="W16" i="65"/>
  <c r="W15" i="65"/>
  <c r="W14" i="65"/>
  <c r="W12" i="65"/>
  <c r="W11" i="65"/>
  <c r="W10" i="65"/>
  <c r="W9" i="65"/>
  <c r="W8" i="65"/>
  <c r="W7" i="65"/>
  <c r="T16" i="65"/>
  <c r="T15" i="65"/>
  <c r="T14" i="65"/>
  <c r="T12" i="65"/>
  <c r="T11" i="65"/>
  <c r="T10" i="65"/>
  <c r="T9" i="65"/>
  <c r="T8" i="65"/>
  <c r="T7" i="65"/>
  <c r="AC6" i="65"/>
  <c r="Z6" i="65"/>
  <c r="W6" i="65"/>
  <c r="T6" i="65"/>
  <c r="Q6" i="65"/>
  <c r="N6" i="65"/>
  <c r="K6" i="65"/>
  <c r="H6" i="65"/>
  <c r="AC5" i="65"/>
  <c r="Z5" i="65"/>
  <c r="W5" i="65"/>
  <c r="T5" i="65"/>
  <c r="Q5" i="65"/>
  <c r="N5" i="65"/>
  <c r="K5" i="65"/>
  <c r="H5" i="65"/>
  <c r="O90" i="66"/>
  <c r="O92" i="66"/>
  <c r="H85" i="66"/>
  <c r="E72" i="66"/>
  <c r="G72" i="66"/>
  <c r="AD62" i="63"/>
  <c r="AD61" i="63"/>
  <c r="AD60" i="63"/>
  <c r="AD59" i="63"/>
  <c r="AD58" i="63"/>
  <c r="AD57" i="63"/>
  <c r="AD56" i="63"/>
  <c r="AD55" i="63"/>
  <c r="AD54" i="63"/>
  <c r="AD53" i="63"/>
  <c r="AD52" i="63"/>
  <c r="AD51" i="63"/>
  <c r="AD50" i="63"/>
  <c r="AD49" i="63"/>
  <c r="AD48" i="63"/>
  <c r="AD47" i="63"/>
  <c r="AD46" i="63"/>
  <c r="AD45" i="63"/>
  <c r="AD44" i="63"/>
  <c r="AD43" i="63"/>
  <c r="AD42" i="63"/>
  <c r="AD41" i="63"/>
  <c r="AD40" i="63"/>
  <c r="AD39" i="63"/>
  <c r="AD38" i="63"/>
  <c r="AD37" i="63"/>
  <c r="AD36" i="63"/>
  <c r="AD35" i="63"/>
  <c r="AD34" i="63"/>
  <c r="AD33" i="63"/>
  <c r="AD32" i="63"/>
  <c r="AD31" i="63"/>
  <c r="AD30" i="63"/>
  <c r="AD29" i="63"/>
  <c r="AD28" i="63"/>
  <c r="AD27" i="63"/>
  <c r="AD26" i="63"/>
  <c r="AD25" i="63"/>
  <c r="AD24" i="63"/>
  <c r="AD23" i="63"/>
  <c r="AD22" i="63"/>
  <c r="AD21" i="63"/>
  <c r="AD20" i="63"/>
  <c r="AD19" i="63"/>
  <c r="AD18" i="63"/>
  <c r="AD17" i="63"/>
  <c r="AD16" i="63"/>
  <c r="AD15" i="63"/>
  <c r="AD14" i="63"/>
  <c r="AD13" i="63"/>
  <c r="AD11" i="63"/>
  <c r="AD10" i="63"/>
  <c r="AD9" i="63"/>
  <c r="AD8" i="63"/>
  <c r="AD7" i="63"/>
  <c r="AD6" i="63"/>
  <c r="AD5" i="63"/>
  <c r="AD4" i="63"/>
  <c r="AD3" i="63"/>
  <c r="AD12" i="63"/>
  <c r="AC62" i="63"/>
  <c r="AC61" i="63"/>
  <c r="AC60" i="63"/>
  <c r="AC59" i="63"/>
  <c r="AC58" i="63"/>
  <c r="AC57" i="63"/>
  <c r="AC56" i="63"/>
  <c r="AC55" i="63"/>
  <c r="AC54" i="63"/>
  <c r="AC53" i="63"/>
  <c r="AC52" i="63"/>
  <c r="AC51" i="63"/>
  <c r="AC50" i="63"/>
  <c r="AC49" i="63"/>
  <c r="AC48" i="63"/>
  <c r="AC47" i="63"/>
  <c r="AC46" i="63"/>
  <c r="AC45" i="63"/>
  <c r="AC44" i="63"/>
  <c r="AC43" i="63"/>
  <c r="AC42" i="63"/>
  <c r="AC41" i="63"/>
  <c r="AC40" i="63"/>
  <c r="AC39" i="63"/>
  <c r="AC38" i="63"/>
  <c r="AC37" i="63"/>
  <c r="AC36" i="63"/>
  <c r="AC35" i="63"/>
  <c r="AC34" i="63"/>
  <c r="AC33" i="63"/>
  <c r="AC32" i="63"/>
  <c r="AC31" i="63"/>
  <c r="AC30" i="63"/>
  <c r="AC29" i="63"/>
  <c r="AC28" i="63"/>
  <c r="AC27" i="63"/>
  <c r="AC26" i="63"/>
  <c r="AC25" i="63"/>
  <c r="AC24" i="63"/>
  <c r="AC23" i="63"/>
  <c r="AC22" i="63"/>
  <c r="AC21" i="63"/>
  <c r="AC20" i="63"/>
  <c r="AC19" i="63"/>
  <c r="AC18" i="63"/>
  <c r="AC17" i="63"/>
  <c r="AC16" i="63"/>
  <c r="AC15" i="63"/>
  <c r="AC14" i="63"/>
  <c r="AC13" i="63"/>
  <c r="AC11" i="63"/>
  <c r="AC10" i="63"/>
  <c r="AC9" i="63"/>
  <c r="AC8" i="63"/>
  <c r="AC7" i="63"/>
  <c r="AC6" i="63"/>
  <c r="AC5" i="63"/>
  <c r="AC4" i="63"/>
  <c r="AC3" i="63"/>
  <c r="AC12" i="63"/>
  <c r="D40" i="61"/>
  <c r="D41" i="61"/>
  <c r="D42" i="61"/>
  <c r="D43" i="61"/>
  <c r="D44" i="61"/>
  <c r="D45" i="61"/>
  <c r="D28" i="61"/>
  <c r="B35" i="61"/>
  <c r="D29" i="61"/>
  <c r="D30" i="61"/>
  <c r="D31" i="61"/>
  <c r="D32" i="61"/>
  <c r="D33" i="61"/>
  <c r="D15" i="61"/>
  <c r="D16" i="61"/>
  <c r="D17" i="61"/>
  <c r="D18" i="61"/>
  <c r="D19" i="61"/>
  <c r="D20" i="61"/>
  <c r="B22" i="61"/>
  <c r="D8" i="61"/>
  <c r="D7" i="61"/>
  <c r="D6" i="61"/>
  <c r="D5" i="61"/>
  <c r="B10" i="61"/>
  <c r="D4" i="61"/>
  <c r="D3" i="61"/>
  <c r="I214" i="60"/>
  <c r="W51" i="63"/>
  <c r="W39" i="63"/>
  <c r="W27" i="63"/>
  <c r="W15" i="63"/>
  <c r="W3" i="63"/>
  <c r="I194" i="60"/>
  <c r="G269" i="60"/>
  <c r="E269" i="60"/>
  <c r="D269" i="60"/>
  <c r="H269" i="60"/>
  <c r="C269" i="60"/>
  <c r="G261" i="60"/>
  <c r="E261" i="60"/>
  <c r="D261" i="60"/>
  <c r="H261" i="60"/>
  <c r="C261" i="60"/>
  <c r="G253" i="60"/>
  <c r="E253" i="60"/>
  <c r="D253" i="60"/>
  <c r="H253" i="60"/>
  <c r="C253" i="60"/>
  <c r="G213" i="60"/>
  <c r="E213" i="60"/>
  <c r="D213" i="60"/>
  <c r="F213" i="60"/>
  <c r="H213" i="60"/>
  <c r="C213" i="60"/>
  <c r="G235" i="60"/>
  <c r="E235" i="60"/>
  <c r="D235" i="60"/>
  <c r="H235" i="60"/>
  <c r="C235" i="60"/>
  <c r="G193" i="60"/>
  <c r="E193" i="60"/>
  <c r="D193" i="60"/>
  <c r="F193" i="60"/>
  <c r="C193" i="60"/>
  <c r="G129" i="60"/>
  <c r="E129" i="60"/>
  <c r="D129" i="60"/>
  <c r="F129" i="60"/>
  <c r="C129" i="60"/>
  <c r="G80" i="60"/>
  <c r="E80" i="60"/>
  <c r="D80" i="60"/>
  <c r="H80" i="60"/>
  <c r="F80" i="60"/>
  <c r="C80" i="60"/>
  <c r="F269" i="60"/>
  <c r="F261" i="60"/>
  <c r="F253" i="60"/>
  <c r="F235" i="60"/>
  <c r="H193" i="60"/>
  <c r="H129" i="60"/>
  <c r="G3" i="60"/>
  <c r="E3" i="60"/>
  <c r="D3" i="60"/>
  <c r="F3" i="60"/>
  <c r="C3" i="60"/>
  <c r="H3" i="60"/>
  <c r="H28" i="33"/>
  <c r="I28" i="33"/>
  <c r="J28" i="33"/>
  <c r="K28" i="33"/>
  <c r="L28" i="33"/>
  <c r="M28" i="33"/>
  <c r="N28" i="33"/>
  <c r="O28" i="33"/>
  <c r="P28" i="33"/>
  <c r="Q28" i="33"/>
  <c r="R28" i="33"/>
  <c r="S28" i="33"/>
  <c r="T28" i="33"/>
  <c r="U28" i="33"/>
  <c r="V28" i="33"/>
  <c r="W28" i="33"/>
  <c r="X28" i="33"/>
  <c r="Y28" i="33"/>
  <c r="AA28" i="33"/>
  <c r="AB28" i="33"/>
  <c r="C28" i="33"/>
  <c r="D28" i="33"/>
  <c r="E28" i="33"/>
  <c r="F28" i="33"/>
  <c r="AA21" i="33"/>
  <c r="AB21" i="33"/>
  <c r="B43" i="15"/>
  <c r="B42" i="15"/>
  <c r="C42" i="15"/>
  <c r="C44" i="15"/>
  <c r="C43" i="15"/>
  <c r="S4" i="63"/>
  <c r="S40" i="63"/>
  <c r="N197" i="60"/>
  <c r="M148" i="60"/>
  <c r="K167" i="60"/>
  <c r="N89" i="60"/>
  <c r="N83" i="60"/>
  <c r="AE34" i="63"/>
  <c r="K205" i="60"/>
  <c r="K207" i="60"/>
  <c r="J270" i="60"/>
  <c r="B270" i="60"/>
  <c r="M103" i="60"/>
  <c r="N221" i="60"/>
  <c r="S52" i="63"/>
  <c r="M85" i="60"/>
  <c r="M99" i="60"/>
  <c r="K103" i="60"/>
  <c r="I46" i="60"/>
  <c r="K101" i="60"/>
  <c r="M159" i="60"/>
  <c r="K175" i="60"/>
  <c r="I216" i="60"/>
  <c r="K111" i="60"/>
  <c r="N227" i="60"/>
  <c r="G270" i="60"/>
  <c r="F130" i="60"/>
  <c r="K215" i="60"/>
  <c r="C130" i="60"/>
  <c r="M199" i="60"/>
  <c r="I196" i="60"/>
  <c r="K159" i="60"/>
  <c r="E130" i="60"/>
  <c r="M89" i="60"/>
  <c r="H4" i="60"/>
  <c r="K169" i="60"/>
  <c r="B194" i="60"/>
  <c r="U16" i="63"/>
  <c r="D130" i="60"/>
  <c r="N207" i="60"/>
  <c r="A194" i="60"/>
  <c r="N215" i="60"/>
  <c r="K181" i="60"/>
  <c r="S5" i="63"/>
  <c r="M167" i="60"/>
  <c r="J214" i="60"/>
  <c r="B130" i="60"/>
  <c r="K95" i="60"/>
  <c r="V40" i="63"/>
  <c r="J254" i="60"/>
  <c r="E270" i="60"/>
  <c r="U40" i="63"/>
  <c r="T10" i="63"/>
  <c r="I195" i="60"/>
  <c r="M138" i="60"/>
  <c r="M97" i="60"/>
  <c r="M201" i="60"/>
  <c r="T11" i="63"/>
  <c r="J255" i="60"/>
  <c r="F262" i="60"/>
  <c r="F263" i="60"/>
  <c r="D131" i="60"/>
  <c r="D262" i="60"/>
  <c r="D4" i="60"/>
  <c r="J4" i="60"/>
  <c r="E236" i="60"/>
  <c r="D214" i="60"/>
  <c r="C236" i="60"/>
  <c r="F131" i="60"/>
  <c r="A4" i="60"/>
  <c r="G262" i="60"/>
  <c r="G236" i="60"/>
  <c r="G263" i="60"/>
  <c r="D5" i="60"/>
  <c r="E237" i="60"/>
  <c r="D6" i="60"/>
  <c r="E238" i="60"/>
  <c r="E239" i="60"/>
  <c r="D7" i="60"/>
  <c r="E240" i="60"/>
  <c r="B41" i="15"/>
  <c r="M91" i="60"/>
  <c r="V52" i="63"/>
  <c r="AE24" i="63"/>
  <c r="K227" i="60"/>
  <c r="N101" i="60"/>
  <c r="M83" i="60"/>
  <c r="N225" i="60"/>
  <c r="K183" i="60"/>
  <c r="M146" i="60"/>
  <c r="F236" i="60"/>
  <c r="F237" i="60"/>
  <c r="D81" i="60"/>
  <c r="N203" i="60"/>
  <c r="K121" i="60"/>
  <c r="T16" i="63"/>
  <c r="M140" i="60"/>
  <c r="F194" i="60"/>
  <c r="F195" i="60"/>
  <c r="F196" i="60"/>
  <c r="T40" i="63"/>
  <c r="T41" i="63"/>
  <c r="AE25" i="63"/>
  <c r="AE26" i="63"/>
  <c r="AE27" i="63"/>
  <c r="AE28" i="63"/>
  <c r="K138" i="60"/>
  <c r="N140" i="60"/>
  <c r="N201" i="60"/>
  <c r="N144" i="60"/>
  <c r="K223" i="60"/>
  <c r="U22" i="63"/>
  <c r="T58" i="63"/>
  <c r="K165" i="60"/>
  <c r="J262" i="60"/>
  <c r="N150" i="60"/>
  <c r="K201" i="60"/>
  <c r="N136" i="60"/>
  <c r="N152" i="60"/>
  <c r="C81" i="60"/>
  <c r="K97" i="60"/>
  <c r="K157" i="60"/>
  <c r="M197" i="60"/>
  <c r="N167" i="60"/>
  <c r="N163" i="60"/>
  <c r="V4" i="63"/>
  <c r="D194" i="60"/>
  <c r="D195" i="60"/>
  <c r="K197" i="60"/>
  <c r="N165" i="60"/>
  <c r="T4" i="63"/>
  <c r="N154" i="60"/>
  <c r="AE54" i="63"/>
  <c r="V53" i="63"/>
  <c r="N87" i="60"/>
  <c r="K109" i="60"/>
  <c r="V5" i="63"/>
  <c r="T59" i="63"/>
  <c r="M101" i="60"/>
  <c r="J194" i="60"/>
  <c r="M207" i="60"/>
  <c r="K163" i="60"/>
  <c r="T17" i="63"/>
  <c r="T18" i="63"/>
  <c r="I218" i="60"/>
  <c r="J195" i="60"/>
  <c r="T19" i="63"/>
  <c r="T20" i="63"/>
  <c r="S6" i="63"/>
  <c r="T60" i="63"/>
  <c r="B195" i="60"/>
  <c r="H262" i="60"/>
  <c r="H214" i="60"/>
  <c r="A262" i="60"/>
  <c r="E214" i="60"/>
  <c r="C254" i="60"/>
  <c r="C255" i="60"/>
  <c r="C131" i="60"/>
  <c r="C132" i="60"/>
  <c r="F4" i="60"/>
  <c r="G254" i="60"/>
  <c r="B196" i="60"/>
  <c r="D132" i="60"/>
  <c r="D215" i="60"/>
  <c r="D216" i="60"/>
  <c r="C237" i="60"/>
  <c r="D133" i="60"/>
  <c r="F197" i="60"/>
  <c r="C133" i="60"/>
  <c r="C256" i="60"/>
  <c r="C134" i="60"/>
  <c r="F198" i="60"/>
  <c r="N146" i="60"/>
  <c r="H81" i="60"/>
  <c r="H82" i="60"/>
  <c r="T46" i="63"/>
  <c r="K140" i="60"/>
  <c r="K161" i="60"/>
  <c r="M87" i="60"/>
  <c r="V58" i="63"/>
  <c r="K123" i="60"/>
  <c r="U28" i="63"/>
  <c r="N105" i="60"/>
  <c r="S28" i="63"/>
  <c r="K154" i="60"/>
  <c r="M217" i="60"/>
  <c r="M203" i="60"/>
  <c r="K99" i="60"/>
  <c r="H130" i="60"/>
  <c r="M221" i="60"/>
  <c r="N99" i="60"/>
  <c r="M150" i="60"/>
  <c r="H270" i="60"/>
  <c r="H271" i="60"/>
  <c r="H272" i="60"/>
  <c r="K83" i="60"/>
  <c r="D82" i="60"/>
  <c r="D83" i="60"/>
  <c r="M105" i="60"/>
  <c r="U23" i="63"/>
  <c r="U24" i="63"/>
  <c r="U46" i="63"/>
  <c r="U47" i="63"/>
  <c r="C194" i="60"/>
  <c r="K105" i="60"/>
  <c r="U34" i="63"/>
  <c r="N91" i="60"/>
  <c r="E81" i="60"/>
  <c r="E82" i="60"/>
  <c r="M223" i="60"/>
  <c r="C82" i="60"/>
  <c r="V28" i="63"/>
  <c r="V29" i="63"/>
  <c r="V30" i="63"/>
  <c r="V31" i="63"/>
  <c r="K134" i="60"/>
  <c r="S29" i="63"/>
  <c r="U17" i="63"/>
  <c r="U18" i="63"/>
  <c r="U19" i="63"/>
  <c r="U4" i="63"/>
  <c r="B271" i="60"/>
  <c r="S41" i="63"/>
  <c r="K115" i="60"/>
  <c r="G130" i="60"/>
  <c r="G131" i="60"/>
  <c r="M93" i="60"/>
  <c r="T47" i="63"/>
  <c r="T22" i="63"/>
  <c r="E83" i="60"/>
  <c r="N142" i="60"/>
  <c r="K199" i="60"/>
  <c r="K179" i="60"/>
  <c r="K132" i="60"/>
  <c r="M161" i="60"/>
  <c r="K148" i="60"/>
  <c r="M142" i="60"/>
  <c r="V22" i="63"/>
  <c r="N219" i="60"/>
  <c r="V46" i="63"/>
  <c r="V47" i="63"/>
  <c r="U41" i="63"/>
  <c r="V6" i="63"/>
  <c r="V7" i="63"/>
  <c r="U35" i="63"/>
  <c r="U36" i="63"/>
  <c r="U37" i="63"/>
  <c r="U38" i="63"/>
  <c r="S30" i="63"/>
  <c r="AE55" i="63"/>
  <c r="H273" i="60"/>
  <c r="U42" i="63"/>
  <c r="I219" i="60"/>
  <c r="T61" i="63"/>
  <c r="D84" i="60"/>
  <c r="T62" i="63"/>
  <c r="S31" i="63"/>
  <c r="S32" i="63"/>
  <c r="AE29" i="63"/>
  <c r="AE30" i="63"/>
  <c r="AE31" i="63"/>
  <c r="V32" i="63"/>
  <c r="F264" i="60"/>
  <c r="F265" i="60"/>
  <c r="B254" i="60"/>
  <c r="B255" i="60"/>
  <c r="B256" i="60"/>
  <c r="A254" i="60"/>
  <c r="C214" i="60"/>
  <c r="E254" i="60"/>
  <c r="E255" i="60"/>
  <c r="E256" i="60"/>
  <c r="E257" i="60"/>
  <c r="E258" i="60"/>
  <c r="E259" i="60"/>
  <c r="H254" i="60"/>
  <c r="A236" i="60"/>
  <c r="A237" i="60"/>
  <c r="E131" i="60"/>
  <c r="A214" i="60"/>
  <c r="G4" i="60"/>
  <c r="J5" i="60"/>
  <c r="C215" i="60"/>
  <c r="A263" i="60"/>
  <c r="A264" i="60"/>
  <c r="D196" i="60"/>
  <c r="C238" i="60"/>
  <c r="C239" i="60"/>
  <c r="C240" i="60"/>
  <c r="C241" i="60"/>
  <c r="C242" i="60"/>
  <c r="C243" i="60"/>
  <c r="C244" i="60"/>
  <c r="C245" i="60"/>
  <c r="A238" i="60"/>
  <c r="A239" i="60"/>
  <c r="A240" i="60"/>
  <c r="A241" i="60"/>
  <c r="G264" i="60"/>
  <c r="G265" i="60"/>
  <c r="G266" i="60"/>
  <c r="G267" i="60"/>
  <c r="C257" i="60"/>
  <c r="B257" i="60"/>
  <c r="B258" i="60"/>
  <c r="A242" i="60"/>
  <c r="A243" i="60"/>
  <c r="B40" i="15"/>
  <c r="C40" i="15"/>
  <c r="K187" i="60"/>
  <c r="N157" i="60"/>
  <c r="M169" i="60"/>
  <c r="A130" i="60"/>
  <c r="M144" i="60"/>
  <c r="K142" i="60"/>
  <c r="N205" i="60"/>
  <c r="G81" i="60"/>
  <c r="G82" i="60"/>
  <c r="G83" i="60"/>
  <c r="G84" i="60"/>
  <c r="G85" i="60"/>
  <c r="G86" i="60"/>
  <c r="G87" i="60"/>
  <c r="G88" i="60"/>
  <c r="K136" i="60"/>
  <c r="M154" i="60"/>
  <c r="K195" i="60"/>
  <c r="I215" i="60"/>
  <c r="S16" i="63"/>
  <c r="N85" i="60"/>
  <c r="A270" i="60"/>
  <c r="AE14" i="63"/>
  <c r="V10" i="63"/>
  <c r="K113" i="60"/>
  <c r="M205" i="60"/>
  <c r="M132" i="60"/>
  <c r="K119" i="60"/>
  <c r="G194" i="60"/>
  <c r="U10" i="63"/>
  <c r="N223" i="60"/>
  <c r="N134" i="60"/>
  <c r="I217" i="60"/>
  <c r="N169" i="60"/>
  <c r="K221" i="60"/>
  <c r="A81" i="60"/>
  <c r="N93" i="60"/>
  <c r="K146" i="60"/>
  <c r="N195" i="60"/>
  <c r="E194" i="60"/>
  <c r="M136" i="60"/>
  <c r="K203" i="60"/>
  <c r="U5" i="63"/>
  <c r="U6" i="63"/>
  <c r="U7" i="63"/>
  <c r="N199" i="60"/>
  <c r="K117" i="60"/>
  <c r="S17" i="63"/>
  <c r="N161" i="60"/>
  <c r="T48" i="63"/>
  <c r="V16" i="63"/>
  <c r="V17" i="63"/>
  <c r="V18" i="63"/>
  <c r="V19" i="63"/>
  <c r="V20" i="63"/>
  <c r="B81" i="60"/>
  <c r="B82" i="60"/>
  <c r="M152" i="60"/>
  <c r="K177" i="60"/>
  <c r="F214" i="60"/>
  <c r="J130" i="60"/>
  <c r="J131" i="60"/>
  <c r="J132" i="60"/>
  <c r="J133" i="60"/>
  <c r="M134" i="60"/>
  <c r="M95" i="60"/>
  <c r="V23" i="63"/>
  <c r="V24" i="63"/>
  <c r="V25" i="63"/>
  <c r="V26" i="63"/>
  <c r="AE35" i="63"/>
  <c r="T5" i="63"/>
  <c r="K85" i="60"/>
  <c r="E84" i="60"/>
  <c r="E85" i="60"/>
  <c r="U25" i="63"/>
  <c r="U26" i="63"/>
  <c r="U48" i="63"/>
  <c r="G271" i="60"/>
  <c r="G272" i="60"/>
  <c r="G273" i="60"/>
  <c r="E271" i="60"/>
  <c r="J215" i="60"/>
  <c r="J216" i="60"/>
  <c r="T23" i="63"/>
  <c r="U49" i="63"/>
  <c r="U50" i="63"/>
  <c r="AE56" i="63"/>
  <c r="AE57" i="63"/>
  <c r="U43" i="63"/>
  <c r="U44" i="63"/>
  <c r="S18" i="63"/>
  <c r="D85" i="60"/>
  <c r="H83" i="60"/>
  <c r="H84" i="60"/>
  <c r="H85" i="60"/>
  <c r="H86" i="60"/>
  <c r="H87" i="60"/>
  <c r="T12" i="63"/>
  <c r="U8" i="63"/>
  <c r="H274" i="60"/>
  <c r="H275" i="60"/>
  <c r="H276" i="60"/>
  <c r="A4" i="63"/>
  <c r="A5" i="63"/>
  <c r="A6" i="63"/>
  <c r="H194" i="60"/>
  <c r="H195" i="60"/>
  <c r="H196" i="60"/>
  <c r="H197" i="60"/>
  <c r="H198" i="60"/>
  <c r="M163" i="60"/>
  <c r="AE15" i="63"/>
  <c r="AE16" i="63"/>
  <c r="AE17" i="63"/>
  <c r="N97" i="60"/>
  <c r="N217" i="60"/>
  <c r="F254" i="60"/>
  <c r="F255" i="60"/>
  <c r="F256" i="60"/>
  <c r="U52" i="63"/>
  <c r="U53" i="63"/>
  <c r="J271" i="60"/>
  <c r="J272" i="60"/>
  <c r="K87" i="60"/>
  <c r="K91" i="60"/>
  <c r="K150" i="60"/>
  <c r="T34" i="63"/>
  <c r="T35" i="63"/>
  <c r="T6" i="63"/>
  <c r="T7" i="63"/>
  <c r="T8" i="63"/>
  <c r="AE18" i="63"/>
  <c r="AE19" i="63"/>
  <c r="AE20" i="63"/>
  <c r="AE21" i="63"/>
  <c r="I220" i="60"/>
  <c r="V54" i="63"/>
  <c r="T36" i="63"/>
  <c r="V48" i="63"/>
  <c r="V41" i="63"/>
  <c r="V42" i="63"/>
  <c r="V43" i="63"/>
  <c r="T37" i="63"/>
  <c r="V49" i="63"/>
  <c r="S33" i="63"/>
  <c r="G274" i="60"/>
  <c r="G275" i="60"/>
  <c r="G276" i="60"/>
  <c r="G277" i="60"/>
  <c r="G278" i="60"/>
  <c r="B262" i="60"/>
  <c r="B263" i="60"/>
  <c r="B264" i="60"/>
  <c r="D236" i="60"/>
  <c r="D237" i="60"/>
  <c r="A131" i="60"/>
  <c r="A132" i="60"/>
  <c r="A133" i="60"/>
  <c r="G195" i="60"/>
  <c r="G196" i="60"/>
  <c r="G197" i="60"/>
  <c r="G198" i="60"/>
  <c r="B131" i="60"/>
  <c r="B132" i="60"/>
  <c r="B133" i="60"/>
  <c r="B134" i="60"/>
  <c r="C4" i="60"/>
  <c r="A215" i="60"/>
  <c r="G132" i="60"/>
  <c r="A5" i="60"/>
  <c r="A6" i="60"/>
  <c r="F5" i="60"/>
  <c r="D238" i="60"/>
  <c r="G133" i="60"/>
  <c r="G134" i="60"/>
  <c r="C216" i="60"/>
  <c r="J6" i="60"/>
  <c r="J7" i="60"/>
  <c r="J8" i="60"/>
  <c r="D217" i="60"/>
  <c r="D218" i="60"/>
  <c r="D8" i="60"/>
  <c r="D9" i="60"/>
  <c r="G135" i="60"/>
  <c r="G136" i="60"/>
  <c r="C258" i="60"/>
  <c r="C259" i="60"/>
  <c r="B135" i="60"/>
  <c r="D219" i="60"/>
  <c r="D220" i="60"/>
  <c r="B136" i="60"/>
  <c r="B137" i="60"/>
  <c r="B138" i="60"/>
  <c r="B139" i="60"/>
  <c r="J9" i="60"/>
  <c r="J10" i="60"/>
  <c r="J11" i="60"/>
  <c r="J12" i="60"/>
  <c r="J13" i="60"/>
  <c r="D10" i="60"/>
  <c r="A244" i="60"/>
  <c r="B140" i="60"/>
  <c r="B141" i="60"/>
  <c r="B142" i="60"/>
  <c r="B143" i="60"/>
  <c r="J14" i="60"/>
  <c r="J15" i="60"/>
  <c r="J16" i="60"/>
  <c r="C246" i="60"/>
  <c r="C247" i="60"/>
  <c r="B39" i="15"/>
  <c r="V34" i="63"/>
  <c r="V35" i="63"/>
  <c r="V36" i="63"/>
  <c r="V37" i="63"/>
  <c r="V38" i="63"/>
  <c r="T28" i="63"/>
  <c r="T29" i="63"/>
  <c r="T30" i="63"/>
  <c r="T31" i="63"/>
  <c r="T32" i="63"/>
  <c r="N95" i="60"/>
  <c r="U58" i="63"/>
  <c r="U59" i="63"/>
  <c r="U60" i="63"/>
  <c r="U61" i="63"/>
  <c r="U62" i="63"/>
  <c r="V11" i="63"/>
  <c r="V12" i="63"/>
  <c r="V13" i="63"/>
  <c r="V14" i="63"/>
  <c r="AE44" i="63"/>
  <c r="AE45" i="63"/>
  <c r="AE46" i="63"/>
  <c r="AE47" i="63"/>
  <c r="AE48" i="63"/>
  <c r="AE49" i="63"/>
  <c r="AE50" i="63"/>
  <c r="AE51" i="63"/>
  <c r="AE52" i="63"/>
  <c r="U11" i="63"/>
  <c r="U12" i="63"/>
  <c r="U13" i="63"/>
  <c r="U14" i="63"/>
  <c r="J81" i="60"/>
  <c r="N159" i="60"/>
  <c r="K89" i="60"/>
  <c r="B272" i="60"/>
  <c r="B273" i="60"/>
  <c r="B274" i="60"/>
  <c r="M219" i="60"/>
  <c r="T52" i="63"/>
  <c r="T53" i="63"/>
  <c r="T54" i="63"/>
  <c r="T55" i="63"/>
  <c r="N138" i="60"/>
  <c r="M195" i="60"/>
  <c r="J263" i="60"/>
  <c r="T42" i="63"/>
  <c r="T43" i="63"/>
  <c r="T44" i="63"/>
  <c r="F238" i="60"/>
  <c r="F239" i="60"/>
  <c r="F240" i="60"/>
  <c r="F241" i="60"/>
  <c r="V44" i="63"/>
  <c r="T38" i="63"/>
  <c r="T13" i="63"/>
  <c r="D86" i="60"/>
  <c r="D87" i="60"/>
  <c r="D88" i="60"/>
  <c r="J217" i="60"/>
  <c r="F257" i="60"/>
  <c r="E86" i="60"/>
  <c r="E87" i="60"/>
  <c r="T14" i="63"/>
  <c r="D89" i="60"/>
  <c r="D90" i="60"/>
  <c r="D91" i="60"/>
  <c r="D92" i="60"/>
  <c r="D93" i="60"/>
  <c r="D94" i="60"/>
  <c r="D95" i="60"/>
  <c r="D96" i="60"/>
  <c r="D97" i="60"/>
  <c r="D98" i="60"/>
  <c r="D99" i="60"/>
  <c r="H236" i="60"/>
  <c r="H237" i="60"/>
  <c r="H238" i="60"/>
  <c r="D254" i="60"/>
  <c r="D255" i="60"/>
  <c r="D256" i="60"/>
  <c r="D257" i="60"/>
  <c r="E262" i="60"/>
  <c r="E263" i="60"/>
  <c r="E264" i="60"/>
  <c r="G214" i="60"/>
  <c r="G215" i="60"/>
  <c r="G216" i="60"/>
  <c r="E195" i="60"/>
  <c r="E196" i="60"/>
  <c r="E197" i="60"/>
  <c r="E198" i="60"/>
  <c r="E199" i="60"/>
  <c r="E200" i="60"/>
  <c r="E201" i="60"/>
  <c r="E202" i="60"/>
  <c r="E203" i="60"/>
  <c r="E204" i="60"/>
  <c r="H255" i="60"/>
  <c r="E132" i="60"/>
  <c r="E133" i="60"/>
  <c r="G237" i="60"/>
  <c r="D263" i="60"/>
  <c r="C5" i="60"/>
  <c r="C6" i="60"/>
  <c r="C7" i="60"/>
  <c r="C8" i="60"/>
  <c r="C9" i="60"/>
  <c r="C10" i="60"/>
  <c r="C11" i="60"/>
  <c r="C12" i="60"/>
  <c r="D264" i="60"/>
  <c r="D265" i="60"/>
  <c r="D266" i="60"/>
  <c r="D267" i="60"/>
  <c r="G238" i="60"/>
  <c r="G239" i="60"/>
  <c r="G240" i="60"/>
  <c r="G241" i="60"/>
  <c r="G242" i="60"/>
  <c r="G243" i="60"/>
  <c r="D197" i="60"/>
  <c r="D198" i="60"/>
  <c r="D199" i="60"/>
  <c r="D200" i="60"/>
  <c r="D201" i="60"/>
  <c r="D202" i="60"/>
  <c r="D239" i="60"/>
  <c r="D240" i="60"/>
  <c r="D241" i="60"/>
  <c r="D242" i="60"/>
  <c r="H239" i="60"/>
  <c r="H240" i="60"/>
  <c r="B265" i="60"/>
  <c r="B266" i="60"/>
  <c r="C217" i="60"/>
  <c r="C218" i="60"/>
  <c r="C219" i="60"/>
  <c r="D258" i="60"/>
  <c r="E241" i="60"/>
  <c r="D243" i="60"/>
  <c r="D244" i="60"/>
  <c r="D245" i="60"/>
  <c r="D246" i="60"/>
  <c r="D247" i="60"/>
  <c r="D248" i="60"/>
  <c r="D249" i="60"/>
  <c r="D203" i="60"/>
  <c r="E205" i="60"/>
  <c r="D250" i="60"/>
  <c r="D251" i="60"/>
  <c r="B144" i="60"/>
  <c r="B145" i="60"/>
  <c r="K144" i="60"/>
  <c r="D270" i="60"/>
  <c r="D271" i="60"/>
  <c r="D272" i="60"/>
  <c r="D273" i="60"/>
  <c r="D274" i="60"/>
  <c r="D275" i="60"/>
  <c r="D276" i="60"/>
  <c r="D277" i="60"/>
  <c r="D278" i="60"/>
  <c r="D279" i="60"/>
  <c r="N148" i="60"/>
  <c r="M225" i="60"/>
  <c r="M227" i="60"/>
  <c r="N132" i="60"/>
  <c r="M215" i="60"/>
  <c r="K93" i="60"/>
  <c r="M165" i="60"/>
  <c r="J236" i="60"/>
  <c r="J237" i="60"/>
  <c r="M157" i="60"/>
  <c r="F81" i="60"/>
  <c r="F82" i="60"/>
  <c r="F83" i="60"/>
  <c r="F84" i="60"/>
  <c r="F85" i="60"/>
  <c r="F86" i="60"/>
  <c r="F87" i="60"/>
  <c r="F88" i="60"/>
  <c r="F215" i="60"/>
  <c r="F216" i="60"/>
  <c r="F217" i="60"/>
  <c r="F218" i="60"/>
  <c r="F219" i="60"/>
  <c r="F220" i="60"/>
  <c r="F221" i="60"/>
  <c r="F222" i="60"/>
  <c r="F223" i="60"/>
  <c r="F224" i="60"/>
  <c r="F225" i="60"/>
  <c r="F226" i="60"/>
  <c r="F227" i="60"/>
  <c r="F228" i="60"/>
  <c r="F229" i="60"/>
  <c r="F230" i="60"/>
  <c r="C83" i="60"/>
  <c r="C84" i="60"/>
  <c r="C85" i="60"/>
  <c r="C86" i="60"/>
  <c r="C87" i="60"/>
  <c r="AE36" i="63"/>
  <c r="AE37" i="63"/>
  <c r="AE38" i="63"/>
  <c r="H131" i="60"/>
  <c r="H132" i="60"/>
  <c r="H133" i="60"/>
  <c r="H134" i="60"/>
  <c r="H135" i="60"/>
  <c r="H136" i="60"/>
  <c r="H137" i="60"/>
  <c r="H138" i="60"/>
  <c r="H139" i="60"/>
  <c r="H140" i="60"/>
  <c r="S42" i="63"/>
  <c r="U20" i="63"/>
  <c r="J82" i="60"/>
  <c r="J83" i="60"/>
  <c r="J84" i="60"/>
  <c r="J85" i="60"/>
  <c r="B83" i="60"/>
  <c r="B84" i="60"/>
  <c r="B85" i="60"/>
  <c r="B86" i="60"/>
  <c r="B87" i="60"/>
  <c r="J196" i="60"/>
  <c r="J197" i="60"/>
  <c r="J198" i="60"/>
  <c r="J199" i="60"/>
  <c r="J200" i="60"/>
  <c r="J201" i="60"/>
  <c r="F242" i="60"/>
  <c r="F243" i="60"/>
  <c r="F244" i="60"/>
  <c r="F245" i="60"/>
  <c r="F246" i="60"/>
  <c r="J238" i="60"/>
  <c r="J239" i="60"/>
  <c r="J240" i="60"/>
  <c r="J241" i="60"/>
  <c r="J242" i="60"/>
  <c r="J243" i="60"/>
  <c r="J244" i="60"/>
  <c r="J245" i="60"/>
  <c r="J246" i="60"/>
  <c r="J247" i="60"/>
  <c r="J134" i="60"/>
  <c r="J135" i="60"/>
  <c r="C88" i="60"/>
  <c r="C89" i="60"/>
  <c r="C90" i="60"/>
  <c r="C91" i="60"/>
  <c r="C92" i="60"/>
  <c r="J86" i="60"/>
  <c r="J87" i="60"/>
  <c r="J88" i="60"/>
  <c r="J89" i="60"/>
  <c r="J90" i="60"/>
  <c r="J91" i="60"/>
  <c r="J92" i="60"/>
  <c r="J93" i="60"/>
  <c r="J94" i="60"/>
  <c r="AE58" i="63"/>
  <c r="AE59" i="63"/>
  <c r="AE60" i="63"/>
  <c r="AE61" i="63"/>
  <c r="AE62" i="63"/>
  <c r="H277" i="60"/>
  <c r="H278" i="60"/>
  <c r="H279" i="60"/>
  <c r="H280" i="60"/>
  <c r="H281" i="60"/>
  <c r="J136" i="60"/>
  <c r="J137" i="60"/>
  <c r="J138" i="60"/>
  <c r="J139" i="60"/>
  <c r="E88" i="60"/>
  <c r="G279" i="60"/>
  <c r="G280" i="60"/>
  <c r="G281" i="60"/>
  <c r="G282" i="60"/>
  <c r="G283" i="60"/>
  <c r="G284" i="60"/>
  <c r="G285" i="60"/>
  <c r="G286" i="60"/>
  <c r="G287" i="60"/>
  <c r="G288" i="60"/>
  <c r="G289" i="60"/>
  <c r="G290" i="60"/>
  <c r="G291" i="60"/>
  <c r="G292" i="60"/>
  <c r="G293" i="60"/>
  <c r="G294" i="60"/>
  <c r="G295" i="60"/>
  <c r="G89" i="60"/>
  <c r="G90" i="60"/>
  <c r="H88" i="60"/>
  <c r="E89" i="60"/>
  <c r="E90" i="60"/>
  <c r="E91" i="60"/>
  <c r="F247" i="60"/>
  <c r="F248" i="60"/>
  <c r="F249" i="60"/>
  <c r="F250" i="60"/>
  <c r="F251" i="60"/>
  <c r="D280" i="60"/>
  <c r="G91" i="60"/>
  <c r="G92" i="60"/>
  <c r="G93" i="60"/>
  <c r="G94" i="60"/>
  <c r="G95" i="60"/>
  <c r="G96" i="60"/>
  <c r="G97" i="60"/>
  <c r="C93" i="60"/>
  <c r="C94" i="60"/>
  <c r="C95" i="60"/>
  <c r="F89" i="60"/>
  <c r="F90" i="60"/>
  <c r="F91" i="60"/>
  <c r="F92" i="60"/>
  <c r="F93" i="60"/>
  <c r="F94" i="60"/>
  <c r="F95" i="60"/>
  <c r="F96" i="60"/>
  <c r="E92" i="60"/>
  <c r="E93" i="60"/>
  <c r="E94" i="60"/>
  <c r="E95" i="60"/>
  <c r="E96" i="60"/>
  <c r="E97" i="60"/>
  <c r="E98" i="60"/>
  <c r="E99" i="60"/>
  <c r="E100" i="60"/>
  <c r="E101" i="60"/>
  <c r="E102" i="60"/>
  <c r="H282" i="60"/>
  <c r="H283" i="60"/>
  <c r="H284" i="60"/>
  <c r="H285" i="60"/>
  <c r="H286" i="60"/>
  <c r="H287" i="60"/>
  <c r="C96" i="60"/>
  <c r="F97" i="60"/>
  <c r="H288" i="60"/>
  <c r="H289" i="60"/>
  <c r="H290" i="60"/>
  <c r="H291" i="60"/>
  <c r="H292" i="60"/>
  <c r="B214" i="60"/>
  <c r="B4" i="60"/>
  <c r="B5" i="60"/>
  <c r="C195" i="60"/>
  <c r="C196" i="60"/>
  <c r="C197" i="60"/>
  <c r="C198" i="60"/>
  <c r="C199" i="60"/>
  <c r="C200" i="60"/>
  <c r="E4" i="60"/>
  <c r="E5" i="60"/>
  <c r="E6" i="60"/>
  <c r="E7" i="60"/>
  <c r="E8" i="60"/>
  <c r="E9" i="60"/>
  <c r="E10" i="60"/>
  <c r="E11" i="60"/>
  <c r="E12" i="60"/>
  <c r="E13" i="60"/>
  <c r="E14" i="60"/>
  <c r="E15" i="60"/>
  <c r="H293" i="60"/>
  <c r="H294" i="60"/>
  <c r="H295" i="60"/>
  <c r="H296" i="60"/>
  <c r="H297" i="60"/>
  <c r="H298" i="60"/>
  <c r="C262" i="60"/>
  <c r="C263" i="60"/>
  <c r="C264" i="60"/>
  <c r="C265" i="60"/>
  <c r="C266" i="60"/>
  <c r="C267" i="60"/>
  <c r="F132" i="60"/>
  <c r="F133" i="60"/>
  <c r="B215" i="60"/>
  <c r="B216" i="60"/>
  <c r="B217" i="60"/>
  <c r="B218" i="60"/>
  <c r="B219" i="60"/>
  <c r="B220" i="60"/>
  <c r="B221" i="60"/>
  <c r="B222" i="60"/>
  <c r="H263" i="60"/>
  <c r="H264" i="60"/>
  <c r="H265" i="60"/>
  <c r="H266" i="60"/>
  <c r="H267" i="60"/>
  <c r="E215" i="60"/>
  <c r="G255" i="60"/>
  <c r="H256" i="60"/>
  <c r="A216" i="60"/>
  <c r="A217" i="60"/>
  <c r="A218" i="60"/>
  <c r="A219" i="60"/>
  <c r="A220" i="60"/>
  <c r="B197" i="60"/>
  <c r="B198" i="60"/>
  <c r="A134" i="60"/>
  <c r="A135" i="60"/>
  <c r="A136" i="60"/>
  <c r="A137" i="60"/>
  <c r="A138" i="60"/>
  <c r="A139" i="60"/>
  <c r="A140" i="60"/>
  <c r="D134" i="60"/>
  <c r="D135" i="60"/>
  <c r="D136" i="60"/>
  <c r="D137" i="60"/>
  <c r="D138" i="60"/>
  <c r="D139" i="60"/>
  <c r="D140" i="60"/>
  <c r="D141" i="60"/>
  <c r="D142" i="60"/>
  <c r="D143" i="60"/>
  <c r="D144" i="60"/>
  <c r="D145" i="60"/>
  <c r="D146" i="60"/>
  <c r="D147" i="60"/>
  <c r="D148" i="60"/>
  <c r="D149" i="60"/>
  <c r="D150" i="60"/>
  <c r="D151" i="60"/>
  <c r="D152" i="60"/>
  <c r="D153" i="60"/>
  <c r="D154" i="60"/>
  <c r="D155" i="60"/>
  <c r="E134" i="60"/>
  <c r="E135" i="60"/>
  <c r="E136" i="60"/>
  <c r="G199" i="60"/>
  <c r="G200" i="60"/>
  <c r="G201" i="60"/>
  <c r="G202" i="60"/>
  <c r="G203" i="60"/>
  <c r="G204" i="60"/>
  <c r="H199" i="60"/>
  <c r="H200" i="60"/>
  <c r="H201" i="60"/>
  <c r="H202" i="60"/>
  <c r="H203" i="60"/>
  <c r="H204" i="60"/>
  <c r="H205" i="60"/>
  <c r="H206" i="60"/>
  <c r="H207" i="60"/>
  <c r="C135" i="60"/>
  <c r="C136" i="60"/>
  <c r="C137" i="60"/>
  <c r="C138" i="60"/>
  <c r="C139" i="60"/>
  <c r="C140" i="60"/>
  <c r="C141" i="60"/>
  <c r="B259" i="60"/>
  <c r="H241" i="60"/>
  <c r="H242" i="60"/>
  <c r="G137" i="60"/>
  <c r="G138" i="60"/>
  <c r="G139" i="60"/>
  <c r="G140" i="60"/>
  <c r="C220" i="60"/>
  <c r="C221" i="60"/>
  <c r="C222" i="60"/>
  <c r="C223" i="60"/>
  <c r="C224" i="60"/>
  <c r="C225" i="60"/>
  <c r="C226" i="60"/>
  <c r="C227" i="60"/>
  <c r="D11" i="60"/>
  <c r="D12" i="60"/>
  <c r="D13" i="60"/>
  <c r="D14" i="60"/>
  <c r="D15" i="60"/>
  <c r="D16" i="60"/>
  <c r="D17" i="60"/>
  <c r="D18" i="60"/>
  <c r="D221" i="60"/>
  <c r="D222" i="60"/>
  <c r="D223" i="60"/>
  <c r="C13" i="60"/>
  <c r="D204" i="60"/>
  <c r="D205" i="60"/>
  <c r="D206" i="60"/>
  <c r="D207" i="60"/>
  <c r="D208" i="60"/>
  <c r="D209" i="60"/>
  <c r="D210" i="60"/>
  <c r="D211" i="60"/>
  <c r="A245" i="60"/>
  <c r="A246" i="60"/>
  <c r="A247" i="60"/>
  <c r="A248" i="60"/>
  <c r="A249" i="60"/>
  <c r="A250" i="60"/>
  <c r="A251" i="60"/>
  <c r="C14" i="60"/>
  <c r="A141" i="60"/>
  <c r="E206" i="60"/>
  <c r="E207" i="60"/>
  <c r="C15" i="60"/>
  <c r="C16" i="60"/>
  <c r="C17" i="60"/>
  <c r="C18" i="60"/>
  <c r="C248" i="60"/>
  <c r="C249" i="60"/>
  <c r="C250" i="60"/>
  <c r="C251" i="60"/>
  <c r="C228" i="60"/>
  <c r="C229" i="60"/>
  <c r="C230" i="60"/>
  <c r="C231" i="60"/>
  <c r="H208" i="60"/>
  <c r="C232" i="60"/>
  <c r="C233" i="60"/>
  <c r="B146" i="60"/>
  <c r="D19" i="60"/>
  <c r="D156" i="60"/>
  <c r="C41" i="15"/>
  <c r="K225" i="60"/>
  <c r="N103" i="60"/>
  <c r="F270" i="60"/>
  <c r="F271" i="60"/>
  <c r="F272" i="60"/>
  <c r="I47" i="60"/>
  <c r="I48" i="60"/>
  <c r="I49" i="60"/>
  <c r="I50" i="60"/>
  <c r="I51" i="60"/>
  <c r="I52" i="60"/>
  <c r="I53" i="60"/>
  <c r="I54" i="60"/>
  <c r="I55" i="60"/>
  <c r="I56" i="60"/>
  <c r="U29" i="63"/>
  <c r="U30" i="63"/>
  <c r="U31" i="63"/>
  <c r="U32" i="63"/>
  <c r="C270" i="60"/>
  <c r="C271" i="60"/>
  <c r="C272" i="60"/>
  <c r="C273" i="60"/>
  <c r="C274" i="60"/>
  <c r="C275" i="60"/>
  <c r="C276" i="60"/>
  <c r="C277" i="60"/>
  <c r="C278" i="60"/>
  <c r="C279" i="60"/>
  <c r="C280" i="60"/>
  <c r="C281" i="60"/>
  <c r="C282" i="60"/>
  <c r="C283" i="60"/>
  <c r="C284" i="60"/>
  <c r="C285" i="60"/>
  <c r="C286" i="60"/>
  <c r="C287" i="60"/>
  <c r="C288" i="60"/>
  <c r="C289" i="60"/>
  <c r="C290" i="60"/>
  <c r="C291" i="60"/>
  <c r="C292" i="60"/>
  <c r="C293" i="60"/>
  <c r="C294" i="60"/>
  <c r="C295" i="60"/>
  <c r="K152" i="60"/>
  <c r="K173" i="60"/>
  <c r="I197" i="60"/>
  <c r="K217" i="60"/>
  <c r="K219" i="60"/>
  <c r="V59" i="63"/>
  <c r="V60" i="63"/>
  <c r="V61" i="63"/>
  <c r="V62" i="63"/>
  <c r="K185" i="60"/>
  <c r="S53" i="63"/>
  <c r="T49" i="63"/>
  <c r="T50" i="63"/>
  <c r="U54" i="63"/>
  <c r="U55" i="63"/>
  <c r="U56" i="63"/>
  <c r="I198" i="60"/>
  <c r="T24" i="63"/>
  <c r="T25" i="63"/>
  <c r="T26" i="63"/>
  <c r="V55" i="63"/>
  <c r="V56" i="63"/>
  <c r="E272" i="60"/>
  <c r="E273" i="60"/>
  <c r="E274" i="60"/>
  <c r="E275" i="60"/>
  <c r="E276" i="60"/>
  <c r="E277" i="60"/>
  <c r="E278" i="60"/>
  <c r="E279" i="60"/>
  <c r="E280" i="60"/>
  <c r="E281" i="60"/>
  <c r="E282" i="60"/>
  <c r="E283" i="60"/>
  <c r="E284" i="60"/>
  <c r="E285" i="60"/>
  <c r="E286" i="60"/>
  <c r="E287" i="60"/>
  <c r="E288" i="60"/>
  <c r="E289" i="60"/>
  <c r="E290" i="60"/>
  <c r="E291" i="60"/>
  <c r="E292" i="60"/>
  <c r="E293" i="60"/>
  <c r="E294" i="60"/>
  <c r="E295" i="60"/>
  <c r="E296" i="60"/>
  <c r="E297" i="60"/>
  <c r="E298" i="60"/>
  <c r="E299" i="60"/>
  <c r="E300" i="60"/>
  <c r="E301" i="60"/>
  <c r="E302" i="60"/>
  <c r="J273" i="60"/>
  <c r="J274" i="60"/>
  <c r="J275" i="60"/>
  <c r="AE39" i="63"/>
  <c r="B275" i="60"/>
  <c r="F273" i="60"/>
  <c r="F274" i="60"/>
  <c r="F275" i="60"/>
  <c r="F276" i="60"/>
  <c r="F277" i="60"/>
  <c r="F278" i="60"/>
  <c r="F279" i="60"/>
  <c r="F280" i="60"/>
  <c r="F281" i="60"/>
  <c r="F282" i="60"/>
  <c r="F283" i="60"/>
  <c r="F284" i="60"/>
  <c r="F285" i="60"/>
  <c r="F286" i="60"/>
  <c r="F287" i="60"/>
  <c r="F288" i="60"/>
  <c r="F289" i="60"/>
  <c r="F290" i="60"/>
  <c r="F291" i="60"/>
  <c r="F292" i="60"/>
  <c r="F293" i="60"/>
  <c r="T56" i="63"/>
  <c r="V8" i="63"/>
  <c r="A7" i="63"/>
  <c r="A8" i="63"/>
  <c r="A9" i="63"/>
  <c r="A10" i="63"/>
  <c r="A11" i="63"/>
  <c r="A12" i="63"/>
  <c r="AE40" i="63"/>
  <c r="AE41" i="63"/>
  <c r="S34" i="63"/>
  <c r="B276" i="60"/>
  <c r="B277" i="60"/>
  <c r="B278" i="60"/>
  <c r="B279" i="60"/>
  <c r="B280" i="60"/>
  <c r="B281" i="60"/>
  <c r="B282" i="60"/>
  <c r="B283" i="60"/>
  <c r="B284" i="60"/>
  <c r="B285" i="60"/>
  <c r="B286" i="60"/>
  <c r="B287" i="60"/>
  <c r="V50" i="63"/>
  <c r="J218" i="60"/>
  <c r="J219" i="60"/>
  <c r="J220" i="60"/>
  <c r="J221" i="60"/>
  <c r="J222" i="60"/>
  <c r="J223" i="60"/>
  <c r="J224" i="60"/>
  <c r="J225" i="60"/>
  <c r="J226" i="60"/>
  <c r="J227" i="60"/>
  <c r="J276" i="60"/>
  <c r="J277" i="60"/>
  <c r="J278" i="60"/>
  <c r="J279" i="60"/>
  <c r="J280" i="60"/>
  <c r="F258" i="60"/>
  <c r="F259" i="60"/>
  <c r="AE42" i="63"/>
  <c r="AE22" i="63"/>
  <c r="J281" i="60"/>
  <c r="J282" i="60"/>
  <c r="J283" i="60"/>
  <c r="AE32" i="63"/>
  <c r="J202" i="60"/>
  <c r="J203" i="60"/>
  <c r="J204" i="60"/>
  <c r="J205" i="60"/>
  <c r="J206" i="60"/>
  <c r="J207" i="60"/>
  <c r="J208" i="60"/>
  <c r="J209" i="60"/>
  <c r="A13" i="63"/>
  <c r="A14" i="63"/>
  <c r="A15" i="63"/>
  <c r="A16" i="63"/>
  <c r="A17" i="63"/>
  <c r="A18" i="63"/>
  <c r="A19" i="63"/>
  <c r="A20" i="63"/>
  <c r="F266" i="60"/>
  <c r="F267" i="60"/>
  <c r="H89" i="60"/>
  <c r="H90" i="60"/>
  <c r="D281" i="60"/>
  <c r="D282" i="60"/>
  <c r="D283" i="60"/>
  <c r="D284" i="60"/>
  <c r="D285" i="60"/>
  <c r="D286" i="60"/>
  <c r="B88" i="60"/>
  <c r="H141" i="60"/>
  <c r="H142" i="60"/>
  <c r="H143" i="60"/>
  <c r="H144" i="60"/>
  <c r="H145" i="60"/>
  <c r="H146" i="60"/>
  <c r="H147" i="60"/>
  <c r="H148" i="60"/>
  <c r="H149" i="60"/>
  <c r="H150" i="60"/>
  <c r="H151" i="60"/>
  <c r="H152" i="60"/>
  <c r="B89" i="60"/>
  <c r="B90" i="60"/>
  <c r="B91" i="60"/>
  <c r="B92" i="60"/>
  <c r="B93" i="60"/>
  <c r="B94" i="60"/>
  <c r="J95" i="60"/>
  <c r="J284" i="60"/>
  <c r="J285" i="60"/>
  <c r="J286" i="60"/>
  <c r="J287" i="60"/>
  <c r="J288" i="60"/>
  <c r="J289" i="60"/>
  <c r="J290" i="60"/>
  <c r="J291" i="60"/>
  <c r="J292" i="60"/>
  <c r="J293" i="60"/>
  <c r="J294" i="60"/>
  <c r="J295" i="60"/>
  <c r="J296" i="60"/>
  <c r="J140" i="60"/>
  <c r="J141" i="60"/>
  <c r="J142" i="60"/>
  <c r="J143" i="60"/>
  <c r="J144" i="60"/>
  <c r="J145" i="60"/>
  <c r="J146" i="60"/>
  <c r="J147" i="60"/>
  <c r="J96" i="60"/>
  <c r="J97" i="60"/>
  <c r="J98" i="60"/>
  <c r="J99" i="60"/>
  <c r="H91" i="60"/>
  <c r="H92" i="60"/>
  <c r="H93" i="60"/>
  <c r="H94" i="60"/>
  <c r="H95" i="60"/>
  <c r="H96" i="60"/>
  <c r="H97" i="60"/>
  <c r="H98" i="60"/>
  <c r="H99" i="60"/>
  <c r="H100" i="60"/>
  <c r="H101" i="60"/>
  <c r="H102" i="60"/>
  <c r="H103" i="60"/>
  <c r="H104" i="60"/>
  <c r="H105" i="60"/>
  <c r="G98" i="60"/>
  <c r="G99" i="60"/>
  <c r="G100" i="60"/>
  <c r="G101" i="60"/>
  <c r="G102" i="60"/>
  <c r="G103" i="60"/>
  <c r="G104" i="60"/>
  <c r="G105" i="60"/>
  <c r="G106" i="60"/>
  <c r="G107" i="60"/>
  <c r="G108" i="60"/>
  <c r="B288" i="60"/>
  <c r="J210" i="60"/>
  <c r="J211" i="60"/>
  <c r="D287" i="60"/>
  <c r="D288" i="60"/>
  <c r="D289" i="60"/>
  <c r="D290" i="60"/>
  <c r="D291" i="60"/>
  <c r="D292" i="60"/>
  <c r="D293" i="60"/>
  <c r="D294" i="60"/>
  <c r="D295" i="60"/>
  <c r="D296" i="60"/>
  <c r="D297" i="60"/>
  <c r="D298" i="60"/>
  <c r="D299" i="60"/>
  <c r="D300" i="60"/>
  <c r="D301" i="60"/>
  <c r="D302" i="60"/>
  <c r="D303" i="60"/>
  <c r="D304" i="60"/>
  <c r="D305" i="60"/>
  <c r="D306" i="60"/>
  <c r="B289" i="60"/>
  <c r="B290" i="60"/>
  <c r="B291" i="60"/>
  <c r="B292" i="60"/>
  <c r="B293" i="60"/>
  <c r="B294" i="60"/>
  <c r="B295" i="60"/>
  <c r="B296" i="60"/>
  <c r="B297" i="60"/>
  <c r="B298" i="60"/>
  <c r="B299" i="60"/>
  <c r="B300" i="60"/>
  <c r="B301" i="60"/>
  <c r="B302" i="60"/>
  <c r="B303" i="60"/>
  <c r="B304" i="60"/>
  <c r="B305" i="60"/>
  <c r="B306" i="60"/>
  <c r="D100" i="60"/>
  <c r="D101" i="60"/>
  <c r="D102" i="60"/>
  <c r="D103" i="60"/>
  <c r="D104" i="60"/>
  <c r="D105" i="60"/>
  <c r="F231" i="60"/>
  <c r="F232" i="60"/>
  <c r="F233" i="60"/>
  <c r="B95" i="60"/>
  <c r="B96" i="60"/>
  <c r="B97" i="60"/>
  <c r="B98" i="60"/>
  <c r="B99" i="60"/>
  <c r="B100" i="60"/>
  <c r="B101" i="60"/>
  <c r="B102" i="60"/>
  <c r="C97" i="60"/>
  <c r="C98" i="60"/>
  <c r="C99" i="60"/>
  <c r="C100" i="60"/>
  <c r="C101" i="60"/>
  <c r="C102" i="60"/>
  <c r="C103" i="60"/>
  <c r="C104" i="60"/>
  <c r="C105" i="60"/>
  <c r="C106" i="60"/>
  <c r="C107" i="60"/>
  <c r="C108" i="60"/>
  <c r="C109" i="60"/>
  <c r="C110" i="60"/>
  <c r="C111" i="60"/>
  <c r="C112" i="60"/>
  <c r="J148" i="60"/>
  <c r="J149" i="60"/>
  <c r="J150" i="60"/>
  <c r="J151" i="60"/>
  <c r="J152" i="60"/>
  <c r="J153" i="60"/>
  <c r="J154" i="60"/>
  <c r="J155" i="60"/>
  <c r="J156" i="60"/>
  <c r="J157" i="60"/>
  <c r="J100" i="60"/>
  <c r="J101" i="60"/>
  <c r="J102" i="60"/>
  <c r="J103" i="60"/>
  <c r="J104" i="60"/>
  <c r="F98" i="60"/>
  <c r="F99" i="60"/>
  <c r="F100" i="60"/>
  <c r="F101" i="60"/>
  <c r="F102" i="60"/>
  <c r="F103" i="60"/>
  <c r="F104" i="60"/>
  <c r="F105" i="60"/>
  <c r="E103" i="60"/>
  <c r="E104" i="60"/>
  <c r="E105" i="60"/>
  <c r="A21" i="63"/>
  <c r="B103" i="60"/>
  <c r="B104" i="60"/>
  <c r="B105" i="60"/>
  <c r="B106" i="60"/>
  <c r="B107" i="60"/>
  <c r="B108" i="60"/>
  <c r="B109" i="60"/>
  <c r="B110" i="60"/>
  <c r="B111" i="60"/>
  <c r="B112" i="60"/>
  <c r="B113" i="60"/>
  <c r="A22" i="63"/>
  <c r="A23" i="63"/>
  <c r="A24" i="63"/>
  <c r="A25" i="63"/>
  <c r="A26" i="63"/>
  <c r="A27" i="63"/>
  <c r="A28" i="63"/>
  <c r="A29" i="63"/>
  <c r="A30" i="63"/>
  <c r="A31" i="63"/>
  <c r="A32" i="63"/>
  <c r="A33" i="63"/>
  <c r="A34" i="63"/>
  <c r="A35" i="63"/>
  <c r="A36" i="63"/>
  <c r="A37" i="63"/>
  <c r="A38" i="63"/>
  <c r="A39" i="63"/>
  <c r="A40" i="63"/>
  <c r="A41" i="63"/>
  <c r="A42" i="63"/>
  <c r="A43" i="63"/>
  <c r="A44" i="63"/>
  <c r="A45" i="63"/>
  <c r="A46" i="63"/>
  <c r="A47" i="63"/>
  <c r="A48" i="63"/>
  <c r="A49" i="63"/>
  <c r="A50" i="63"/>
  <c r="A51" i="63"/>
  <c r="A52" i="63"/>
  <c r="A53" i="63"/>
  <c r="A54" i="63"/>
  <c r="A55" i="63"/>
  <c r="A56" i="63"/>
  <c r="A57" i="63"/>
  <c r="F294" i="60"/>
  <c r="F295" i="60"/>
  <c r="F296" i="60"/>
  <c r="F297" i="60"/>
  <c r="F298" i="60"/>
  <c r="H153" i="60"/>
  <c r="H154" i="60"/>
  <c r="H155" i="60"/>
  <c r="H156" i="60"/>
  <c r="H157" i="60"/>
  <c r="H158" i="60"/>
  <c r="H159" i="60"/>
  <c r="J105" i="60"/>
  <c r="J106" i="60"/>
  <c r="J107" i="60"/>
  <c r="J108" i="60"/>
  <c r="J109" i="60"/>
  <c r="J110" i="60"/>
  <c r="J111" i="60"/>
  <c r="J112" i="60"/>
  <c r="J113" i="60"/>
  <c r="F106" i="60"/>
  <c r="F107" i="60"/>
  <c r="F108" i="60"/>
  <c r="F109" i="60"/>
  <c r="F110" i="60"/>
  <c r="F111" i="60"/>
  <c r="F112" i="60"/>
  <c r="F113" i="60"/>
  <c r="F114" i="60"/>
  <c r="A195" i="60"/>
  <c r="A196" i="60"/>
  <c r="B236" i="60"/>
  <c r="B237" i="60"/>
  <c r="B238" i="60"/>
  <c r="B239" i="60"/>
  <c r="B240" i="60"/>
  <c r="E106" i="60"/>
  <c r="E107" i="60"/>
  <c r="E108" i="60"/>
  <c r="E109" i="60"/>
  <c r="E110" i="60"/>
  <c r="E111" i="60"/>
  <c r="E112" i="60"/>
  <c r="E113" i="60"/>
  <c r="E114" i="60"/>
  <c r="E115" i="60"/>
  <c r="E116" i="60"/>
  <c r="E117" i="60"/>
  <c r="E118" i="60"/>
  <c r="E119" i="60"/>
  <c r="D106" i="60"/>
  <c r="G296" i="60"/>
  <c r="G297" i="60"/>
  <c r="G298" i="60"/>
  <c r="G299" i="60"/>
  <c r="G300" i="60"/>
  <c r="G301" i="60"/>
  <c r="G302" i="60"/>
  <c r="G303" i="60"/>
  <c r="G304" i="60"/>
  <c r="G305" i="60"/>
  <c r="G306" i="60"/>
  <c r="H5" i="60"/>
  <c r="H6" i="60"/>
  <c r="H7" i="60"/>
  <c r="H8" i="60"/>
  <c r="H9" i="60"/>
  <c r="H10" i="60"/>
  <c r="H11" i="60"/>
  <c r="H12" i="60"/>
  <c r="H13" i="60"/>
  <c r="H14" i="60"/>
  <c r="A255" i="60"/>
  <c r="A256" i="60"/>
  <c r="A257" i="60"/>
  <c r="A258" i="60"/>
  <c r="A259" i="60"/>
  <c r="J158" i="60"/>
  <c r="J159" i="60"/>
  <c r="J160" i="60"/>
  <c r="J161" i="60"/>
  <c r="J162" i="60"/>
  <c r="J163" i="60"/>
  <c r="J164" i="60"/>
  <c r="J165" i="60"/>
  <c r="J166" i="60"/>
  <c r="J167" i="60"/>
  <c r="J168" i="60"/>
  <c r="J169" i="60"/>
  <c r="G5" i="60"/>
  <c r="G6" i="60"/>
  <c r="G7" i="60"/>
  <c r="G8" i="60"/>
  <c r="G9" i="60"/>
  <c r="G10" i="60"/>
  <c r="G11" i="60"/>
  <c r="J297" i="60"/>
  <c r="J298" i="60"/>
  <c r="J299" i="60"/>
  <c r="J300" i="60"/>
  <c r="J301" i="60"/>
  <c r="J302" i="60"/>
  <c r="D107" i="60"/>
  <c r="D108" i="60"/>
  <c r="D109" i="60"/>
  <c r="D110" i="60"/>
  <c r="D111" i="60"/>
  <c r="D112" i="60"/>
  <c r="D113" i="60"/>
  <c r="D114" i="60"/>
  <c r="D115" i="60"/>
  <c r="D116" i="60"/>
  <c r="H215" i="60"/>
  <c r="H216" i="60"/>
  <c r="H217" i="60"/>
  <c r="H218" i="60"/>
  <c r="H219" i="60"/>
  <c r="H220" i="60"/>
  <c r="H221" i="60"/>
  <c r="H222" i="60"/>
  <c r="H106" i="60"/>
  <c r="F6" i="60"/>
  <c r="F7" i="60"/>
  <c r="F8" i="60"/>
  <c r="F9" i="60"/>
  <c r="F10" i="60"/>
  <c r="F11" i="60"/>
  <c r="F12" i="60"/>
  <c r="F13" i="60"/>
  <c r="F14" i="60"/>
  <c r="F15" i="60"/>
  <c r="F16" i="60"/>
  <c r="F17" i="60"/>
  <c r="F18" i="60"/>
  <c r="F19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18" i="60"/>
  <c r="B19" i="60"/>
  <c r="E216" i="60"/>
  <c r="E217" i="60"/>
  <c r="E218" i="60"/>
  <c r="E219" i="60"/>
  <c r="E220" i="60"/>
  <c r="E221" i="60"/>
  <c r="E222" i="60"/>
  <c r="E223" i="60"/>
  <c r="E224" i="60"/>
  <c r="E225" i="60"/>
  <c r="E226" i="60"/>
  <c r="A197" i="60"/>
  <c r="A198" i="60"/>
  <c r="A199" i="60"/>
  <c r="A200" i="60"/>
  <c r="A201" i="60"/>
  <c r="A202" i="60"/>
  <c r="A203" i="60"/>
  <c r="A204" i="60"/>
  <c r="A205" i="60"/>
  <c r="A206" i="60"/>
  <c r="A207" i="60"/>
  <c r="A208" i="60"/>
  <c r="A209" i="60"/>
  <c r="A210" i="60"/>
  <c r="G256" i="60"/>
  <c r="G257" i="60"/>
  <c r="G258" i="60"/>
  <c r="G259" i="60"/>
  <c r="H107" i="60"/>
  <c r="H108" i="60"/>
  <c r="H109" i="60"/>
  <c r="H110" i="60"/>
  <c r="H111" i="60"/>
  <c r="H112" i="60"/>
  <c r="H113" i="60"/>
  <c r="F299" i="60"/>
  <c r="F300" i="60"/>
  <c r="F301" i="60"/>
  <c r="F302" i="60"/>
  <c r="A265" i="60"/>
  <c r="A266" i="60"/>
  <c r="A267" i="60"/>
  <c r="F134" i="60"/>
  <c r="F135" i="60"/>
  <c r="F136" i="60"/>
  <c r="F137" i="60"/>
  <c r="F138" i="60"/>
  <c r="F139" i="60"/>
  <c r="F140" i="60"/>
  <c r="F141" i="60"/>
  <c r="F142" i="60"/>
  <c r="E265" i="60"/>
  <c r="E266" i="60"/>
  <c r="E267" i="60"/>
  <c r="C296" i="60"/>
  <c r="C297" i="60"/>
  <c r="C298" i="60"/>
  <c r="C299" i="60"/>
  <c r="C300" i="60"/>
  <c r="G217" i="60"/>
  <c r="G218" i="60"/>
  <c r="G219" i="60"/>
  <c r="H257" i="60"/>
  <c r="A7" i="60"/>
  <c r="A8" i="60"/>
  <c r="F303" i="60"/>
  <c r="F304" i="60"/>
  <c r="G109" i="60"/>
  <c r="G110" i="60"/>
  <c r="B199" i="60"/>
  <c r="B200" i="60"/>
  <c r="B201" i="60"/>
  <c r="B202" i="60"/>
  <c r="B203" i="60"/>
  <c r="H299" i="60"/>
  <c r="H300" i="60"/>
  <c r="H301" i="60"/>
  <c r="H302" i="60"/>
  <c r="H303" i="60"/>
  <c r="H304" i="60"/>
  <c r="H305" i="60"/>
  <c r="H306" i="60"/>
  <c r="H258" i="60"/>
  <c r="H259" i="60"/>
  <c r="B114" i="60"/>
  <c r="B115" i="60"/>
  <c r="B116" i="60"/>
  <c r="B117" i="60"/>
  <c r="B118" i="60"/>
  <c r="B119" i="60"/>
  <c r="B120" i="60"/>
  <c r="F199" i="60"/>
  <c r="F200" i="60"/>
  <c r="F201" i="60"/>
  <c r="F202" i="60"/>
  <c r="F203" i="60"/>
  <c r="F204" i="60"/>
  <c r="F205" i="60"/>
  <c r="F206" i="60"/>
  <c r="F207" i="60"/>
  <c r="F208" i="60"/>
  <c r="F209" i="60"/>
  <c r="F210" i="60"/>
  <c r="F211" i="60"/>
  <c r="J303" i="60"/>
  <c r="J304" i="60"/>
  <c r="J305" i="60"/>
  <c r="J306" i="60"/>
  <c r="B241" i="60"/>
  <c r="B242" i="60"/>
  <c r="B267" i="60"/>
  <c r="D259" i="60"/>
  <c r="F115" i="60"/>
  <c r="F116" i="60"/>
  <c r="F117" i="60"/>
  <c r="F118" i="60"/>
  <c r="F119" i="60"/>
  <c r="F305" i="60"/>
  <c r="F306" i="60"/>
  <c r="A9" i="60"/>
  <c r="A10" i="60"/>
  <c r="G111" i="60"/>
  <c r="G112" i="60"/>
  <c r="G113" i="60"/>
  <c r="G114" i="60"/>
  <c r="G115" i="60"/>
  <c r="G116" i="60"/>
  <c r="G117" i="60"/>
  <c r="G118" i="60"/>
  <c r="G119" i="60"/>
  <c r="G120" i="60"/>
  <c r="G121" i="60"/>
  <c r="G122" i="60"/>
  <c r="E137" i="60"/>
  <c r="E138" i="60"/>
  <c r="E139" i="60"/>
  <c r="E140" i="60"/>
  <c r="E141" i="60"/>
  <c r="E142" i="60"/>
  <c r="E143" i="60"/>
  <c r="E144" i="60"/>
  <c r="E145" i="60"/>
  <c r="E146" i="60"/>
  <c r="E147" i="60"/>
  <c r="E148" i="60"/>
  <c r="E149" i="60"/>
  <c r="G220" i="60"/>
  <c r="G221" i="60"/>
  <c r="C201" i="60"/>
  <c r="C202" i="60"/>
  <c r="C203" i="60"/>
  <c r="C204" i="60"/>
  <c r="C205" i="60"/>
  <c r="C206" i="60"/>
  <c r="C207" i="60"/>
  <c r="C208" i="60"/>
  <c r="C209" i="60"/>
  <c r="C210" i="60"/>
  <c r="C211" i="60"/>
  <c r="H160" i="60"/>
  <c r="H161" i="60"/>
  <c r="H162" i="60"/>
  <c r="H163" i="60"/>
  <c r="H164" i="60"/>
  <c r="H165" i="60"/>
  <c r="H166" i="60"/>
  <c r="H167" i="60"/>
  <c r="H168" i="60"/>
  <c r="H169" i="60"/>
  <c r="H170" i="60"/>
  <c r="H171" i="60"/>
  <c r="H172" i="60"/>
  <c r="H173" i="60"/>
  <c r="H174" i="60"/>
  <c r="H175" i="60"/>
  <c r="H176" i="60"/>
  <c r="H177" i="60"/>
  <c r="H178" i="60"/>
  <c r="H179" i="60"/>
  <c r="H180" i="60"/>
  <c r="H181" i="60"/>
  <c r="H182" i="60"/>
  <c r="H183" i="60"/>
  <c r="H184" i="60"/>
  <c r="H185" i="60"/>
  <c r="H186" i="60"/>
  <c r="H187" i="60"/>
  <c r="H188" i="60"/>
  <c r="H189" i="60"/>
  <c r="H190" i="60"/>
  <c r="H191" i="60"/>
  <c r="E303" i="60"/>
  <c r="E304" i="60"/>
  <c r="E305" i="60"/>
  <c r="E306" i="60"/>
  <c r="E242" i="60"/>
  <c r="E243" i="60"/>
  <c r="E244" i="60"/>
  <c r="E245" i="60"/>
  <c r="E246" i="60"/>
  <c r="E247" i="60"/>
  <c r="E248" i="60"/>
  <c r="E249" i="60"/>
  <c r="E250" i="60"/>
  <c r="E251" i="60"/>
  <c r="J114" i="60"/>
  <c r="J115" i="60"/>
  <c r="J116" i="60"/>
  <c r="J117" i="60"/>
  <c r="J118" i="60"/>
  <c r="J119" i="60"/>
  <c r="J120" i="60"/>
  <c r="J121" i="60"/>
  <c r="J122" i="60"/>
  <c r="J123" i="60"/>
  <c r="J124" i="60"/>
  <c r="J125" i="60"/>
  <c r="B243" i="60"/>
  <c r="H243" i="60"/>
  <c r="H244" i="60"/>
  <c r="H245" i="60"/>
  <c r="H246" i="60"/>
  <c r="H247" i="60"/>
  <c r="H248" i="60"/>
  <c r="H249" i="60"/>
  <c r="H250" i="60"/>
  <c r="H251" i="60"/>
  <c r="C113" i="60"/>
  <c r="C114" i="60"/>
  <c r="C115" i="60"/>
  <c r="C116" i="60"/>
  <c r="C117" i="60"/>
  <c r="C118" i="60"/>
  <c r="C119" i="60"/>
  <c r="C120" i="60"/>
  <c r="C121" i="60"/>
  <c r="C122" i="60"/>
  <c r="C123" i="60"/>
  <c r="C124" i="60"/>
  <c r="C125" i="60"/>
  <c r="C126" i="60"/>
  <c r="C127" i="60"/>
  <c r="A11" i="60"/>
  <c r="A12" i="60"/>
  <c r="A221" i="60"/>
  <c r="A222" i="60"/>
  <c r="A223" i="60"/>
  <c r="A224" i="60"/>
  <c r="A225" i="60"/>
  <c r="B244" i="60"/>
  <c r="B245" i="60"/>
  <c r="B246" i="60"/>
  <c r="B247" i="60"/>
  <c r="B248" i="60"/>
  <c r="B249" i="60"/>
  <c r="B250" i="60"/>
  <c r="B251" i="60"/>
  <c r="G244" i="60"/>
  <c r="G245" i="60"/>
  <c r="G246" i="60"/>
  <c r="G247" i="60"/>
  <c r="G248" i="60"/>
  <c r="G249" i="60"/>
  <c r="G250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222" i="60"/>
  <c r="G223" i="60"/>
  <c r="G224" i="60"/>
  <c r="G225" i="60"/>
  <c r="G226" i="60"/>
  <c r="G227" i="60"/>
  <c r="G228" i="60"/>
  <c r="G229" i="60"/>
  <c r="G230" i="60"/>
  <c r="G231" i="60"/>
  <c r="C301" i="60"/>
  <c r="C302" i="60"/>
  <c r="C303" i="60"/>
  <c r="C304" i="60"/>
  <c r="C305" i="60"/>
  <c r="C306" i="60"/>
  <c r="B223" i="60"/>
  <c r="B224" i="60"/>
  <c r="B225" i="60"/>
  <c r="B226" i="60"/>
  <c r="B227" i="60"/>
  <c r="B228" i="60"/>
  <c r="B229" i="60"/>
  <c r="B230" i="60"/>
  <c r="D117" i="60"/>
  <c r="D118" i="60"/>
  <c r="D119" i="60"/>
  <c r="D120" i="60"/>
  <c r="D121" i="60"/>
  <c r="D122" i="60"/>
  <c r="D123" i="60"/>
  <c r="D124" i="60"/>
  <c r="D125" i="60"/>
  <c r="D126" i="60"/>
  <c r="D127" i="60"/>
  <c r="H114" i="60"/>
  <c r="H115" i="60"/>
  <c r="H116" i="60"/>
  <c r="H117" i="60"/>
  <c r="H118" i="60"/>
  <c r="H119" i="60"/>
  <c r="H120" i="60"/>
  <c r="H121" i="60"/>
  <c r="H122" i="60"/>
  <c r="H123" i="60"/>
  <c r="H124" i="60"/>
  <c r="H125" i="60"/>
  <c r="A13" i="60"/>
  <c r="A14" i="60"/>
  <c r="B204" i="60"/>
  <c r="B205" i="60"/>
  <c r="B206" i="60"/>
  <c r="B207" i="60"/>
  <c r="H223" i="60"/>
  <c r="H224" i="60"/>
  <c r="H225" i="60"/>
  <c r="H226" i="60"/>
  <c r="H227" i="60"/>
  <c r="H228" i="60"/>
  <c r="H229" i="60"/>
  <c r="G205" i="60"/>
  <c r="G206" i="60"/>
  <c r="G207" i="60"/>
  <c r="G208" i="60"/>
  <c r="G209" i="60"/>
  <c r="G210" i="60"/>
  <c r="G211" i="60"/>
  <c r="F120" i="60"/>
  <c r="F121" i="60"/>
  <c r="F122" i="60"/>
  <c r="F123" i="60"/>
  <c r="F124" i="60"/>
  <c r="H15" i="60"/>
  <c r="H16" i="60"/>
  <c r="H17" i="60"/>
  <c r="G141" i="60"/>
  <c r="G142" i="60"/>
  <c r="G143" i="60"/>
  <c r="G144" i="60"/>
  <c r="G145" i="60"/>
  <c r="D224" i="60"/>
  <c r="D225" i="60"/>
  <c r="C142" i="60"/>
  <c r="C143" i="60"/>
  <c r="C144" i="60"/>
  <c r="C145" i="60"/>
  <c r="C146" i="60"/>
  <c r="C147" i="60"/>
  <c r="A15" i="60"/>
  <c r="A16" i="60"/>
  <c r="A17" i="60"/>
  <c r="A18" i="60"/>
  <c r="B121" i="60"/>
  <c r="B122" i="60"/>
  <c r="B123" i="60"/>
  <c r="A142" i="60"/>
  <c r="A143" i="60"/>
  <c r="A144" i="60"/>
  <c r="A145" i="60"/>
  <c r="A146" i="60"/>
  <c r="A147" i="60"/>
  <c r="A148" i="60"/>
  <c r="A149" i="60"/>
  <c r="D226" i="60"/>
  <c r="D227" i="60"/>
  <c r="D228" i="60"/>
  <c r="D229" i="60"/>
  <c r="A226" i="60"/>
  <c r="A227" i="60"/>
  <c r="A228" i="60"/>
  <c r="A229" i="60"/>
  <c r="A230" i="60"/>
  <c r="A231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J170" i="60"/>
  <c r="J171" i="60"/>
  <c r="J172" i="60"/>
  <c r="F143" i="60"/>
  <c r="F144" i="60"/>
  <c r="F145" i="60"/>
  <c r="F146" i="60"/>
  <c r="F147" i="60"/>
  <c r="F148" i="60"/>
  <c r="F149" i="60"/>
  <c r="F150" i="60"/>
  <c r="F151" i="60"/>
  <c r="F152" i="60"/>
  <c r="F153" i="60"/>
  <c r="F154" i="60"/>
  <c r="E120" i="60"/>
  <c r="E121" i="60"/>
  <c r="E122" i="60"/>
  <c r="E123" i="60"/>
  <c r="E124" i="60"/>
  <c r="E125" i="60"/>
  <c r="E126" i="60"/>
  <c r="E127" i="60"/>
  <c r="F125" i="60"/>
  <c r="F126" i="60"/>
  <c r="E227" i="60"/>
  <c r="E228" i="60"/>
  <c r="E229" i="60"/>
  <c r="E230" i="60"/>
  <c r="E231" i="60"/>
  <c r="E232" i="60"/>
  <c r="E233" i="60"/>
  <c r="B124" i="60"/>
  <c r="B125" i="60"/>
  <c r="B126" i="60"/>
  <c r="B127" i="60"/>
  <c r="A19" i="60"/>
  <c r="A20" i="60"/>
  <c r="G146" i="60"/>
  <c r="G147" i="60"/>
  <c r="G148" i="60"/>
  <c r="G149" i="60"/>
  <c r="G150" i="60"/>
  <c r="G151" i="60"/>
  <c r="G152" i="60"/>
  <c r="G153" i="60"/>
  <c r="G154" i="60"/>
  <c r="H209" i="60"/>
  <c r="H210" i="60"/>
  <c r="H211" i="60"/>
  <c r="B208" i="60"/>
  <c r="H18" i="60"/>
  <c r="H19" i="60"/>
  <c r="H20" i="60"/>
  <c r="H21" i="60"/>
  <c r="H22" i="60"/>
  <c r="H23" i="60"/>
  <c r="H24" i="60"/>
  <c r="H25" i="60"/>
  <c r="H26" i="60"/>
  <c r="D230" i="60"/>
  <c r="D231" i="60"/>
  <c r="D232" i="60"/>
  <c r="D233" i="60"/>
  <c r="B147" i="60"/>
  <c r="B148" i="60"/>
  <c r="B149" i="60"/>
  <c r="E208" i="60"/>
  <c r="E209" i="60"/>
  <c r="E210" i="60"/>
  <c r="E211" i="60"/>
  <c r="J17" i="60"/>
  <c r="J18" i="60"/>
  <c r="J19" i="60"/>
  <c r="J20" i="60"/>
  <c r="J21" i="60"/>
  <c r="J22" i="60"/>
  <c r="J23" i="60"/>
  <c r="J24" i="60"/>
  <c r="B20" i="60"/>
  <c r="B21" i="60"/>
  <c r="B22" i="60"/>
  <c r="B23" i="60"/>
  <c r="B24" i="60"/>
  <c r="B25" i="60"/>
  <c r="B26" i="60"/>
  <c r="H126" i="60"/>
  <c r="H127" i="60"/>
  <c r="G123" i="60"/>
  <c r="G124" i="60"/>
  <c r="G125" i="60"/>
  <c r="G126" i="60"/>
  <c r="G127" i="60"/>
  <c r="C19" i="60"/>
  <c r="C20" i="60"/>
  <c r="C21" i="60"/>
  <c r="C22" i="60"/>
  <c r="A232" i="60"/>
  <c r="A233" i="60"/>
  <c r="J173" i="60"/>
  <c r="J174" i="60"/>
  <c r="J175" i="60"/>
  <c r="J176" i="60"/>
  <c r="J177" i="60"/>
  <c r="J178" i="60"/>
  <c r="J179" i="60"/>
  <c r="J180" i="60"/>
  <c r="J181" i="60"/>
  <c r="J182" i="60"/>
  <c r="A21" i="60"/>
  <c r="A22" i="60"/>
  <c r="F127" i="60"/>
  <c r="F20" i="60"/>
  <c r="F21" i="60"/>
  <c r="F22" i="60"/>
  <c r="F23" i="60"/>
  <c r="F24" i="60"/>
  <c r="F25" i="60"/>
  <c r="F26" i="60"/>
  <c r="F27" i="60"/>
  <c r="D20" i="60"/>
  <c r="D21" i="60"/>
  <c r="D22" i="60"/>
  <c r="H230" i="60"/>
  <c r="H231" i="60"/>
  <c r="H232" i="60"/>
  <c r="H233" i="60"/>
  <c r="B209" i="60"/>
  <c r="B210" i="60"/>
  <c r="B211" i="60"/>
  <c r="D23" i="60"/>
  <c r="D24" i="60"/>
  <c r="D25" i="60"/>
  <c r="D26" i="60"/>
  <c r="D27" i="60"/>
  <c r="D28" i="60"/>
  <c r="D29" i="60"/>
  <c r="D30" i="60"/>
  <c r="D31" i="60"/>
  <c r="D32" i="60"/>
  <c r="D33" i="60"/>
  <c r="A23" i="60"/>
  <c r="A24" i="60"/>
  <c r="A25" i="60"/>
  <c r="A26" i="60"/>
  <c r="A27" i="60"/>
  <c r="A28" i="60"/>
  <c r="A29" i="60"/>
  <c r="A30" i="60"/>
  <c r="A31" i="60"/>
  <c r="G251" i="60"/>
  <c r="J183" i="60"/>
  <c r="J184" i="60"/>
  <c r="J185" i="60"/>
  <c r="J186" i="60"/>
  <c r="J187" i="60"/>
  <c r="J188" i="60"/>
  <c r="J189" i="60"/>
  <c r="J190" i="60"/>
  <c r="J191" i="60"/>
  <c r="A211" i="60"/>
  <c r="A150" i="60"/>
  <c r="A151" i="60"/>
  <c r="A152" i="60"/>
  <c r="A153" i="60"/>
  <c r="E29" i="60"/>
  <c r="E30" i="60"/>
  <c r="E31" i="60"/>
  <c r="E32" i="60"/>
  <c r="E33" i="60"/>
  <c r="E34" i="60"/>
  <c r="E35" i="60"/>
  <c r="E36" i="60"/>
  <c r="E37" i="60"/>
  <c r="E38" i="60"/>
  <c r="E39" i="60"/>
  <c r="B231" i="60"/>
  <c r="B232" i="60"/>
  <c r="B233" i="60"/>
  <c r="C148" i="60"/>
  <c r="C149" i="60"/>
  <c r="C150" i="60"/>
  <c r="C151" i="60"/>
  <c r="C152" i="60"/>
  <c r="C153" i="60"/>
  <c r="C154" i="60"/>
  <c r="C155" i="60"/>
  <c r="B150" i="60"/>
  <c r="B151" i="60"/>
  <c r="B152" i="60"/>
  <c r="C23" i="60"/>
  <c r="C24" i="60"/>
  <c r="C25" i="60"/>
  <c r="C26" i="60"/>
  <c r="C27" i="60"/>
  <c r="C28" i="60"/>
  <c r="E150" i="60"/>
  <c r="E151" i="60"/>
  <c r="E152" i="60"/>
  <c r="E153" i="60"/>
  <c r="E154" i="60"/>
  <c r="E155" i="60"/>
  <c r="E156" i="60"/>
  <c r="E157" i="60"/>
  <c r="E158" i="60"/>
  <c r="E159" i="60"/>
  <c r="E160" i="60"/>
  <c r="E161" i="60"/>
  <c r="G232" i="60"/>
  <c r="G233" i="60"/>
  <c r="J126" i="60"/>
  <c r="J127" i="60"/>
  <c r="B27" i="60"/>
  <c r="B28" i="60"/>
  <c r="B29" i="60"/>
  <c r="B30" i="60"/>
  <c r="B31" i="60"/>
  <c r="B32" i="60"/>
  <c r="B33" i="60"/>
  <c r="B34" i="60"/>
  <c r="B153" i="60"/>
  <c r="B154" i="60"/>
  <c r="H27" i="60"/>
  <c r="H28" i="60"/>
  <c r="G155" i="60"/>
  <c r="G156" i="60"/>
  <c r="G157" i="60"/>
  <c r="G158" i="60"/>
  <c r="G159" i="60"/>
  <c r="F28" i="60"/>
  <c r="F29" i="60"/>
  <c r="F30" i="60"/>
  <c r="F31" i="60"/>
  <c r="F32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H44" i="60"/>
  <c r="H45" i="60"/>
  <c r="H46" i="60"/>
  <c r="H47" i="60"/>
  <c r="H48" i="60"/>
  <c r="H49" i="60"/>
  <c r="A154" i="60"/>
  <c r="A155" i="60"/>
  <c r="F155" i="60"/>
  <c r="F156" i="60"/>
  <c r="F157" i="60"/>
  <c r="F158" i="60"/>
  <c r="F159" i="60"/>
  <c r="F160" i="60"/>
  <c r="F161" i="60"/>
  <c r="F162" i="60"/>
  <c r="F163" i="60"/>
  <c r="F164" i="60"/>
  <c r="F165" i="60"/>
  <c r="F166" i="60"/>
  <c r="F167" i="60"/>
  <c r="F168" i="60"/>
  <c r="G32" i="60"/>
  <c r="G33" i="60"/>
  <c r="G34" i="60"/>
  <c r="G35" i="60"/>
  <c r="G36" i="60"/>
  <c r="D157" i="60"/>
  <c r="D158" i="60"/>
  <c r="D159" i="60"/>
  <c r="D160" i="60"/>
  <c r="D161" i="60"/>
  <c r="D162" i="60"/>
  <c r="D163" i="60"/>
  <c r="D164" i="60"/>
  <c r="D165" i="60"/>
  <c r="D166" i="60"/>
  <c r="D167" i="60"/>
  <c r="D168" i="60"/>
  <c r="D169" i="60"/>
  <c r="D170" i="60"/>
  <c r="C29" i="60"/>
  <c r="C30" i="60"/>
  <c r="C31" i="60"/>
  <c r="C32" i="60"/>
  <c r="C33" i="60"/>
  <c r="C34" i="60"/>
  <c r="C35" i="60"/>
  <c r="C36" i="60"/>
  <c r="B155" i="60"/>
  <c r="B156" i="60"/>
  <c r="D34" i="60"/>
  <c r="D35" i="60"/>
  <c r="D36" i="60"/>
  <c r="D37" i="60"/>
  <c r="J25" i="60"/>
  <c r="J26" i="60"/>
  <c r="J27" i="60"/>
  <c r="J28" i="60"/>
  <c r="F33" i="60"/>
  <c r="F34" i="60"/>
  <c r="F35" i="60"/>
  <c r="F36" i="60"/>
  <c r="F37" i="60"/>
  <c r="F38" i="60"/>
  <c r="F39" i="60"/>
  <c r="F40" i="60"/>
  <c r="D38" i="60"/>
  <c r="D39" i="60"/>
  <c r="D40" i="60"/>
  <c r="D41" i="60"/>
  <c r="D42" i="60"/>
  <c r="D43" i="60"/>
  <c r="D44" i="60"/>
  <c r="D45" i="60"/>
  <c r="D46" i="60"/>
  <c r="D47" i="60"/>
  <c r="B35" i="60"/>
  <c r="G160" i="60"/>
  <c r="G161" i="60"/>
  <c r="G162" i="60"/>
  <c r="G163" i="60"/>
  <c r="G164" i="60"/>
  <c r="G165" i="60"/>
  <c r="G166" i="60"/>
  <c r="G167" i="60"/>
  <c r="G168" i="60"/>
  <c r="G169" i="60"/>
  <c r="G170" i="60"/>
  <c r="G171" i="60"/>
  <c r="G172" i="60"/>
  <c r="G173" i="60"/>
  <c r="G174" i="60"/>
  <c r="G175" i="60"/>
  <c r="G176" i="60"/>
  <c r="G177" i="60"/>
  <c r="G178" i="60"/>
  <c r="G179" i="60"/>
  <c r="G180" i="60"/>
  <c r="G181" i="60"/>
  <c r="B36" i="60"/>
  <c r="B157" i="60"/>
  <c r="B158" i="60"/>
  <c r="B159" i="60"/>
  <c r="B160" i="60"/>
  <c r="C156" i="60"/>
  <c r="C157" i="60"/>
  <c r="C158" i="60"/>
  <c r="C159" i="60"/>
  <c r="C160" i="60"/>
  <c r="E162" i="60"/>
  <c r="E163" i="60"/>
  <c r="E164" i="60"/>
  <c r="E165" i="60"/>
  <c r="E166" i="60"/>
  <c r="E167" i="60"/>
  <c r="E168" i="60"/>
  <c r="B37" i="60"/>
  <c r="B38" i="60"/>
  <c r="B39" i="60"/>
  <c r="B40" i="60"/>
  <c r="B41" i="60"/>
  <c r="B42" i="60"/>
  <c r="B43" i="60"/>
  <c r="B44" i="60"/>
  <c r="B45" i="60"/>
  <c r="J29" i="60"/>
  <c r="J30" i="60"/>
  <c r="J31" i="60"/>
  <c r="J32" i="60"/>
  <c r="J33" i="60"/>
  <c r="J34" i="60"/>
  <c r="J35" i="60"/>
  <c r="B161" i="60"/>
  <c r="B162" i="60"/>
  <c r="B163" i="60"/>
  <c r="B164" i="60"/>
  <c r="B165" i="60"/>
  <c r="B166" i="60"/>
  <c r="B167" i="60"/>
  <c r="B168" i="60"/>
  <c r="C37" i="60"/>
  <c r="C38" i="60"/>
  <c r="C39" i="60"/>
  <c r="C40" i="60"/>
  <c r="C41" i="60"/>
  <c r="C42" i="60"/>
  <c r="C43" i="60"/>
  <c r="C44" i="60"/>
  <c r="C45" i="60"/>
  <c r="C46" i="60"/>
  <c r="C47" i="60"/>
  <c r="C48" i="60"/>
  <c r="C49" i="60"/>
  <c r="C50" i="60"/>
  <c r="C51" i="60"/>
  <c r="C52" i="60"/>
  <c r="C53" i="60"/>
  <c r="C54" i="60"/>
  <c r="C55" i="60"/>
  <c r="C56" i="60"/>
  <c r="C57" i="60"/>
  <c r="C58" i="60"/>
  <c r="C59" i="60"/>
  <c r="C60" i="60"/>
  <c r="C61" i="60"/>
  <c r="C62" i="60"/>
  <c r="C63" i="60"/>
  <c r="C64" i="60"/>
  <c r="C65" i="60"/>
  <c r="E40" i="60"/>
  <c r="E41" i="60"/>
  <c r="E42" i="60"/>
  <c r="E43" i="60"/>
  <c r="E44" i="60"/>
  <c r="E45" i="60"/>
  <c r="B169" i="60"/>
  <c r="B170" i="60"/>
  <c r="B171" i="60"/>
  <c r="B172" i="60"/>
  <c r="B173" i="60"/>
  <c r="B174" i="60"/>
  <c r="B175" i="60"/>
  <c r="B176" i="60"/>
  <c r="B177" i="60"/>
  <c r="B178" i="60"/>
  <c r="B179" i="60"/>
  <c r="B180" i="60"/>
  <c r="B181" i="60"/>
  <c r="G37" i="60"/>
  <c r="G38" i="60"/>
  <c r="G39" i="60"/>
  <c r="G40" i="60"/>
  <c r="G41" i="60"/>
  <c r="D171" i="60"/>
  <c r="D172" i="60"/>
  <c r="D173" i="60"/>
  <c r="D174" i="60"/>
  <c r="D175" i="60"/>
  <c r="D176" i="60"/>
  <c r="D177" i="60"/>
  <c r="D178" i="60"/>
  <c r="D179" i="60"/>
  <c r="A58" i="63"/>
  <c r="A59" i="63"/>
  <c r="A60" i="63"/>
  <c r="A61" i="63"/>
  <c r="A62" i="63"/>
  <c r="F169" i="60"/>
  <c r="F170" i="60"/>
  <c r="F171" i="60"/>
  <c r="F172" i="60"/>
  <c r="F173" i="60"/>
  <c r="F174" i="60"/>
  <c r="F175" i="60"/>
  <c r="F176" i="60"/>
  <c r="F177" i="60"/>
  <c r="F178" i="60"/>
  <c r="F179" i="60"/>
  <c r="F180" i="60"/>
  <c r="F181" i="60"/>
  <c r="F182" i="60"/>
  <c r="F183" i="60"/>
  <c r="F184" i="60"/>
  <c r="F185" i="60"/>
  <c r="D180" i="60"/>
  <c r="D181" i="60"/>
  <c r="D182" i="60"/>
  <c r="D183" i="60"/>
  <c r="D184" i="60"/>
  <c r="D185" i="60"/>
  <c r="D186" i="60"/>
  <c r="D187" i="60"/>
  <c r="D188" i="60"/>
  <c r="D189" i="60"/>
  <c r="D190" i="60"/>
  <c r="D191" i="60"/>
  <c r="G42" i="60"/>
  <c r="G43" i="60"/>
  <c r="G44" i="60"/>
  <c r="G45" i="60"/>
  <c r="G46" i="60"/>
  <c r="G47" i="60"/>
  <c r="G48" i="60"/>
  <c r="G49" i="60"/>
  <c r="G50" i="60"/>
  <c r="G51" i="60"/>
  <c r="G52" i="60"/>
  <c r="G53" i="60"/>
  <c r="G54" i="60"/>
  <c r="G55" i="60"/>
  <c r="G56" i="60"/>
  <c r="G57" i="60"/>
  <c r="G58" i="60"/>
  <c r="G59" i="60"/>
  <c r="G60" i="60"/>
  <c r="G61" i="60"/>
  <c r="G62" i="60"/>
  <c r="G63" i="60"/>
  <c r="G64" i="60"/>
  <c r="G65" i="60"/>
  <c r="C161" i="60"/>
  <c r="C162" i="60"/>
  <c r="C163" i="60"/>
  <c r="C164" i="60"/>
  <c r="C165" i="60"/>
  <c r="C166" i="60"/>
  <c r="C167" i="60"/>
  <c r="C168" i="60"/>
  <c r="G182" i="60"/>
  <c r="G183" i="60"/>
  <c r="G184" i="60"/>
  <c r="G185" i="60"/>
  <c r="G186" i="60"/>
  <c r="G187" i="60"/>
  <c r="G188" i="60"/>
  <c r="G189" i="60"/>
  <c r="G190" i="60"/>
  <c r="G191" i="60"/>
  <c r="E169" i="60"/>
  <c r="E170" i="60"/>
  <c r="E171" i="60"/>
  <c r="E172" i="60"/>
  <c r="E173" i="60"/>
  <c r="E174" i="60"/>
  <c r="E175" i="60"/>
  <c r="E176" i="60"/>
  <c r="E177" i="60"/>
  <c r="E178" i="60"/>
  <c r="E179" i="60"/>
  <c r="E180" i="60"/>
  <c r="E181" i="60"/>
  <c r="E182" i="60"/>
  <c r="E183" i="60"/>
  <c r="E46" i="60"/>
  <c r="E47" i="60"/>
  <c r="C66" i="60"/>
  <c r="C67" i="60"/>
  <c r="C68" i="60"/>
  <c r="C69" i="60"/>
  <c r="C70" i="60"/>
  <c r="C71" i="60"/>
  <c r="C72" i="60"/>
  <c r="C73" i="60"/>
  <c r="C74" i="60"/>
  <c r="C75" i="60"/>
  <c r="C76" i="60"/>
  <c r="B182" i="60"/>
  <c r="B183" i="60"/>
  <c r="B184" i="60"/>
  <c r="B185" i="60"/>
  <c r="B186" i="60"/>
  <c r="B187" i="60"/>
  <c r="B188" i="60"/>
  <c r="B189" i="60"/>
  <c r="B190" i="60"/>
  <c r="B191" i="60"/>
  <c r="C169" i="60"/>
  <c r="C170" i="60"/>
  <c r="C171" i="60"/>
  <c r="C172" i="60"/>
  <c r="C173" i="60"/>
  <c r="C174" i="60"/>
  <c r="C175" i="60"/>
  <c r="F41" i="60"/>
  <c r="F42" i="60"/>
  <c r="F43" i="60"/>
  <c r="F44" i="60"/>
  <c r="F45" i="60"/>
  <c r="F46" i="60"/>
  <c r="F47" i="60"/>
  <c r="F48" i="60"/>
  <c r="F49" i="60"/>
  <c r="F50" i="60"/>
  <c r="E184" i="60"/>
  <c r="E185" i="60"/>
  <c r="E186" i="60"/>
  <c r="B46" i="60"/>
  <c r="B47" i="60"/>
  <c r="B48" i="60"/>
  <c r="B49" i="60"/>
  <c r="B50" i="60"/>
  <c r="J36" i="60"/>
  <c r="J37" i="60"/>
  <c r="J38" i="60"/>
  <c r="F51" i="60"/>
  <c r="F52" i="60"/>
  <c r="F53" i="60"/>
  <c r="F54" i="60"/>
  <c r="F55" i="60"/>
  <c r="F56" i="60"/>
  <c r="F57" i="60"/>
  <c r="F58" i="60"/>
  <c r="E48" i="60"/>
  <c r="E49" i="60"/>
  <c r="E50" i="60"/>
  <c r="E51" i="60"/>
  <c r="E52" i="60"/>
  <c r="E53" i="60"/>
  <c r="E54" i="60"/>
  <c r="E55" i="60"/>
  <c r="E56" i="60"/>
  <c r="H50" i="60"/>
  <c r="H51" i="60"/>
  <c r="H52" i="60"/>
  <c r="H53" i="60"/>
  <c r="H54" i="60"/>
  <c r="H55" i="60"/>
  <c r="H56" i="60"/>
  <c r="H57" i="60"/>
  <c r="H58" i="60"/>
  <c r="H59" i="60"/>
  <c r="H60" i="60"/>
  <c r="E187" i="60"/>
  <c r="E188" i="60"/>
  <c r="E189" i="60"/>
  <c r="E190" i="60"/>
  <c r="E191" i="60"/>
  <c r="J39" i="60"/>
  <c r="J40" i="60"/>
  <c r="J41" i="60"/>
  <c r="J42" i="60"/>
  <c r="B51" i="60"/>
  <c r="B52" i="60"/>
  <c r="F59" i="60"/>
  <c r="F60" i="60"/>
  <c r="F61" i="60"/>
  <c r="C176" i="60"/>
  <c r="C177" i="60"/>
  <c r="C178" i="60"/>
  <c r="C179" i="60"/>
  <c r="C180" i="60"/>
  <c r="C181" i="60"/>
  <c r="C182" i="60"/>
  <c r="C183" i="60"/>
  <c r="C184" i="60"/>
  <c r="C185" i="60"/>
  <c r="C186" i="60"/>
  <c r="C187" i="60"/>
  <c r="C188" i="60"/>
  <c r="C189" i="60"/>
  <c r="C190" i="60"/>
  <c r="C191" i="60"/>
  <c r="D48" i="60"/>
  <c r="D49" i="60"/>
  <c r="D50" i="60"/>
  <c r="D51" i="60"/>
  <c r="D52" i="60"/>
  <c r="D53" i="60"/>
  <c r="D54" i="60"/>
  <c r="D55" i="60"/>
  <c r="D56" i="60"/>
  <c r="D57" i="60"/>
  <c r="D58" i="60"/>
  <c r="B53" i="60"/>
  <c r="B54" i="60"/>
  <c r="B55" i="60"/>
  <c r="B56" i="60"/>
  <c r="B57" i="60"/>
  <c r="B58" i="60"/>
  <c r="B59" i="60"/>
  <c r="B60" i="60"/>
  <c r="B61" i="60"/>
  <c r="B62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F186" i="60"/>
  <c r="F187" i="60"/>
  <c r="F188" i="60"/>
  <c r="F189" i="60"/>
  <c r="F190" i="60"/>
  <c r="F191" i="60"/>
  <c r="J43" i="60"/>
  <c r="J44" i="60"/>
  <c r="J45" i="60"/>
  <c r="J46" i="60"/>
  <c r="G66" i="60"/>
  <c r="B63" i="60"/>
  <c r="B64" i="60"/>
  <c r="B65" i="60"/>
  <c r="B66" i="60"/>
  <c r="B67" i="60"/>
  <c r="B68" i="60"/>
  <c r="B69" i="60"/>
  <c r="B70" i="60"/>
  <c r="B71" i="60"/>
  <c r="B72" i="60"/>
  <c r="B73" i="60"/>
  <c r="B74" i="60"/>
  <c r="B75" i="60"/>
  <c r="B76" i="60"/>
  <c r="B77" i="60"/>
  <c r="B78" i="60"/>
  <c r="F62" i="60"/>
  <c r="F63" i="60"/>
  <c r="F64" i="60"/>
  <c r="F65" i="60"/>
  <c r="F66" i="60"/>
  <c r="F67" i="60"/>
  <c r="J47" i="60"/>
  <c r="J48" i="60"/>
  <c r="J49" i="60"/>
  <c r="J50" i="60"/>
  <c r="J51" i="60"/>
  <c r="G67" i="60"/>
  <c r="G68" i="60"/>
  <c r="G69" i="60"/>
  <c r="G70" i="60"/>
  <c r="G71" i="60"/>
  <c r="G72" i="60"/>
  <c r="G73" i="60"/>
  <c r="G74" i="60"/>
  <c r="G75" i="60"/>
  <c r="G76" i="60"/>
  <c r="G77" i="60"/>
  <c r="H61" i="60"/>
  <c r="H62" i="60"/>
  <c r="H63" i="60"/>
  <c r="H64" i="60"/>
  <c r="H65" i="60"/>
  <c r="H66" i="60"/>
  <c r="H67" i="60"/>
  <c r="H68" i="60"/>
  <c r="H69" i="60"/>
  <c r="H70" i="60"/>
  <c r="H71" i="60"/>
  <c r="H72" i="60"/>
  <c r="H73" i="60"/>
  <c r="H74" i="60"/>
  <c r="H75" i="60"/>
  <c r="H76" i="60"/>
  <c r="H77" i="60"/>
  <c r="H78" i="60"/>
  <c r="J52" i="60"/>
  <c r="J53" i="60"/>
  <c r="J54" i="60"/>
  <c r="C77" i="60"/>
  <c r="C78" i="60"/>
  <c r="D59" i="60"/>
  <c r="D60" i="60"/>
  <c r="D61" i="60"/>
  <c r="D62" i="60"/>
  <c r="D63" i="60"/>
  <c r="D64" i="60"/>
  <c r="D65" i="60"/>
  <c r="D66" i="60"/>
  <c r="D67" i="60"/>
  <c r="D68" i="60"/>
  <c r="D69" i="60"/>
  <c r="D70" i="60"/>
  <c r="F68" i="60"/>
  <c r="F69" i="60"/>
  <c r="F70" i="60"/>
  <c r="F71" i="60"/>
  <c r="F72" i="60"/>
  <c r="F73" i="60"/>
  <c r="F74" i="60"/>
  <c r="F75" i="60"/>
  <c r="F76" i="60"/>
  <c r="F77" i="60"/>
  <c r="F78" i="60"/>
  <c r="D71" i="60"/>
  <c r="D72" i="60"/>
  <c r="D73" i="60"/>
  <c r="D74" i="60"/>
  <c r="D75" i="60"/>
  <c r="D76" i="60"/>
  <c r="D77" i="60"/>
  <c r="J55" i="60"/>
  <c r="J56" i="60"/>
  <c r="J57" i="60"/>
  <c r="J58" i="60"/>
  <c r="J59" i="60"/>
  <c r="J60" i="60"/>
  <c r="J61" i="60"/>
  <c r="D78" i="60"/>
  <c r="E75" i="60"/>
  <c r="E76" i="60"/>
  <c r="J62" i="60"/>
  <c r="J63" i="60"/>
  <c r="J64" i="60"/>
  <c r="J65" i="60"/>
  <c r="J66" i="60"/>
  <c r="J67" i="60"/>
  <c r="J68" i="60"/>
  <c r="J69" i="60"/>
  <c r="J70" i="60"/>
  <c r="J71" i="60"/>
  <c r="J72" i="60"/>
  <c r="J73" i="60"/>
  <c r="J74" i="60"/>
  <c r="J75" i="60"/>
  <c r="J76" i="60"/>
  <c r="J77" i="60"/>
  <c r="J78" i="60"/>
  <c r="E77" i="60"/>
  <c r="E78" i="60"/>
  <c r="G78" i="60"/>
  <c r="S7" i="63"/>
  <c r="A271" i="60"/>
  <c r="A272" i="60"/>
  <c r="A273" i="60"/>
  <c r="A274" i="60"/>
  <c r="A275" i="60"/>
  <c r="A276" i="60"/>
  <c r="A277" i="60"/>
  <c r="A278" i="60"/>
  <c r="A279" i="60"/>
  <c r="A280" i="60"/>
  <c r="A281" i="60"/>
  <c r="A282" i="60"/>
  <c r="A283" i="60"/>
  <c r="A82" i="60"/>
  <c r="A83" i="60"/>
  <c r="A84" i="60"/>
  <c r="A85" i="60"/>
  <c r="A86" i="60"/>
  <c r="A87" i="60"/>
  <c r="A88" i="60"/>
  <c r="A89" i="60"/>
  <c r="A90" i="60"/>
  <c r="A91" i="60"/>
  <c r="A92" i="60"/>
  <c r="A93" i="60"/>
  <c r="A94" i="60"/>
  <c r="A95" i="60"/>
  <c r="A96" i="60"/>
  <c r="A97" i="60"/>
  <c r="A98" i="60"/>
  <c r="A99" i="60"/>
  <c r="A100" i="60"/>
  <c r="A101" i="60"/>
  <c r="A102" i="60"/>
  <c r="A103" i="60"/>
  <c r="A104" i="60"/>
  <c r="A105" i="60"/>
  <c r="A106" i="60"/>
  <c r="A107" i="60"/>
  <c r="S19" i="63"/>
  <c r="I221" i="60"/>
  <c r="I222" i="60"/>
  <c r="B38" i="15"/>
  <c r="C39" i="15"/>
  <c r="S43" i="63"/>
  <c r="S54" i="63"/>
  <c r="I199" i="60"/>
  <c r="I200" i="60"/>
  <c r="S35" i="63"/>
  <c r="A32" i="60"/>
  <c r="A33" i="60"/>
  <c r="A34" i="60"/>
  <c r="A35" i="60"/>
  <c r="A36" i="60"/>
  <c r="A37" i="60"/>
  <c r="A38" i="60"/>
  <c r="A39" i="60"/>
  <c r="A40" i="60"/>
  <c r="A41" i="60"/>
  <c r="A156" i="60"/>
  <c r="A157" i="60"/>
  <c r="A158" i="60"/>
  <c r="A159" i="60"/>
  <c r="A160" i="60"/>
  <c r="A161" i="60"/>
  <c r="A162" i="60"/>
  <c r="A163" i="60"/>
  <c r="A164" i="60"/>
  <c r="A165" i="60"/>
  <c r="A166" i="60"/>
  <c r="A167" i="60"/>
  <c r="A168" i="60"/>
  <c r="A169" i="60"/>
  <c r="A170" i="60"/>
  <c r="A171" i="60"/>
  <c r="S8" i="63"/>
  <c r="A284" i="60"/>
  <c r="A285" i="60"/>
  <c r="A286" i="60"/>
  <c r="A287" i="60"/>
  <c r="A288" i="60"/>
  <c r="A289" i="60"/>
  <c r="A290" i="60"/>
  <c r="A291" i="60"/>
  <c r="A108" i="60"/>
  <c r="A109" i="60"/>
  <c r="A110" i="60"/>
  <c r="A111" i="60"/>
  <c r="A112" i="60"/>
  <c r="A113" i="60"/>
  <c r="A114" i="60"/>
  <c r="A115" i="60"/>
  <c r="A116" i="60"/>
  <c r="A117" i="60"/>
  <c r="A118" i="60"/>
  <c r="A119" i="60"/>
  <c r="A120" i="60"/>
  <c r="A121" i="60"/>
  <c r="A122" i="60"/>
  <c r="A123" i="60"/>
  <c r="A124" i="60"/>
  <c r="A125" i="60"/>
  <c r="A126" i="60"/>
  <c r="S20" i="63"/>
  <c r="I224" i="60"/>
  <c r="I223" i="60"/>
  <c r="C38" i="15"/>
  <c r="B37" i="15"/>
  <c r="S44" i="63"/>
  <c r="S55" i="63"/>
  <c r="I202" i="60"/>
  <c r="I201" i="60"/>
  <c r="S36" i="63"/>
  <c r="A42" i="60"/>
  <c r="A43" i="60"/>
  <c r="A44" i="60"/>
  <c r="A45" i="60"/>
  <c r="A46" i="60"/>
  <c r="A47" i="60"/>
  <c r="A48" i="60"/>
  <c r="A49" i="60"/>
  <c r="A50" i="60"/>
  <c r="A51" i="60"/>
  <c r="A52" i="60"/>
  <c r="A53" i="60"/>
  <c r="A54" i="60"/>
  <c r="A55" i="60"/>
  <c r="A56" i="60"/>
  <c r="A57" i="60"/>
  <c r="A172" i="60"/>
  <c r="A173" i="60"/>
  <c r="A174" i="60"/>
  <c r="A175" i="60"/>
  <c r="A176" i="60"/>
  <c r="A177" i="60"/>
  <c r="A178" i="60"/>
  <c r="A179" i="60"/>
  <c r="A180" i="60"/>
  <c r="A181" i="60"/>
  <c r="A182" i="60"/>
  <c r="A183" i="60"/>
  <c r="A184" i="60"/>
  <c r="A185" i="60"/>
  <c r="A186" i="60"/>
  <c r="A187" i="60"/>
  <c r="A188" i="60"/>
  <c r="A189" i="60"/>
  <c r="A190" i="60"/>
  <c r="A191" i="60"/>
  <c r="S9" i="63"/>
  <c r="A292" i="60"/>
  <c r="A293" i="60"/>
  <c r="A294" i="60"/>
  <c r="A295" i="60"/>
  <c r="A296" i="60"/>
  <c r="A297" i="60"/>
  <c r="A298" i="60"/>
  <c r="A299" i="60"/>
  <c r="A300" i="60"/>
  <c r="A301" i="60"/>
  <c r="A302" i="60"/>
  <c r="A303" i="60"/>
  <c r="A304" i="60"/>
  <c r="A305" i="60"/>
  <c r="A306" i="60"/>
  <c r="S21" i="63"/>
  <c r="I225" i="60"/>
  <c r="I226" i="60"/>
  <c r="I227" i="60"/>
  <c r="B36" i="15"/>
  <c r="C37" i="15"/>
  <c r="S45" i="63"/>
  <c r="S56" i="63"/>
  <c r="I203" i="60"/>
  <c r="I204" i="60"/>
  <c r="S37" i="63"/>
  <c r="A58" i="60"/>
  <c r="A59" i="60"/>
  <c r="A60" i="60"/>
  <c r="A61" i="60"/>
  <c r="A62" i="60"/>
  <c r="A63" i="60"/>
  <c r="A64" i="60"/>
  <c r="A65" i="60"/>
  <c r="S10" i="63"/>
  <c r="S22" i="63"/>
  <c r="C36" i="15"/>
  <c r="B35" i="15"/>
  <c r="S46" i="63"/>
  <c r="S57" i="63"/>
  <c r="I206" i="60"/>
  <c r="I207" i="60"/>
  <c r="I205" i="60"/>
  <c r="S38" i="63"/>
  <c r="A66" i="60"/>
  <c r="A67" i="60"/>
  <c r="A68" i="60"/>
  <c r="A69" i="60"/>
  <c r="A70" i="60"/>
  <c r="A71" i="60"/>
  <c r="A72" i="60"/>
  <c r="A73" i="60"/>
  <c r="A74" i="60"/>
  <c r="A75" i="60"/>
  <c r="A76" i="60"/>
  <c r="A77" i="60"/>
  <c r="A78" i="60"/>
  <c r="S11" i="63"/>
  <c r="S23" i="63"/>
  <c r="C35" i="15"/>
  <c r="B34" i="15"/>
  <c r="S47" i="63"/>
  <c r="S58" i="63"/>
  <c r="S12" i="63"/>
  <c r="S24" i="63"/>
  <c r="C34" i="15"/>
  <c r="B33" i="15"/>
  <c r="S48" i="63"/>
  <c r="S59" i="63"/>
  <c r="S13" i="63"/>
  <c r="S25" i="63"/>
  <c r="C33" i="15"/>
  <c r="B32" i="15"/>
  <c r="S49" i="63"/>
  <c r="S60" i="63"/>
  <c r="S14" i="63"/>
  <c r="S26" i="63"/>
  <c r="B31" i="15"/>
  <c r="C32" i="15"/>
  <c r="S50" i="63"/>
  <c r="S61" i="63"/>
  <c r="C31" i="15"/>
  <c r="B30" i="15"/>
  <c r="S62" i="63"/>
  <c r="C30" i="15"/>
  <c r="B29" i="15"/>
  <c r="B28" i="15"/>
  <c r="C29" i="15"/>
  <c r="C28" i="15"/>
  <c r="B27" i="15"/>
  <c r="B26" i="15"/>
  <c r="C27" i="15"/>
  <c r="C26" i="15"/>
  <c r="B25" i="15"/>
  <c r="C25" i="15"/>
  <c r="B24" i="15"/>
  <c r="C24" i="15"/>
  <c r="B23" i="15"/>
  <c r="B22" i="15"/>
  <c r="C23" i="15"/>
  <c r="C22" i="15"/>
  <c r="B21" i="15"/>
  <c r="C21" i="15"/>
  <c r="B20" i="15"/>
  <c r="C20" i="15"/>
  <c r="B19" i="15"/>
  <c r="C19" i="15"/>
  <c r="B18" i="15"/>
  <c r="C18" i="15"/>
  <c r="B17" i="15"/>
  <c r="B16" i="15"/>
  <c r="C17" i="15"/>
  <c r="C16" i="15"/>
  <c r="B15" i="15"/>
  <c r="C15" i="15"/>
  <c r="B14" i="15"/>
  <c r="C14" i="15"/>
  <c r="B13" i="15"/>
  <c r="C13" i="15"/>
  <c r="B12" i="15"/>
  <c r="B11" i="15"/>
  <c r="C12" i="15"/>
  <c r="B10" i="15"/>
  <c r="C11" i="15"/>
  <c r="C10" i="15"/>
  <c r="B9" i="15"/>
  <c r="C9" i="15"/>
  <c r="B8" i="15"/>
  <c r="B7" i="15"/>
  <c r="C8" i="15"/>
  <c r="B6" i="15"/>
  <c r="C7" i="15"/>
  <c r="C6" i="15"/>
  <c r="B5" i="15"/>
  <c r="C5" i="15"/>
  <c r="B4" i="15"/>
  <c r="C4" i="15"/>
  <c r="B3" i="15"/>
  <c r="C3" i="15"/>
  <c r="C41" i="68"/>
  <c r="C39" i="68"/>
  <c r="C38" i="68"/>
  <c r="C36" i="68"/>
  <c r="C35" i="68"/>
  <c r="C34" i="68"/>
  <c r="C33" i="68"/>
  <c r="C32" i="68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4" i="68"/>
  <c r="C11" i="68"/>
  <c r="C8" i="68"/>
  <c r="C5" i="68"/>
  <c r="AQ3" i="68"/>
  <c r="AO3" i="68"/>
  <c r="AQ42" i="68"/>
  <c r="AO42" i="68"/>
  <c r="AM13" i="68"/>
  <c r="AK13" i="68"/>
  <c r="AK17" i="68"/>
  <c r="AM17" i="68"/>
  <c r="AM11" i="68"/>
  <c r="AK11" i="68"/>
  <c r="AM9" i="68"/>
  <c r="AK9" i="68"/>
  <c r="AK7" i="68"/>
  <c r="AM7" i="68"/>
  <c r="AM4" i="68"/>
  <c r="AK4" i="68"/>
  <c r="AM3" i="68"/>
  <c r="AK3" i="68"/>
  <c r="AM5" i="68"/>
  <c r="AK5" i="68"/>
  <c r="AM14" i="68"/>
  <c r="AK14" i="68"/>
  <c r="AM16" i="68"/>
  <c r="AK16" i="68"/>
  <c r="AM18" i="68"/>
  <c r="AK18" i="68"/>
  <c r="AM20" i="68"/>
  <c r="AK20" i="68"/>
  <c r="AM21" i="68"/>
  <c r="AK21" i="68"/>
  <c r="AM24" i="68"/>
  <c r="AK24" i="68"/>
  <c r="AM26" i="68"/>
  <c r="AK26" i="68"/>
  <c r="AM28" i="68"/>
  <c r="AK28" i="68"/>
  <c r="AM30" i="68"/>
  <c r="AK30" i="68"/>
  <c r="AM32" i="68"/>
  <c r="AK32" i="68"/>
  <c r="AM34" i="68"/>
  <c r="AK34" i="68"/>
  <c r="AM36" i="68"/>
  <c r="AK36" i="68"/>
  <c r="AM39" i="68"/>
  <c r="AK39" i="68"/>
  <c r="AM42" i="68"/>
  <c r="AK42" i="68"/>
  <c r="AI5" i="68"/>
  <c r="AG5" i="68"/>
  <c r="AI11" i="68"/>
  <c r="AG11" i="68"/>
  <c r="AI17" i="68"/>
  <c r="AG17" i="68"/>
  <c r="AI23" i="68"/>
  <c r="AG23" i="68"/>
  <c r="AI29" i="68"/>
  <c r="AG29" i="68"/>
  <c r="AI26" i="68"/>
  <c r="AG26" i="68"/>
  <c r="AI32" i="68"/>
  <c r="AG32" i="68"/>
  <c r="AI8" i="68"/>
  <c r="AG8" i="68"/>
  <c r="AI14" i="68"/>
  <c r="AG14" i="68"/>
  <c r="AI20" i="68"/>
  <c r="AG20" i="68"/>
  <c r="AI3" i="68"/>
  <c r="AG3" i="68"/>
  <c r="AI4" i="68"/>
  <c r="AG4" i="68"/>
  <c r="AI6" i="68"/>
  <c r="AG6" i="68"/>
  <c r="AI7" i="68"/>
  <c r="AG7" i="68"/>
  <c r="AG9" i="68"/>
  <c r="AI9" i="68"/>
  <c r="AI10" i="68"/>
  <c r="AG10" i="68"/>
  <c r="AI12" i="68"/>
  <c r="AG12" i="68"/>
  <c r="AG13" i="68"/>
  <c r="AI13" i="68"/>
  <c r="AI15" i="68"/>
  <c r="AG15" i="68"/>
  <c r="AI16" i="68"/>
  <c r="AG16" i="68"/>
  <c r="AI18" i="68"/>
  <c r="AG18" i="68"/>
  <c r="AI19" i="68"/>
  <c r="AG19" i="68"/>
  <c r="AI21" i="68"/>
  <c r="AG21" i="68"/>
  <c r="AI22" i="68"/>
  <c r="AG22" i="68"/>
  <c r="AI24" i="68"/>
  <c r="AG24" i="68"/>
  <c r="AI25" i="68"/>
  <c r="AG25" i="68"/>
  <c r="AI27" i="68"/>
  <c r="AG27" i="68"/>
  <c r="AI28" i="68"/>
  <c r="AG28" i="68"/>
  <c r="AI30" i="68"/>
  <c r="AG30" i="68"/>
  <c r="AI31" i="68"/>
  <c r="AG31" i="68"/>
  <c r="AI33" i="68"/>
  <c r="AG33" i="68"/>
  <c r="AI34" i="68"/>
  <c r="AG34" i="68"/>
  <c r="AI36" i="68"/>
  <c r="AG36" i="68"/>
  <c r="AI39" i="68"/>
  <c r="AG39" i="68"/>
  <c r="AI42" i="68"/>
  <c r="AG42" i="68"/>
  <c r="AE29" i="68"/>
  <c r="AC29" i="68"/>
  <c r="AE35" i="68"/>
  <c r="AC35" i="68"/>
  <c r="AE4" i="68"/>
  <c r="AC4" i="68"/>
  <c r="AA4" i="68"/>
  <c r="Y4" i="68"/>
  <c r="W4" i="68"/>
  <c r="U4" i="68"/>
  <c r="AA3" i="68"/>
  <c r="U3" i="68"/>
  <c r="Y3" i="68"/>
  <c r="W3" i="68"/>
  <c r="AA6" i="68"/>
  <c r="W6" i="68"/>
  <c r="Y6" i="68"/>
  <c r="U6" i="68"/>
  <c r="AA7" i="68"/>
  <c r="W7" i="68"/>
  <c r="U7" i="68"/>
  <c r="Y7" i="68"/>
  <c r="AA9" i="68"/>
  <c r="W9" i="68"/>
  <c r="U9" i="68"/>
  <c r="Y9" i="68"/>
  <c r="AA10" i="68"/>
  <c r="Y10" i="68"/>
  <c r="W10" i="68"/>
  <c r="U10" i="68"/>
  <c r="AA12" i="68"/>
  <c r="Y12" i="68"/>
  <c r="W12" i="68"/>
  <c r="U12" i="68"/>
  <c r="AA13" i="68"/>
  <c r="W13" i="68"/>
  <c r="U13" i="68"/>
  <c r="Y13" i="68"/>
  <c r="AA15" i="68"/>
  <c r="W15" i="68"/>
  <c r="U15" i="68"/>
  <c r="Y15" i="68"/>
  <c r="AA16" i="68"/>
  <c r="Y16" i="68"/>
  <c r="W16" i="68"/>
  <c r="U16" i="68"/>
  <c r="AA18" i="68"/>
  <c r="Y18" i="68"/>
  <c r="W18" i="68"/>
  <c r="U18" i="68"/>
  <c r="AA19" i="68"/>
  <c r="W19" i="68"/>
  <c r="U19" i="68"/>
  <c r="Y19" i="68"/>
  <c r="AA21" i="68"/>
  <c r="W21" i="68"/>
  <c r="U21" i="68"/>
  <c r="Y21" i="68"/>
  <c r="AA22" i="68"/>
  <c r="Y22" i="68"/>
  <c r="W22" i="68"/>
  <c r="U22" i="68"/>
  <c r="AA24" i="68"/>
  <c r="Y24" i="68"/>
  <c r="W24" i="68"/>
  <c r="U24" i="68"/>
  <c r="AA25" i="68"/>
  <c r="W25" i="68"/>
  <c r="U25" i="68"/>
  <c r="Y25" i="68"/>
  <c r="AA27" i="68"/>
  <c r="W27" i="68"/>
  <c r="U27" i="68"/>
  <c r="Y27" i="68"/>
  <c r="AA28" i="68"/>
  <c r="Y28" i="68"/>
  <c r="W28" i="68"/>
  <c r="U28" i="68"/>
  <c r="AA30" i="68"/>
  <c r="Y30" i="68"/>
  <c r="W30" i="68"/>
  <c r="U30" i="68"/>
  <c r="AA31" i="68"/>
  <c r="U31" i="68"/>
  <c r="Y31" i="68"/>
  <c r="W31" i="68"/>
  <c r="AA33" i="68"/>
  <c r="U33" i="68"/>
  <c r="Y33" i="68"/>
  <c r="W33" i="68"/>
  <c r="AA34" i="68"/>
  <c r="W34" i="68"/>
  <c r="Y34" i="68"/>
  <c r="U34" i="68"/>
  <c r="AA36" i="68"/>
  <c r="W36" i="68"/>
  <c r="Y36" i="68"/>
  <c r="U36" i="68"/>
  <c r="AA37" i="68"/>
  <c r="Y37" i="68"/>
  <c r="W37" i="68"/>
  <c r="U37" i="68"/>
  <c r="AA39" i="68"/>
  <c r="Y39" i="68"/>
  <c r="W39" i="68"/>
  <c r="U39" i="68"/>
  <c r="AA40" i="68"/>
  <c r="Y40" i="68"/>
  <c r="AA42" i="68"/>
  <c r="W42" i="68"/>
  <c r="U42" i="68"/>
  <c r="Y42" i="68"/>
  <c r="AA43" i="68"/>
  <c r="W43" i="68"/>
  <c r="U43" i="68"/>
  <c r="Y43" i="68"/>
  <c r="AA44" i="68"/>
  <c r="Y44" i="68"/>
  <c r="W44" i="68"/>
  <c r="U44" i="68"/>
  <c r="AE3" i="68"/>
  <c r="AC3" i="68"/>
  <c r="AE6" i="68"/>
  <c r="AC6" i="68"/>
  <c r="AE7" i="68"/>
  <c r="AC7" i="68"/>
  <c r="AC9" i="68"/>
  <c r="AE9" i="68"/>
  <c r="AE10" i="68"/>
  <c r="AC10" i="68"/>
  <c r="AE12" i="68"/>
  <c r="AC12" i="68"/>
  <c r="AC13" i="68"/>
  <c r="AE13" i="68"/>
  <c r="AE15" i="68"/>
  <c r="AC15" i="68"/>
  <c r="AE16" i="68"/>
  <c r="AC16" i="68"/>
  <c r="AE18" i="68"/>
  <c r="AC18" i="68"/>
  <c r="AE19" i="68"/>
  <c r="AC19" i="68"/>
  <c r="AC21" i="68"/>
  <c r="AE21" i="68"/>
  <c r="AE22" i="68"/>
  <c r="AC22" i="68"/>
  <c r="AE24" i="68"/>
  <c r="AC24" i="68"/>
  <c r="AC25" i="68"/>
  <c r="AE25" i="68"/>
  <c r="AE27" i="68"/>
  <c r="AC27" i="68"/>
  <c r="AE28" i="68"/>
  <c r="AC28" i="68"/>
  <c r="AE30" i="68"/>
  <c r="AC30" i="68"/>
  <c r="AE31" i="68"/>
  <c r="AC31" i="68"/>
  <c r="AC33" i="68"/>
  <c r="AE33" i="68"/>
  <c r="AE34" i="68"/>
  <c r="AC34" i="68"/>
  <c r="AE36" i="68"/>
  <c r="AC36" i="68"/>
  <c r="AE37" i="68"/>
  <c r="AC37" i="68"/>
  <c r="AE39" i="68"/>
  <c r="AC39" i="68"/>
  <c r="AE40" i="68"/>
  <c r="AC40" i="68"/>
  <c r="AE42" i="68"/>
  <c r="AC42" i="68"/>
  <c r="AE43" i="68"/>
  <c r="AC43" i="68"/>
  <c r="AE44" i="68"/>
  <c r="AC44" i="68"/>
  <c r="K3" i="68"/>
  <c r="I3" i="68"/>
  <c r="G3" i="68"/>
  <c r="E3" i="68"/>
  <c r="K6" i="68"/>
  <c r="I6" i="68"/>
  <c r="G6" i="68"/>
  <c r="E6" i="68"/>
  <c r="K7" i="68"/>
  <c r="I7" i="68"/>
  <c r="G7" i="68"/>
  <c r="E7" i="68"/>
  <c r="K9" i="68"/>
  <c r="I9" i="68"/>
  <c r="G9" i="68"/>
  <c r="E9" i="68"/>
  <c r="K10" i="68"/>
  <c r="I10" i="68"/>
  <c r="G10" i="68"/>
  <c r="E10" i="68"/>
  <c r="K12" i="68"/>
  <c r="I12" i="68"/>
  <c r="G12" i="68"/>
  <c r="E12" i="68"/>
  <c r="K13" i="68"/>
  <c r="I13" i="68"/>
  <c r="G13" i="68"/>
  <c r="E13" i="68"/>
  <c r="K15" i="68"/>
  <c r="I15" i="68"/>
  <c r="G15" i="68"/>
  <c r="E15" i="68"/>
  <c r="K16" i="68"/>
  <c r="I16" i="68"/>
  <c r="G16" i="68"/>
  <c r="E16" i="68"/>
  <c r="K18" i="68"/>
  <c r="I18" i="68"/>
  <c r="G18" i="68"/>
  <c r="E18" i="68"/>
  <c r="K19" i="68"/>
  <c r="I19" i="68"/>
  <c r="G19" i="68"/>
  <c r="E19" i="68"/>
  <c r="K21" i="68"/>
  <c r="I21" i="68"/>
  <c r="G21" i="68"/>
  <c r="E21" i="68"/>
  <c r="K22" i="68"/>
  <c r="I22" i="68"/>
  <c r="G22" i="68"/>
  <c r="E22" i="68"/>
  <c r="K24" i="68"/>
  <c r="I24" i="68"/>
  <c r="G24" i="68"/>
  <c r="E24" i="68"/>
  <c r="K25" i="68"/>
  <c r="I25" i="68"/>
  <c r="G25" i="68"/>
  <c r="E25" i="68"/>
  <c r="K27" i="68"/>
  <c r="I27" i="68"/>
  <c r="G27" i="68"/>
  <c r="E27" i="68"/>
  <c r="K28" i="68"/>
  <c r="I28" i="68"/>
  <c r="G28" i="68"/>
  <c r="E28" i="68"/>
  <c r="K30" i="68"/>
  <c r="I30" i="68"/>
  <c r="G30" i="68"/>
  <c r="E30" i="68"/>
  <c r="K31" i="68"/>
  <c r="I31" i="68"/>
  <c r="G31" i="68"/>
  <c r="E31" i="68"/>
  <c r="K33" i="68"/>
  <c r="I33" i="68"/>
  <c r="G33" i="68"/>
  <c r="E33" i="68"/>
  <c r="K34" i="68"/>
  <c r="I34" i="68"/>
  <c r="G34" i="68"/>
  <c r="E34" i="68"/>
  <c r="K36" i="68"/>
  <c r="I36" i="68"/>
  <c r="G36" i="68"/>
  <c r="E36" i="68"/>
  <c r="K37" i="68"/>
  <c r="I37" i="68"/>
  <c r="G37" i="68"/>
  <c r="E37" i="68"/>
  <c r="K39" i="68"/>
  <c r="I39" i="68"/>
  <c r="G39" i="68"/>
  <c r="E39" i="68"/>
  <c r="K40" i="68"/>
  <c r="I40" i="68"/>
  <c r="K42" i="68"/>
  <c r="I42" i="68"/>
  <c r="G42" i="68"/>
  <c r="E42" i="68"/>
  <c r="K43" i="68"/>
  <c r="I43" i="68"/>
  <c r="G43" i="68"/>
  <c r="E43" i="68"/>
  <c r="K44" i="68"/>
  <c r="I44" i="68"/>
  <c r="G44" i="68"/>
  <c r="E44" i="68"/>
  <c r="AE3" i="15"/>
  <c r="O3" i="15"/>
  <c r="Q3" i="15"/>
  <c r="S3" i="15"/>
  <c r="AC3" i="15"/>
  <c r="K3" i="15"/>
  <c r="M3" i="15"/>
  <c r="E3" i="15"/>
  <c r="I3" i="15"/>
  <c r="G3" i="15"/>
  <c r="AA3" i="15"/>
  <c r="Y3" i="15"/>
  <c r="AM5" i="15"/>
  <c r="AK5" i="15"/>
  <c r="S6" i="15"/>
  <c r="K6" i="15"/>
  <c r="Y6" i="15"/>
  <c r="G6" i="15"/>
  <c r="AE6" i="15"/>
  <c r="AA6" i="15"/>
  <c r="O6" i="15"/>
  <c r="AC6" i="15"/>
  <c r="M6" i="15"/>
  <c r="E6" i="15"/>
  <c r="Q6" i="15"/>
  <c r="I6" i="15"/>
  <c r="O7" i="15"/>
  <c r="Q7" i="15"/>
  <c r="S7" i="15"/>
  <c r="M7" i="15"/>
  <c r="AM8" i="15"/>
  <c r="AK8" i="15"/>
  <c r="S9" i="15"/>
  <c r="AC9" i="15"/>
  <c r="I9" i="15"/>
  <c r="AA9" i="15"/>
  <c r="O9" i="15"/>
  <c r="G9" i="15"/>
  <c r="Q9" i="15"/>
  <c r="AE9" i="15"/>
  <c r="E9" i="15"/>
  <c r="K9" i="15"/>
  <c r="Y9" i="15"/>
  <c r="M9" i="15"/>
  <c r="AE10" i="15"/>
  <c r="Y10" i="15"/>
  <c r="O10" i="15"/>
  <c r="AC10" i="15"/>
  <c r="Q10" i="15"/>
  <c r="M10" i="15"/>
  <c r="S10" i="15"/>
  <c r="AA10" i="15"/>
  <c r="K11" i="15"/>
  <c r="E11" i="15"/>
  <c r="G11" i="15"/>
  <c r="I11" i="15"/>
  <c r="AA12" i="15"/>
  <c r="S12" i="15"/>
  <c r="AC12" i="15"/>
  <c r="Q12" i="15"/>
  <c r="M12" i="15"/>
  <c r="Y12" i="15"/>
  <c r="O12" i="15"/>
  <c r="AE12" i="15"/>
  <c r="S13" i="15"/>
  <c r="K13" i="15"/>
  <c r="AC13" i="15"/>
  <c r="AE13" i="15"/>
  <c r="AA13" i="15"/>
  <c r="I13" i="15"/>
  <c r="G13" i="15"/>
  <c r="O13" i="15"/>
  <c r="M13" i="15"/>
  <c r="E13" i="15"/>
  <c r="Y13" i="15"/>
  <c r="Q13" i="15"/>
  <c r="AI14" i="15"/>
  <c r="AG14" i="15"/>
  <c r="AE15" i="15"/>
  <c r="O15" i="15"/>
  <c r="Q15" i="15"/>
  <c r="K15" i="15"/>
  <c r="Y15" i="15"/>
  <c r="AA15" i="15"/>
  <c r="E15" i="15"/>
  <c r="S15" i="15"/>
  <c r="M15" i="15"/>
  <c r="G15" i="15"/>
  <c r="I15" i="15"/>
  <c r="AC15" i="15"/>
  <c r="AI16" i="15"/>
  <c r="AA16" i="15"/>
  <c r="AG16" i="15"/>
  <c r="AE16" i="15"/>
  <c r="M16" i="15"/>
  <c r="AC16" i="15"/>
  <c r="Q16" i="15"/>
  <c r="O16" i="15"/>
  <c r="S16" i="15"/>
  <c r="Y16" i="15"/>
  <c r="K17" i="15"/>
  <c r="I17" i="15"/>
  <c r="G17" i="15"/>
  <c r="E17" i="15"/>
  <c r="AE18" i="15"/>
  <c r="Y18" i="15"/>
  <c r="AA18" i="15"/>
  <c r="S18" i="15"/>
  <c r="AI18" i="15"/>
  <c r="AC18" i="15"/>
  <c r="O18" i="15"/>
  <c r="AG18" i="15"/>
  <c r="Q18" i="15"/>
  <c r="M18" i="15"/>
  <c r="O19" i="15"/>
  <c r="Q19" i="15"/>
  <c r="E19" i="15"/>
  <c r="AC19" i="15"/>
  <c r="M19" i="15"/>
  <c r="G19" i="15"/>
  <c r="Y19" i="15"/>
  <c r="AA19" i="15"/>
  <c r="AE19" i="15"/>
  <c r="S19" i="15"/>
  <c r="K20" i="15"/>
  <c r="AG20" i="15"/>
  <c r="AI20" i="15"/>
  <c r="I20" i="15"/>
  <c r="AI21" i="15"/>
  <c r="AE21" i="15"/>
  <c r="S21" i="15"/>
  <c r="AC21" i="15"/>
  <c r="AG21" i="15"/>
  <c r="Q21" i="15"/>
  <c r="M21" i="15"/>
  <c r="G21" i="15"/>
  <c r="O21" i="15"/>
  <c r="E21" i="15"/>
  <c r="Y22" i="15"/>
  <c r="AA22" i="15"/>
  <c r="S22" i="15"/>
  <c r="AC22" i="15"/>
  <c r="Q22" i="15"/>
  <c r="O22" i="15"/>
  <c r="AE22" i="15"/>
  <c r="M22" i="15"/>
  <c r="K23" i="15"/>
  <c r="Y23" i="15"/>
  <c r="I23" i="15"/>
  <c r="E23" i="15"/>
  <c r="AA23" i="15"/>
  <c r="G23" i="15"/>
  <c r="AI24" i="15"/>
  <c r="AE24" i="15"/>
  <c r="AG24" i="15"/>
  <c r="M24" i="15"/>
  <c r="O24" i="15"/>
  <c r="S24" i="15"/>
  <c r="Q24" i="15"/>
  <c r="AC24" i="15"/>
  <c r="S25" i="15"/>
  <c r="AC25" i="15"/>
  <c r="AE25" i="15"/>
  <c r="Y25" i="15"/>
  <c r="M25" i="15"/>
  <c r="O25" i="15"/>
  <c r="G25" i="15"/>
  <c r="AA25" i="15"/>
  <c r="E25" i="15"/>
  <c r="Q25" i="15"/>
  <c r="Y26" i="15"/>
  <c r="AI26" i="15"/>
  <c r="AA26" i="15"/>
  <c r="AG26" i="15"/>
  <c r="K26" i="15"/>
  <c r="I26" i="15"/>
  <c r="AE27" i="15"/>
  <c r="O27" i="15"/>
  <c r="Q27" i="15"/>
  <c r="S27" i="15"/>
  <c r="AC27" i="15"/>
  <c r="M27" i="15"/>
  <c r="AG28" i="15"/>
  <c r="M28" i="15"/>
  <c r="AE28" i="15"/>
  <c r="AC28" i="15"/>
  <c r="O28" i="15"/>
  <c r="Q28" i="15"/>
  <c r="Y28" i="15"/>
  <c r="AA28" i="15"/>
  <c r="AI28" i="15"/>
  <c r="S28" i="15"/>
  <c r="I29" i="15"/>
  <c r="Y29" i="15"/>
  <c r="K29" i="15"/>
  <c r="AA29" i="15"/>
  <c r="AE30" i="15"/>
  <c r="M30" i="15"/>
  <c r="G30" i="15"/>
  <c r="AI30" i="15"/>
  <c r="S30" i="15"/>
  <c r="O30" i="15"/>
  <c r="AC30" i="15"/>
  <c r="Q30" i="15"/>
  <c r="AG30" i="15"/>
  <c r="E30" i="15"/>
  <c r="W62" i="63"/>
  <c r="O31" i="15"/>
  <c r="Q31" i="15"/>
  <c r="S31" i="15"/>
  <c r="AC31" i="15"/>
  <c r="AE31" i="15"/>
  <c r="AA31" i="15"/>
  <c r="Y31" i="15"/>
  <c r="M31" i="15"/>
  <c r="W61" i="63"/>
  <c r="W50" i="63"/>
  <c r="AI32" i="15"/>
  <c r="K32" i="15"/>
  <c r="AG32" i="15"/>
  <c r="E32" i="15"/>
  <c r="I32" i="15"/>
  <c r="G32" i="15"/>
  <c r="AA32" i="15"/>
  <c r="Y32" i="15"/>
  <c r="W26" i="63"/>
  <c r="W14" i="63"/>
  <c r="W60" i="63"/>
  <c r="W49" i="63"/>
  <c r="AE33" i="15"/>
  <c r="S33" i="15"/>
  <c r="AC33" i="15"/>
  <c r="M33" i="15"/>
  <c r="Q33" i="15"/>
  <c r="O33" i="15"/>
  <c r="W25" i="63"/>
  <c r="W13" i="63"/>
  <c r="W59" i="63"/>
  <c r="W48" i="63"/>
  <c r="AA34" i="15"/>
  <c r="Y34" i="15"/>
  <c r="O34" i="15"/>
  <c r="M34" i="15"/>
  <c r="G34" i="15"/>
  <c r="AI34" i="15"/>
  <c r="AE34" i="15"/>
  <c r="AC34" i="15"/>
  <c r="AG34" i="15"/>
  <c r="S34" i="15"/>
  <c r="E34" i="15"/>
  <c r="Q34" i="15"/>
  <c r="W24" i="63"/>
  <c r="W12" i="63"/>
  <c r="W58" i="63"/>
  <c r="W47" i="63"/>
  <c r="Y35" i="15"/>
  <c r="AA35" i="15"/>
  <c r="W23" i="63"/>
  <c r="W11" i="63"/>
  <c r="W38" i="63"/>
  <c r="W57" i="63"/>
  <c r="W46" i="63"/>
  <c r="AE36" i="15"/>
  <c r="AG36" i="15"/>
  <c r="M36" i="15"/>
  <c r="AI36" i="15"/>
  <c r="S36" i="15"/>
  <c r="AC36" i="15"/>
  <c r="Q36" i="15"/>
  <c r="E36" i="15"/>
  <c r="O36" i="15"/>
  <c r="G36" i="15"/>
  <c r="W22" i="63"/>
  <c r="W10" i="63"/>
  <c r="I66" i="60"/>
  <c r="W37" i="63"/>
  <c r="W56" i="63"/>
  <c r="W45" i="63"/>
  <c r="AA37" i="15"/>
  <c r="S37" i="15"/>
  <c r="AC37" i="15"/>
  <c r="AE37" i="15"/>
  <c r="Q37" i="15"/>
  <c r="Y37" i="15"/>
  <c r="M37" i="15"/>
  <c r="O37" i="15"/>
  <c r="W21" i="63"/>
  <c r="W9" i="63"/>
  <c r="I58" i="60"/>
  <c r="W36" i="63"/>
  <c r="W55" i="63"/>
  <c r="W44" i="63"/>
  <c r="Y38" i="15"/>
  <c r="AA38" i="15"/>
  <c r="G38" i="15"/>
  <c r="E38" i="15"/>
  <c r="W20" i="63"/>
  <c r="I292" i="60"/>
  <c r="W8" i="63"/>
  <c r="I172" i="60"/>
  <c r="I42" i="60"/>
  <c r="W35" i="63"/>
  <c r="W54" i="63"/>
  <c r="W43" i="63"/>
  <c r="AM39" i="15"/>
  <c r="AE39" i="15"/>
  <c r="O39" i="15"/>
  <c r="AK39" i="15"/>
  <c r="Q39" i="15"/>
  <c r="AI39" i="15"/>
  <c r="M39" i="15"/>
  <c r="AG39" i="15"/>
  <c r="AC39" i="15"/>
  <c r="S39" i="15"/>
  <c r="W19" i="63"/>
  <c r="I108" i="60"/>
  <c r="I284" i="60"/>
  <c r="W7" i="63"/>
  <c r="I156" i="60"/>
  <c r="I32" i="60"/>
  <c r="I23" i="60"/>
  <c r="W34" i="63"/>
  <c r="W53" i="63"/>
  <c r="AA41" i="15"/>
  <c r="Y41" i="15"/>
  <c r="AK41" i="15"/>
  <c r="AM41" i="15"/>
  <c r="W42" i="63"/>
  <c r="I7" i="60"/>
  <c r="W33" i="63"/>
  <c r="W18" i="63"/>
  <c r="W17" i="63"/>
  <c r="I82" i="60"/>
  <c r="I271" i="60"/>
  <c r="W16" i="63"/>
  <c r="I131" i="60"/>
  <c r="AA40" i="15"/>
  <c r="Y40" i="15"/>
  <c r="E40" i="15"/>
  <c r="AE40" i="15"/>
  <c r="AC40" i="15"/>
  <c r="G40" i="15"/>
  <c r="Q40" i="15"/>
  <c r="S40" i="15"/>
  <c r="W32" i="63"/>
  <c r="W31" i="63"/>
  <c r="W30" i="63"/>
  <c r="W41" i="63"/>
  <c r="W29" i="63"/>
  <c r="W28" i="63"/>
  <c r="W6" i="63"/>
  <c r="W5" i="63"/>
  <c r="W52" i="63"/>
  <c r="W40" i="63"/>
  <c r="W4" i="63"/>
  <c r="O43" i="15"/>
  <c r="AK43" i="15"/>
  <c r="Q43" i="15"/>
  <c r="M43" i="15"/>
  <c r="S43" i="15"/>
  <c r="AM43" i="15"/>
  <c r="Q44" i="15"/>
  <c r="O44" i="15"/>
  <c r="AM44" i="15"/>
  <c r="S44" i="15"/>
  <c r="AK44" i="15"/>
  <c r="M44" i="15"/>
  <c r="AE42" i="15"/>
  <c r="AG42" i="15"/>
  <c r="G42" i="15"/>
  <c r="S42" i="15"/>
  <c r="Q42" i="15"/>
  <c r="E42" i="15"/>
  <c r="M42" i="15"/>
  <c r="AI42" i="15"/>
  <c r="O42" i="15"/>
  <c r="K42" i="15"/>
  <c r="I42" i="15"/>
  <c r="AC42" i="15"/>
  <c r="AB90" i="66"/>
  <c r="U66" i="66"/>
  <c r="X66" i="66"/>
  <c r="AE90" i="66"/>
  <c r="W64" i="67"/>
  <c r="F64" i="67"/>
  <c r="H64" i="67"/>
  <c r="R64" i="67"/>
  <c r="O64" i="67"/>
  <c r="K64" i="67"/>
  <c r="L64" i="67"/>
  <c r="E64" i="67"/>
  <c r="I64" i="67"/>
  <c r="AE64" i="67"/>
  <c r="Z64" i="67"/>
  <c r="Y64" i="67"/>
  <c r="D64" i="67"/>
  <c r="AC64" i="67"/>
  <c r="Q64" i="67"/>
  <c r="X64" i="67"/>
  <c r="T64" i="67"/>
  <c r="AB64" i="67"/>
  <c r="N64" i="67"/>
  <c r="AF64" i="67"/>
  <c r="C64" i="67"/>
  <c r="P64" i="67"/>
  <c r="J64" i="67"/>
  <c r="S64" i="67"/>
  <c r="AD64" i="67"/>
  <c r="U64" i="67"/>
  <c r="AA64" i="67"/>
  <c r="T68" i="67"/>
  <c r="V68" i="67"/>
  <c r="R68" i="67"/>
  <c r="H68" i="67"/>
  <c r="AD68" i="67"/>
  <c r="AC68" i="67"/>
  <c r="X68" i="67"/>
  <c r="D68" i="67"/>
  <c r="W68" i="67"/>
  <c r="J68" i="67"/>
  <c r="P68" i="67"/>
  <c r="C68" i="67"/>
  <c r="K68" i="67"/>
  <c r="E68" i="67"/>
  <c r="Q68" i="67"/>
  <c r="L68" i="67"/>
  <c r="AF68" i="67"/>
  <c r="I68" i="67"/>
  <c r="Y68" i="67"/>
  <c r="N68" i="67"/>
  <c r="S68" i="67"/>
  <c r="F68" i="67"/>
  <c r="Z68" i="67"/>
  <c r="G68" i="67"/>
  <c r="AB68" i="67"/>
  <c r="AE68" i="67"/>
  <c r="AD71" i="67"/>
  <c r="C71" i="67"/>
  <c r="H71" i="67"/>
  <c r="Q71" i="67"/>
  <c r="W71" i="67"/>
  <c r="AE71" i="67"/>
  <c r="AC71" i="67"/>
  <c r="Y71" i="67"/>
  <c r="K71" i="67"/>
  <c r="AB71" i="67"/>
  <c r="G71" i="67"/>
  <c r="I71" i="67"/>
  <c r="AF71" i="67"/>
  <c r="U71" i="67"/>
  <c r="X71" i="67"/>
  <c r="L71" i="67"/>
  <c r="D71" i="67"/>
  <c r="S71" i="67"/>
  <c r="M71" i="67"/>
  <c r="R71" i="67"/>
  <c r="F71" i="67"/>
  <c r="O71" i="67"/>
  <c r="J71" i="67"/>
  <c r="N71" i="67"/>
  <c r="AA71" i="67"/>
  <c r="T71" i="67"/>
  <c r="V71" i="67"/>
  <c r="C85" i="66"/>
  <c r="J90" i="66"/>
  <c r="J92" i="66"/>
  <c r="F85" i="66"/>
  <c r="M90" i="66"/>
  <c r="M92" i="66"/>
  <c r="M68" i="67"/>
  <c r="M64" i="67"/>
  <c r="G58" i="67"/>
  <c r="R58" i="67"/>
  <c r="T58" i="67"/>
  <c r="AF58" i="67"/>
  <c r="E58" i="67"/>
  <c r="O58" i="67"/>
  <c r="C58" i="67"/>
  <c r="V58" i="67"/>
  <c r="X58" i="67"/>
  <c r="L58" i="67"/>
  <c r="Q58" i="67"/>
  <c r="U58" i="67"/>
  <c r="Z58" i="67"/>
  <c r="S58" i="67"/>
  <c r="H58" i="67"/>
  <c r="AC58" i="67"/>
  <c r="F58" i="67"/>
  <c r="AD58" i="67"/>
  <c r="Y58" i="67"/>
  <c r="J58" i="67"/>
  <c r="I58" i="67"/>
  <c r="D58" i="67"/>
  <c r="K58" i="67"/>
  <c r="AA58" i="67"/>
  <c r="AB58" i="67"/>
  <c r="M58" i="67"/>
  <c r="N58" i="67"/>
  <c r="D72" i="66"/>
  <c r="L90" i="66"/>
  <c r="L92" i="66"/>
  <c r="AF5" i="65"/>
  <c r="AF4" i="65"/>
  <c r="U68" i="67"/>
  <c r="AE58" i="67"/>
  <c r="O68" i="67"/>
  <c r="Z71" i="67"/>
  <c r="P13" i="67"/>
  <c r="AA13" i="67"/>
  <c r="N13" i="67"/>
  <c r="S13" i="67"/>
  <c r="E13" i="67"/>
  <c r="C13" i="67"/>
  <c r="F13" i="67"/>
  <c r="H13" i="67"/>
  <c r="AE13" i="67"/>
  <c r="AC13" i="67"/>
  <c r="AF13" i="67"/>
  <c r="J13" i="67"/>
  <c r="L13" i="67"/>
  <c r="G13" i="67"/>
  <c r="V13" i="67"/>
  <c r="I13" i="67"/>
  <c r="Z13" i="67"/>
  <c r="X13" i="67"/>
  <c r="Y13" i="67"/>
  <c r="R13" i="67"/>
  <c r="T13" i="67"/>
  <c r="M13" i="67"/>
  <c r="U13" i="67"/>
  <c r="Q13" i="67"/>
  <c r="W13" i="67"/>
  <c r="K13" i="67"/>
  <c r="D13" i="67"/>
  <c r="AF16" i="67"/>
  <c r="C16" i="67"/>
  <c r="Y16" i="67"/>
  <c r="AA16" i="67"/>
  <c r="U16" i="67"/>
  <c r="V16" i="67"/>
  <c r="T16" i="67"/>
  <c r="W16" i="67"/>
  <c r="X16" i="67"/>
  <c r="Q16" i="67"/>
  <c r="L16" i="67"/>
  <c r="F16" i="67"/>
  <c r="D16" i="67"/>
  <c r="AE16" i="67"/>
  <c r="J16" i="67"/>
  <c r="E16" i="67"/>
  <c r="K16" i="67"/>
  <c r="H16" i="67"/>
  <c r="R16" i="67"/>
  <c r="AC16" i="67"/>
  <c r="M16" i="67"/>
  <c r="P16" i="67"/>
  <c r="S16" i="67"/>
  <c r="Z16" i="67"/>
  <c r="N16" i="67"/>
  <c r="G16" i="67"/>
  <c r="U25" i="67"/>
  <c r="H25" i="67"/>
  <c r="G25" i="67"/>
  <c r="X25" i="67"/>
  <c r="V25" i="67"/>
  <c r="R25" i="67"/>
  <c r="J25" i="67"/>
  <c r="AC25" i="67"/>
  <c r="W25" i="67"/>
  <c r="F25" i="67"/>
  <c r="M25" i="67"/>
  <c r="K25" i="67"/>
  <c r="AD25" i="67"/>
  <c r="S25" i="67"/>
  <c r="Y25" i="67"/>
  <c r="AF25" i="67"/>
  <c r="P25" i="67"/>
  <c r="D25" i="67"/>
  <c r="AB25" i="67"/>
  <c r="Z25" i="67"/>
  <c r="AE25" i="67"/>
  <c r="N25" i="67"/>
  <c r="AA25" i="67"/>
  <c r="T25" i="67"/>
  <c r="O28" i="67"/>
  <c r="R28" i="67"/>
  <c r="AE28" i="67"/>
  <c r="F28" i="67"/>
  <c r="AC28" i="67"/>
  <c r="W28" i="67"/>
  <c r="L28" i="67"/>
  <c r="K28" i="67"/>
  <c r="H28" i="67"/>
  <c r="S28" i="67"/>
  <c r="Z28" i="67"/>
  <c r="E28" i="67"/>
  <c r="C28" i="67"/>
  <c r="P28" i="67"/>
  <c r="X28" i="67"/>
  <c r="I28" i="67"/>
  <c r="Y28" i="67"/>
  <c r="N28" i="67"/>
  <c r="AF28" i="67"/>
  <c r="G28" i="67"/>
  <c r="AB28" i="67"/>
  <c r="J28" i="67"/>
  <c r="AD28" i="67"/>
  <c r="U28" i="67"/>
  <c r="D28" i="67"/>
  <c r="T28" i="67"/>
  <c r="Q28" i="67"/>
  <c r="AB34" i="67"/>
  <c r="F34" i="67"/>
  <c r="M34" i="67"/>
  <c r="W34" i="67"/>
  <c r="I34" i="67"/>
  <c r="C34" i="67"/>
  <c r="E34" i="67"/>
  <c r="Q34" i="67"/>
  <c r="T34" i="67"/>
  <c r="AD34" i="67"/>
  <c r="AE34" i="67"/>
  <c r="J34" i="67"/>
  <c r="AA34" i="67"/>
  <c r="R34" i="67"/>
  <c r="U34" i="67"/>
  <c r="X34" i="67"/>
  <c r="S34" i="67"/>
  <c r="D34" i="67"/>
  <c r="G34" i="67"/>
  <c r="Y34" i="67"/>
  <c r="AC34" i="67"/>
  <c r="L34" i="67"/>
  <c r="N34" i="67"/>
  <c r="O34" i="67"/>
  <c r="Z34" i="67"/>
  <c r="P34" i="67"/>
  <c r="Z40" i="67"/>
  <c r="C40" i="67"/>
  <c r="D40" i="67"/>
  <c r="U40" i="67"/>
  <c r="W40" i="67"/>
  <c r="X40" i="67"/>
  <c r="F40" i="67"/>
  <c r="Q40" i="67"/>
  <c r="M40" i="67"/>
  <c r="L40" i="67"/>
  <c r="AD40" i="67"/>
  <c r="P40" i="67"/>
  <c r="V40" i="67"/>
  <c r="J40" i="67"/>
  <c r="T40" i="67"/>
  <c r="AE40" i="67"/>
  <c r="AC40" i="67"/>
  <c r="R40" i="67"/>
  <c r="K40" i="67"/>
  <c r="AB40" i="67"/>
  <c r="H40" i="67"/>
  <c r="O40" i="67"/>
  <c r="S40" i="67"/>
  <c r="N40" i="67"/>
  <c r="AF40" i="67"/>
  <c r="I40" i="67"/>
  <c r="AA50" i="67"/>
  <c r="D50" i="67"/>
  <c r="N50" i="67"/>
  <c r="Q50" i="67"/>
  <c r="AD50" i="67"/>
  <c r="J50" i="67"/>
  <c r="U50" i="67"/>
  <c r="AE50" i="67"/>
  <c r="S50" i="67"/>
  <c r="AC50" i="67"/>
  <c r="Y50" i="67"/>
  <c r="H50" i="67"/>
  <c r="L50" i="67"/>
  <c r="X50" i="67"/>
  <c r="E50" i="67"/>
  <c r="T50" i="67"/>
  <c r="R50" i="67"/>
  <c r="G50" i="67"/>
  <c r="O50" i="67"/>
  <c r="M50" i="67"/>
  <c r="Z50" i="67"/>
  <c r="C50" i="67"/>
  <c r="P50" i="67"/>
  <c r="W50" i="67"/>
  <c r="F50" i="67"/>
  <c r="K50" i="67"/>
  <c r="AC53" i="67"/>
  <c r="AF53" i="67"/>
  <c r="AB53" i="67"/>
  <c r="Z53" i="67"/>
  <c r="P53" i="67"/>
  <c r="K53" i="67"/>
  <c r="F53" i="67"/>
  <c r="M53" i="67"/>
  <c r="X53" i="67"/>
  <c r="L53" i="67"/>
  <c r="Y53" i="67"/>
  <c r="W53" i="67"/>
  <c r="E53" i="67"/>
  <c r="AE53" i="67"/>
  <c r="T53" i="67"/>
  <c r="G53" i="67"/>
  <c r="V53" i="67"/>
  <c r="N53" i="67"/>
  <c r="D53" i="67"/>
  <c r="AD53" i="67"/>
  <c r="S53" i="67"/>
  <c r="O53" i="67"/>
  <c r="R53" i="67"/>
  <c r="C53" i="67"/>
  <c r="Q53" i="67"/>
  <c r="U53" i="67"/>
  <c r="AA53" i="67"/>
  <c r="AF90" i="66"/>
  <c r="Y82" i="66"/>
  <c r="AB13" i="67"/>
  <c r="AA28" i="67"/>
  <c r="H53" i="67"/>
  <c r="AA68" i="67"/>
  <c r="O25" i="67"/>
  <c r="AD16" i="67"/>
  <c r="AF34" i="67"/>
  <c r="Y40" i="67"/>
  <c r="AF50" i="67"/>
  <c r="V64" i="67"/>
  <c r="E71" i="67"/>
  <c r="P6" i="67"/>
  <c r="T6" i="67"/>
  <c r="U6" i="67"/>
  <c r="AD6" i="67"/>
  <c r="AF6" i="67"/>
  <c r="G6" i="67"/>
  <c r="Z6" i="67"/>
  <c r="K6" i="67"/>
  <c r="AC17" i="67"/>
  <c r="K17" i="67"/>
  <c r="AE17" i="67"/>
  <c r="Y17" i="67"/>
  <c r="N17" i="67"/>
  <c r="M17" i="67"/>
  <c r="I17" i="67"/>
  <c r="AB17" i="67"/>
  <c r="S17" i="67"/>
  <c r="AD17" i="67"/>
  <c r="O17" i="67"/>
  <c r="X17" i="67"/>
  <c r="D17" i="67"/>
  <c r="C17" i="67"/>
  <c r="R20" i="67"/>
  <c r="O20" i="67"/>
  <c r="M20" i="67"/>
  <c r="N20" i="67"/>
  <c r="L20" i="67"/>
  <c r="K20" i="67"/>
  <c r="Z20" i="67"/>
  <c r="U20" i="67"/>
  <c r="D20" i="67"/>
  <c r="AD20" i="67"/>
  <c r="G20" i="67"/>
  <c r="Q20" i="67"/>
  <c r="S20" i="67"/>
  <c r="X20" i="67"/>
  <c r="Z26" i="67"/>
  <c r="C26" i="67"/>
  <c r="V26" i="67"/>
  <c r="S26" i="67"/>
  <c r="K26" i="67"/>
  <c r="AB26" i="67"/>
  <c r="X26" i="67"/>
  <c r="Q26" i="67"/>
  <c r="J26" i="67"/>
  <c r="N26" i="67"/>
  <c r="AD26" i="67"/>
  <c r="D26" i="67"/>
  <c r="H26" i="67"/>
  <c r="I26" i="67"/>
  <c r="R26" i="67"/>
  <c r="E31" i="67"/>
  <c r="F31" i="67"/>
  <c r="O31" i="67"/>
  <c r="Z31" i="67"/>
  <c r="AA31" i="67"/>
  <c r="I31" i="67"/>
  <c r="L31" i="67"/>
  <c r="AF31" i="67"/>
  <c r="AC31" i="67"/>
  <c r="AE31" i="67"/>
  <c r="K31" i="67"/>
  <c r="P31" i="67"/>
  <c r="T31" i="67"/>
  <c r="O37" i="67"/>
  <c r="AE37" i="67"/>
  <c r="K37" i="67"/>
  <c r="AB37" i="67"/>
  <c r="AC37" i="67"/>
  <c r="R37" i="67"/>
  <c r="N37" i="67"/>
  <c r="V37" i="67"/>
  <c r="Z37" i="67"/>
  <c r="H41" i="67"/>
  <c r="V41" i="67"/>
  <c r="L41" i="67"/>
  <c r="F41" i="67"/>
  <c r="E41" i="67"/>
  <c r="U41" i="67"/>
  <c r="AE41" i="67"/>
  <c r="T41" i="67"/>
  <c r="AF41" i="67"/>
  <c r="R41" i="67"/>
  <c r="C41" i="67"/>
  <c r="K41" i="67"/>
  <c r="P41" i="67"/>
  <c r="P44" i="67"/>
  <c r="I44" i="67"/>
  <c r="Z44" i="67"/>
  <c r="U44" i="67"/>
  <c r="T44" i="67"/>
  <c r="F44" i="67"/>
  <c r="G44" i="67"/>
  <c r="M44" i="67"/>
  <c r="N44" i="67"/>
  <c r="L44" i="67"/>
  <c r="X44" i="67"/>
  <c r="V44" i="67"/>
  <c r="AG6" i="65"/>
  <c r="AA6" i="67"/>
  <c r="J6" i="67"/>
  <c r="N6" i="67"/>
  <c r="M6" i="67"/>
  <c r="AB6" i="67"/>
  <c r="Y6" i="67"/>
  <c r="Y44" i="67"/>
  <c r="F37" i="67"/>
  <c r="X37" i="67"/>
  <c r="I37" i="67"/>
  <c r="D37" i="67"/>
  <c r="H44" i="67"/>
  <c r="AC44" i="67"/>
  <c r="R44" i="67"/>
  <c r="C20" i="67"/>
  <c r="AF20" i="67"/>
  <c r="P37" i="67"/>
  <c r="AA20" i="67"/>
  <c r="Q41" i="67"/>
  <c r="AA41" i="67"/>
  <c r="X41" i="67"/>
  <c r="R17" i="67"/>
  <c r="E17" i="67"/>
  <c r="W17" i="67"/>
  <c r="Z17" i="67"/>
  <c r="W26" i="67"/>
  <c r="AF26" i="67"/>
  <c r="L26" i="67"/>
  <c r="E26" i="67"/>
  <c r="W31" i="67"/>
  <c r="Y31" i="67"/>
  <c r="N31" i="67"/>
  <c r="H31" i="67"/>
  <c r="AD37" i="67"/>
  <c r="U26" i="67"/>
  <c r="P87" i="67"/>
  <c r="AC7" i="67"/>
  <c r="Q7" i="67"/>
  <c r="J7" i="67"/>
  <c r="K7" i="67"/>
  <c r="V7" i="67"/>
  <c r="W7" i="67"/>
  <c r="AF7" i="67"/>
  <c r="AB7" i="67"/>
  <c r="M7" i="67"/>
  <c r="AB18" i="67"/>
  <c r="V18" i="67"/>
  <c r="W18" i="67"/>
  <c r="Y18" i="67"/>
  <c r="M18" i="67"/>
  <c r="Q18" i="67"/>
  <c r="AA18" i="67"/>
  <c r="D18" i="67"/>
  <c r="F18" i="67"/>
  <c r="U18" i="67"/>
  <c r="J18" i="67"/>
  <c r="AE18" i="67"/>
  <c r="S18" i="67"/>
  <c r="L18" i="67"/>
  <c r="V23" i="67"/>
  <c r="L23" i="67"/>
  <c r="M23" i="67"/>
  <c r="G23" i="67"/>
  <c r="Y23" i="67"/>
  <c r="AD23" i="67"/>
  <c r="Q23" i="67"/>
  <c r="P23" i="67"/>
  <c r="E23" i="67"/>
  <c r="AE23" i="67"/>
  <c r="R23" i="67"/>
  <c r="I23" i="67"/>
  <c r="U29" i="67"/>
  <c r="L29" i="67"/>
  <c r="K29" i="67"/>
  <c r="O29" i="67"/>
  <c r="F29" i="67"/>
  <c r="AC29" i="67"/>
  <c r="Y29" i="67"/>
  <c r="D29" i="67"/>
  <c r="AE29" i="67"/>
  <c r="R29" i="67"/>
  <c r="P29" i="67"/>
  <c r="Z29" i="67"/>
  <c r="AD32" i="67"/>
  <c r="I32" i="67"/>
  <c r="AE32" i="67"/>
  <c r="AF32" i="67"/>
  <c r="K32" i="67"/>
  <c r="T32" i="67"/>
  <c r="C32" i="67"/>
  <c r="U32" i="67"/>
  <c r="V32" i="67"/>
  <c r="W32" i="67"/>
  <c r="Q32" i="67"/>
  <c r="D32" i="67"/>
  <c r="R32" i="67"/>
  <c r="AC32" i="67"/>
  <c r="N45" i="67"/>
  <c r="AD45" i="67"/>
  <c r="O45" i="67"/>
  <c r="AC45" i="67"/>
  <c r="D45" i="67"/>
  <c r="Z45" i="67"/>
  <c r="V45" i="67"/>
  <c r="G45" i="67"/>
  <c r="E45" i="67"/>
  <c r="AC48" i="67"/>
  <c r="P48" i="67"/>
  <c r="V48" i="67"/>
  <c r="W48" i="67"/>
  <c r="Q48" i="67"/>
  <c r="K48" i="67"/>
  <c r="Y48" i="67"/>
  <c r="T48" i="67"/>
  <c r="U48" i="67"/>
  <c r="N48" i="67"/>
  <c r="AE48" i="67"/>
  <c r="Z48" i="67"/>
  <c r="X48" i="67"/>
  <c r="AB48" i="67"/>
  <c r="E66" i="67"/>
  <c r="AA66" i="67"/>
  <c r="W66" i="67"/>
  <c r="T66" i="67"/>
  <c r="I66" i="67"/>
  <c r="L66" i="67"/>
  <c r="J66" i="67"/>
  <c r="Z66" i="67"/>
  <c r="S66" i="67"/>
  <c r="AC66" i="67"/>
  <c r="H66" i="67"/>
  <c r="AD66" i="67"/>
  <c r="K66" i="67"/>
  <c r="R66" i="67"/>
  <c r="M66" i="67"/>
  <c r="G66" i="67"/>
  <c r="AE66" i="67"/>
  <c r="O66" i="67"/>
  <c r="S76" i="67"/>
  <c r="AF76" i="67"/>
  <c r="AA76" i="67"/>
  <c r="P76" i="67"/>
  <c r="F76" i="67"/>
  <c r="AB76" i="67"/>
  <c r="V76" i="67"/>
  <c r="L76" i="67"/>
  <c r="Z76" i="67"/>
  <c r="H76" i="67"/>
  <c r="O76" i="67"/>
  <c r="I76" i="67"/>
  <c r="AE76" i="67"/>
  <c r="Z79" i="67"/>
  <c r="C79" i="67"/>
  <c r="D79" i="67"/>
  <c r="E79" i="67"/>
  <c r="G79" i="67"/>
  <c r="I79" i="67"/>
  <c r="AC79" i="67"/>
  <c r="AE79" i="67"/>
  <c r="R79" i="67"/>
  <c r="S79" i="67"/>
  <c r="AB79" i="67"/>
  <c r="W79" i="67"/>
  <c r="Y79" i="67"/>
  <c r="O79" i="67"/>
  <c r="T79" i="67"/>
  <c r="H79" i="67"/>
  <c r="F79" i="67"/>
  <c r="J79" i="67"/>
  <c r="B47" i="61"/>
  <c r="AC90" i="66"/>
  <c r="N90" i="66"/>
  <c r="N92" i="66"/>
  <c r="AA90" i="66"/>
  <c r="S6" i="67"/>
  <c r="L7" i="67"/>
  <c r="AE6" i="67"/>
  <c r="X6" i="67"/>
  <c r="W6" i="67"/>
  <c r="P7" i="67"/>
  <c r="F6" i="67"/>
  <c r="O7" i="67"/>
  <c r="E6" i="67"/>
  <c r="AD7" i="67"/>
  <c r="L6" i="67"/>
  <c r="Q6" i="67"/>
  <c r="F20" i="67"/>
  <c r="U37" i="67"/>
  <c r="E37" i="67"/>
  <c r="AA37" i="67"/>
  <c r="L37" i="67"/>
  <c r="Q17" i="67"/>
  <c r="U76" i="67"/>
  <c r="Q44" i="67"/>
  <c r="K45" i="67"/>
  <c r="U45" i="67"/>
  <c r="AE45" i="67"/>
  <c r="R45" i="67"/>
  <c r="AB45" i="67"/>
  <c r="D76" i="67"/>
  <c r="T76" i="67"/>
  <c r="Y76" i="67"/>
  <c r="AA44" i="67"/>
  <c r="W44" i="67"/>
  <c r="C44" i="67"/>
  <c r="P20" i="67"/>
  <c r="V20" i="67"/>
  <c r="E20" i="67"/>
  <c r="Q29" i="67"/>
  <c r="W29" i="67"/>
  <c r="T29" i="67"/>
  <c r="N76" i="67"/>
  <c r="Z41" i="67"/>
  <c r="I20" i="67"/>
  <c r="S41" i="67"/>
  <c r="N41" i="67"/>
  <c r="D41" i="67"/>
  <c r="AA17" i="67"/>
  <c r="F17" i="67"/>
  <c r="R7" i="67"/>
  <c r="L17" i="67"/>
  <c r="O18" i="67"/>
  <c r="P18" i="67"/>
  <c r="I18" i="67"/>
  <c r="AD18" i="67"/>
  <c r="J20" i="67"/>
  <c r="X23" i="67"/>
  <c r="AF23" i="67"/>
  <c r="U23" i="67"/>
  <c r="O23" i="67"/>
  <c r="G26" i="67"/>
  <c r="P26" i="67"/>
  <c r="AC26" i="67"/>
  <c r="D31" i="67"/>
  <c r="G31" i="67"/>
  <c r="X31" i="67"/>
  <c r="U31" i="67"/>
  <c r="N32" i="67"/>
  <c r="S32" i="67"/>
  <c r="AA32" i="67"/>
  <c r="P32" i="67"/>
  <c r="AD41" i="67"/>
  <c r="AF44" i="67"/>
  <c r="AF45" i="67"/>
  <c r="M48" i="67"/>
  <c r="R48" i="67"/>
  <c r="J48" i="67"/>
  <c r="G48" i="67"/>
  <c r="Q66" i="67"/>
  <c r="V66" i="67"/>
  <c r="C66" i="67"/>
  <c r="V79" i="67"/>
  <c r="AD79" i="67"/>
  <c r="AA79" i="67"/>
  <c r="X11" i="67"/>
  <c r="T11" i="67"/>
  <c r="AE11" i="67"/>
  <c r="S11" i="67"/>
  <c r="Z11" i="67"/>
  <c r="E11" i="67"/>
  <c r="F11" i="67"/>
  <c r="AE8" i="67"/>
  <c r="E8" i="67"/>
  <c r="C8" i="67"/>
  <c r="K8" i="67"/>
  <c r="T8" i="67"/>
  <c r="U8" i="67"/>
  <c r="X8" i="67"/>
  <c r="Y8" i="67"/>
  <c r="AD8" i="67"/>
  <c r="W8" i="67"/>
  <c r="AD12" i="67"/>
  <c r="I12" i="67"/>
  <c r="Q12" i="67"/>
  <c r="R12" i="67"/>
  <c r="E12" i="67"/>
  <c r="D12" i="67"/>
  <c r="K12" i="67"/>
  <c r="T12" i="67"/>
  <c r="F12" i="67"/>
  <c r="M12" i="67"/>
  <c r="Y12" i="67"/>
  <c r="V12" i="67"/>
  <c r="O12" i="67"/>
  <c r="I39" i="67"/>
  <c r="R39" i="67"/>
  <c r="E39" i="67"/>
  <c r="G39" i="67"/>
  <c r="C39" i="67"/>
  <c r="AC39" i="67"/>
  <c r="P39" i="67"/>
  <c r="AF39" i="67"/>
  <c r="D39" i="67"/>
  <c r="J39" i="67"/>
  <c r="U39" i="67"/>
  <c r="W39" i="67"/>
  <c r="M39" i="67"/>
  <c r="X39" i="67"/>
  <c r="AC49" i="67"/>
  <c r="AB49" i="67"/>
  <c r="AF49" i="67"/>
  <c r="AE49" i="67"/>
  <c r="Z49" i="67"/>
  <c r="F49" i="67"/>
  <c r="X49" i="67"/>
  <c r="G49" i="67"/>
  <c r="AA49" i="67"/>
  <c r="T49" i="67"/>
  <c r="N49" i="67"/>
  <c r="C49" i="67"/>
  <c r="R49" i="67"/>
  <c r="U49" i="67"/>
  <c r="K49" i="67"/>
  <c r="AD52" i="67"/>
  <c r="AE52" i="67"/>
  <c r="J52" i="67"/>
  <c r="AB52" i="67"/>
  <c r="W52" i="67"/>
  <c r="H52" i="67"/>
  <c r="F52" i="67"/>
  <c r="D52" i="67"/>
  <c r="R52" i="67"/>
  <c r="S52" i="67"/>
  <c r="E52" i="67"/>
  <c r="U52" i="67"/>
  <c r="AD55" i="67"/>
  <c r="O55" i="67"/>
  <c r="P55" i="67"/>
  <c r="J55" i="67"/>
  <c r="T55" i="67"/>
  <c r="AC55" i="67"/>
  <c r="AA55" i="67"/>
  <c r="N55" i="67"/>
  <c r="I55" i="67"/>
  <c r="AE55" i="67"/>
  <c r="Q55" i="67"/>
  <c r="E55" i="67"/>
  <c r="Z55" i="67"/>
  <c r="F55" i="67"/>
  <c r="M61" i="67"/>
  <c r="AA61" i="67"/>
  <c r="AD61" i="67"/>
  <c r="Z61" i="67"/>
  <c r="L61" i="67"/>
  <c r="G61" i="67"/>
  <c r="AC61" i="67"/>
  <c r="E61" i="67"/>
  <c r="AE61" i="67"/>
  <c r="G67" i="67"/>
  <c r="V67" i="67"/>
  <c r="AE67" i="67"/>
  <c r="F67" i="67"/>
  <c r="C67" i="67"/>
  <c r="P67" i="67"/>
  <c r="K67" i="67"/>
  <c r="W67" i="67"/>
  <c r="O67" i="67"/>
  <c r="L67" i="67"/>
  <c r="G77" i="67"/>
  <c r="I77" i="67"/>
  <c r="D77" i="67"/>
  <c r="AF77" i="67"/>
  <c r="AE77" i="67"/>
  <c r="Z77" i="67"/>
  <c r="AD77" i="67"/>
  <c r="S77" i="67"/>
  <c r="L77" i="67"/>
  <c r="W77" i="67"/>
  <c r="M77" i="67"/>
  <c r="P77" i="67"/>
  <c r="AB9" i="67"/>
  <c r="G9" i="67"/>
  <c r="W9" i="67"/>
  <c r="E9" i="67"/>
  <c r="M9" i="67"/>
  <c r="AE9" i="67"/>
  <c r="AD9" i="67"/>
  <c r="Z9" i="67"/>
  <c r="S9" i="67"/>
  <c r="L9" i="67"/>
  <c r="Z15" i="67"/>
  <c r="AE15" i="67"/>
  <c r="AF15" i="67"/>
  <c r="AA15" i="67"/>
  <c r="M15" i="67"/>
  <c r="S15" i="67"/>
  <c r="N15" i="67"/>
  <c r="N21" i="67"/>
  <c r="P21" i="67"/>
  <c r="O21" i="67"/>
  <c r="K21" i="67"/>
  <c r="AC24" i="67"/>
  <c r="Q24" i="67"/>
  <c r="V24" i="67"/>
  <c r="H24" i="67"/>
  <c r="R24" i="67"/>
  <c r="S24" i="67"/>
  <c r="I24" i="67"/>
  <c r="E24" i="67"/>
  <c r="AD33" i="67"/>
  <c r="L33" i="67"/>
  <c r="K33" i="67"/>
  <c r="O33" i="67"/>
  <c r="X33" i="67"/>
  <c r="AC33" i="67"/>
  <c r="F33" i="67"/>
  <c r="AF36" i="67"/>
  <c r="Z36" i="67"/>
  <c r="V36" i="67"/>
  <c r="U36" i="67"/>
  <c r="P36" i="67"/>
  <c r="W36" i="67"/>
  <c r="AB36" i="67"/>
  <c r="Q36" i="67"/>
  <c r="AF42" i="67"/>
  <c r="R42" i="67"/>
  <c r="S42" i="67"/>
  <c r="N42" i="67"/>
  <c r="L42" i="67"/>
  <c r="O42" i="67"/>
  <c r="C42" i="67"/>
  <c r="U42" i="67"/>
  <c r="AE47" i="67"/>
  <c r="AB47" i="67"/>
  <c r="AC47" i="67"/>
  <c r="AF47" i="67"/>
  <c r="J47" i="67"/>
  <c r="W47" i="67"/>
  <c r="K47" i="67"/>
  <c r="Q56" i="67"/>
  <c r="Z56" i="67"/>
  <c r="M56" i="67"/>
  <c r="N56" i="67"/>
  <c r="C56" i="67"/>
  <c r="J56" i="67"/>
  <c r="AB56" i="67"/>
  <c r="V56" i="67"/>
  <c r="T56" i="67"/>
  <c r="W56" i="67"/>
  <c r="X56" i="67"/>
  <c r="AA59" i="67"/>
  <c r="X59" i="67"/>
  <c r="U59" i="67"/>
  <c r="T59" i="67"/>
  <c r="F59" i="67"/>
  <c r="E59" i="67"/>
  <c r="J59" i="67"/>
  <c r="M59" i="67"/>
  <c r="K72" i="67"/>
  <c r="J72" i="67"/>
  <c r="D72" i="67"/>
  <c r="E72" i="67"/>
  <c r="N72" i="67"/>
  <c r="AA72" i="67"/>
  <c r="W72" i="67"/>
  <c r="X72" i="67"/>
  <c r="AF72" i="67"/>
  <c r="R72" i="67"/>
  <c r="T72" i="67"/>
  <c r="F72" i="67"/>
  <c r="U72" i="67"/>
  <c r="H72" i="67"/>
  <c r="L75" i="67"/>
  <c r="Z75" i="67"/>
  <c r="X75" i="67"/>
  <c r="T75" i="67"/>
  <c r="J75" i="67"/>
  <c r="AE75" i="67"/>
  <c r="U75" i="67"/>
  <c r="Y75" i="67"/>
  <c r="AD38" i="67"/>
  <c r="W38" i="67"/>
  <c r="Q38" i="67"/>
  <c r="N60" i="67"/>
  <c r="W60" i="67"/>
  <c r="Z63" i="67"/>
  <c r="T63" i="67"/>
  <c r="U63" i="67"/>
  <c r="F63" i="67"/>
  <c r="P63" i="67"/>
  <c r="Y63" i="67"/>
  <c r="O63" i="67"/>
  <c r="J63" i="67"/>
  <c r="C69" i="67"/>
  <c r="V69" i="67"/>
  <c r="F74" i="67"/>
  <c r="M74" i="67"/>
  <c r="J74" i="67"/>
  <c r="AC74" i="67"/>
  <c r="K74" i="67"/>
  <c r="G74" i="67"/>
  <c r="I74" i="67"/>
  <c r="T74" i="67"/>
  <c r="F80" i="67"/>
  <c r="E80" i="67"/>
  <c r="H80" i="67"/>
  <c r="I80" i="67"/>
  <c r="R80" i="67"/>
  <c r="W80" i="67"/>
  <c r="AA80" i="67"/>
  <c r="I67" i="60"/>
  <c r="I68" i="60"/>
  <c r="I69" i="60"/>
  <c r="I70" i="60"/>
  <c r="I71" i="60"/>
  <c r="I72" i="60"/>
  <c r="I73" i="60"/>
  <c r="I158" i="60"/>
  <c r="I157" i="60"/>
  <c r="I174" i="60"/>
  <c r="I173" i="60"/>
  <c r="I110" i="60"/>
  <c r="I109" i="60"/>
  <c r="I33" i="60"/>
  <c r="I34" i="60"/>
  <c r="I35" i="60"/>
  <c r="I36" i="60"/>
  <c r="I37" i="60"/>
  <c r="I38" i="60"/>
  <c r="I39" i="60"/>
  <c r="I133" i="60"/>
  <c r="I132" i="60"/>
  <c r="I59" i="60"/>
  <c r="I60" i="60"/>
  <c r="I61" i="60"/>
  <c r="I62" i="60"/>
  <c r="I63" i="60"/>
  <c r="I64" i="60"/>
  <c r="I285" i="60"/>
  <c r="I286" i="60"/>
  <c r="I287" i="60"/>
  <c r="I288" i="60"/>
  <c r="I289" i="60"/>
  <c r="I290" i="60"/>
  <c r="I24" i="60"/>
  <c r="I25" i="60"/>
  <c r="I26" i="60"/>
  <c r="I27" i="60"/>
  <c r="I28" i="60"/>
  <c r="I29" i="60"/>
  <c r="I8" i="60"/>
  <c r="I9" i="60"/>
  <c r="I10" i="60"/>
  <c r="I11" i="60"/>
  <c r="I12" i="60"/>
  <c r="I13" i="60"/>
  <c r="I14" i="60"/>
  <c r="I15" i="60"/>
  <c r="I16" i="60"/>
  <c r="I17" i="60"/>
  <c r="I18" i="60"/>
  <c r="I19" i="60"/>
  <c r="I20" i="60"/>
  <c r="I21" i="60"/>
  <c r="I83" i="60"/>
  <c r="I84" i="60"/>
  <c r="I293" i="60"/>
  <c r="I294" i="60"/>
  <c r="I295" i="60"/>
  <c r="I296" i="60"/>
  <c r="I297" i="60"/>
  <c r="I298" i="60"/>
  <c r="I299" i="60"/>
  <c r="I272" i="60"/>
  <c r="I273" i="60"/>
  <c r="I274" i="60"/>
  <c r="I275" i="60"/>
  <c r="I276" i="60"/>
  <c r="I277" i="60"/>
  <c r="I278" i="60"/>
  <c r="I279" i="60"/>
  <c r="I280" i="60"/>
  <c r="I281" i="60"/>
  <c r="I282" i="60"/>
  <c r="I159" i="60"/>
  <c r="I160" i="60"/>
  <c r="I175" i="60"/>
  <c r="I176" i="60"/>
  <c r="I112" i="60"/>
  <c r="I111" i="60"/>
  <c r="I135" i="60"/>
  <c r="I134" i="60"/>
  <c r="I86" i="60"/>
  <c r="I85" i="60"/>
  <c r="I161" i="60"/>
  <c r="I162" i="60"/>
  <c r="I178" i="60"/>
  <c r="I177" i="60"/>
  <c r="I114" i="60"/>
  <c r="I113" i="60"/>
  <c r="I136" i="60"/>
  <c r="I137" i="60"/>
  <c r="I88" i="60"/>
  <c r="I87" i="60"/>
  <c r="I163" i="60"/>
  <c r="I164" i="60"/>
  <c r="I180" i="60"/>
  <c r="I179" i="60"/>
  <c r="I115" i="60"/>
  <c r="I116" i="60"/>
  <c r="I138" i="60"/>
  <c r="I139" i="60"/>
  <c r="I89" i="60"/>
  <c r="I90" i="60"/>
  <c r="I166" i="60"/>
  <c r="I165" i="60"/>
  <c r="I181" i="60"/>
  <c r="I182" i="60"/>
  <c r="I118" i="60"/>
  <c r="I117" i="60"/>
  <c r="I140" i="60"/>
  <c r="I141" i="60"/>
  <c r="I91" i="60"/>
  <c r="I92" i="60"/>
  <c r="I167" i="60"/>
  <c r="I168" i="60"/>
  <c r="I169" i="60"/>
  <c r="I184" i="60"/>
  <c r="I183" i="60"/>
  <c r="I120" i="60"/>
  <c r="I119" i="60"/>
  <c r="I142" i="60"/>
  <c r="I143" i="60"/>
  <c r="I94" i="60"/>
  <c r="I93" i="60"/>
  <c r="I185" i="60"/>
  <c r="I186" i="60"/>
  <c r="I187" i="60"/>
  <c r="I122" i="60"/>
  <c r="I123" i="60"/>
  <c r="I121" i="60"/>
  <c r="I145" i="60"/>
  <c r="I144" i="60"/>
  <c r="I96" i="60"/>
  <c r="I95" i="60"/>
  <c r="I147" i="60"/>
  <c r="I146" i="60"/>
  <c r="I97" i="60"/>
  <c r="I98" i="60"/>
  <c r="I149" i="60"/>
  <c r="I148" i="60"/>
  <c r="I99" i="60"/>
  <c r="I100" i="60"/>
  <c r="I150" i="60"/>
  <c r="I151" i="60"/>
  <c r="I101" i="60"/>
  <c r="I102" i="60"/>
  <c r="I152" i="60"/>
  <c r="I153" i="60"/>
  <c r="I154" i="60"/>
  <c r="I103" i="60"/>
  <c r="I104" i="60"/>
  <c r="I105" i="60"/>
</calcChain>
</file>

<file path=xl/sharedStrings.xml><?xml version="1.0" encoding="utf-8"?>
<sst xmlns="http://schemas.openxmlformats.org/spreadsheetml/2006/main" count="5364" uniqueCount="1302">
  <si>
    <t>Qty</t>
  </si>
  <si>
    <t>Inch</t>
  </si>
  <si>
    <t>RU</t>
  </si>
  <si>
    <t>Description</t>
  </si>
  <si>
    <t>..</t>
  </si>
  <si>
    <t>Device</t>
  </si>
  <si>
    <t>Default Gateway</t>
  </si>
  <si>
    <t>VLAN</t>
  </si>
  <si>
    <t>Function</t>
  </si>
  <si>
    <t>Rack:Unit =</t>
  </si>
  <si>
    <t>Device =</t>
  </si>
  <si>
    <t>Switch Port</t>
  </si>
  <si>
    <t>01</t>
  </si>
  <si>
    <t>02</t>
  </si>
  <si>
    <t>100</t>
  </si>
  <si>
    <t>200</t>
  </si>
  <si>
    <t>300</t>
  </si>
  <si>
    <t>400</t>
  </si>
  <si>
    <t>IP</t>
  </si>
  <si>
    <t>Port</t>
  </si>
  <si>
    <t>Gbe1</t>
  </si>
  <si>
    <t>Gbe2</t>
  </si>
  <si>
    <t>Egress</t>
  </si>
  <si>
    <t>--- MediaGrid ---</t>
  </si>
  <si>
    <t>--- Network Switches ---</t>
  </si>
  <si>
    <t>--- NMX ---</t>
  </si>
  <si>
    <t>--- ProMedia ---</t>
  </si>
  <si>
    <t>--- Source Switches ---</t>
  </si>
  <si>
    <t>--- Stream Processing and Transcoding ---</t>
  </si>
  <si>
    <t>--- Misc ---</t>
  </si>
  <si>
    <t>--- Summary ---</t>
  </si>
  <si>
    <t>Ingress</t>
  </si>
  <si>
    <t>--- Electra Encoders ---</t>
  </si>
  <si>
    <t>Electra 8100</t>
  </si>
  <si>
    <t>Electra 8200</t>
  </si>
  <si>
    <t>NMX</t>
  </si>
  <si>
    <t>PMOS</t>
  </si>
  <si>
    <t>MG-BRIDGE-1K</t>
  </si>
  <si>
    <t>MG-BRIDGE-CX4</t>
  </si>
  <si>
    <t>MG-BRIDGE-MMF</t>
  </si>
  <si>
    <t>MG-DIRECTOR</t>
  </si>
  <si>
    <t>MG-STORE-3160-16TB</t>
  </si>
  <si>
    <t>MG-STORE-3160-32TB</t>
  </si>
  <si>
    <t>PM-DAS</t>
  </si>
  <si>
    <t>HALO-16x16</t>
  </si>
  <si>
    <t>PANACEA-16x4</t>
  </si>
  <si>
    <t>KVM-8P</t>
  </si>
  <si>
    <t>SUPERMICRO</t>
  </si>
  <si>
    <t>BROCADE ADX1000</t>
  </si>
  <si>
    <t>Mgmt/Ingress</t>
  </si>
  <si>
    <t/>
  </si>
  <si>
    <t>PM1100</t>
  </si>
  <si>
    <t>PM1110</t>
  </si>
  <si>
    <t>--- Universal Edge QAM ---</t>
  </si>
  <si>
    <t>100:36:Gbe1</t>
  </si>
  <si>
    <t>100:35:Gbe1</t>
  </si>
  <si>
    <t>100:33:Gbe1</t>
  </si>
  <si>
    <t>100:32:Gbe1</t>
  </si>
  <si>
    <t>100:30:Gbe1</t>
  </si>
  <si>
    <t>100:29:Gbe1</t>
  </si>
  <si>
    <t>100:27:Gbe1</t>
  </si>
  <si>
    <t>100:26:Gbe1</t>
  </si>
  <si>
    <t>100:24:Gbe1</t>
  </si>
  <si>
    <t>100:23:Gbe1</t>
  </si>
  <si>
    <t>100:21:Gbe1</t>
  </si>
  <si>
    <t>100:20:Gbe1</t>
  </si>
  <si>
    <t>100:18:Gbe1</t>
  </si>
  <si>
    <t>100:17:Gbe1</t>
  </si>
  <si>
    <t>100:15:Gbe1</t>
  </si>
  <si>
    <t>100:14:Gbe1</t>
  </si>
  <si>
    <t>100:12:Gbe1</t>
  </si>
  <si>
    <t>100:11:Gbe1</t>
  </si>
  <si>
    <t>100:09:Gbe1</t>
  </si>
  <si>
    <t>100:08:Gbe1</t>
  </si>
  <si>
    <t>100:06:Gbe1</t>
  </si>
  <si>
    <t>100:05:Gbe1</t>
  </si>
  <si>
    <t>100:04:Gbe1</t>
  </si>
  <si>
    <t>100:03:Gbe1</t>
  </si>
  <si>
    <t>192.168.101.019</t>
  </si>
  <si>
    <t>192.168.101.020</t>
  </si>
  <si>
    <t>192.168.101.021</t>
  </si>
  <si>
    <t>192.168.101.022</t>
  </si>
  <si>
    <t>192.168.101.023</t>
  </si>
  <si>
    <t>192.168.101.024</t>
  </si>
  <si>
    <t>192.168.101.025</t>
  </si>
  <si>
    <t>192.168.101.026</t>
  </si>
  <si>
    <t>192.168.101.027</t>
  </si>
  <si>
    <t>192.168.101.028</t>
  </si>
  <si>
    <t>192.168.101.029</t>
  </si>
  <si>
    <t>192.168.101.030</t>
  </si>
  <si>
    <t>192.168.101.031</t>
  </si>
  <si>
    <t>192.168.101.032</t>
  </si>
  <si>
    <t>192.168.101.033</t>
  </si>
  <si>
    <t>192.168.101.034</t>
  </si>
  <si>
    <t>192.168.101.035</t>
  </si>
  <si>
    <t>192.168.101.036</t>
  </si>
  <si>
    <t>192.168.101.037</t>
  </si>
  <si>
    <t>192.168.101.038</t>
  </si>
  <si>
    <t>192.168.101.039</t>
  </si>
  <si>
    <t>192.168.101.040</t>
  </si>
  <si>
    <t>192.168.101.041</t>
  </si>
  <si>
    <t>192.168.101.042</t>
  </si>
  <si>
    <t>200:36:Gbe5</t>
  </si>
  <si>
    <t>200:32:Gbe5</t>
  </si>
  <si>
    <t>200:28:Gbe5</t>
  </si>
  <si>
    <t>192.168.104.74</t>
  </si>
  <si>
    <t>192.168.104.75</t>
  </si>
  <si>
    <t>300:36:Gbe5</t>
  </si>
  <si>
    <t>300:32:Gbe5</t>
  </si>
  <si>
    <t>300:28:Gbe5</t>
  </si>
  <si>
    <t>SysMgr</t>
  </si>
  <si>
    <t>Director MG Public</t>
  </si>
  <si>
    <t>MG Private1</t>
  </si>
  <si>
    <t>MGCS-320 MB1</t>
  </si>
  <si>
    <t>MG Public</t>
  </si>
  <si>
    <t>MGCS-320 MB2</t>
  </si>
  <si>
    <t>300:20:NIC0</t>
  </si>
  <si>
    <t>300:20:NIC1</t>
  </si>
  <si>
    <t>300:20:Gbe1</t>
  </si>
  <si>
    <t>300:20:Gbe2</t>
  </si>
  <si>
    <t>300:20:Gbe3</t>
  </si>
  <si>
    <t>300:20:Gbe4</t>
  </si>
  <si>
    <t>300:22:NIC0</t>
  </si>
  <si>
    <t>300:22:NIC2</t>
  </si>
  <si>
    <t>300:21:NIC0</t>
  </si>
  <si>
    <t>300:21:NIC2</t>
  </si>
  <si>
    <t>Mgmt1</t>
  </si>
  <si>
    <t>Mgmt2</t>
  </si>
  <si>
    <t>192.168.104.51</t>
  </si>
  <si>
    <t>192.168.104.52</t>
  </si>
  <si>
    <t>192.168.104.53</t>
  </si>
  <si>
    <t>PMPK-418 MB1</t>
  </si>
  <si>
    <t>192.168.104.54</t>
  </si>
  <si>
    <t>PMPK-420 MB1</t>
  </si>
  <si>
    <t>PMPK-420 MB2</t>
  </si>
  <si>
    <t>192.168.104.55</t>
  </si>
  <si>
    <t>192.168.104.56</t>
  </si>
  <si>
    <t>PMPK-416 MB1</t>
  </si>
  <si>
    <t>PMPK-416 MB2</t>
  </si>
  <si>
    <t>PMPK-418 MB2</t>
  </si>
  <si>
    <t>192.168.104.57</t>
  </si>
  <si>
    <t>192.168.104.58</t>
  </si>
  <si>
    <t>192.168.104.59</t>
  </si>
  <si>
    <t>192.168.104.60</t>
  </si>
  <si>
    <t>192.168.104.61</t>
  </si>
  <si>
    <t>192.168.104.62</t>
  </si>
  <si>
    <t>PMPK-520 MB1</t>
  </si>
  <si>
    <t>PMPK-520 MB2</t>
  </si>
  <si>
    <t>PMPK-518 MB1</t>
  </si>
  <si>
    <t>PMPK-518 MB2</t>
  </si>
  <si>
    <t>PMPK-516 MB1</t>
  </si>
  <si>
    <t>PMPK-516 MB2</t>
  </si>
  <si>
    <t>400:20:Gbe3</t>
  </si>
  <si>
    <t>400:18:Gbe3</t>
  </si>
  <si>
    <t>400:16:Gbe3</t>
  </si>
  <si>
    <t>500:20:Gbe3</t>
  </si>
  <si>
    <t>500:18:Gbe3</t>
  </si>
  <si>
    <t>500:16:Gbe3</t>
  </si>
  <si>
    <t>192.168.104.81</t>
  </si>
  <si>
    <t>192.168.104.82</t>
  </si>
  <si>
    <t>192.168.104.83</t>
  </si>
  <si>
    <t>192.168.104.84</t>
  </si>
  <si>
    <t>192.168.104.85</t>
  </si>
  <si>
    <t>192.168.104.86</t>
  </si>
  <si>
    <t>192.168.104.87</t>
  </si>
  <si>
    <t>192.168.104.88</t>
  </si>
  <si>
    <t>300:38:01</t>
  </si>
  <si>
    <t>Electra 9200</t>
  </si>
  <si>
    <t>NSG9K6G</t>
  </si>
  <si>
    <t>NSG9K40G</t>
  </si>
  <si>
    <t>PRM-1K</t>
  </si>
  <si>
    <t>PRM-8K</t>
  </si>
  <si>
    <t>104</t>
  </si>
  <si>
    <t>600:32:Gbe5</t>
  </si>
  <si>
    <t>600:28:Gbe5</t>
  </si>
  <si>
    <t>600:20:Gbe5</t>
  </si>
  <si>
    <t>600:16:Gbe5</t>
  </si>
  <si>
    <t>700:32:Gbe5</t>
  </si>
  <si>
    <t>700:28:Gbe5</t>
  </si>
  <si>
    <t>700:20:Gbe5</t>
  </si>
  <si>
    <t>700:16:Gbe5</t>
  </si>
  <si>
    <t>300:25:Gbe1</t>
  </si>
  <si>
    <t>192.168.110.008</t>
  </si>
  <si>
    <t>192.168.110.10</t>
  </si>
  <si>
    <t>300:40</t>
  </si>
  <si>
    <t>CCSD-136</t>
  </si>
  <si>
    <t>CCSD-135</t>
  </si>
  <si>
    <t>CCSD-133</t>
  </si>
  <si>
    <t>CCSD-132</t>
  </si>
  <si>
    <t>CCSD-130</t>
  </si>
  <si>
    <t>CCSD-129</t>
  </si>
  <si>
    <t>CCSD-127</t>
  </si>
  <si>
    <t>CCSD-126</t>
  </si>
  <si>
    <t>CCSD-124</t>
  </si>
  <si>
    <t>CCSD-123</t>
  </si>
  <si>
    <t>CCSD-121</t>
  </si>
  <si>
    <t>CCSD-120</t>
  </si>
  <si>
    <t>CCSD-118</t>
  </si>
  <si>
    <t>CCSD-117</t>
  </si>
  <si>
    <t>CCSD-115</t>
  </si>
  <si>
    <t>CCSD-114</t>
  </si>
  <si>
    <t>CCHD-112</t>
  </si>
  <si>
    <t>CCHD-111</t>
  </si>
  <si>
    <t>CCHD-109</t>
  </si>
  <si>
    <t>CCHD-108</t>
  </si>
  <si>
    <t>CCHD-106</t>
  </si>
  <si>
    <t>CCHD-105</t>
  </si>
  <si>
    <t>CCHD-104</t>
  </si>
  <si>
    <t>CCHD-103</t>
  </si>
  <si>
    <t>03</t>
  </si>
  <si>
    <t>05</t>
  </si>
  <si>
    <t>07</t>
  </si>
  <si>
    <t>09</t>
  </si>
  <si>
    <t>13</t>
  </si>
  <si>
    <t>15</t>
  </si>
  <si>
    <t>17</t>
  </si>
  <si>
    <t>19</t>
  </si>
  <si>
    <t>21</t>
  </si>
  <si>
    <t>23</t>
  </si>
  <si>
    <t>25</t>
  </si>
  <si>
    <t>27</t>
  </si>
  <si>
    <t>04</t>
  </si>
  <si>
    <t>06</t>
  </si>
  <si>
    <t>08</t>
  </si>
  <si>
    <t>10</t>
  </si>
  <si>
    <t>14</t>
  </si>
  <si>
    <t>16</t>
  </si>
  <si>
    <t>18</t>
  </si>
  <si>
    <t>20</t>
  </si>
  <si>
    <t>22</t>
  </si>
  <si>
    <t>24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</si>
  <si>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</si>
  <si>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</si>
  <si>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</si>
  <si>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</si>
  <si>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</si>
  <si>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</si>
  <si>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</si>
  <si>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</si>
  <si>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</si>
  <si>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</si>
  <si>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PMOS-236</t>
  </si>
  <si>
    <t>PMOS-232</t>
  </si>
  <si>
    <t>PMOS-228</t>
  </si>
  <si>
    <t>PMOS-336</t>
  </si>
  <si>
    <t>PMOS-332</t>
  </si>
  <si>
    <t>PMOS-328</t>
  </si>
  <si>
    <t>MGDR-322</t>
  </si>
  <si>
    <t>MGDR-321</t>
  </si>
  <si>
    <t>FMS-632</t>
  </si>
  <si>
    <t>FMS-628</t>
  </si>
  <si>
    <t>FMS-620</t>
  </si>
  <si>
    <t>FMS-616</t>
  </si>
  <si>
    <t>FMS-732</t>
  </si>
  <si>
    <t>FMS-728</t>
  </si>
  <si>
    <t>FMS-720</t>
  </si>
  <si>
    <t>FMS-716</t>
  </si>
  <si>
    <t>WFS/CC Egress</t>
  </si>
  <si>
    <t>WFS/CC Mgmt/Ingress</t>
  </si>
  <si>
    <t>Primary Function =</t>
  </si>
  <si>
    <t>WFS/CC Mangement and VOD Ingress</t>
  </si>
  <si>
    <t>PMPK Live &amp; WFS/CC VOD Egress, PMOS/FMS Ingress, MediaGrid Access</t>
  </si>
  <si>
    <t>C3750G-48TS-E</t>
  </si>
  <si>
    <t>C4948E-S-L</t>
  </si>
  <si>
    <t>C3750-48TS-S</t>
  </si>
  <si>
    <t>C3560G-24TS-S-L</t>
  </si>
  <si>
    <t>C2960-24TT-L</t>
  </si>
  <si>
    <t>C6509E-S720-10G</t>
  </si>
  <si>
    <t>C6504E-S720-10G</t>
  </si>
  <si>
    <t>PSM3610</t>
  </si>
  <si>
    <t>200:42:26</t>
  </si>
  <si>
    <t>100:40:25</t>
  </si>
  <si>
    <t>200:40:25</t>
  </si>
  <si>
    <t>192.168.104.76</t>
  </si>
  <si>
    <t>192.168.104.71</t>
  </si>
  <si>
    <t>192.168.104.72</t>
  </si>
  <si>
    <t>192.168.104.73</t>
  </si>
  <si>
    <t>SW-142</t>
  </si>
  <si>
    <t>CV VOD Sources</t>
  </si>
  <si>
    <t>700:38:04</t>
  </si>
  <si>
    <t>SW-340</t>
  </si>
  <si>
    <t>700:40:06</t>
  </si>
  <si>
    <t>MGSM-325</t>
  </si>
  <si>
    <t>PM1104-R2</t>
  </si>
  <si>
    <t>PM1104-SDI</t>
  </si>
  <si>
    <t>PM1100-R2</t>
  </si>
  <si>
    <t>PRM-9K</t>
  </si>
  <si>
    <t>NMX-SERVER-3E</t>
  </si>
  <si>
    <t>NMX-SERVER-2E</t>
  </si>
  <si>
    <t>SW-742</t>
  </si>
  <si>
    <t>113</t>
  </si>
  <si>
    <t>700:42:12</t>
  </si>
  <si>
    <t>Alarm Forwarding</t>
  </si>
  <si>
    <t>SW-738 (TRUNK)</t>
  </si>
  <si>
    <t>SW-242 (TRUNK)</t>
  </si>
  <si>
    <t>1,101</t>
  </si>
  <si>
    <t>iDRAC</t>
  </si>
  <si>
    <t>SW-338 (TRUNK)</t>
  </si>
  <si>
    <t>SW-740 (TRUNK)</t>
  </si>
  <si>
    <t>192.168.110.71</t>
  </si>
  <si>
    <t>192.168.110.72</t>
  </si>
  <si>
    <t>192.168.110.73</t>
  </si>
  <si>
    <t>192.168.110.DHCP</t>
  </si>
  <si>
    <t>192.168.111.DHCP</t>
  </si>
  <si>
    <t>200:36:Gbe4</t>
  </si>
  <si>
    <t>200:32:Gbe4</t>
  </si>
  <si>
    <t>200:28:Gbe4</t>
  </si>
  <si>
    <t>IPMI</t>
  </si>
  <si>
    <t>Backup Switch</t>
  </si>
  <si>
    <t>SKY to PMOS&amp;MG, PMPK-E</t>
  </si>
  <si>
    <t>SW-140 (TRUNK)</t>
  </si>
  <si>
    <t>SW-240 (TRUNK)</t>
  </si>
  <si>
    <t>MediaGrid Read/Write</t>
  </si>
  <si>
    <t>PMORIGIN-10G</t>
  </si>
  <si>
    <t>PM1200-G3x2MB</t>
  </si>
  <si>
    <t>PM1200-G4x2MB</t>
  </si>
  <si>
    <t>MG-STORE-3160-48TB</t>
  </si>
  <si>
    <t>NMX-SERVER-3D</t>
  </si>
  <si>
    <t>NMX-SERVER-2D</t>
  </si>
  <si>
    <t>MG-SYS-MGR</t>
  </si>
  <si>
    <t>UNIV-SW</t>
  </si>
  <si>
    <t>PANACEA-16x16</t>
  </si>
  <si>
    <t xml:space="preserve">NMX Management </t>
  </si>
  <si>
    <t>Notes</t>
  </si>
  <si>
    <t>MediaGrid "PUBLIC" network</t>
  </si>
  <si>
    <t>MediaGrid "PRIVATE1" network</t>
  </si>
  <si>
    <t>MediaGrid "PRIVATE2" network</t>
  </si>
  <si>
    <t>Alarm Forwarding &amp; SMNP Traps</t>
  </si>
  <si>
    <t>NMX Management</t>
  </si>
  <si>
    <t>DHCP</t>
  </si>
  <si>
    <t>PMLP</t>
  </si>
  <si>
    <t>SD</t>
  </si>
  <si>
    <t>186</t>
  </si>
  <si>
    <t>187</t>
  </si>
  <si>
    <t>188</t>
  </si>
  <si>
    <t>191</t>
  </si>
  <si>
    <t>WFS Management</t>
  </si>
  <si>
    <t>10.188.186.254</t>
  </si>
  <si>
    <t>VLAN186 IP (Primary Router/Switch)</t>
  </si>
  <si>
    <t>VLAN186 IP (Backup Router/Switch)</t>
  </si>
  <si>
    <t>10.188.186.253</t>
  </si>
  <si>
    <t>10.188.186.252</t>
  </si>
  <si>
    <t>10.188.186.61-99</t>
  </si>
  <si>
    <t>10.188.186.0-255</t>
  </si>
  <si>
    <t xml:space="preserve">NMX &amp; WFS Management </t>
  </si>
  <si>
    <t>10.188.186.111</t>
  </si>
  <si>
    <t>10.188.186.109</t>
  </si>
  <si>
    <t>10.188.186.110</t>
  </si>
  <si>
    <t>10.188.186.100-199</t>
  </si>
  <si>
    <t>Server SNMP Hardware Alarms</t>
  </si>
  <si>
    <t>10.188.186.1-59</t>
  </si>
  <si>
    <t>10.188.187.1-59</t>
  </si>
  <si>
    <t>10.188.187.61-99</t>
  </si>
  <si>
    <t>10.188.187.252</t>
  </si>
  <si>
    <t>VLAN187 IP (Primary Router/Switch)</t>
  </si>
  <si>
    <t>10.188.187.253</t>
  </si>
  <si>
    <t>VLAN187 IP (Backup Router/Switch)</t>
  </si>
  <si>
    <t>10.188.187.254</t>
  </si>
  <si>
    <t>Port1</t>
  </si>
  <si>
    <t>Port2</t>
  </si>
  <si>
    <t>Primary NMX Mgmt</t>
  </si>
  <si>
    <t>Backup NMX Mgmt</t>
  </si>
  <si>
    <t>Virtual NMX Mgmt</t>
  </si>
  <si>
    <t>ProMedia Live/Package Mgmt</t>
  </si>
  <si>
    <t>PMOS Mgmt</t>
  </si>
  <si>
    <t>WFS Controller Mgmt</t>
  </si>
  <si>
    <t>WFS QCS Mgmt</t>
  </si>
  <si>
    <t>WFS XPRESS &amp; AES Mgmt</t>
  </si>
  <si>
    <t>Primary NMX Alarms</t>
  </si>
  <si>
    <t>Backup NMX Alarms</t>
  </si>
  <si>
    <t>ProMedia Live/Package Alarms</t>
  </si>
  <si>
    <t>PMOS Alarms</t>
  </si>
  <si>
    <t>WFS Alarms</t>
  </si>
  <si>
    <t>ProMedia Live/Package INGRESS</t>
  </si>
  <si>
    <t>PMOS INGRESS</t>
  </si>
  <si>
    <t>WFS INGRESS INGRESS</t>
  </si>
  <si>
    <t>WFS Controller INGRESS</t>
  </si>
  <si>
    <t>WFS QCS INGRESS</t>
  </si>
  <si>
    <t>WFS XPRESS &amp; AES INGRESS</t>
  </si>
  <si>
    <t>INGRESS</t>
  </si>
  <si>
    <t>ProMedia Live/Package &amp; WFS INGRESS</t>
  </si>
  <si>
    <t>Hardware and Software Alarms</t>
  </si>
  <si>
    <t>Virtual</t>
  </si>
  <si>
    <t>10.188.187.0-255</t>
  </si>
  <si>
    <t>10.188.188.0-255</t>
  </si>
  <si>
    <t>10.188.188.1-59</t>
  </si>
  <si>
    <t>10.188.188.61-99</t>
  </si>
  <si>
    <t>10.188.188.252</t>
  </si>
  <si>
    <t>10.188.188.253</t>
  </si>
  <si>
    <t>10.188.188.254</t>
  </si>
  <si>
    <t>ProMedia Live/Package EGRESS</t>
  </si>
  <si>
    <t>WFS EGRESS EGRESS</t>
  </si>
  <si>
    <t>EGRESS</t>
  </si>
  <si>
    <t>WFS Controller EGRESS</t>
  </si>
  <si>
    <t>WFS QCS EGRESS</t>
  </si>
  <si>
    <t>WFS XPRESS &amp; AES EGRESS</t>
  </si>
  <si>
    <t>Port3</t>
  </si>
  <si>
    <t>Port4</t>
  </si>
  <si>
    <t>ProMedia Live/Package &amp;WFS EGRESS
ProMedia Origin Server INGRESS</t>
  </si>
  <si>
    <t>VLAN188 IP (Primary Router/Switch)</t>
  </si>
  <si>
    <t>VLAN188 IP (Backup Router/Switch)</t>
  </si>
  <si>
    <t>VLAN188 IP (HSRP)</t>
  </si>
  <si>
    <t>VLAN187 IP (HSRP)</t>
  </si>
  <si>
    <t>VLAN186 IP (HSRP)</t>
  </si>
  <si>
    <t>Port5</t>
  </si>
  <si>
    <t>Port6</t>
  </si>
  <si>
    <t>10.188.190.0/25</t>
  </si>
  <si>
    <t>10.188.190.128/26</t>
  </si>
  <si>
    <t>MediaGrid NAS</t>
  </si>
  <si>
    <t>10.188.190.200/29</t>
  </si>
  <si>
    <t>VLAN1900 IP (HSRP)</t>
  </si>
  <si>
    <t>VLAN1900 IP (Primary Router/Switch)</t>
  </si>
  <si>
    <t>VLAN1900 IP (Backup Router/Switch)</t>
  </si>
  <si>
    <t>10.188.190.124</t>
  </si>
  <si>
    <t>10.188.190.125</t>
  </si>
  <si>
    <t>10.188.190.126</t>
  </si>
  <si>
    <t>VLAN1901 IP (Primary Router/Switch)</t>
  </si>
  <si>
    <t>VLAN1901 IP (Backup Router/Switch)</t>
  </si>
  <si>
    <t>VLAN1901 IP (HSRP)</t>
  </si>
  <si>
    <t>VLAN1902 IP (Primary Router/Switch)</t>
  </si>
  <si>
    <t>VLAN1902 IP (Backup Router/Switch)</t>
  </si>
  <si>
    <t>VLAN1902 IP (HSRP)</t>
  </si>
  <si>
    <t>VLAN1903 IP (Primary Router/Switch)</t>
  </si>
  <si>
    <t>VLAN1903 IP (Backup Router/Switch)</t>
  </si>
  <si>
    <t>VLAN1903 IP (HSRP)</t>
  </si>
  <si>
    <t>10.188.190.190</t>
  </si>
  <si>
    <t>10.188.190.189</t>
  </si>
  <si>
    <t>10.188.190.188</t>
  </si>
  <si>
    <t>10.188.190.192/29</t>
  </si>
  <si>
    <t>10.188.190.198</t>
  </si>
  <si>
    <t>10.188.190.197</t>
  </si>
  <si>
    <t>10.188.190.196</t>
  </si>
  <si>
    <t>10.188.190.206</t>
  </si>
  <si>
    <t>10.188.190.205</t>
  </si>
  <si>
    <t>10.188.190.204</t>
  </si>
  <si>
    <t>10.188.189.0-255</t>
  </si>
  <si>
    <t>ProMedia Origin Server EGRESS</t>
  </si>
  <si>
    <t>PMOS EGRESS</t>
  </si>
  <si>
    <t>Port7</t>
  </si>
  <si>
    <t>Port8</t>
  </si>
  <si>
    <t>10.188.189.252</t>
  </si>
  <si>
    <t>10.188.189.253</t>
  </si>
  <si>
    <t>10.188.189.254</t>
  </si>
  <si>
    <t>VLAN189 IP (Primary Router/Switch)</t>
  </si>
  <si>
    <t>VLAN189 IP (Backup Router/Switch)</t>
  </si>
  <si>
    <t>VLAN189 IP (HSRP)</t>
  </si>
  <si>
    <t>CMS &amp; DRM</t>
  </si>
  <si>
    <t>10.188.191.0-255</t>
  </si>
  <si>
    <t>10.188.191.252</t>
  </si>
  <si>
    <t>VLAN191 IP (Primary Router/Switch)</t>
  </si>
  <si>
    <t>10.188.191.253</t>
  </si>
  <si>
    <t>VLAN191 IP (Backup Router/Switch)</t>
  </si>
  <si>
    <t>10.188.191.254</t>
  </si>
  <si>
    <t>VLAN191 IP (HSRP)</t>
  </si>
  <si>
    <t>ProMedia Live/Package CMS &amp; DRM</t>
  </si>
  <si>
    <t>PMOS CMS &amp; DRM</t>
  </si>
  <si>
    <t>WFS Controller CMS &amp; DRM</t>
  </si>
  <si>
    <t>WFS QCS  CMS &amp; DRM</t>
  </si>
  <si>
    <t>WFS Controller  CMS &amp; DRM</t>
  </si>
  <si>
    <t>WFS XPRESS &amp; AES  CMS &amp; DRM</t>
  </si>
  <si>
    <t>ProMedia Live/Package Egress &amp; WFS EGRESS
ProMedia Origin Server INGRESS</t>
  </si>
  <si>
    <t>Port0</t>
  </si>
  <si>
    <t>MediaGrid System Manager Alarms</t>
  </si>
  <si>
    <t>MediaGrid System</t>
  </si>
  <si>
    <t>Eth0</t>
  </si>
  <si>
    <t>Eth2</t>
  </si>
  <si>
    <t>Eth3</t>
  </si>
  <si>
    <t>10.188.190.128</t>
  </si>
  <si>
    <t>Hosts</t>
  </si>
  <si>
    <t>Subnet Address</t>
  </si>
  <si>
    <t>Broadcast Address</t>
  </si>
  <si>
    <t>First Usable</t>
  </si>
  <si>
    <t>Last Usable</t>
  </si>
  <si>
    <t>10.188.186.0</t>
  </si>
  <si>
    <t>Network</t>
  </si>
  <si>
    <t>SUBNET
Mask</t>
  </si>
  <si>
    <t>MASK
Bits</t>
  </si>
  <si>
    <t>10.188.187.0</t>
  </si>
  <si>
    <t>10.188.188.0</t>
  </si>
  <si>
    <t>10.188.189.0</t>
  </si>
  <si>
    <t>10.188.190.0</t>
  </si>
  <si>
    <t>10.188.190.192</t>
  </si>
  <si>
    <t>10.188.190.200</t>
  </si>
  <si>
    <t>10.188.191.0</t>
  </si>
  <si>
    <t>INTER-VLAN Route required between VLAN1900 &amp; VLAN1901</t>
  </si>
  <si>
    <t>VLAN IP Address on Cablemas Primary router/switch</t>
  </si>
  <si>
    <t>VLAN IP Address on Cablemas Backup router/switch</t>
  </si>
  <si>
    <t>VIRTUAL IP Address on Cablemas router/switches</t>
  </si>
  <si>
    <t>740-PMOS</t>
  </si>
  <si>
    <t>738-PMOS</t>
  </si>
  <si>
    <t>734-PMOS</t>
  </si>
  <si>
    <t>720-MGSM</t>
  </si>
  <si>
    <t>718-MGDR</t>
  </si>
  <si>
    <t>716-MGDR</t>
  </si>
  <si>
    <t>cld1-1</t>
  </si>
  <si>
    <t>Public</t>
  </si>
  <si>
    <t>10.188.190.134/26</t>
  </si>
  <si>
    <t>10.188.190.135/26</t>
  </si>
  <si>
    <t>Private1</t>
  </si>
  <si>
    <t>10.188.190.199/29</t>
  </si>
  <si>
    <t>10.188.190.206/29</t>
  </si>
  <si>
    <t>10.188.190.198/29</t>
  </si>
  <si>
    <t>cld1-2</t>
  </si>
  <si>
    <t>10.188.190.136/26</t>
  </si>
  <si>
    <t>10.188.190.137/26</t>
  </si>
  <si>
    <t>Private2</t>
  </si>
  <si>
    <t>10.188.190.207/29</t>
  </si>
  <si>
    <t>ContentServer</t>
  </si>
  <si>
    <t>DHCP Pool</t>
  </si>
  <si>
    <t>10.188.190.138</t>
  </si>
  <si>
    <t>MIN</t>
  </si>
  <si>
    <t>MAX</t>
  </si>
  <si>
    <t>eth3</t>
  </si>
  <si>
    <t>90:E2:BA:25:71:61</t>
  </si>
  <si>
    <t>eth2</t>
  </si>
  <si>
    <t>eht1</t>
  </si>
  <si>
    <t>10.188.190.135</t>
  </si>
  <si>
    <t>90:B1:1C:10:25:85</t>
  </si>
  <si>
    <t>eht0</t>
  </si>
  <si>
    <t>eth0</t>
  </si>
  <si>
    <t>90:E2:BA:25:71:60</t>
  </si>
  <si>
    <t>90:B1:1C:10:25:84</t>
  </si>
  <si>
    <t>90:B1:1C:10:2A:E5</t>
  </si>
  <si>
    <t>10.188.190.134</t>
  </si>
  <si>
    <t>10.188.190.136</t>
  </si>
  <si>
    <t>Cluster Name</t>
  </si>
  <si>
    <t>cld1</t>
  </si>
  <si>
    <t>Cluster ID</t>
  </si>
  <si>
    <t xml:space="preserve"> </t>
  </si>
  <si>
    <t>814-1-PMLP</t>
  </si>
  <si>
    <t>812-1-PMLP</t>
  </si>
  <si>
    <t>810-1-PMLP</t>
  </si>
  <si>
    <t>808-1-PMLP</t>
  </si>
  <si>
    <t>806-1-PMLP</t>
  </si>
  <si>
    <t>804-1-PMLP</t>
  </si>
  <si>
    <t>814-2-PMLP</t>
  </si>
  <si>
    <t>812-2-PMLP</t>
  </si>
  <si>
    <t>810-2-PMLP</t>
  </si>
  <si>
    <t>808-2-PMLP</t>
  </si>
  <si>
    <t>806-2-PMLP</t>
  </si>
  <si>
    <t>804-2-PMLP</t>
  </si>
  <si>
    <t>822-1-WFSP</t>
  </si>
  <si>
    <t>714-A-MGCS</t>
  </si>
  <si>
    <t>714-B-MGCS</t>
  </si>
  <si>
    <t>10.188.186.7</t>
  </si>
  <si>
    <t>10.188.190.122</t>
  </si>
  <si>
    <t>10.188.190.123</t>
  </si>
  <si>
    <t>Backup Nexus</t>
  </si>
  <si>
    <t>Primary Nexus</t>
  </si>
  <si>
    <t>Video</t>
  </si>
  <si>
    <t>Audio1</t>
  </si>
  <si>
    <t>Audio2</t>
  </si>
  <si>
    <t>Source Name</t>
  </si>
  <si>
    <t>Multicast</t>
  </si>
  <si>
    <t>MPEG ID</t>
  </si>
  <si>
    <t>PMT PID</t>
  </si>
  <si>
    <t>Port(s)</t>
  </si>
  <si>
    <t>Channel</t>
  </si>
  <si>
    <t>CANAL UNO</t>
  </si>
  <si>
    <t>239.111.2.53</t>
  </si>
  <si>
    <t>0x3e9</t>
  </si>
  <si>
    <t>0x1000</t>
  </si>
  <si>
    <t>MPEG2</t>
  </si>
  <si>
    <t>720x480i</t>
  </si>
  <si>
    <t>0x0020</t>
  </si>
  <si>
    <t>AC3</t>
  </si>
  <si>
    <t>10001-10005</t>
  </si>
  <si>
    <t>CANAL 2 DE MEXICO</t>
  </si>
  <si>
    <t>239.101.2.88</t>
  </si>
  <si>
    <t>0x66</t>
  </si>
  <si>
    <t>0x64</t>
  </si>
  <si>
    <t>FORO TV</t>
  </si>
  <si>
    <t>0x68</t>
  </si>
  <si>
    <t xml:space="preserve">0x21 </t>
  </si>
  <si>
    <t>0x022</t>
  </si>
  <si>
    <t>CANAL 5 DE MÉXICO</t>
  </si>
  <si>
    <t>0x69</t>
  </si>
  <si>
    <t>0x150</t>
  </si>
  <si>
    <t>0x0151</t>
  </si>
  <si>
    <t>AZTECA 7</t>
  </si>
  <si>
    <t>0x6b</t>
  </si>
  <si>
    <t>0x0350</t>
  </si>
  <si>
    <t>0x0351</t>
  </si>
  <si>
    <t>GALAVISIÓN</t>
  </si>
  <si>
    <t>0x6d</t>
  </si>
  <si>
    <t>0x5e6</t>
  </si>
  <si>
    <t>0x002a</t>
  </si>
  <si>
    <t xml:space="preserve">AZTECA 13 </t>
  </si>
  <si>
    <t>0x71</t>
  </si>
  <si>
    <t>0x20</t>
  </si>
  <si>
    <t>0x0024</t>
  </si>
  <si>
    <t>VISIÓN MORELOS</t>
  </si>
  <si>
    <t>239.101.2.89</t>
  </si>
  <si>
    <t>0x75</t>
  </si>
  <si>
    <t>0x2c6</t>
  </si>
  <si>
    <t>0x01e2</t>
  </si>
  <si>
    <t>MUNDO TV</t>
  </si>
  <si>
    <t>0x78</t>
  </si>
  <si>
    <t>0x21</t>
  </si>
  <si>
    <t>0x0022</t>
  </si>
  <si>
    <t>FOX</t>
  </si>
  <si>
    <t>239.101.2.90</t>
  </si>
  <si>
    <t>0xcd</t>
  </si>
  <si>
    <t>0x24</t>
  </si>
  <si>
    <t>0x0025</t>
  </si>
  <si>
    <t>SONY</t>
  </si>
  <si>
    <t>0xcf</t>
  </si>
  <si>
    <t>0x0023</t>
  </si>
  <si>
    <t>0x01e3</t>
  </si>
  <si>
    <t>739-PMOS</t>
  </si>
  <si>
    <t>WARNER</t>
  </si>
  <si>
    <t>0xd0</t>
  </si>
  <si>
    <t>0x1e1</t>
  </si>
  <si>
    <t>0x10e4</t>
  </si>
  <si>
    <t>A&amp;E</t>
  </si>
  <si>
    <t>0xd4</t>
  </si>
  <si>
    <t>0xa0</t>
  </si>
  <si>
    <t>STUDIO UNIVERSAL</t>
  </si>
  <si>
    <t>0xd9</t>
  </si>
  <si>
    <t>0xf78</t>
  </si>
  <si>
    <t>0x0f54</t>
  </si>
  <si>
    <t>0x0f56</t>
  </si>
  <si>
    <t>DISCOVERY HOME &amp; HEALTH</t>
  </si>
  <si>
    <t>0xda</t>
  </si>
  <si>
    <t>0x0021</t>
  </si>
  <si>
    <t>0x0026</t>
  </si>
  <si>
    <t>TVC</t>
  </si>
  <si>
    <t>0xeb</t>
  </si>
  <si>
    <t>0x0152</t>
  </si>
  <si>
    <t>0x0391</t>
  </si>
  <si>
    <t>UNICABLE</t>
  </si>
  <si>
    <t>239.101.2.91</t>
  </si>
  <si>
    <t>0xde</t>
  </si>
  <si>
    <t>0x190</t>
  </si>
  <si>
    <t>0x0191</t>
  </si>
  <si>
    <t>0x0193</t>
  </si>
  <si>
    <t>DISTRITO COMEDIA</t>
  </si>
  <si>
    <t>0xe1</t>
  </si>
  <si>
    <t>0x23</t>
  </si>
  <si>
    <t>INFINITO</t>
  </si>
  <si>
    <t>0xe3</t>
  </si>
  <si>
    <t>0xd20</t>
  </si>
  <si>
    <t>0x002b</t>
  </si>
  <si>
    <t>0x002c</t>
  </si>
  <si>
    <t>UTILISIMA</t>
  </si>
  <si>
    <t>0xe4</t>
  </si>
  <si>
    <t>0x00d1</t>
  </si>
  <si>
    <t>TL NOVELAS</t>
  </si>
  <si>
    <t>0xe5</t>
  </si>
  <si>
    <t>0x05e4</t>
  </si>
  <si>
    <t>0x05e5</t>
  </si>
  <si>
    <t>TINN</t>
  </si>
  <si>
    <t>0x19c</t>
  </si>
  <si>
    <t>0x1e00</t>
  </si>
  <si>
    <t>0x1020</t>
  </si>
  <si>
    <t>TELEHIT</t>
  </si>
  <si>
    <t>239.101.2.93</t>
  </si>
  <si>
    <t>0xfa</t>
  </si>
  <si>
    <t>0x1fe</t>
  </si>
  <si>
    <t>0x01f4</t>
  </si>
  <si>
    <t>0x01f6</t>
  </si>
  <si>
    <t>BANDAMAX</t>
  </si>
  <si>
    <t>0x101</t>
  </si>
  <si>
    <t>0xfdc</t>
  </si>
  <si>
    <t>0x0fb8</t>
  </si>
  <si>
    <t>RITMOSON</t>
  </si>
  <si>
    <t>0x103</t>
  </si>
  <si>
    <t>0x2d0</t>
  </si>
  <si>
    <t>0x02d1</t>
  </si>
  <si>
    <t>HISTORY CHANNEL</t>
  </si>
  <si>
    <t>239.101.2.94</t>
  </si>
  <si>
    <t>0x135</t>
  </si>
  <si>
    <t>0x110</t>
  </si>
  <si>
    <t>0x0111</t>
  </si>
  <si>
    <t>NAT GEO</t>
  </si>
  <si>
    <t>0x136</t>
  </si>
  <si>
    <t>0x210</t>
  </si>
  <si>
    <t>0x0211</t>
  </si>
  <si>
    <t>ANIMAL PLANET</t>
  </si>
  <si>
    <t>0x138</t>
  </si>
  <si>
    <t>0x290</t>
  </si>
  <si>
    <t>0x0291</t>
  </si>
  <si>
    <t>EWTN</t>
  </si>
  <si>
    <t>0x14a</t>
  </si>
  <si>
    <t>0x250</t>
  </si>
  <si>
    <t>0x0251</t>
  </si>
  <si>
    <t xml:space="preserve">MOSAICO TV ABIERTA </t>
  </si>
  <si>
    <t>239.101.2.100</t>
  </si>
  <si>
    <t>0x32</t>
  </si>
  <si>
    <t>0x0059</t>
  </si>
  <si>
    <t>CARTOON NETWORK</t>
  </si>
  <si>
    <t>0x192</t>
  </si>
  <si>
    <t>0x50</t>
  </si>
  <si>
    <t>0x0051</t>
  </si>
  <si>
    <t>0x0053</t>
  </si>
  <si>
    <t>737-PMOS</t>
  </si>
  <si>
    <t>DISCOVERY KIDS</t>
  </si>
  <si>
    <t>0x194</t>
  </si>
  <si>
    <t>0x1108</t>
  </si>
  <si>
    <t>0x10e6</t>
  </si>
  <si>
    <t>NICKELODEON</t>
  </si>
  <si>
    <t>0x198</t>
  </si>
  <si>
    <t>0xa00</t>
  </si>
  <si>
    <t>0x09f6</t>
  </si>
  <si>
    <t>0x09f8</t>
  </si>
  <si>
    <t>DISNEY XD</t>
  </si>
  <si>
    <t>0x19a</t>
  </si>
  <si>
    <t>0x5b4</t>
  </si>
  <si>
    <t>0x058c</t>
  </si>
  <si>
    <t>FOX SPORTS</t>
  </si>
  <si>
    <t>239.101.2.101</t>
  </si>
  <si>
    <t>0x1f7</t>
  </si>
  <si>
    <t>0x0058</t>
  </si>
  <si>
    <t>ESPN 2</t>
  </si>
  <si>
    <t>0x1fc</t>
  </si>
  <si>
    <t>0x058e</t>
  </si>
  <si>
    <t>TVC DEPORTES</t>
  </si>
  <si>
    <t>0x202</t>
  </si>
  <si>
    <t>0x0130</t>
  </si>
  <si>
    <t>0x0131</t>
  </si>
  <si>
    <t>MILENIO</t>
  </si>
  <si>
    <t>239.101.2.102</t>
  </si>
  <si>
    <t>0x25c</t>
  </si>
  <si>
    <t>0x960</t>
  </si>
  <si>
    <t>0x0978</t>
  </si>
  <si>
    <t>0x097a</t>
  </si>
  <si>
    <t>TELEFORMULA</t>
  </si>
  <si>
    <t>0x260</t>
  </si>
  <si>
    <t>CANAL DEL CONGRESO</t>
  </si>
  <si>
    <t>0x263</t>
  </si>
  <si>
    <t>0x8fc</t>
  </si>
  <si>
    <t>0x0914</t>
  </si>
  <si>
    <t>0x0916</t>
  </si>
  <si>
    <t>CANAL JUDICIAL</t>
  </si>
  <si>
    <t>0x264</t>
  </si>
  <si>
    <t>0x1d0</t>
  </si>
  <si>
    <t>0x01d1</t>
  </si>
  <si>
    <t>735-PMOS</t>
  </si>
  <si>
    <t>TVC PLATINO</t>
  </si>
  <si>
    <t>239.101.2.103</t>
  </si>
  <si>
    <t>0x2c8</t>
  </si>
  <si>
    <t>GOLDEN CHOICE</t>
  </si>
  <si>
    <t>0x2c9</t>
  </si>
  <si>
    <t>0xd3</t>
  </si>
  <si>
    <t>0x010f</t>
  </si>
  <si>
    <t>GOLDEN EDGE</t>
  </si>
  <si>
    <t>0x2ca</t>
  </si>
  <si>
    <t>0x744</t>
  </si>
  <si>
    <t>0x070c</t>
  </si>
  <si>
    <t>DE PELICULA</t>
  </si>
  <si>
    <t>0x2d6</t>
  </si>
  <si>
    <t>0x22</t>
  </si>
  <si>
    <t>0x0154</t>
  </si>
  <si>
    <t>MOSAICO ENTRETENIMIENTO</t>
  </si>
  <si>
    <t>239.101.2.105</t>
  </si>
  <si>
    <t>0x79</t>
  </si>
  <si>
    <t>MOSAICO MUNDO, CULTURA Y RELIGION</t>
  </si>
  <si>
    <t>239.101.2.106</t>
  </si>
  <si>
    <t>0x006b</t>
  </si>
  <si>
    <t>CABLESEÑAL</t>
  </si>
  <si>
    <t>239.101.2.107</t>
  </si>
  <si>
    <t>0x6f</t>
  </si>
  <si>
    <t>0x0068</t>
  </si>
  <si>
    <t>MOSAICO INFANTIL</t>
  </si>
  <si>
    <t>239.101.2.108</t>
  </si>
  <si>
    <t>MOSAICO DEPORTES</t>
  </si>
  <si>
    <t>UTDN</t>
  </si>
  <si>
    <t>MOSAICO NOTICIAS E INFORMACIÓN</t>
  </si>
  <si>
    <t>0x0055</t>
  </si>
  <si>
    <t>CABLESEÑAL 2</t>
  </si>
  <si>
    <t>239.101.2.109</t>
  </si>
  <si>
    <t>0x8f</t>
  </si>
  <si>
    <t>TBS</t>
  </si>
  <si>
    <t>0xe0</t>
  </si>
  <si>
    <t>DISNEY JR</t>
  </si>
  <si>
    <t>0x196</t>
  </si>
  <si>
    <t>0x0091</t>
  </si>
  <si>
    <t xml:space="preserve">MOSAICO PELICULAS </t>
  </si>
  <si>
    <t>0x26</t>
  </si>
  <si>
    <t>724-NMXP</t>
  </si>
  <si>
    <t>723-NMXB</t>
  </si>
  <si>
    <t>10.188.191.69</t>
  </si>
  <si>
    <t>CONAX SERVER</t>
  </si>
  <si>
    <t>10.188.191.70</t>
  </si>
  <si>
    <t>733-PMOS</t>
  </si>
  <si>
    <t>PID</t>
  </si>
  <si>
    <t>Format</t>
  </si>
  <si>
    <t>Resolution</t>
  </si>
  <si>
    <t>Bit Rate
(kbs)</t>
  </si>
  <si>
    <t>Bit Rate
(mbs)</t>
  </si>
  <si>
    <t>SD/HD</t>
  </si>
  <si>
    <t>OUTPUT</t>
  </si>
  <si>
    <t>INPUT</t>
  </si>
  <si>
    <t>Mother
Board</t>
  </si>
  <si>
    <t>Item
#</t>
  </si>
  <si>
    <t>Mux
group</t>
  </si>
  <si>
    <t>0x1010</t>
  </si>
  <si>
    <t>0x1011</t>
  </si>
  <si>
    <t>0x1012</t>
  </si>
  <si>
    <t>Other</t>
  </si>
  <si>
    <t>Subtitles
PID</t>
  </si>
  <si>
    <t>Video Bit rate
(kbps)</t>
  </si>
  <si>
    <t>4:3 Aspect Ratio</t>
  </si>
  <si>
    <t>Total Bit rate
(kbps)</t>
  </si>
  <si>
    <t>Audio Bit rate
(kbps)</t>
  </si>
  <si>
    <t>320x240</t>
  </si>
  <si>
    <t>480x360</t>
  </si>
  <si>
    <t>544x408</t>
  </si>
  <si>
    <t>640x480</t>
  </si>
  <si>
    <t>16:9 Aspect Ratio</t>
  </si>
  <si>
    <t>LINEAR</t>
  </si>
  <si>
    <t>VOD</t>
  </si>
  <si>
    <t>320x180</t>
  </si>
  <si>
    <t>480x270</t>
  </si>
  <si>
    <t>640x360</t>
  </si>
  <si>
    <t>720x405</t>
  </si>
  <si>
    <t>960x540</t>
  </si>
  <si>
    <t>1280x720</t>
  </si>
  <si>
    <t>Overhead:</t>
  </si>
  <si>
    <t>Total Bit rate:</t>
  </si>
  <si>
    <t>Audio codec:</t>
  </si>
  <si>
    <t>AAC-HE v2</t>
  </si>
  <si>
    <t>Profile</t>
  </si>
  <si>
    <t>818-1-AESCC</t>
  </si>
  <si>
    <t>818-2-AESCC</t>
  </si>
  <si>
    <t>816-1-AESCC</t>
  </si>
  <si>
    <t>816-2-AESCC</t>
  </si>
  <si>
    <t>822-2-QCSCC</t>
  </si>
  <si>
    <t>820-2-QCSCC</t>
  </si>
  <si>
    <t>820-1-WFSB</t>
  </si>
  <si>
    <t>Linear 4:3</t>
  </si>
  <si>
    <t>PM5210-G2x2MB</t>
  </si>
  <si>
    <t>PM5210-G3x2MB</t>
  </si>
  <si>
    <t>PM5200-G3x2MB</t>
  </si>
  <si>
    <t>MG-BASE3000-64TB</t>
  </si>
  <si>
    <t>MG-HPDIRECTOR</t>
  </si>
  <si>
    <t>PRM-9100-CHS-DC</t>
  </si>
  <si>
    <t>MG-STORE-3160-64TB</t>
  </si>
  <si>
    <t>MG-SERVER-3000x64TB</t>
  </si>
  <si>
    <t>MG-SERVER-3000x16TB</t>
  </si>
  <si>
    <t>MG-BASE3000-16TB</t>
  </si>
  <si>
    <t>PMORIGIN-1G</t>
  </si>
  <si>
    <t>C4948E-F-S-L</t>
  </si>
  <si>
    <t>MGCSA</t>
  </si>
  <si>
    <t>MGCSB</t>
  </si>
  <si>
    <t>CAS</t>
  </si>
  <si>
    <t>N5548-UP-FA</t>
  </si>
  <si>
    <t>(R/U)</t>
  </si>
  <si>
    <t>Switch</t>
  </si>
  <si>
    <t>Model</t>
  </si>
  <si>
    <t>UPLink Ports</t>
  </si>
  <si>
    <t>Ports</t>
  </si>
  <si>
    <t>10G</t>
  </si>
  <si>
    <t>1G</t>
  </si>
  <si>
    <t>Connections</t>
  </si>
  <si>
    <t>PRM</t>
  </si>
  <si>
    <t>NMXP</t>
  </si>
  <si>
    <t>NMXB</t>
  </si>
  <si>
    <t>Primary Use</t>
  </si>
  <si>
    <t>Switch Trunking</t>
  </si>
  <si>
    <t>PRM Egress</t>
  </si>
  <si>
    <t>SWITCH</t>
  </si>
  <si>
    <t>Total Used</t>
  </si>
  <si>
    <t>Source Monitoring</t>
  </si>
  <si>
    <t>PMO</t>
  </si>
  <si>
    <t>PM1200</t>
  </si>
  <si>
    <t>PM5210</t>
  </si>
  <si>
    <t>PM5200</t>
  </si>
  <si>
    <t>PML NMX Management</t>
  </si>
  <si>
    <t>PMORIGIN</t>
  </si>
  <si>
    <t>PMO NMX Management</t>
  </si>
  <si>
    <t>PMORIGIN iDRAC</t>
  </si>
  <si>
    <t>100:41</t>
  </si>
  <si>
    <t>C2960-48TT-L</t>
  </si>
  <si>
    <t>Avail.</t>
  </si>
  <si>
    <t>MediaGrid Content Store Fiber</t>
  </si>
  <si>
    <t>Switch Trunking with N5548 Backup</t>
  </si>
  <si>
    <t>Switch Trunking with C4948 Primary &amp; Backup</t>
  </si>
  <si>
    <t>PMO MediaGrid Fiber</t>
  </si>
  <si>
    <t>MediaGrid Content Store Copper</t>
  </si>
  <si>
    <t>MG-DIR Primary</t>
  </si>
  <si>
    <t>MG-DIR Backup</t>
  </si>
  <si>
    <t>Switch Trunking with N5548 Primary</t>
  </si>
  <si>
    <t>Switch Trunking with C4948 Backup</t>
  </si>
  <si>
    <t>Switch Trunking with C4948 Primary</t>
  </si>
  <si>
    <t>WFS Egress Primary</t>
  </si>
  <si>
    <t>PM LIVE Egress Primary</t>
  </si>
  <si>
    <t>WFS Egress Backup</t>
  </si>
  <si>
    <t>PM LIVE Egress Backup</t>
  </si>
  <si>
    <t>WFS Ingress Primary</t>
  </si>
  <si>
    <t>PM LIVE Ingress Primary</t>
  </si>
  <si>
    <t>WFS Ingress Backup</t>
  </si>
  <si>
    <t>PM LIVE Ingress Backup</t>
  </si>
  <si>
    <t>Uplink Ports</t>
  </si>
  <si>
    <t>DVB NMXP</t>
  </si>
  <si>
    <t>DVB NMXB</t>
  </si>
  <si>
    <t xml:space="preserve">CAS </t>
  </si>
  <si>
    <t>PRM Ingress</t>
  </si>
  <si>
    <t>Totals</t>
  </si>
  <si>
    <t>Inter-Switch connections</t>
  </si>
  <si>
    <t>Actual connections</t>
  </si>
  <si>
    <t>Primary</t>
  </si>
  <si>
    <t>Redundant</t>
  </si>
  <si>
    <t>PM5210-MB1</t>
  </si>
  <si>
    <t>100M</t>
  </si>
  <si>
    <t>MGMT1</t>
  </si>
  <si>
    <t>MGMT2</t>
  </si>
  <si>
    <t>PM5210-MB2</t>
  </si>
  <si>
    <t>PM5200-MB1</t>
  </si>
  <si>
    <t>PM5200-MB2</t>
  </si>
  <si>
    <t>PM1200-MB1</t>
  </si>
  <si>
    <t>PM1200-MB2</t>
  </si>
  <si>
    <t>PRM-9100</t>
  </si>
  <si>
    <t>QTY</t>
  </si>
  <si>
    <t>MG-HPDIR</t>
  </si>
  <si>
    <t>MG-CS-MB1</t>
  </si>
  <si>
    <t>MG-CS-MB2</t>
  </si>
  <si>
    <t>DEVICE</t>
  </si>
  <si>
    <t>TOTAL PORT COUNTS</t>
  </si>
  <si>
    <t>PORT COUNTS</t>
  </si>
  <si>
    <t>THAT WILL BE REQUIRED.</t>
  </si>
  <si>
    <t>ETH1-P</t>
  </si>
  <si>
    <t>ETH2-B</t>
  </si>
  <si>
    <t>ETH3-P</t>
  </si>
  <si>
    <t>ETH4-B</t>
  </si>
  <si>
    <t>ETH5-P</t>
  </si>
  <si>
    <t>ETH6-B</t>
  </si>
  <si>
    <t>*** NOTES ***</t>
  </si>
  <si>
    <t>THESE ARE ACTUAL PORT COUNTS AND DO NOT INCLUDE SWITCH TRUNK PORTS</t>
  </si>
  <si>
    <t>MG-SYSMGR</t>
  </si>
  <si>
    <t>104 x 10G SFP+ REQUIRED.    Compatible SFP+ = 10GBaseSR from Intel (Part: 089-1071-001)</t>
  </si>
  <si>
    <t>--- Modulators ---</t>
  </si>
  <si>
    <t>SMD-9200</t>
  </si>
  <si>
    <t>SMD-9200x2PS</t>
  </si>
  <si>
    <t>PRM-9K 2xPS</t>
  </si>
  <si>
    <t>Electra 9200 2xPS</t>
  </si>
  <si>
    <t>QUINTECH SRR</t>
  </si>
  <si>
    <t>HALO-32x32</t>
  </si>
  <si>
    <t>MDU14</t>
  </si>
  <si>
    <t>LOM</t>
  </si>
  <si>
    <t>MG-SERVER-3Kx64TBx10GbE</t>
  </si>
  <si>
    <t>MG-SERVER-3Kx16TBx10GbE</t>
  </si>
  <si>
    <t>Mgmt3</t>
  </si>
  <si>
    <t>Ingress Primary</t>
  </si>
  <si>
    <t>Ingress Backup</t>
  </si>
  <si>
    <t>Egress Primary</t>
  </si>
  <si>
    <t>Egress Backup</t>
  </si>
  <si>
    <t>NAS Primary</t>
  </si>
  <si>
    <t>NAS Backup</t>
  </si>
  <si>
    <t>Port Requirements</t>
  </si>
  <si>
    <t>Device Port Definitions</t>
  </si>
  <si>
    <t>Port Requirements Totals</t>
  </si>
  <si>
    <t xml:space="preserve">Name </t>
  </si>
  <si>
    <t>ASI DA</t>
  </si>
  <si>
    <t>MDU 2-1Main</t>
  </si>
  <si>
    <t>ELC-8K 1-1</t>
  </si>
  <si>
    <t>ELC-8K 1-2</t>
  </si>
  <si>
    <t>ELC-8K 1-3</t>
  </si>
  <si>
    <t>ELC-8K 1-4</t>
  </si>
  <si>
    <t>ELC-8K 1-5</t>
  </si>
  <si>
    <t>ELC-8K 1-6</t>
  </si>
  <si>
    <t>ELC-8K 1-7</t>
  </si>
  <si>
    <t>ELC-8K 1-1R</t>
  </si>
  <si>
    <t>ELC-8K 1-2R</t>
  </si>
  <si>
    <t>ELC-8K 2-1</t>
  </si>
  <si>
    <t>ELC-8K 2-2</t>
  </si>
  <si>
    <t>ELC-8K 2-3</t>
  </si>
  <si>
    <t>ELC-8K 2-4</t>
  </si>
  <si>
    <t>ELC-8K 2-1R</t>
  </si>
  <si>
    <t>C2960-24TS-L Ctrl Switch 2-1</t>
  </si>
  <si>
    <t>Patch Panel-1</t>
  </si>
  <si>
    <t>Patch Panel-2</t>
  </si>
  <si>
    <t>Patch Panel-3</t>
  </si>
  <si>
    <t>Patch Panel-4</t>
  </si>
  <si>
    <t>Patch Panel-5</t>
  </si>
  <si>
    <t>Patch Panel-6</t>
  </si>
  <si>
    <t>Patch Panel-7</t>
  </si>
  <si>
    <t>Patch Panel-8</t>
  </si>
  <si>
    <t>Patch Panel-9</t>
  </si>
  <si>
    <t>Patch Panel-10</t>
  </si>
  <si>
    <t>UDS 100 (64x64)</t>
  </si>
  <si>
    <t>ASI Router (64x64)</t>
  </si>
  <si>
    <t>600</t>
  </si>
  <si>
    <t>700</t>
  </si>
  <si>
    <t>ROW 3</t>
  </si>
  <si>
    <r>
      <t>EXISTING ELECTRA 8K RACK IN ROW 1 (</t>
    </r>
    <r>
      <rPr>
        <b/>
        <i/>
        <sz val="12"/>
        <color rgb="FFFF0000"/>
        <rFont val="Times New Roman"/>
        <family val="1"/>
      </rPr>
      <t>REUSE approx 26 RU</t>
    </r>
    <r>
      <rPr>
        <b/>
        <sz val="12"/>
        <color rgb="FFFF0000"/>
        <rFont val="Times New Roman"/>
        <family val="1"/>
      </rPr>
      <t xml:space="preserve"> after removal of Electra 8K encoders)</t>
    </r>
  </si>
  <si>
    <r>
      <t>EXISTING PROSTREAM  RACK SAPCE IN ROW 1 (</t>
    </r>
    <r>
      <rPr>
        <b/>
        <i/>
        <sz val="12"/>
        <color rgb="FFFF0000"/>
        <rFont val="Times New Roman"/>
        <family val="1"/>
      </rPr>
      <t>REUSE approx 8 RU</t>
    </r>
    <r>
      <rPr>
        <b/>
        <sz val="12"/>
        <color rgb="FFFF0000"/>
        <rFont val="Times New Roman"/>
        <family val="1"/>
      </rPr>
      <t>)</t>
    </r>
  </si>
  <si>
    <t>ATS MDU 1-1Main</t>
  </si>
  <si>
    <t>ATS MDU 2-1Main</t>
  </si>
  <si>
    <t>ATS MDU 3-1Main</t>
  </si>
  <si>
    <t>ATS MDU 4-1Main</t>
  </si>
  <si>
    <t>Proview 7K 6-23</t>
  </si>
  <si>
    <t>Proview 7K 7-1</t>
  </si>
  <si>
    <t>Proview 7K 6-24</t>
  </si>
  <si>
    <t>Proview 7K 7-2</t>
  </si>
  <si>
    <t>Proview 7K 6-25</t>
  </si>
  <si>
    <t>Proview 7K 7-3</t>
  </si>
  <si>
    <t>Proview 7K 6-26</t>
  </si>
  <si>
    <t>Proview 7K 7-4</t>
  </si>
  <si>
    <t>Proview 7K 6-27</t>
  </si>
  <si>
    <t>Proview 7K 7-5</t>
  </si>
  <si>
    <t>Proview 7K 6-28</t>
  </si>
  <si>
    <t>Proview 7K 7-6</t>
  </si>
  <si>
    <t>Proview 7K 6-29</t>
  </si>
  <si>
    <t>Proview 7K 7-7</t>
  </si>
  <si>
    <t>Proview 7K 6-30</t>
  </si>
  <si>
    <t>Proview 7K 7-8</t>
  </si>
  <si>
    <t>Proview 7K 7-9</t>
  </si>
  <si>
    <t>Proview 7K 7-10</t>
  </si>
  <si>
    <t>Proview 7K 7-11</t>
  </si>
  <si>
    <t>Proview 7K 7-12</t>
  </si>
  <si>
    <t>Proview 7K 7-13</t>
  </si>
  <si>
    <t>Proview 7K 7-14</t>
  </si>
  <si>
    <t>Proview 7K 7-15</t>
  </si>
  <si>
    <t>Proview 7K 7-16</t>
  </si>
  <si>
    <t>Proview 7K 7-17</t>
  </si>
  <si>
    <t>Proview 7K 7-18</t>
  </si>
  <si>
    <t>Proview 7K 7-19</t>
  </si>
  <si>
    <t>Proview 7K 7-20</t>
  </si>
  <si>
    <t>Proview 7K 7-21</t>
  </si>
  <si>
    <t>Proview 7K 7-22</t>
  </si>
  <si>
    <t>Existing/Customer provided</t>
  </si>
  <si>
    <t>A2D 2-1</t>
  </si>
  <si>
    <t>A2D 2-2</t>
  </si>
  <si>
    <t>A2D 2-3</t>
  </si>
  <si>
    <t>A2D 2-4</t>
  </si>
  <si>
    <t>A2D 2-5</t>
  </si>
  <si>
    <t>C3850-48T-S- Data Switch 2-1</t>
  </si>
  <si>
    <t>STB 3-23</t>
  </si>
  <si>
    <t>STB 3-24</t>
  </si>
  <si>
    <t>STB 3-25</t>
  </si>
  <si>
    <t>STB 3-26</t>
  </si>
  <si>
    <t>STB 3-27</t>
  </si>
  <si>
    <t>STB 3-28</t>
  </si>
  <si>
    <t>STB 3-29</t>
  </si>
  <si>
    <t>STB 3-30</t>
  </si>
  <si>
    <t>STB 3-31</t>
  </si>
  <si>
    <t>STB 3-32</t>
  </si>
  <si>
    <t>STB 3-33</t>
  </si>
  <si>
    <t>STB 3-34</t>
  </si>
  <si>
    <t>STB 3-35</t>
  </si>
  <si>
    <t>STB 3-36</t>
  </si>
  <si>
    <t>STB 3-37</t>
  </si>
  <si>
    <t>STB 3-38</t>
  </si>
  <si>
    <t>STB 3-39</t>
  </si>
  <si>
    <t>STB 3-40</t>
  </si>
  <si>
    <t>STB 3-41</t>
  </si>
  <si>
    <t>STB 3-42</t>
  </si>
  <si>
    <t>STB 3-43</t>
  </si>
  <si>
    <t>STB 3-44</t>
  </si>
  <si>
    <t>STB 3-45</t>
  </si>
  <si>
    <t>Quintech RF Splitter - 3-19</t>
  </si>
  <si>
    <t>Quintech RF Splitter - 3-20</t>
  </si>
  <si>
    <t>STB 4-1</t>
  </si>
  <si>
    <t>STB 4-2</t>
  </si>
  <si>
    <t>STB 4-3</t>
  </si>
  <si>
    <t>STB 4-4</t>
  </si>
  <si>
    <t>STB 4-5</t>
  </si>
  <si>
    <t>STB 4-6</t>
  </si>
  <si>
    <t>STB 4-7</t>
  </si>
  <si>
    <t>STB 4-8</t>
  </si>
  <si>
    <t>STB 4-9</t>
  </si>
  <si>
    <t>STB 4-10</t>
  </si>
  <si>
    <t>STB 4-11</t>
  </si>
  <si>
    <t>STB 4-12</t>
  </si>
  <si>
    <t>STB 4-13</t>
  </si>
  <si>
    <t>STB 4-14</t>
  </si>
  <si>
    <t>STB 4-15</t>
  </si>
  <si>
    <t>STB 4-16</t>
  </si>
  <si>
    <t>STB 4-17</t>
  </si>
  <si>
    <t>STB 4-18</t>
  </si>
  <si>
    <t>STB 4-19</t>
  </si>
  <si>
    <t>STB 4-20</t>
  </si>
  <si>
    <t>STB 4-21</t>
  </si>
  <si>
    <t>STB 4-22</t>
  </si>
  <si>
    <t>Quintech RF Splitter - 4-15</t>
  </si>
  <si>
    <t>Quintech RF Splitter - 4-16</t>
  </si>
  <si>
    <t>Quintech RF Splitter - 4-17</t>
  </si>
  <si>
    <t>Quintech RF Splitter - 4-18</t>
  </si>
  <si>
    <t>Quintech RF Splitter - 6-1</t>
  </si>
  <si>
    <t>Quintech RF Splitter - 6-2</t>
  </si>
  <si>
    <t>Quintech RF Splitter - 6-3</t>
  </si>
  <si>
    <t>Quintech RF Splitter - 6-4</t>
  </si>
  <si>
    <t>Quintech RF Splitter - 6-5</t>
  </si>
  <si>
    <t>Quintech RF Splitter - 6-6</t>
  </si>
  <si>
    <t>Quintech RF Splitter - 6-7</t>
  </si>
  <si>
    <t>Quintech RF Splitter - 6-8</t>
  </si>
  <si>
    <t>Quintech RF Splitter - 6-9</t>
  </si>
  <si>
    <t>Quintech RF Splitter - 6-10</t>
  </si>
  <si>
    <t>Quintech RF Splitter - 6-11</t>
  </si>
  <si>
    <t>Quintech RF Splitter - 6-12</t>
  </si>
  <si>
    <t>Quintech RF Splitter - 6-13</t>
  </si>
  <si>
    <t>Quintech RF Splitter - 6-14</t>
  </si>
  <si>
    <t>ATS MDU 6-1Main</t>
  </si>
  <si>
    <t>ATS MDU 6-2Main</t>
  </si>
  <si>
    <t>ATS MDU 7-1Main</t>
  </si>
  <si>
    <t>ATS MDU 7-2Main</t>
  </si>
  <si>
    <t>C2960-24TS-L Ctrl Switch 6-1</t>
  </si>
  <si>
    <t>C2960-24TS-L Ctrl Switch 7-1</t>
  </si>
  <si>
    <t>C3850-48T-S- Data Switch 7-1</t>
  </si>
  <si>
    <t>Patch Panel-11</t>
  </si>
  <si>
    <t>Patch Panel-12</t>
  </si>
  <si>
    <t>Electra XT - 1</t>
  </si>
  <si>
    <t>Electra XT - 2</t>
  </si>
  <si>
    <t>PRM 9K - 1</t>
  </si>
  <si>
    <t>PRM 9K - 1R</t>
  </si>
  <si>
    <t>NMX-SERVER-3F - 1R</t>
  </si>
  <si>
    <t>NMX-SERVER-3F - 1</t>
  </si>
  <si>
    <t>C3850-48T-S- Data Switch - 1</t>
  </si>
  <si>
    <t>C2960-24TS-L Ctrl Switch - 1</t>
  </si>
  <si>
    <t>ATS MDU 1-1BK</t>
  </si>
  <si>
    <t>ATS MDU 2-1BK</t>
  </si>
  <si>
    <t>Client Rack</t>
  </si>
  <si>
    <t>STS</t>
  </si>
  <si>
    <t>Quintech RF Splitter - IS-20-V</t>
  </si>
  <si>
    <t>Quintech RF Splitter - IS-20-H</t>
  </si>
  <si>
    <t>Quintech RF Splitter - IS-17-V</t>
  </si>
  <si>
    <t>Quintech RF Splitter - AS-7-V</t>
  </si>
  <si>
    <t>STB D/L MON ITORING Rack</t>
  </si>
  <si>
    <t>PRM 1K - 1</t>
  </si>
  <si>
    <t>PRM 1K - 2</t>
  </si>
  <si>
    <t>PRM 1K - 1R</t>
  </si>
  <si>
    <t>PRM 1K - 2R</t>
  </si>
  <si>
    <t>ELC-8K 1-8</t>
  </si>
  <si>
    <t>ELC-8K 1-9</t>
  </si>
  <si>
    <t>HD ELC-8K 2-1</t>
  </si>
  <si>
    <t>HD ELC-8K 2-2</t>
  </si>
  <si>
    <t>HD ELC-8K 2-3</t>
  </si>
  <si>
    <t>HD ELC-8K 2-4</t>
  </si>
  <si>
    <t>HD ELC-8K 2-1R</t>
  </si>
  <si>
    <t>PAS Rack</t>
  </si>
  <si>
    <t>Envivio IRD Rack</t>
  </si>
  <si>
    <t>ROW 1</t>
  </si>
  <si>
    <t>500</t>
  </si>
  <si>
    <t>800</t>
  </si>
  <si>
    <t>900</t>
  </si>
  <si>
    <t>C3850-48T-S- Data Switch 6-1</t>
  </si>
  <si>
    <t>iRIS</t>
  </si>
  <si>
    <t>Time Sync</t>
  </si>
  <si>
    <t>ION-1</t>
  </si>
  <si>
    <t>Slate Encoder</t>
  </si>
  <si>
    <t>ION-Bkp</t>
  </si>
  <si>
    <t>ION-2</t>
  </si>
  <si>
    <t>ION-3</t>
  </si>
  <si>
    <t>ION-4</t>
  </si>
  <si>
    <t>ION-5</t>
  </si>
  <si>
    <t>ION-6</t>
  </si>
  <si>
    <t>SDI Router - Snell</t>
  </si>
  <si>
    <t>CTP Panel-1</t>
  </si>
  <si>
    <t>CTP Panel-2</t>
  </si>
  <si>
    <t>Expansion Rack - Broadcaster IRD</t>
  </si>
  <si>
    <t>DISCOVERY SCIENCE</t>
  </si>
  <si>
    <t>DISCOVERY TAMIL</t>
  </si>
  <si>
    <t>Discovery Turbo</t>
  </si>
  <si>
    <t>ID</t>
  </si>
  <si>
    <t>TLC</t>
  </si>
  <si>
    <t>Animal Planet HD World</t>
  </si>
  <si>
    <t xml:space="preserve">TLC HD World </t>
  </si>
  <si>
    <t>&amp; TV HD</t>
  </si>
  <si>
    <t>MNX</t>
  </si>
  <si>
    <t>Zoom</t>
  </si>
  <si>
    <t>Sony ESPN</t>
  </si>
  <si>
    <t>Sony Max 2</t>
  </si>
  <si>
    <t>Sony Pal</t>
  </si>
  <si>
    <t>TOONAMI</t>
  </si>
  <si>
    <t>Rishtey</t>
  </si>
  <si>
    <t>WION</t>
  </si>
  <si>
    <t>Nat Geo Wild</t>
  </si>
  <si>
    <t>&amp; Prive  HD</t>
  </si>
  <si>
    <t>LIVING FOODZ</t>
  </si>
  <si>
    <t>ZEE ACTION</t>
  </si>
  <si>
    <t>Zee Cinemalu</t>
  </si>
  <si>
    <t>ZEE CLASSIC</t>
  </si>
  <si>
    <t>ZEE RAJASTHAN NEWS</t>
  </si>
  <si>
    <t>Zee Yuva</t>
  </si>
  <si>
    <t>ZEE BUSINESS</t>
  </si>
  <si>
    <t>ZEE MP CHATTISGARH</t>
  </si>
  <si>
    <t>Zee Tamil</t>
  </si>
  <si>
    <t>ZEE PUNJAB HARYANA HIMACHAL</t>
  </si>
  <si>
    <t>SUN TV HD</t>
  </si>
  <si>
    <t>STB  Rack</t>
  </si>
  <si>
    <t>Broadcaster IRD  Rack</t>
  </si>
  <si>
    <t>Compression  Rack</t>
  </si>
  <si>
    <t>Mux   Rack</t>
  </si>
  <si>
    <t>Expansion Rack   Rack</t>
  </si>
  <si>
    <t>Gemini TV HD</t>
  </si>
  <si>
    <t>KTV HD</t>
  </si>
  <si>
    <t>SUN MUSIC HD</t>
  </si>
  <si>
    <t>Zee Studio</t>
  </si>
  <si>
    <t>Chutti TV</t>
  </si>
  <si>
    <t>GEMINI COMEDY</t>
  </si>
  <si>
    <t>GEMINI MUSIC</t>
  </si>
  <si>
    <t>GEMINI NEWS</t>
  </si>
  <si>
    <t>SUN NEWS</t>
  </si>
  <si>
    <t>Adithya TV</t>
  </si>
  <si>
    <t>Chintu TV</t>
  </si>
  <si>
    <t>Gemini Life</t>
  </si>
  <si>
    <t>Kushi TV</t>
  </si>
  <si>
    <t>SSUN LIFE</t>
  </si>
  <si>
    <t>Surya Music</t>
  </si>
  <si>
    <t>HBO HD - APSTAR-7R</t>
  </si>
  <si>
    <t>20 SDI out  + 2 Spare</t>
  </si>
  <si>
    <t>12 SDI out  + 2 Spare</t>
  </si>
  <si>
    <t>Electra XT -  Spare</t>
  </si>
  <si>
    <t>C2960-24TS-L Ctrl Switch - 2</t>
  </si>
  <si>
    <t>C3850-48T-S- Acq - Data Switch - 1</t>
  </si>
  <si>
    <t>C3850-48T-S- Acq - Data Switch - 2</t>
  </si>
  <si>
    <t>J Movies</t>
  </si>
  <si>
    <t>ZEE STUDIO HD</t>
  </si>
  <si>
    <t>Zee Bangla HD</t>
  </si>
  <si>
    <t>Zee Talkies HD</t>
  </si>
  <si>
    <t>NEO PRIME</t>
  </si>
  <si>
    <t>NEO SPORTS</t>
  </si>
  <si>
    <t>Romedy Now</t>
  </si>
  <si>
    <t>BBC World News</t>
  </si>
  <si>
    <t>JAYA MAX</t>
  </si>
  <si>
    <t>JAYA PLUS</t>
  </si>
  <si>
    <t>JAYA TV</t>
  </si>
  <si>
    <t>&amp; Pictures HD</t>
  </si>
  <si>
    <t>Zee Marathi HD</t>
  </si>
  <si>
    <t>NAT GEO People - Asiasat 7 - H</t>
  </si>
  <si>
    <t>ZEE KALINGA NEWS -  Insat 4A - H</t>
  </si>
  <si>
    <t>ZEE CAFÉ HD - Apstar 7 - V</t>
  </si>
  <si>
    <t>Star Suvarna - IS 17 - H</t>
  </si>
  <si>
    <t>Mega TV  - Apstar 5 - V</t>
  </si>
  <si>
    <t>STB -18</t>
  </si>
  <si>
    <t>STB - 19</t>
  </si>
  <si>
    <t>STB - 20</t>
  </si>
  <si>
    <t>STB - 34</t>
  </si>
  <si>
    <t>STB - 35</t>
  </si>
  <si>
    <t>STB - 36</t>
  </si>
  <si>
    <t>STB - 37</t>
  </si>
  <si>
    <t>STB - 38</t>
  </si>
  <si>
    <t>STB - 39</t>
  </si>
  <si>
    <t>STB - 40</t>
  </si>
  <si>
    <t>STB -52</t>
  </si>
  <si>
    <t>A2D 1 -1</t>
  </si>
  <si>
    <t>A2D 1-2</t>
  </si>
  <si>
    <t>A2D 3-5</t>
  </si>
  <si>
    <t>A2D 2</t>
  </si>
  <si>
    <t>A2D 1</t>
  </si>
  <si>
    <t>STB - 7</t>
  </si>
  <si>
    <t>STB - 6</t>
  </si>
  <si>
    <t>STB - 8</t>
  </si>
  <si>
    <t>STB - 9</t>
  </si>
  <si>
    <t>STB - 10</t>
  </si>
  <si>
    <t>STB - 11</t>
  </si>
  <si>
    <t>STB - 12</t>
  </si>
  <si>
    <t>STB - 13</t>
  </si>
  <si>
    <t>STB - 14</t>
  </si>
  <si>
    <t>STB-28</t>
  </si>
  <si>
    <t>Direct connection to PAS 1:16 Splitters</t>
  </si>
  <si>
    <t>Le Plex HD</t>
  </si>
  <si>
    <t>Sony BBC Earth</t>
  </si>
  <si>
    <t>Sony Rox HD</t>
  </si>
  <si>
    <t>SAB HD</t>
  </si>
  <si>
    <t>SONY  YAY</t>
  </si>
  <si>
    <t>Sony BBC Earth HD</t>
  </si>
  <si>
    <t>Sony Wah</t>
  </si>
  <si>
    <t>HBO HD - AS-7 - H</t>
  </si>
  <si>
    <t>Sony TEN 3 HD - IS-20 - H</t>
  </si>
  <si>
    <t>Sony TEN 2 HD - IS-20 - H</t>
  </si>
  <si>
    <t>Sony Max HD - IS-17 - H</t>
  </si>
  <si>
    <t>SONY ESPN HD - IS-17 - H</t>
  </si>
  <si>
    <t>AXN HD - IS-17 - H</t>
  </si>
  <si>
    <t>Quintech RF Splitter - IS-20 - V</t>
  </si>
  <si>
    <t>Quintech RF Splitter - IS-20 - H</t>
  </si>
  <si>
    <t>Quintech RF Splitter - IS-17 - V</t>
  </si>
  <si>
    <t>Quintech RF Splitter - IS-17 - H</t>
  </si>
  <si>
    <t>Proview 7K 1</t>
  </si>
  <si>
    <t>Proview 7K 1 Bkp</t>
  </si>
  <si>
    <t>Proview 7K 2</t>
  </si>
  <si>
    <t>Proview 7K 12Bkp</t>
  </si>
  <si>
    <t>Proview 7K 3</t>
  </si>
  <si>
    <t>Proview 7K 3 Bkp</t>
  </si>
  <si>
    <t>Proview 7K 4</t>
  </si>
  <si>
    <t>Proview 7K 4 Bkp</t>
  </si>
  <si>
    <t>Proview 7K 5</t>
  </si>
  <si>
    <t>Proview 7K 5 Bkp</t>
  </si>
  <si>
    <t>Proview 7K 6</t>
  </si>
  <si>
    <t>Proview 7K 6 Bkp</t>
  </si>
  <si>
    <t>Proview 7K 7</t>
  </si>
  <si>
    <t>Proview 7K 7 Bkp</t>
  </si>
  <si>
    <t>Quintech RF Splitter - AS-7 - V</t>
  </si>
  <si>
    <t>Quintech RF Splitter - INSAT-4A - H</t>
  </si>
  <si>
    <t>Proview 7K 6 - AS-4 (PAS rack)</t>
  </si>
  <si>
    <t>Proview 7K 6 Bkp -  AS-4 (PAS rack)</t>
  </si>
  <si>
    <t>Proview 7K 7 - CS-12 (PAS rack)</t>
  </si>
  <si>
    <t>Proview 7K 7 Bkp - CS-12 (PAS rack)</t>
  </si>
  <si>
    <t>ATS MDU 5-1Main</t>
  </si>
  <si>
    <t>Quintech RF Splitter - AS-7 - H</t>
  </si>
  <si>
    <t>C3850-48T-S- Data Switch 6-2</t>
  </si>
  <si>
    <t>ATS MDU 6 - 1</t>
  </si>
  <si>
    <t>ATS MDU 6 - 1 STS</t>
  </si>
  <si>
    <t>ATS MDU 7 - 1</t>
  </si>
  <si>
    <t>ATS MDU 7 - 1 STS</t>
  </si>
  <si>
    <t>ATS MDU 8 - 1</t>
  </si>
  <si>
    <t>ATS MDU 8 - 1 STS</t>
  </si>
  <si>
    <t>ATS MDU 9 - 1</t>
  </si>
  <si>
    <t>ATS MDU 9 - 1 STS</t>
  </si>
  <si>
    <t>Airtel Existing Racks</t>
  </si>
  <si>
    <t>Harmonics Racks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</si>
</sst>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8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Times New Roman"/>
      <family val="1"/>
    </font>
    <font>
      <sz val="8"/>
      <color theme="1"/>
      <name val="Times New Roman"/>
      <family val="1"/>
    </font>
    <font>
      <sz val="12"/>
      <color indexed="8"/>
      <name val="Calibri"/>
      <family val="2"/>
    </font>
    <font>
      <u/>
      <sz val="10"/>
      <color theme="10"/>
      <name val="Arial"/>
      <family val="2"/>
    </font>
    <font>
      <sz val="8"/>
      <color rgb="FF000000"/>
      <name val="Tahoma"/>
      <family val="2"/>
    </font>
    <font>
      <sz val="8"/>
      <name val="Times New Roman"/>
      <family val="1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u/>
      <sz val="10"/>
      <name val="Times New Roman"/>
      <family val="1"/>
    </font>
    <font>
      <u/>
      <sz val="10"/>
      <color theme="10"/>
      <name val="Times New Roman"/>
      <family val="1"/>
    </font>
    <font>
      <b/>
      <sz val="20"/>
      <color rgb="FFC00000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0"/>
      <color theme="0" tint="-0.249977111117893"/>
      <name val="Times New Roman"/>
      <family val="1"/>
    </font>
    <font>
      <sz val="10"/>
      <color theme="0" tint="-0.34998626667073579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name val="Arial"/>
      <family val="2"/>
    </font>
    <font>
      <b/>
      <u/>
      <sz val="14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u/>
      <sz val="10"/>
      <color theme="11"/>
      <name val="Arial"/>
      <family val="2"/>
    </font>
    <font>
      <b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</fonts>
  <fills count="6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99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CC00"/>
        <bgColor rgb="FF000000"/>
      </patternFill>
    </fill>
    <fill>
      <patternFill patternType="solid">
        <fgColor rgb="FF8DE400"/>
        <bgColor indexed="64"/>
      </patternFill>
    </fill>
  </fills>
  <borders count="8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</borders>
  <cellStyleXfs count="285">
    <xf numFmtId="0" fontId="0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7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39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1" fillId="0" borderId="28" applyNumberFormat="0" applyFill="0" applyAlignment="0" applyProtection="0"/>
    <xf numFmtId="0" fontId="42" fillId="0" borderId="29" applyNumberFormat="0" applyFill="0" applyAlignment="0" applyProtection="0"/>
    <xf numFmtId="0" fontId="42" fillId="0" borderId="0" applyNumberFormat="0" applyFill="0" applyBorder="0" applyAlignment="0" applyProtection="0"/>
    <xf numFmtId="0" fontId="43" fillId="3" borderId="0" applyNumberFormat="0" applyBorder="0" applyAlignment="0" applyProtection="0"/>
    <xf numFmtId="0" fontId="44" fillId="4" borderId="0" applyNumberFormat="0" applyBorder="0" applyAlignment="0" applyProtection="0"/>
    <xf numFmtId="0" fontId="45" fillId="5" borderId="0" applyNumberFormat="0" applyBorder="0" applyAlignment="0" applyProtection="0"/>
    <xf numFmtId="0" fontId="46" fillId="6" borderId="30" applyNumberFormat="0" applyAlignment="0" applyProtection="0"/>
    <xf numFmtId="0" fontId="47" fillId="7" borderId="31" applyNumberFormat="0" applyAlignment="0" applyProtection="0"/>
    <xf numFmtId="0" fontId="48" fillId="7" borderId="30" applyNumberFormat="0" applyAlignment="0" applyProtection="0"/>
    <xf numFmtId="0" fontId="49" fillId="0" borderId="32" applyNumberFormat="0" applyFill="0" applyAlignment="0" applyProtection="0"/>
    <xf numFmtId="0" fontId="50" fillId="8" borderId="33" applyNumberForma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35" applyNumberFormat="0" applyFill="0" applyAlignment="0" applyProtection="0"/>
    <xf numFmtId="0" fontId="54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4" fillId="29" borderId="0" applyNumberFormat="0" applyBorder="0" applyAlignment="0" applyProtection="0"/>
    <xf numFmtId="0" fontId="54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4" fillId="33" borderId="0" applyNumberFormat="0" applyBorder="0" applyAlignment="0" applyProtection="0"/>
    <xf numFmtId="0" fontId="20" fillId="0" borderId="0"/>
    <xf numFmtId="0" fontId="20" fillId="9" borderId="34" applyNumberFormat="0" applyFont="0" applyAlignment="0" applyProtection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57" fillId="0" borderId="0"/>
    <xf numFmtId="0" fontId="13" fillId="0" borderId="0"/>
    <xf numFmtId="0" fontId="25" fillId="0" borderId="0"/>
    <xf numFmtId="0" fontId="12" fillId="0" borderId="0"/>
    <xf numFmtId="0" fontId="58" fillId="0" borderId="0" applyNumberForma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9" borderId="3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0" borderId="0"/>
    <xf numFmtId="0" fontId="7" fillId="9" borderId="3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9" borderId="3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</cellStyleXfs>
  <cellXfs count="496">
    <xf numFmtId="0" fontId="0" fillId="0" borderId="0" xfId="0"/>
    <xf numFmtId="0" fontId="31" fillId="0" borderId="0" xfId="1" applyFont="1" applyFill="1" applyBorder="1" applyAlignment="1" applyProtection="1">
      <alignment horizontal="left" vertical="center"/>
    </xf>
    <xf numFmtId="0" fontId="31" fillId="0" borderId="0" xfId="1" applyFont="1" applyFill="1" applyBorder="1" applyAlignment="1" applyProtection="1">
      <alignment vertical="center"/>
    </xf>
    <xf numFmtId="0" fontId="33" fillId="0" borderId="0" xfId="15" applyFont="1" applyFill="1"/>
    <xf numFmtId="0" fontId="34" fillId="0" borderId="0" xfId="15" applyFont="1" applyFill="1"/>
    <xf numFmtId="0" fontId="30" fillId="0" borderId="0" xfId="1" applyNumberFormat="1" applyFont="1" applyBorder="1" applyAlignment="1" applyProtection="1">
      <alignment horizontal="center"/>
    </xf>
    <xf numFmtId="0" fontId="30" fillId="0" borderId="0" xfId="1" applyFont="1" applyBorder="1" applyProtection="1"/>
    <xf numFmtId="0" fontId="32" fillId="0" borderId="0" xfId="1" applyFont="1" applyProtection="1"/>
    <xf numFmtId="0" fontId="30" fillId="0" borderId="0" xfId="1" applyFont="1" applyFill="1" applyBorder="1" applyAlignment="1" applyProtection="1"/>
    <xf numFmtId="0" fontId="30" fillId="0" borderId="7" xfId="1" applyFont="1" applyBorder="1" applyProtection="1"/>
    <xf numFmtId="0" fontId="30" fillId="0" borderId="0" xfId="19" applyFont="1" applyFill="1"/>
    <xf numFmtId="0" fontId="30" fillId="0" borderId="15" xfId="19" applyFont="1" applyFill="1" applyBorder="1" applyAlignment="1">
      <alignment horizontal="center"/>
    </xf>
    <xf numFmtId="0" fontId="30" fillId="0" borderId="16" xfId="19" applyFont="1" applyFill="1" applyBorder="1" applyAlignment="1">
      <alignment horizontal="center"/>
    </xf>
    <xf numFmtId="2" fontId="30" fillId="0" borderId="17" xfId="19" applyNumberFormat="1" applyFont="1" applyFill="1" applyBorder="1" applyAlignment="1">
      <alignment horizontal="center"/>
    </xf>
    <xf numFmtId="0" fontId="30" fillId="0" borderId="18" xfId="19" applyFont="1" applyFill="1" applyBorder="1" applyAlignment="1">
      <alignment horizontal="center"/>
    </xf>
    <xf numFmtId="2" fontId="30" fillId="0" borderId="19" xfId="19" applyNumberFormat="1" applyFont="1" applyFill="1" applyBorder="1" applyAlignment="1">
      <alignment horizontal="center"/>
    </xf>
    <xf numFmtId="0" fontId="33" fillId="0" borderId="0" xfId="15" applyFont="1" applyFill="1" applyAlignment="1">
      <alignment horizontal="left"/>
    </xf>
    <xf numFmtId="0" fontId="36" fillId="0" borderId="2" xfId="1" applyNumberFormat="1" applyFont="1" applyFill="1" applyBorder="1" applyAlignment="1" applyProtection="1">
      <alignment horizontal="center"/>
    </xf>
    <xf numFmtId="0" fontId="36" fillId="0" borderId="0" xfId="1" applyNumberFormat="1" applyFont="1" applyFill="1" applyBorder="1" applyAlignment="1" applyProtection="1">
      <alignment horizontal="center"/>
    </xf>
    <xf numFmtId="0" fontId="30" fillId="2" borderId="8" xfId="19" applyFont="1" applyFill="1" applyBorder="1" applyAlignment="1">
      <alignment horizontal="left"/>
    </xf>
    <xf numFmtId="0" fontId="30" fillId="0" borderId="26" xfId="19" applyFont="1" applyFill="1" applyBorder="1" applyAlignment="1">
      <alignment horizontal="center"/>
    </xf>
    <xf numFmtId="0" fontId="31" fillId="0" borderId="0" xfId="1" applyNumberFormat="1" applyFont="1" applyFill="1" applyBorder="1" applyAlignment="1" applyProtection="1">
      <alignment vertical="center"/>
    </xf>
    <xf numFmtId="0" fontId="36" fillId="2" borderId="0" xfId="19" applyFont="1" applyFill="1" applyBorder="1"/>
    <xf numFmtId="0" fontId="33" fillId="0" borderId="0" xfId="15" applyFont="1" applyFill="1" applyAlignment="1">
      <alignment horizontal="right"/>
    </xf>
    <xf numFmtId="0" fontId="38" fillId="0" borderId="0" xfId="1" applyFont="1" applyFill="1" applyBorder="1" applyAlignment="1" applyProtection="1">
      <alignment vertical="center"/>
    </xf>
    <xf numFmtId="0" fontId="56" fillId="0" borderId="0" xfId="15" applyFont="1" applyFill="1"/>
    <xf numFmtId="0" fontId="0" fillId="0" borderId="0" xfId="0" applyBorder="1"/>
    <xf numFmtId="0" fontId="36" fillId="2" borderId="0" xfId="19" quotePrefix="1" applyFont="1" applyFill="1" applyBorder="1"/>
    <xf numFmtId="0" fontId="36" fillId="2" borderId="0" xfId="19" applyFont="1" applyFill="1" applyBorder="1" applyAlignment="1">
      <alignment horizontal="center"/>
    </xf>
    <xf numFmtId="49" fontId="37" fillId="2" borderId="8" xfId="19" quotePrefix="1" applyNumberFormat="1" applyFont="1" applyFill="1" applyBorder="1" applyAlignment="1">
      <alignment horizontal="center"/>
    </xf>
    <xf numFmtId="0" fontId="37" fillId="2" borderId="8" xfId="19" quotePrefix="1" applyFont="1" applyFill="1" applyBorder="1" applyAlignment="1">
      <alignment horizontal="center"/>
    </xf>
    <xf numFmtId="0" fontId="32" fillId="0" borderId="0" xfId="1" applyNumberFormat="1" applyFont="1" applyFill="1" applyBorder="1" applyAlignment="1" applyProtection="1">
      <alignment vertical="center"/>
    </xf>
    <xf numFmtId="0" fontId="37" fillId="34" borderId="0" xfId="20" applyFont="1" applyFill="1" applyBorder="1" applyAlignment="1">
      <alignment horizontal="right" wrapText="1"/>
    </xf>
    <xf numFmtId="0" fontId="30" fillId="0" borderId="0" xfId="0" applyFont="1" applyBorder="1"/>
    <xf numFmtId="49" fontId="30" fillId="0" borderId="0" xfId="0" applyNumberFormat="1" applyFont="1"/>
    <xf numFmtId="0" fontId="30" fillId="0" borderId="0" xfId="0" applyFont="1"/>
    <xf numFmtId="46" fontId="37" fillId="34" borderId="0" xfId="0" quotePrefix="1" applyNumberFormat="1" applyFont="1" applyFill="1" applyBorder="1" applyAlignment="1">
      <alignment horizontal="left"/>
    </xf>
    <xf numFmtId="0" fontId="37" fillId="34" borderId="0" xfId="0" applyFont="1" applyFill="1" applyBorder="1"/>
    <xf numFmtId="0" fontId="37" fillId="34" borderId="0" xfId="0" applyFont="1" applyFill="1" applyAlignment="1">
      <alignment horizontal="right"/>
    </xf>
    <xf numFmtId="0" fontId="37" fillId="34" borderId="0" xfId="0" quotePrefix="1" applyFont="1" applyFill="1" applyAlignment="1">
      <alignment horizontal="center"/>
    </xf>
    <xf numFmtId="0" fontId="37" fillId="34" borderId="0" xfId="0" applyFont="1" applyFill="1" applyAlignment="1">
      <alignment horizontal="center"/>
    </xf>
    <xf numFmtId="0" fontId="30" fillId="34" borderId="0" xfId="0" applyFont="1" applyFill="1"/>
    <xf numFmtId="0" fontId="30" fillId="34" borderId="0" xfId="0" applyFont="1" applyFill="1" applyAlignment="1">
      <alignment horizontal="center"/>
    </xf>
    <xf numFmtId="0" fontId="37" fillId="34" borderId="0" xfId="0" quotePrefix="1" applyFont="1" applyFill="1" applyBorder="1" applyAlignment="1">
      <alignment horizontal="center"/>
    </xf>
    <xf numFmtId="0" fontId="30" fillId="34" borderId="0" xfId="0" applyFont="1" applyFill="1" applyBorder="1"/>
    <xf numFmtId="0" fontId="37" fillId="34" borderId="0" xfId="0" applyFont="1" applyFill="1" applyBorder="1" applyAlignment="1">
      <alignment horizontal="center"/>
    </xf>
    <xf numFmtId="0" fontId="30" fillId="34" borderId="0" xfId="0" applyFont="1" applyFill="1" applyBorder="1" applyAlignment="1">
      <alignment horizontal="center"/>
    </xf>
    <xf numFmtId="0" fontId="60" fillId="0" borderId="0" xfId="15" applyFont="1" applyFill="1" applyAlignment="1">
      <alignment horizontal="center"/>
    </xf>
    <xf numFmtId="0" fontId="32" fillId="0" borderId="0" xfId="1" applyNumberFormat="1" applyFont="1" applyFill="1" applyBorder="1" applyAlignment="1" applyProtection="1">
      <alignment horizontal="right" vertical="center"/>
    </xf>
    <xf numFmtId="0" fontId="30" fillId="3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7" fillId="0" borderId="0" xfId="1" applyNumberFormat="1" applyFont="1" applyFill="1" applyBorder="1" applyAlignment="1" applyProtection="1">
      <alignment vertical="center"/>
    </xf>
    <xf numFmtId="0" fontId="30" fillId="0" borderId="39" xfId="1" applyNumberFormat="1" applyFont="1" applyFill="1" applyBorder="1" applyAlignment="1" applyProtection="1">
      <alignment horizontal="center" vertical="top"/>
      <protection locked="0"/>
    </xf>
    <xf numFmtId="0" fontId="36" fillId="0" borderId="38" xfId="1" applyNumberFormat="1" applyFont="1" applyFill="1" applyBorder="1" applyAlignment="1" applyProtection="1">
      <alignment horizontal="center" vertical="top"/>
      <protection locked="0"/>
    </xf>
    <xf numFmtId="0" fontId="32" fillId="0" borderId="2" xfId="1" quotePrefix="1" applyFont="1" applyFill="1" applyBorder="1" applyAlignment="1" applyProtection="1"/>
    <xf numFmtId="0" fontId="36" fillId="0" borderId="41" xfId="1" applyNumberFormat="1" applyFont="1" applyFill="1" applyBorder="1" applyAlignment="1" applyProtection="1">
      <alignment horizontal="center" vertical="top"/>
      <protection locked="0"/>
    </xf>
    <xf numFmtId="0" fontId="61" fillId="0" borderId="0" xfId="0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0" fontId="63" fillId="0" borderId="0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61" fillId="0" borderId="0" xfId="0" quotePrefix="1" applyFont="1" applyFill="1" applyBorder="1" applyAlignment="1">
      <alignment horizontal="left" vertical="center"/>
    </xf>
    <xf numFmtId="0" fontId="30" fillId="0" borderId="0" xfId="0" quotePrefix="1" applyFont="1" applyBorder="1"/>
    <xf numFmtId="0" fontId="37" fillId="34" borderId="0" xfId="0" quotePrefix="1" applyFont="1" applyFill="1" applyBorder="1"/>
    <xf numFmtId="0" fontId="32" fillId="0" borderId="51" xfId="1" applyFont="1" applyFill="1" applyBorder="1" applyAlignment="1" applyProtection="1">
      <alignment horizontal="left" wrapText="1"/>
    </xf>
    <xf numFmtId="0" fontId="32" fillId="0" borderId="52" xfId="1" applyNumberFormat="1" applyFont="1" applyFill="1" applyBorder="1" applyAlignment="1" applyProtection="1">
      <alignment horizontal="center" wrapText="1"/>
    </xf>
    <xf numFmtId="0" fontId="32" fillId="0" borderId="0" xfId="1" applyFont="1" applyFill="1" applyAlignment="1" applyProtection="1">
      <alignment horizontal="center" wrapText="1"/>
    </xf>
    <xf numFmtId="0" fontId="30" fillId="0" borderId="38" xfId="1" applyNumberFormat="1" applyFont="1" applyFill="1" applyBorder="1" applyAlignment="1" applyProtection="1">
      <alignment horizontal="center" vertical="top"/>
      <protection locked="0"/>
    </xf>
    <xf numFmtId="0" fontId="30" fillId="0" borderId="14" xfId="1" applyFont="1" applyFill="1" applyBorder="1" applyAlignment="1" applyProtection="1">
      <alignment horizontal="center" vertical="top"/>
    </xf>
    <xf numFmtId="0" fontId="58" fillId="0" borderId="0" xfId="79" applyBorder="1" applyProtection="1"/>
    <xf numFmtId="0" fontId="30" fillId="0" borderId="14" xfId="19" quotePrefix="1" applyFont="1" applyFill="1" applyBorder="1" applyAlignment="1">
      <alignment horizontal="center" vertical="center"/>
    </xf>
    <xf numFmtId="0" fontId="30" fillId="0" borderId="0" xfId="1" applyFont="1" applyFill="1" applyBorder="1" applyProtection="1"/>
    <xf numFmtId="0" fontId="30" fillId="34" borderId="0" xfId="0" quotePrefix="1" applyFont="1" applyFill="1" applyAlignment="1">
      <alignment horizontal="center"/>
    </xf>
    <xf numFmtId="0" fontId="30" fillId="34" borderId="0" xfId="0" quotePrefix="1" applyFont="1" applyFill="1"/>
    <xf numFmtId="0" fontId="0" fillId="0" borderId="0" xfId="0" quotePrefix="1"/>
    <xf numFmtId="49" fontId="60" fillId="36" borderId="3" xfId="0" applyNumberFormat="1" applyFont="1" applyFill="1" applyBorder="1" applyAlignment="1">
      <alignment horizontal="center"/>
    </xf>
    <xf numFmtId="49" fontId="60" fillId="36" borderId="7" xfId="0" applyNumberFormat="1" applyFont="1" applyFill="1" applyBorder="1" applyAlignment="1">
      <alignment horizontal="center"/>
    </xf>
    <xf numFmtId="49" fontId="60" fillId="36" borderId="13" xfId="0" applyNumberFormat="1" applyFont="1" applyFill="1" applyBorder="1" applyAlignment="1">
      <alignment horizontal="center"/>
    </xf>
    <xf numFmtId="49" fontId="60" fillId="36" borderId="10" xfId="0" applyNumberFormat="1" applyFont="1" applyFill="1" applyBorder="1" applyAlignment="1">
      <alignment horizontal="center"/>
    </xf>
    <xf numFmtId="49" fontId="60" fillId="36" borderId="21" xfId="0" applyNumberFormat="1" applyFont="1" applyFill="1" applyBorder="1" applyAlignment="1">
      <alignment horizontal="center"/>
    </xf>
    <xf numFmtId="49" fontId="60" fillId="35" borderId="21" xfId="0" applyNumberFormat="1" applyFont="1" applyFill="1" applyBorder="1" applyAlignment="1">
      <alignment horizontal="center"/>
    </xf>
    <xf numFmtId="49" fontId="60" fillId="35" borderId="3" xfId="0" applyNumberFormat="1" applyFont="1" applyFill="1" applyBorder="1" applyAlignment="1">
      <alignment horizontal="center"/>
    </xf>
    <xf numFmtId="49" fontId="60" fillId="36" borderId="11" xfId="0" applyNumberFormat="1" applyFont="1" applyFill="1" applyBorder="1" applyAlignment="1">
      <alignment horizontal="center"/>
    </xf>
    <xf numFmtId="49" fontId="60" fillId="35" borderId="11" xfId="0" applyNumberFormat="1" applyFont="1" applyFill="1" applyBorder="1" applyAlignment="1">
      <alignment horizontal="center"/>
    </xf>
    <xf numFmtId="49" fontId="60" fillId="35" borderId="3" xfId="0" quotePrefix="1" applyNumberFormat="1" applyFont="1" applyFill="1" applyBorder="1" applyAlignment="1">
      <alignment horizontal="center"/>
    </xf>
    <xf numFmtId="49" fontId="60" fillId="36" borderId="13" xfId="0" quotePrefix="1" applyNumberFormat="1" applyFont="1" applyFill="1" applyBorder="1" applyAlignment="1">
      <alignment horizontal="center"/>
    </xf>
    <xf numFmtId="49" fontId="60" fillId="34" borderId="7" xfId="0" applyNumberFormat="1" applyFont="1" applyFill="1" applyBorder="1" applyAlignment="1">
      <alignment horizontal="center"/>
    </xf>
    <xf numFmtId="49" fontId="60" fillId="34" borderId="0" xfId="0" applyNumberFormat="1" applyFont="1" applyFill="1" applyBorder="1" applyAlignment="1">
      <alignment horizontal="center"/>
    </xf>
    <xf numFmtId="49" fontId="60" fillId="34" borderId="0" xfId="0" applyNumberFormat="1" applyFont="1" applyFill="1"/>
    <xf numFmtId="49" fontId="60" fillId="36" borderId="7" xfId="0" quotePrefix="1" applyNumberFormat="1" applyFont="1" applyFill="1" applyBorder="1" applyAlignment="1">
      <alignment horizontal="center"/>
    </xf>
    <xf numFmtId="49" fontId="60" fillId="36" borderId="10" xfId="0" applyNumberFormat="1" applyFont="1" applyFill="1" applyBorder="1" applyAlignment="1">
      <alignment horizontal="center" wrapText="1"/>
    </xf>
    <xf numFmtId="49" fontId="60" fillId="36" borderId="3" xfId="0" quotePrefix="1" applyNumberFormat="1" applyFont="1" applyFill="1" applyBorder="1" applyAlignment="1">
      <alignment horizontal="center"/>
    </xf>
    <xf numFmtId="49" fontId="60" fillId="38" borderId="11" xfId="0" applyNumberFormat="1" applyFont="1" applyFill="1" applyBorder="1" applyAlignment="1">
      <alignment horizontal="center"/>
    </xf>
    <xf numFmtId="49" fontId="60" fillId="38" borderId="10" xfId="0" quotePrefix="1" applyNumberFormat="1" applyFont="1" applyFill="1" applyBorder="1" applyAlignment="1">
      <alignment horizontal="center"/>
    </xf>
    <xf numFmtId="49" fontId="60" fillId="38" borderId="10" xfId="0" applyNumberFormat="1" applyFont="1" applyFill="1" applyBorder="1" applyAlignment="1">
      <alignment horizontal="center"/>
    </xf>
    <xf numFmtId="49" fontId="60" fillId="37" borderId="11" xfId="0" applyNumberFormat="1" applyFont="1" applyFill="1" applyBorder="1" applyAlignment="1">
      <alignment horizontal="center"/>
    </xf>
    <xf numFmtId="49" fontId="55" fillId="2" borderId="11" xfId="0" applyNumberFormat="1" applyFont="1" applyFill="1" applyBorder="1" applyAlignment="1">
      <alignment horizontal="center"/>
    </xf>
    <xf numFmtId="49" fontId="55" fillId="2" borderId="10" xfId="0" quotePrefix="1" applyNumberFormat="1" applyFont="1" applyFill="1" applyBorder="1" applyAlignment="1">
      <alignment horizontal="center"/>
    </xf>
    <xf numFmtId="49" fontId="55" fillId="2" borderId="10" xfId="0" applyNumberFormat="1" applyFont="1" applyFill="1" applyBorder="1" applyAlignment="1">
      <alignment horizontal="center" wrapText="1"/>
    </xf>
    <xf numFmtId="49" fontId="60" fillId="37" borderId="10" xfId="0" applyNumberFormat="1" applyFont="1" applyFill="1" applyBorder="1" applyAlignment="1">
      <alignment horizontal="center"/>
    </xf>
    <xf numFmtId="0" fontId="60" fillId="34" borderId="0" xfId="0" applyFont="1" applyFill="1" applyAlignment="1">
      <alignment horizontal="center"/>
    </xf>
    <xf numFmtId="0" fontId="35" fillId="0" borderId="0" xfId="80" applyFont="1" applyFill="1" applyBorder="1"/>
    <xf numFmtId="0" fontId="70" fillId="0" borderId="14" xfId="0" applyFont="1" applyFill="1" applyBorder="1" applyAlignment="1">
      <alignment horizontal="center"/>
    </xf>
    <xf numFmtId="0" fontId="70" fillId="0" borderId="14" xfId="0" applyNumberFormat="1" applyFont="1" applyFill="1" applyBorder="1" applyAlignment="1">
      <alignment horizontal="center" wrapText="1"/>
    </xf>
    <xf numFmtId="0" fontId="70" fillId="0" borderId="14" xfId="0" applyNumberFormat="1" applyFont="1" applyFill="1" applyBorder="1" applyAlignment="1">
      <alignment horizontal="center"/>
    </xf>
    <xf numFmtId="0" fontId="70" fillId="0" borderId="14" xfId="0" applyFont="1" applyFill="1" applyBorder="1" applyAlignment="1"/>
    <xf numFmtId="0" fontId="70" fillId="0" borderId="14" xfId="0" applyNumberFormat="1" applyFont="1" applyFill="1" applyBorder="1" applyAlignment="1"/>
    <xf numFmtId="0" fontId="70" fillId="0" borderId="14" xfId="0" applyFont="1" applyFill="1" applyBorder="1" applyAlignment="1">
      <alignment horizontal="left" wrapText="1"/>
    </xf>
    <xf numFmtId="0" fontId="70" fillId="0" borderId="0" xfId="0" applyFont="1" applyFill="1" applyAlignment="1"/>
    <xf numFmtId="0" fontId="30" fillId="0" borderId="25" xfId="0" applyFont="1" applyFill="1" applyBorder="1" applyAlignment="1">
      <alignment vertical="top"/>
    </xf>
    <xf numFmtId="0" fontId="30" fillId="0" borderId="25" xfId="0" quotePrefix="1" applyNumberFormat="1" applyFont="1" applyFill="1" applyBorder="1" applyAlignment="1">
      <alignment horizontal="center" vertical="center"/>
    </xf>
    <xf numFmtId="17" fontId="30" fillId="0" borderId="14" xfId="0" quotePrefix="1" applyNumberFormat="1" applyFont="1" applyFill="1" applyBorder="1" applyAlignment="1">
      <alignment vertical="top"/>
    </xf>
    <xf numFmtId="0" fontId="30" fillId="0" borderId="25" xfId="0" quotePrefix="1" applyNumberFormat="1" applyFont="1" applyFill="1" applyBorder="1" applyAlignment="1">
      <alignment vertical="top"/>
    </xf>
    <xf numFmtId="0" fontId="30" fillId="0" borderId="14" xfId="0" applyFont="1" applyFill="1" applyBorder="1" applyAlignment="1">
      <alignment horizontal="left" vertical="top"/>
    </xf>
    <xf numFmtId="0" fontId="30" fillId="0" borderId="14" xfId="0" applyFont="1" applyFill="1" applyBorder="1" applyAlignment="1">
      <alignment vertical="top"/>
    </xf>
    <xf numFmtId="0" fontId="30" fillId="0" borderId="0" xfId="0" applyFont="1" applyFill="1" applyAlignment="1">
      <alignment vertical="top"/>
    </xf>
    <xf numFmtId="0" fontId="74" fillId="0" borderId="23" xfId="0" applyFont="1" applyFill="1" applyBorder="1" applyAlignment="1">
      <alignment vertical="top"/>
    </xf>
    <xf numFmtId="0" fontId="75" fillId="0" borderId="23" xfId="0" quotePrefix="1" applyNumberFormat="1" applyFont="1" applyFill="1" applyBorder="1" applyAlignment="1">
      <alignment horizontal="center" vertical="center"/>
    </xf>
    <xf numFmtId="0" fontId="30" fillId="0" borderId="14" xfId="0" quotePrefix="1" applyFont="1" applyFill="1" applyBorder="1" applyAlignment="1">
      <alignment vertical="top"/>
    </xf>
    <xf numFmtId="0" fontId="74" fillId="0" borderId="23" xfId="0" quotePrefix="1" applyNumberFormat="1" applyFont="1" applyFill="1" applyBorder="1" applyAlignment="1">
      <alignment horizontal="right" vertical="top"/>
    </xf>
    <xf numFmtId="0" fontId="30" fillId="0" borderId="25" xfId="0" quotePrefix="1" applyFont="1" applyFill="1" applyBorder="1" applyAlignment="1">
      <alignment horizontal="right" vertical="top"/>
    </xf>
    <xf numFmtId="0" fontId="30" fillId="0" borderId="14" xfId="0" quotePrefix="1" applyFont="1" applyFill="1" applyBorder="1" applyAlignment="1">
      <alignment horizontal="right" vertical="top"/>
    </xf>
    <xf numFmtId="0" fontId="30" fillId="0" borderId="14" xfId="0" applyFont="1" applyFill="1" applyBorder="1" applyAlignment="1">
      <alignment vertical="top" wrapText="1"/>
    </xf>
    <xf numFmtId="0" fontId="74" fillId="0" borderId="20" xfId="0" applyFont="1" applyFill="1" applyBorder="1" applyAlignment="1">
      <alignment vertical="top"/>
    </xf>
    <xf numFmtId="0" fontId="75" fillId="0" borderId="20" xfId="0" quotePrefix="1" applyNumberFormat="1" applyFont="1" applyFill="1" applyBorder="1" applyAlignment="1">
      <alignment horizontal="center" vertical="center"/>
    </xf>
    <xf numFmtId="0" fontId="30" fillId="0" borderId="14" xfId="0" quotePrefix="1" applyNumberFormat="1" applyFont="1" applyFill="1" applyBorder="1" applyAlignment="1">
      <alignment horizontal="center" vertical="center"/>
    </xf>
    <xf numFmtId="0" fontId="30" fillId="0" borderId="36" xfId="0" quotePrefix="1" applyNumberFormat="1" applyFont="1" applyFill="1" applyBorder="1" applyAlignment="1">
      <alignment horizontal="center" vertical="center"/>
    </xf>
    <xf numFmtId="0" fontId="30" fillId="0" borderId="22" xfId="0" quotePrefix="1" applyNumberFormat="1" applyFont="1" applyFill="1" applyBorder="1" applyAlignment="1">
      <alignment horizontal="center" vertical="center"/>
    </xf>
    <xf numFmtId="0" fontId="30" fillId="0" borderId="22" xfId="0" quotePrefix="1" applyFont="1" applyFill="1" applyBorder="1" applyAlignment="1">
      <alignment vertical="top"/>
    </xf>
    <xf numFmtId="0" fontId="30" fillId="0" borderId="22" xfId="0" quotePrefix="1" applyNumberFormat="1" applyFont="1" applyFill="1" applyBorder="1" applyAlignment="1">
      <alignment vertical="top"/>
    </xf>
    <xf numFmtId="0" fontId="30" fillId="0" borderId="22" xfId="0" applyFont="1" applyFill="1" applyBorder="1" applyAlignment="1">
      <alignment horizontal="left" vertical="top"/>
    </xf>
    <xf numFmtId="0" fontId="30" fillId="0" borderId="22" xfId="0" applyFont="1" applyFill="1" applyBorder="1" applyAlignment="1">
      <alignment vertical="top"/>
    </xf>
    <xf numFmtId="0" fontId="30" fillId="0" borderId="25" xfId="0" applyFont="1" applyFill="1" applyBorder="1" applyAlignment="1">
      <alignment horizontal="left" vertical="top"/>
    </xf>
    <xf numFmtId="0" fontId="75" fillId="0" borderId="20" xfId="0" quotePrefix="1" applyFont="1" applyFill="1" applyBorder="1" applyAlignment="1">
      <alignment horizontal="right" vertical="top"/>
    </xf>
    <xf numFmtId="0" fontId="75" fillId="0" borderId="20" xfId="0" applyFont="1" applyFill="1" applyBorder="1" applyAlignment="1">
      <alignment horizontal="left" vertical="top"/>
    </xf>
    <xf numFmtId="0" fontId="75" fillId="0" borderId="20" xfId="0" applyFont="1" applyFill="1" applyBorder="1" applyAlignment="1">
      <alignment vertical="top"/>
    </xf>
    <xf numFmtId="0" fontId="74" fillId="0" borderId="0" xfId="0" applyFont="1" applyFill="1" applyBorder="1" applyAlignment="1">
      <alignment vertical="top"/>
    </xf>
    <xf numFmtId="0" fontId="75" fillId="0" borderId="0" xfId="0" quotePrefix="1" applyNumberFormat="1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vertical="top"/>
    </xf>
    <xf numFmtId="0" fontId="30" fillId="0" borderId="25" xfId="0" applyFont="1" applyFill="1" applyBorder="1" applyAlignment="1"/>
    <xf numFmtId="0" fontId="30" fillId="0" borderId="25" xfId="0" quotePrefix="1" applyNumberFormat="1" applyFont="1" applyFill="1" applyBorder="1" applyAlignment="1">
      <alignment horizontal="center"/>
    </xf>
    <xf numFmtId="17" fontId="30" fillId="0" borderId="14" xfId="0" quotePrefix="1" applyNumberFormat="1" applyFont="1" applyFill="1" applyBorder="1" applyAlignment="1"/>
    <xf numFmtId="0" fontId="30" fillId="0" borderId="25" xfId="0" quotePrefix="1" applyNumberFormat="1" applyFont="1" applyFill="1" applyBorder="1" applyAlignment="1"/>
    <xf numFmtId="0" fontId="30" fillId="0" borderId="14" xfId="0" applyFont="1" applyFill="1" applyBorder="1" applyAlignment="1">
      <alignment horizontal="left"/>
    </xf>
    <xf numFmtId="0" fontId="30" fillId="0" borderId="14" xfId="0" applyFont="1" applyFill="1" applyBorder="1" applyAlignment="1"/>
    <xf numFmtId="0" fontId="30" fillId="0" borderId="14" xfId="0" applyFont="1" applyFill="1" applyBorder="1" applyAlignment="1">
      <alignment wrapText="1"/>
    </xf>
    <xf numFmtId="0" fontId="30" fillId="0" borderId="0" xfId="0" applyFont="1" applyFill="1" applyAlignment="1"/>
    <xf numFmtId="0" fontId="30" fillId="0" borderId="22" xfId="0" quotePrefix="1" applyFont="1" applyFill="1" applyBorder="1" applyAlignment="1">
      <alignment vertical="top" wrapText="1"/>
    </xf>
    <xf numFmtId="0" fontId="30" fillId="0" borderId="22" xfId="0" quotePrefix="1" applyNumberFormat="1" applyFont="1" applyFill="1" applyBorder="1" applyAlignment="1">
      <alignment vertical="top" wrapText="1"/>
    </xf>
    <xf numFmtId="0" fontId="30" fillId="0" borderId="22" xfId="0" applyFont="1" applyFill="1" applyBorder="1" applyAlignment="1">
      <alignment horizontal="left" vertical="top" wrapText="1"/>
    </xf>
    <xf numFmtId="0" fontId="30" fillId="0" borderId="22" xfId="0" applyFont="1" applyFill="1" applyBorder="1" applyAlignment="1">
      <alignment vertical="top" wrapText="1"/>
    </xf>
    <xf numFmtId="0" fontId="30" fillId="0" borderId="25" xfId="0" quotePrefix="1" applyNumberFormat="1" applyFont="1" applyFill="1" applyBorder="1" applyAlignment="1">
      <alignment horizontal="left" vertical="top"/>
    </xf>
    <xf numFmtId="0" fontId="74" fillId="0" borderId="23" xfId="0" quotePrefix="1" applyNumberFormat="1" applyFont="1" applyFill="1" applyBorder="1" applyAlignment="1">
      <alignment vertical="top"/>
    </xf>
    <xf numFmtId="0" fontId="74" fillId="0" borderId="22" xfId="0" applyFont="1" applyFill="1" applyBorder="1" applyAlignment="1">
      <alignment vertical="top"/>
    </xf>
    <xf numFmtId="0" fontId="75" fillId="0" borderId="22" xfId="0" quotePrefix="1" applyNumberFormat="1" applyFont="1" applyFill="1" applyBorder="1" applyAlignment="1">
      <alignment horizontal="center" vertical="center"/>
    </xf>
    <xf numFmtId="0" fontId="30" fillId="0" borderId="23" xfId="0" applyFont="1" applyFill="1" applyBorder="1" applyAlignment="1"/>
    <xf numFmtId="0" fontId="30" fillId="0" borderId="23" xfId="0" quotePrefix="1" applyNumberFormat="1" applyFont="1" applyFill="1" applyBorder="1" applyAlignment="1">
      <alignment horizontal="center"/>
    </xf>
    <xf numFmtId="0" fontId="30" fillId="0" borderId="20" xfId="0" applyFont="1" applyFill="1" applyBorder="1" applyAlignment="1">
      <alignment vertical="top"/>
    </xf>
    <xf numFmtId="0" fontId="30" fillId="0" borderId="23" xfId="0" quotePrefix="1" applyNumberFormat="1" applyFont="1" applyFill="1" applyBorder="1" applyAlignment="1">
      <alignment horizontal="left" vertical="top"/>
    </xf>
    <xf numFmtId="0" fontId="30" fillId="0" borderId="20" xfId="0" applyFont="1" applyFill="1" applyBorder="1" applyAlignment="1">
      <alignment horizontal="left" vertical="top"/>
    </xf>
    <xf numFmtId="0" fontId="30" fillId="0" borderId="14" xfId="0" applyFont="1" applyFill="1" applyBorder="1" applyAlignment="1">
      <alignment horizontal="right" vertical="top"/>
    </xf>
    <xf numFmtId="0" fontId="75" fillId="0" borderId="23" xfId="0" quotePrefix="1" applyNumberFormat="1" applyFont="1" applyFill="1" applyBorder="1" applyAlignment="1">
      <alignment horizontal="right" vertical="top"/>
    </xf>
    <xf numFmtId="0" fontId="75" fillId="0" borderId="20" xfId="0" quotePrefix="1" applyNumberFormat="1" applyFont="1" applyFill="1" applyBorder="1" applyAlignment="1">
      <alignment horizontal="right" vertical="top"/>
    </xf>
    <xf numFmtId="0" fontId="30" fillId="0" borderId="22" xfId="0" applyFont="1" applyFill="1" applyBorder="1" applyAlignment="1">
      <alignment horizontal="right" vertical="top"/>
    </xf>
    <xf numFmtId="0" fontId="30" fillId="0" borderId="22" xfId="0" quotePrefix="1" applyNumberFormat="1" applyFont="1" applyFill="1" applyBorder="1" applyAlignment="1">
      <alignment horizontal="left" vertical="top"/>
    </xf>
    <xf numFmtId="0" fontId="30" fillId="0" borderId="20" xfId="0" applyFont="1" applyFill="1" applyBorder="1" applyAlignment="1">
      <alignment vertical="top" wrapText="1"/>
    </xf>
    <xf numFmtId="0" fontId="75" fillId="0" borderId="8" xfId="0" quotePrefix="1" applyNumberFormat="1" applyFont="1" applyFill="1" applyBorder="1" applyAlignment="1">
      <alignment horizontal="center" vertical="center"/>
    </xf>
    <xf numFmtId="0" fontId="30" fillId="0" borderId="14" xfId="0" quotePrefix="1" applyNumberFormat="1" applyFont="1" applyFill="1" applyBorder="1" applyAlignment="1">
      <alignment horizontal="center" vertical="center" wrapText="1"/>
    </xf>
    <xf numFmtId="0" fontId="30" fillId="0" borderId="36" xfId="0" quotePrefix="1" applyNumberFormat="1" applyFont="1" applyFill="1" applyBorder="1" applyAlignment="1">
      <alignment horizontal="center" vertical="center" wrapText="1"/>
    </xf>
    <xf numFmtId="0" fontId="30" fillId="0" borderId="22" xfId="0" quotePrefix="1" applyNumberFormat="1" applyFont="1" applyFill="1" applyBorder="1" applyAlignment="1">
      <alignment horizontal="center" vertical="center" wrapText="1"/>
    </xf>
    <xf numFmtId="17" fontId="30" fillId="0" borderId="14" xfId="0" quotePrefix="1" applyNumberFormat="1" applyFont="1" applyFill="1" applyBorder="1" applyAlignment="1">
      <alignment horizontal="right" vertical="top"/>
    </xf>
    <xf numFmtId="0" fontId="74" fillId="0" borderId="20" xfId="0" quotePrefix="1" applyNumberFormat="1" applyFont="1" applyFill="1" applyBorder="1" applyAlignment="1">
      <alignment horizontal="right" vertical="top"/>
    </xf>
    <xf numFmtId="0" fontId="30" fillId="0" borderId="0" xfId="0" applyNumberFormat="1" applyFont="1" applyFill="1" applyAlignment="1">
      <alignment horizontal="center" vertical="center"/>
    </xf>
    <xf numFmtId="0" fontId="30" fillId="0" borderId="0" xfId="0" applyNumberFormat="1" applyFont="1" applyFill="1" applyAlignment="1">
      <alignment vertical="top"/>
    </xf>
    <xf numFmtId="0" fontId="30" fillId="0" borderId="0" xfId="0" applyFont="1" applyFill="1" applyAlignment="1">
      <alignment horizontal="left" vertical="top"/>
    </xf>
    <xf numFmtId="0" fontId="76" fillId="0" borderId="0" xfId="203" applyFont="1" applyAlignment="1">
      <alignment horizontal="center"/>
    </xf>
    <xf numFmtId="0" fontId="76" fillId="0" borderId="0" xfId="203" applyFont="1"/>
    <xf numFmtId="0" fontId="76" fillId="0" borderId="0" xfId="203" applyFont="1" applyBorder="1"/>
    <xf numFmtId="0" fontId="5" fillId="0" borderId="55" xfId="203" applyFont="1" applyFill="1" applyBorder="1"/>
    <xf numFmtId="0" fontId="5" fillId="0" borderId="55" xfId="203" applyFill="1" applyBorder="1"/>
    <xf numFmtId="0" fontId="5" fillId="0" borderId="55" xfId="203" applyFont="1" applyFill="1" applyBorder="1" applyAlignment="1">
      <alignment horizontal="center"/>
    </xf>
    <xf numFmtId="0" fontId="5" fillId="0" borderId="0" xfId="203"/>
    <xf numFmtId="0" fontId="5" fillId="0" borderId="0" xfId="203" applyFont="1" applyFill="1" applyBorder="1"/>
    <xf numFmtId="0" fontId="5" fillId="0" borderId="0" xfId="203" applyFill="1" applyBorder="1"/>
    <xf numFmtId="0" fontId="5" fillId="0" borderId="0" xfId="203" applyFont="1" applyFill="1" applyBorder="1" applyAlignment="1">
      <alignment horizontal="center"/>
    </xf>
    <xf numFmtId="0" fontId="5" fillId="40" borderId="0" xfId="203" applyFont="1" applyFill="1" applyBorder="1"/>
    <xf numFmtId="0" fontId="5" fillId="40" borderId="0" xfId="203" applyFill="1" applyBorder="1"/>
    <xf numFmtId="0" fontId="5" fillId="40" borderId="0" xfId="203" applyFont="1" applyFill="1" applyBorder="1" applyAlignment="1">
      <alignment horizontal="center"/>
    </xf>
    <xf numFmtId="0" fontId="5" fillId="40" borderId="0" xfId="203" applyFill="1" applyBorder="1" applyAlignment="1">
      <alignment horizontal="center"/>
    </xf>
    <xf numFmtId="0" fontId="5" fillId="0" borderId="0" xfId="203" applyFill="1" applyBorder="1" applyAlignment="1">
      <alignment horizontal="center"/>
    </xf>
    <xf numFmtId="0" fontId="5" fillId="40" borderId="12" xfId="203" applyFont="1" applyFill="1" applyBorder="1"/>
    <xf numFmtId="0" fontId="5" fillId="40" borderId="12" xfId="203" applyFill="1" applyBorder="1"/>
    <xf numFmtId="0" fontId="5" fillId="40" borderId="12" xfId="203" applyFont="1" applyFill="1" applyBorder="1" applyAlignment="1">
      <alignment horizontal="center"/>
    </xf>
    <xf numFmtId="0" fontId="5" fillId="0" borderId="0" xfId="203" applyAlignment="1">
      <alignment horizontal="center"/>
    </xf>
    <xf numFmtId="0" fontId="4" fillId="0" borderId="0" xfId="203" applyFont="1" applyFill="1" applyBorder="1"/>
    <xf numFmtId="0" fontId="69" fillId="0" borderId="44" xfId="1" applyFont="1" applyBorder="1" applyAlignment="1" applyProtection="1">
      <alignment vertical="center"/>
    </xf>
    <xf numFmtId="0" fontId="32" fillId="0" borderId="52" xfId="1" applyFont="1" applyFill="1" applyBorder="1" applyAlignment="1" applyProtection="1">
      <alignment horizontal="left" wrapText="1"/>
    </xf>
    <xf numFmtId="0" fontId="65" fillId="0" borderId="57" xfId="1" quotePrefix="1" applyFont="1" applyFill="1" applyBorder="1" applyAlignment="1" applyProtection="1">
      <alignment horizontal="left" vertical="top"/>
    </xf>
    <xf numFmtId="0" fontId="66" fillId="0" borderId="38" xfId="79" applyFont="1" applyFill="1" applyBorder="1" applyAlignment="1" applyProtection="1">
      <alignment horizontal="left" vertical="top"/>
    </xf>
    <xf numFmtId="0" fontId="65" fillId="0" borderId="41" xfId="1" quotePrefix="1" applyFont="1" applyFill="1" applyBorder="1" applyAlignment="1" applyProtection="1">
      <alignment horizontal="left" vertical="top"/>
    </xf>
    <xf numFmtId="0" fontId="65" fillId="0" borderId="38" xfId="1" quotePrefix="1" applyFont="1" applyFill="1" applyBorder="1" applyAlignment="1" applyProtection="1">
      <alignment horizontal="left" vertical="top"/>
    </xf>
    <xf numFmtId="0" fontId="30" fillId="0" borderId="39" xfId="1" applyFont="1" applyFill="1" applyBorder="1" applyAlignment="1" applyProtection="1"/>
    <xf numFmtId="0" fontId="76" fillId="0" borderId="0" xfId="203" applyFont="1" applyAlignment="1">
      <alignment horizontal="left"/>
    </xf>
    <xf numFmtId="0" fontId="5" fillId="0" borderId="55" xfId="203" applyFill="1" applyBorder="1" applyAlignment="1">
      <alignment horizontal="left"/>
    </xf>
    <xf numFmtId="0" fontId="5" fillId="0" borderId="0" xfId="203" applyFill="1" applyBorder="1" applyAlignment="1">
      <alignment horizontal="left"/>
    </xf>
    <xf numFmtId="0" fontId="5" fillId="40" borderId="0" xfId="203" applyFill="1" applyBorder="1" applyAlignment="1">
      <alignment horizontal="left"/>
    </xf>
    <xf numFmtId="0" fontId="5" fillId="40" borderId="12" xfId="203" applyFill="1" applyBorder="1" applyAlignment="1">
      <alignment horizontal="left"/>
    </xf>
    <xf numFmtId="0" fontId="5" fillId="0" borderId="0" xfId="203" applyAlignment="1">
      <alignment horizontal="left"/>
    </xf>
    <xf numFmtId="0" fontId="5" fillId="0" borderId="55" xfId="203" applyFill="1" applyBorder="1" applyAlignment="1">
      <alignment horizontal="center"/>
    </xf>
    <xf numFmtId="0" fontId="5" fillId="40" borderId="12" xfId="203" applyFill="1" applyBorder="1" applyAlignment="1">
      <alignment horizontal="center"/>
    </xf>
    <xf numFmtId="0" fontId="76" fillId="0" borderId="0" xfId="203" applyFont="1" applyAlignment="1">
      <alignment horizontal="center" wrapText="1"/>
    </xf>
    <xf numFmtId="0" fontId="53" fillId="0" borderId="55" xfId="203" applyFont="1" applyFill="1" applyBorder="1" applyAlignment="1">
      <alignment horizontal="center" vertical="top"/>
    </xf>
    <xf numFmtId="0" fontId="77" fillId="0" borderId="0" xfId="203" applyFont="1" applyFill="1" applyBorder="1" applyAlignment="1">
      <alignment horizontal="center" vertical="top"/>
    </xf>
    <xf numFmtId="0" fontId="77" fillId="40" borderId="0" xfId="203" applyFont="1" applyFill="1" applyBorder="1" applyAlignment="1">
      <alignment horizontal="center"/>
    </xf>
    <xf numFmtId="0" fontId="53" fillId="0" borderId="0" xfId="203" applyFont="1" applyFill="1" applyBorder="1" applyAlignment="1">
      <alignment horizontal="center"/>
    </xf>
    <xf numFmtId="0" fontId="77" fillId="0" borderId="0" xfId="203" applyFont="1" applyFill="1" applyBorder="1" applyAlignment="1">
      <alignment horizontal="center"/>
    </xf>
    <xf numFmtId="0" fontId="53" fillId="40" borderId="0" xfId="203" applyFont="1" applyFill="1" applyBorder="1" applyAlignment="1">
      <alignment horizontal="center"/>
    </xf>
    <xf numFmtId="0" fontId="77" fillId="40" borderId="12" xfId="203" applyFont="1" applyFill="1" applyBorder="1" applyAlignment="1">
      <alignment horizontal="center"/>
    </xf>
    <xf numFmtId="0" fontId="76" fillId="0" borderId="0" xfId="203" applyFont="1" applyAlignment="1"/>
    <xf numFmtId="0" fontId="5" fillId="0" borderId="55" xfId="203" applyFill="1" applyBorder="1" applyAlignment="1"/>
    <xf numFmtId="0" fontId="5" fillId="0" borderId="0" xfId="203" applyFill="1" applyBorder="1" applyAlignment="1"/>
    <xf numFmtId="0" fontId="5" fillId="40" borderId="0" xfId="203" applyFill="1" applyBorder="1" applyAlignment="1"/>
    <xf numFmtId="0" fontId="5" fillId="40" borderId="12" xfId="203" applyFill="1" applyBorder="1" applyAlignment="1"/>
    <xf numFmtId="0" fontId="5" fillId="0" borderId="0" xfId="203" applyAlignment="1"/>
    <xf numFmtId="0" fontId="76" fillId="0" borderId="0" xfId="203" applyFont="1" applyBorder="1" applyAlignment="1">
      <alignment horizontal="center" wrapText="1"/>
    </xf>
    <xf numFmtId="0" fontId="5" fillId="0" borderId="45" xfId="203" applyBorder="1" applyAlignment="1">
      <alignment horizontal="center"/>
    </xf>
    <xf numFmtId="0" fontId="5" fillId="0" borderId="8" xfId="203" applyBorder="1" applyAlignment="1">
      <alignment horizontal="center"/>
    </xf>
    <xf numFmtId="0" fontId="5" fillId="0" borderId="4" xfId="203" applyBorder="1" applyAlignment="1">
      <alignment horizontal="center"/>
    </xf>
    <xf numFmtId="0" fontId="3" fillId="0" borderId="55" xfId="203" applyFont="1" applyFill="1" applyBorder="1" applyAlignment="1">
      <alignment horizontal="center"/>
    </xf>
    <xf numFmtId="0" fontId="76" fillId="0" borderId="0" xfId="203" applyFont="1" applyAlignment="1">
      <alignment wrapText="1"/>
    </xf>
    <xf numFmtId="0" fontId="71" fillId="0" borderId="0" xfId="0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center" vertical="center"/>
    </xf>
    <xf numFmtId="20" fontId="72" fillId="0" borderId="0" xfId="0" applyNumberFormat="1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left" vertical="center"/>
    </xf>
    <xf numFmtId="0" fontId="73" fillId="0" borderId="0" xfId="0" applyFont="1" applyFill="1" applyBorder="1" applyAlignment="1">
      <alignment horizontal="center" vertical="center" wrapText="1"/>
    </xf>
    <xf numFmtId="0" fontId="25" fillId="0" borderId="0" xfId="0" applyFont="1" applyBorder="1"/>
    <xf numFmtId="0" fontId="65" fillId="0" borderId="19" xfId="0" applyFont="1" applyBorder="1" applyAlignment="1">
      <alignment horizontal="center" wrapText="1"/>
    </xf>
    <xf numFmtId="0" fontId="30" fillId="0" borderId="59" xfId="0" applyFont="1" applyBorder="1" applyAlignment="1">
      <alignment horizontal="center"/>
    </xf>
    <xf numFmtId="0" fontId="80" fillId="0" borderId="20" xfId="0" applyFont="1" applyFill="1" applyBorder="1" applyAlignment="1">
      <alignment horizontal="center" vertical="center"/>
    </xf>
    <xf numFmtId="0" fontId="80" fillId="0" borderId="60" xfId="0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/>
    </xf>
    <xf numFmtId="0" fontId="80" fillId="0" borderId="14" xfId="0" applyFont="1" applyFill="1" applyBorder="1" applyAlignment="1">
      <alignment horizontal="center" vertical="center"/>
    </xf>
    <xf numFmtId="0" fontId="80" fillId="0" borderId="18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/>
    </xf>
    <xf numFmtId="0" fontId="80" fillId="0" borderId="58" xfId="0" applyFont="1" applyFill="1" applyBorder="1" applyAlignment="1">
      <alignment horizontal="center" vertical="center"/>
    </xf>
    <xf numFmtId="0" fontId="80" fillId="0" borderId="26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30" fillId="0" borderId="0" xfId="0" applyFont="1" applyBorder="1" applyAlignment="1"/>
    <xf numFmtId="20" fontId="80" fillId="0" borderId="0" xfId="0" applyNumberFormat="1" applyFont="1" applyFill="1" applyBorder="1" applyAlignment="1">
      <alignment horizontal="center"/>
    </xf>
    <xf numFmtId="0" fontId="80" fillId="0" borderId="0" xfId="0" applyFont="1" applyFill="1" applyBorder="1" applyAlignment="1">
      <alignment horizontal="left"/>
    </xf>
    <xf numFmtId="0" fontId="81" fillId="0" borderId="0" xfId="0" applyFont="1" applyFill="1" applyBorder="1" applyAlignment="1">
      <alignment horizontal="center" wrapText="1"/>
    </xf>
    <xf numFmtId="20" fontId="80" fillId="0" borderId="0" xfId="0" applyNumberFormat="1" applyFont="1" applyFill="1" applyBorder="1" applyAlignment="1">
      <alignment horizontal="center" vertical="center"/>
    </xf>
    <xf numFmtId="0" fontId="80" fillId="0" borderId="0" xfId="0" applyFont="1" applyFill="1" applyBorder="1" applyAlignment="1">
      <alignment horizontal="left" vertical="center"/>
    </xf>
    <xf numFmtId="0" fontId="81" fillId="0" borderId="0" xfId="0" applyFont="1" applyFill="1" applyBorder="1" applyAlignment="1">
      <alignment horizontal="center" vertical="center" wrapText="1"/>
    </xf>
    <xf numFmtId="0" fontId="65" fillId="0" borderId="58" xfId="0" applyFont="1" applyFill="1" applyBorder="1" applyAlignment="1">
      <alignment horizontal="center" wrapText="1"/>
    </xf>
    <xf numFmtId="0" fontId="65" fillId="0" borderId="58" xfId="0" applyFont="1" applyFill="1" applyBorder="1" applyAlignment="1">
      <alignment horizontal="center"/>
    </xf>
    <xf numFmtId="0" fontId="65" fillId="0" borderId="26" xfId="0" applyFont="1" applyFill="1" applyBorder="1" applyAlignment="1">
      <alignment horizontal="center" wrapText="1"/>
    </xf>
    <xf numFmtId="0" fontId="79" fillId="0" borderId="15" xfId="0" applyFont="1" applyBorder="1" applyAlignment="1"/>
    <xf numFmtId="0" fontId="78" fillId="0" borderId="13" xfId="0" applyFont="1" applyBorder="1"/>
    <xf numFmtId="9" fontId="71" fillId="0" borderId="1" xfId="0" applyNumberFormat="1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horizontal="center" vertical="center"/>
    </xf>
    <xf numFmtId="0" fontId="72" fillId="0" borderId="61" xfId="0" applyFont="1" applyFill="1" applyBorder="1" applyAlignment="1">
      <alignment horizontal="center" vertical="center"/>
    </xf>
    <xf numFmtId="0" fontId="78" fillId="0" borderId="7" xfId="0" applyFont="1" applyBorder="1"/>
    <xf numFmtId="0" fontId="72" fillId="0" borderId="62" xfId="0" applyFont="1" applyFill="1" applyBorder="1" applyAlignment="1">
      <alignment horizontal="center" vertical="center"/>
    </xf>
    <xf numFmtId="0" fontId="78" fillId="0" borderId="10" xfId="0" applyFont="1" applyBorder="1"/>
    <xf numFmtId="9" fontId="71" fillId="0" borderId="2" xfId="0" applyNumberFormat="1" applyFont="1" applyFill="1" applyBorder="1" applyAlignment="1">
      <alignment horizontal="center" vertical="center"/>
    </xf>
    <xf numFmtId="0" fontId="72" fillId="0" borderId="2" xfId="0" applyFont="1" applyFill="1" applyBorder="1" applyAlignment="1">
      <alignment horizontal="center" vertical="center"/>
    </xf>
    <xf numFmtId="0" fontId="72" fillId="0" borderId="63" xfId="0" applyFont="1" applyFill="1" applyBorder="1" applyAlignment="1">
      <alignment horizontal="center" vertical="center"/>
    </xf>
    <xf numFmtId="0" fontId="2" fillId="0" borderId="55" xfId="203" quotePrefix="1" applyFont="1" applyFill="1" applyBorder="1" applyAlignment="1"/>
    <xf numFmtId="0" fontId="2" fillId="0" borderId="55" xfId="203" applyFont="1" applyFill="1" applyBorder="1" applyAlignment="1"/>
    <xf numFmtId="0" fontId="58" fillId="0" borderId="55" xfId="79" applyFill="1" applyBorder="1" applyAlignment="1">
      <alignment horizontal="center"/>
    </xf>
    <xf numFmtId="0" fontId="58" fillId="40" borderId="0" xfId="79" applyFill="1" applyBorder="1" applyAlignment="1">
      <alignment horizontal="center"/>
    </xf>
    <xf numFmtId="0" fontId="58" fillId="42" borderId="56" xfId="79" applyFill="1" applyBorder="1" applyAlignment="1">
      <alignment horizontal="center"/>
    </xf>
    <xf numFmtId="0" fontId="58" fillId="42" borderId="9" xfId="79" applyFill="1" applyBorder="1" applyAlignment="1">
      <alignment horizontal="center"/>
    </xf>
    <xf numFmtId="0" fontId="58" fillId="0" borderId="0" xfId="79" applyFill="1" applyBorder="1" applyAlignment="1">
      <alignment horizontal="center"/>
    </xf>
    <xf numFmtId="0" fontId="58" fillId="40" borderId="12" xfId="79" applyFill="1" applyBorder="1" applyAlignment="1">
      <alignment horizontal="center"/>
    </xf>
    <xf numFmtId="0" fontId="58" fillId="43" borderId="9" xfId="79" applyFill="1" applyBorder="1" applyAlignment="1">
      <alignment horizontal="center"/>
    </xf>
    <xf numFmtId="0" fontId="58" fillId="43" borderId="53" xfId="79" applyFill="1" applyBorder="1" applyAlignment="1">
      <alignment horizontal="center"/>
    </xf>
    <xf numFmtId="0" fontId="58" fillId="39" borderId="55" xfId="79" applyFill="1" applyBorder="1" applyAlignment="1">
      <alignment horizontal="center" vertical="top"/>
    </xf>
    <xf numFmtId="0" fontId="58" fillId="39" borderId="0" xfId="79" applyFill="1" applyBorder="1" applyAlignment="1">
      <alignment horizontal="center" vertical="top"/>
    </xf>
    <xf numFmtId="0" fontId="58" fillId="41" borderId="0" xfId="79" applyFill="1" applyBorder="1" applyAlignment="1">
      <alignment horizontal="center"/>
    </xf>
    <xf numFmtId="0" fontId="58" fillId="39" borderId="0" xfId="79" applyFill="1" applyBorder="1" applyAlignment="1">
      <alignment horizontal="center"/>
    </xf>
    <xf numFmtId="0" fontId="58" fillId="39" borderId="12" xfId="79" applyFill="1" applyBorder="1" applyAlignment="1">
      <alignment horizontal="center"/>
    </xf>
    <xf numFmtId="0" fontId="33" fillId="0" borderId="0" xfId="15" applyFont="1" applyFill="1" applyAlignment="1">
      <alignment horizontal="center"/>
    </xf>
    <xf numFmtId="0" fontId="34" fillId="0" borderId="0" xfId="15" applyFont="1" applyFill="1" applyAlignment="1">
      <alignment horizontal="center"/>
    </xf>
    <xf numFmtId="0" fontId="33" fillId="0" borderId="14" xfId="15" applyFont="1" applyFill="1" applyBorder="1" applyAlignment="1">
      <alignment horizontal="center"/>
    </xf>
    <xf numFmtId="0" fontId="33" fillId="0" borderId="14" xfId="15" applyFont="1" applyFill="1" applyBorder="1" applyAlignment="1">
      <alignment horizontal="right"/>
    </xf>
    <xf numFmtId="0" fontId="82" fillId="0" borderId="65" xfId="15" applyFont="1" applyFill="1" applyBorder="1" applyAlignment="1">
      <alignment horizontal="center"/>
    </xf>
    <xf numFmtId="0" fontId="82" fillId="0" borderId="47" xfId="15" applyFont="1" applyFill="1" applyBorder="1" applyAlignment="1">
      <alignment horizontal="center"/>
    </xf>
    <xf numFmtId="0" fontId="82" fillId="0" borderId="37" xfId="15" applyFont="1" applyFill="1" applyBorder="1" applyAlignment="1">
      <alignment horizontal="center"/>
    </xf>
    <xf numFmtId="0" fontId="82" fillId="0" borderId="37" xfId="15" applyFont="1" applyFill="1" applyBorder="1" applyAlignment="1">
      <alignment horizontal="left"/>
    </xf>
    <xf numFmtId="0" fontId="82" fillId="0" borderId="64" xfId="15" applyFont="1" applyFill="1" applyBorder="1"/>
    <xf numFmtId="0" fontId="82" fillId="0" borderId="66" xfId="15" applyFont="1" applyFill="1" applyBorder="1" applyAlignment="1">
      <alignment horizontal="center"/>
    </xf>
    <xf numFmtId="0" fontId="82" fillId="0" borderId="66" xfId="15" applyFont="1" applyFill="1" applyBorder="1" applyAlignment="1">
      <alignment horizontal="left"/>
    </xf>
    <xf numFmtId="0" fontId="82" fillId="0" borderId="46" xfId="15" applyFont="1" applyFill="1" applyBorder="1" applyAlignment="1">
      <alignment horizontal="center"/>
    </xf>
    <xf numFmtId="0" fontId="82" fillId="0" borderId="46" xfId="15" applyFont="1" applyFill="1" applyBorder="1" applyAlignment="1">
      <alignment horizontal="left"/>
    </xf>
    <xf numFmtId="0" fontId="82" fillId="0" borderId="39" xfId="15" applyFont="1" applyFill="1" applyBorder="1" applyAlignment="1">
      <alignment horizontal="center"/>
    </xf>
    <xf numFmtId="0" fontId="82" fillId="0" borderId="40" xfId="15" applyFont="1" applyFill="1" applyBorder="1" applyAlignment="1">
      <alignment horizontal="center"/>
    </xf>
    <xf numFmtId="0" fontId="82" fillId="0" borderId="40" xfId="15" applyFont="1" applyFill="1" applyBorder="1" applyAlignment="1">
      <alignment horizontal="center" wrapText="1"/>
    </xf>
    <xf numFmtId="0" fontId="82" fillId="0" borderId="49" xfId="15" applyFont="1" applyFill="1" applyBorder="1"/>
    <xf numFmtId="0" fontId="82" fillId="0" borderId="42" xfId="15" applyFont="1" applyFill="1" applyBorder="1" applyAlignment="1">
      <alignment horizontal="center"/>
    </xf>
    <xf numFmtId="0" fontId="82" fillId="0" borderId="25" xfId="15" applyFont="1" applyFill="1" applyBorder="1" applyAlignment="1">
      <alignment horizontal="center"/>
    </xf>
    <xf numFmtId="0" fontId="82" fillId="0" borderId="25" xfId="15" applyFont="1" applyFill="1" applyBorder="1" applyAlignment="1">
      <alignment horizontal="center" wrapText="1"/>
    </xf>
    <xf numFmtId="0" fontId="82" fillId="0" borderId="67" xfId="15" applyFont="1" applyFill="1" applyBorder="1"/>
    <xf numFmtId="0" fontId="33" fillId="0" borderId="14" xfId="15" applyFont="1" applyFill="1" applyBorder="1"/>
    <xf numFmtId="0" fontId="33" fillId="0" borderId="37" xfId="15" applyFont="1" applyFill="1" applyBorder="1" applyAlignment="1">
      <alignment horizontal="center"/>
    </xf>
    <xf numFmtId="0" fontId="33" fillId="0" borderId="37" xfId="15" applyFont="1" applyFill="1" applyBorder="1" applyAlignment="1">
      <alignment horizontal="right"/>
    </xf>
    <xf numFmtId="0" fontId="33" fillId="0" borderId="37" xfId="15" applyFont="1" applyFill="1" applyBorder="1"/>
    <xf numFmtId="0" fontId="33" fillId="0" borderId="14" xfId="15" applyFont="1" applyFill="1" applyBorder="1" applyAlignment="1">
      <alignment horizontal="left"/>
    </xf>
    <xf numFmtId="0" fontId="30" fillId="0" borderId="0" xfId="0" applyFont="1" applyAlignment="1">
      <alignment horizontal="center"/>
    </xf>
    <xf numFmtId="0" fontId="30" fillId="0" borderId="14" xfId="0" applyFont="1" applyBorder="1"/>
    <xf numFmtId="0" fontId="30" fillId="0" borderId="14" xfId="0" applyFont="1" applyBorder="1" applyAlignment="1">
      <alignment horizont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/>
    </xf>
    <xf numFmtId="0" fontId="30" fillId="0" borderId="15" xfId="0" applyFont="1" applyBorder="1"/>
    <xf numFmtId="0" fontId="32" fillId="0" borderId="50" xfId="0" applyFont="1" applyBorder="1"/>
    <xf numFmtId="0" fontId="32" fillId="0" borderId="16" xfId="0" applyFont="1" applyBorder="1" applyAlignment="1">
      <alignment horizontal="right"/>
    </xf>
    <xf numFmtId="0" fontId="30" fillId="0" borderId="17" xfId="0" applyFont="1" applyBorder="1" applyAlignment="1">
      <alignment horizontal="right"/>
    </xf>
    <xf numFmtId="0" fontId="30" fillId="0" borderId="18" xfId="0" applyFont="1" applyBorder="1"/>
    <xf numFmtId="0" fontId="30" fillId="0" borderId="19" xfId="0" applyFont="1" applyBorder="1" applyAlignment="1">
      <alignment horizontal="right"/>
    </xf>
    <xf numFmtId="0" fontId="30" fillId="0" borderId="58" xfId="0" applyFont="1" applyBorder="1"/>
    <xf numFmtId="0" fontId="30" fillId="0" borderId="26" xfId="0" applyFont="1" applyBorder="1"/>
    <xf numFmtId="0" fontId="30" fillId="0" borderId="17" xfId="0" applyFont="1" applyBorder="1" applyAlignment="1">
      <alignment horizontal="left"/>
    </xf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left"/>
    </xf>
    <xf numFmtId="0" fontId="30" fillId="0" borderId="58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59" xfId="0" applyFont="1" applyBorder="1" applyAlignment="1">
      <alignment horizontal="left"/>
    </xf>
    <xf numFmtId="0" fontId="30" fillId="0" borderId="20" xfId="0" applyFont="1" applyBorder="1"/>
    <xf numFmtId="0" fontId="30" fillId="0" borderId="20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0" fontId="32" fillId="0" borderId="68" xfId="0" applyFont="1" applyBorder="1" applyAlignment="1">
      <alignment horizontal="left"/>
    </xf>
    <xf numFmtId="0" fontId="32" fillId="0" borderId="69" xfId="0" applyFont="1" applyBorder="1"/>
    <xf numFmtId="0" fontId="32" fillId="0" borderId="70" xfId="0" applyFont="1" applyBorder="1"/>
    <xf numFmtId="0" fontId="30" fillId="0" borderId="71" xfId="0" applyFont="1" applyBorder="1"/>
    <xf numFmtId="0" fontId="30" fillId="0" borderId="23" xfId="0" applyFont="1" applyBorder="1"/>
    <xf numFmtId="0" fontId="30" fillId="0" borderId="24" xfId="0" applyFont="1" applyBorder="1"/>
    <xf numFmtId="0" fontId="68" fillId="0" borderId="2" xfId="0" applyFont="1" applyBorder="1"/>
    <xf numFmtId="0" fontId="68" fillId="0" borderId="0" xfId="0" applyFont="1" applyBorder="1"/>
    <xf numFmtId="0" fontId="30" fillId="0" borderId="0" xfId="0" applyFont="1" applyFill="1" applyBorder="1" applyAlignment="1">
      <alignment horizontal="center"/>
    </xf>
    <xf numFmtId="0" fontId="32" fillId="0" borderId="74" xfId="1" applyFont="1" applyFill="1" applyBorder="1" applyAlignment="1" applyProtection="1">
      <alignment horizontal="left" wrapText="1"/>
    </xf>
    <xf numFmtId="0" fontId="32" fillId="0" borderId="75" xfId="1" applyFont="1" applyFill="1" applyBorder="1" applyAlignment="1" applyProtection="1">
      <alignment horizontal="left" wrapText="1"/>
    </xf>
    <xf numFmtId="0" fontId="37" fillId="0" borderId="0" xfId="1" applyNumberFormat="1" applyFont="1" applyBorder="1" applyAlignment="1" applyProtection="1">
      <alignment horizontal="center"/>
    </xf>
    <xf numFmtId="0" fontId="32" fillId="0" borderId="74" xfId="1" applyFont="1" applyFill="1" applyBorder="1" applyAlignment="1" applyProtection="1">
      <alignment horizontal="left" wrapText="1"/>
      <protection hidden="1"/>
    </xf>
    <xf numFmtId="0" fontId="32" fillId="0" borderId="51" xfId="1" applyFont="1" applyFill="1" applyBorder="1" applyAlignment="1" applyProtection="1">
      <alignment horizontal="left" wrapText="1"/>
      <protection hidden="1"/>
    </xf>
    <xf numFmtId="0" fontId="32" fillId="0" borderId="75" xfId="1" applyFont="1" applyFill="1" applyBorder="1" applyAlignment="1" applyProtection="1">
      <alignment horizontal="left" wrapText="1"/>
      <protection hidden="1"/>
    </xf>
    <xf numFmtId="0" fontId="30" fillId="0" borderId="15" xfId="1" applyFont="1" applyFill="1" applyBorder="1" applyAlignment="1" applyProtection="1">
      <alignment horizontal="left" vertical="top" wrapText="1"/>
      <protection hidden="1"/>
    </xf>
    <xf numFmtId="0" fontId="30" fillId="0" borderId="50" xfId="1" applyFont="1" applyFill="1" applyBorder="1" applyAlignment="1" applyProtection="1">
      <alignment horizontal="left" vertical="top" wrapText="1"/>
      <protection hidden="1"/>
    </xf>
    <xf numFmtId="0" fontId="30" fillId="0" borderId="16" xfId="1" applyFont="1" applyFill="1" applyBorder="1" applyAlignment="1" applyProtection="1">
      <alignment horizontal="left" vertical="top" wrapText="1"/>
      <protection hidden="1"/>
    </xf>
    <xf numFmtId="0" fontId="30" fillId="0" borderId="17" xfId="1" applyFont="1" applyFill="1" applyBorder="1" applyAlignment="1" applyProtection="1">
      <alignment horizontal="center" vertical="top"/>
      <protection hidden="1"/>
    </xf>
    <xf numFmtId="0" fontId="30" fillId="0" borderId="14" xfId="1" applyFont="1" applyFill="1" applyBorder="1" applyAlignment="1" applyProtection="1">
      <alignment horizontal="center" vertical="top"/>
      <protection hidden="1"/>
    </xf>
    <xf numFmtId="0" fontId="30" fillId="0" borderId="18" xfId="1" applyFont="1" applyFill="1" applyBorder="1" applyAlignment="1" applyProtection="1">
      <alignment horizontal="center" vertical="top"/>
      <protection hidden="1"/>
    </xf>
    <xf numFmtId="0" fontId="30" fillId="0" borderId="59" xfId="1" applyFont="1" applyFill="1" applyBorder="1" applyAlignment="1" applyProtection="1">
      <alignment horizontal="left" vertical="top" wrapText="1"/>
      <protection hidden="1"/>
    </xf>
    <xf numFmtId="0" fontId="30" fillId="0" borderId="20" xfId="1" applyFont="1" applyFill="1" applyBorder="1" applyAlignment="1" applyProtection="1">
      <alignment horizontal="left" vertical="top" wrapText="1"/>
      <protection hidden="1"/>
    </xf>
    <xf numFmtId="0" fontId="30" fillId="0" borderId="60" xfId="1" applyFont="1" applyFill="1" applyBorder="1" applyAlignment="1" applyProtection="1">
      <alignment horizontal="left" vertical="top" wrapText="1"/>
      <protection hidden="1"/>
    </xf>
    <xf numFmtId="0" fontId="60" fillId="0" borderId="17" xfId="1" applyFont="1" applyFill="1" applyBorder="1" applyAlignment="1" applyProtection="1">
      <alignment horizontal="left" vertical="top" wrapText="1"/>
      <protection hidden="1"/>
    </xf>
    <xf numFmtId="0" fontId="60" fillId="0" borderId="14" xfId="1" applyFont="1" applyFill="1" applyBorder="1" applyAlignment="1" applyProtection="1">
      <alignment horizontal="left" vertical="top" wrapText="1"/>
      <protection hidden="1"/>
    </xf>
    <xf numFmtId="0" fontId="60" fillId="0" borderId="18" xfId="1" applyFont="1" applyFill="1" applyBorder="1" applyAlignment="1" applyProtection="1">
      <alignment horizontal="left" vertical="top" wrapText="1"/>
      <protection hidden="1"/>
    </xf>
    <xf numFmtId="0" fontId="30" fillId="0" borderId="19" xfId="1" applyFont="1" applyFill="1" applyBorder="1" applyAlignment="1" applyProtection="1">
      <protection hidden="1"/>
    </xf>
    <xf numFmtId="0" fontId="30" fillId="0" borderId="58" xfId="1" applyFont="1" applyFill="1" applyBorder="1" applyAlignment="1" applyProtection="1">
      <protection hidden="1"/>
    </xf>
    <xf numFmtId="0" fontId="30" fillId="0" borderId="26" xfId="1" applyFont="1" applyFill="1" applyBorder="1" applyAlignment="1" applyProtection="1">
      <protection hidden="1"/>
    </xf>
    <xf numFmtId="0" fontId="36" fillId="0" borderId="0" xfId="1" applyNumberFormat="1" applyFont="1" applyFill="1" applyBorder="1" applyAlignment="1" applyProtection="1">
      <alignment horizontal="center"/>
      <protection hidden="1"/>
    </xf>
    <xf numFmtId="0" fontId="30" fillId="0" borderId="0" xfId="1" applyFont="1" applyBorder="1" applyProtection="1">
      <protection hidden="1"/>
    </xf>
    <xf numFmtId="0" fontId="32" fillId="0" borderId="0" xfId="1" applyFont="1" applyFill="1" applyBorder="1" applyAlignment="1" applyProtection="1"/>
    <xf numFmtId="0" fontId="38" fillId="0" borderId="44" xfId="1" applyNumberFormat="1" applyFont="1" applyFill="1" applyBorder="1" applyAlignment="1" applyProtection="1">
      <alignment vertical="center" wrapText="1"/>
      <protection locked="0"/>
    </xf>
    <xf numFmtId="0" fontId="70" fillId="0" borderId="5" xfId="1" applyNumberFormat="1" applyFont="1" applyFill="1" applyBorder="1" applyAlignment="1" applyProtection="1">
      <alignment vertical="center" wrapText="1"/>
      <protection locked="0"/>
    </xf>
    <xf numFmtId="0" fontId="70" fillId="0" borderId="6" xfId="1" applyNumberFormat="1" applyFont="1" applyFill="1" applyBorder="1" applyAlignment="1" applyProtection="1">
      <alignment vertical="center" wrapText="1"/>
      <protection locked="0"/>
    </xf>
    <xf numFmtId="0" fontId="70" fillId="0" borderId="54" xfId="1" applyNumberFormat="1" applyFont="1" applyFill="1" applyBorder="1" applyAlignment="1" applyProtection="1">
      <alignment vertical="center" wrapText="1"/>
      <protection locked="0"/>
    </xf>
    <xf numFmtId="0" fontId="70" fillId="0" borderId="5" xfId="1" applyNumberFormat="1" applyFont="1" applyFill="1" applyBorder="1" applyAlignment="1" applyProtection="1">
      <alignment vertical="center"/>
      <protection locked="0"/>
    </xf>
    <xf numFmtId="0" fontId="70" fillId="0" borderId="1" xfId="1" applyNumberFormat="1" applyFont="1" applyFill="1" applyBorder="1" applyAlignment="1" applyProtection="1">
      <alignment vertical="center"/>
      <protection locked="0"/>
    </xf>
    <xf numFmtId="0" fontId="38" fillId="0" borderId="0" xfId="1" applyNumberFormat="1" applyFont="1" applyFill="1" applyBorder="1" applyAlignment="1" applyProtection="1">
      <alignment vertical="center" wrapText="1"/>
      <protection locked="0"/>
    </xf>
    <xf numFmtId="0" fontId="32" fillId="0" borderId="0" xfId="1" applyNumberFormat="1" applyFont="1" applyFill="1" applyBorder="1" applyAlignment="1" applyProtection="1">
      <alignment horizontal="center" wrapText="1"/>
    </xf>
    <xf numFmtId="0" fontId="36" fillId="0" borderId="0" xfId="1" applyNumberFormat="1" applyFont="1" applyFill="1" applyBorder="1" applyAlignment="1" applyProtection="1">
      <alignment horizontal="center" vertical="top"/>
      <protection locked="0"/>
    </xf>
    <xf numFmtId="0" fontId="70" fillId="0" borderId="80" xfId="1" applyNumberFormat="1" applyFont="1" applyFill="1" applyBorder="1" applyAlignment="1" applyProtection="1">
      <alignment vertical="center"/>
      <protection locked="0"/>
    </xf>
    <xf numFmtId="0" fontId="70" fillId="0" borderId="81" xfId="1" applyNumberFormat="1" applyFont="1" applyFill="1" applyBorder="1" applyAlignment="1" applyProtection="1">
      <alignment vertical="center" wrapText="1"/>
      <protection locked="0"/>
    </xf>
    <xf numFmtId="0" fontId="70" fillId="0" borderId="82" xfId="1" applyNumberFormat="1" applyFont="1" applyFill="1" applyBorder="1" applyAlignment="1" applyProtection="1">
      <alignment vertical="center" wrapText="1"/>
      <protection locked="0"/>
    </xf>
    <xf numFmtId="0" fontId="32" fillId="0" borderId="84" xfId="1" applyFont="1" applyFill="1" applyBorder="1" applyAlignment="1" applyProtection="1">
      <alignment horizontal="left" wrapText="1"/>
    </xf>
    <xf numFmtId="0" fontId="30" fillId="0" borderId="15" xfId="1" applyFont="1" applyFill="1" applyBorder="1" applyAlignment="1" applyProtection="1">
      <alignment horizontal="center" vertical="top" wrapText="1"/>
    </xf>
    <xf numFmtId="0" fontId="30" fillId="0" borderId="50" xfId="1" applyFont="1" applyFill="1" applyBorder="1" applyAlignment="1" applyProtection="1">
      <alignment horizontal="center" vertical="top" wrapText="1"/>
    </xf>
    <xf numFmtId="0" fontId="30" fillId="0" borderId="16" xfId="1" applyFont="1" applyFill="1" applyBorder="1" applyAlignment="1" applyProtection="1">
      <alignment horizontal="center" vertical="top" wrapText="1"/>
    </xf>
    <xf numFmtId="0" fontId="30" fillId="0" borderId="85" xfId="1" applyFont="1" applyFill="1" applyBorder="1" applyAlignment="1" applyProtection="1">
      <alignment horizontal="center" vertical="top" wrapText="1"/>
    </xf>
    <xf numFmtId="0" fontId="30" fillId="0" borderId="17" xfId="1" applyFont="1" applyFill="1" applyBorder="1" applyAlignment="1" applyProtection="1">
      <alignment horizontal="center" vertical="top"/>
    </xf>
    <xf numFmtId="0" fontId="30" fillId="0" borderId="18" xfId="1" applyFont="1" applyFill="1" applyBorder="1" applyAlignment="1" applyProtection="1">
      <alignment horizontal="center" vertical="top"/>
    </xf>
    <xf numFmtId="0" fontId="30" fillId="0" borderId="36" xfId="1" applyFont="1" applyFill="1" applyBorder="1" applyAlignment="1" applyProtection="1">
      <alignment horizontal="center" vertical="top"/>
    </xf>
    <xf numFmtId="0" fontId="30" fillId="0" borderId="59" xfId="1" applyFont="1" applyFill="1" applyBorder="1" applyAlignment="1" applyProtection="1">
      <alignment horizontal="center" vertical="top" wrapText="1"/>
    </xf>
    <xf numFmtId="0" fontId="30" fillId="0" borderId="20" xfId="1" applyFont="1" applyFill="1" applyBorder="1" applyAlignment="1" applyProtection="1">
      <alignment horizontal="center" vertical="top" wrapText="1"/>
    </xf>
    <xf numFmtId="0" fontId="30" fillId="0" borderId="60" xfId="1" applyFont="1" applyFill="1" applyBorder="1" applyAlignment="1" applyProtection="1">
      <alignment horizontal="center" vertical="top" wrapText="1"/>
    </xf>
    <xf numFmtId="0" fontId="30" fillId="0" borderId="4" xfId="1" applyFont="1" applyFill="1" applyBorder="1" applyAlignment="1" applyProtection="1">
      <alignment horizontal="center" vertical="top" wrapText="1"/>
    </xf>
    <xf numFmtId="0" fontId="60" fillId="0" borderId="17" xfId="1" applyFont="1" applyFill="1" applyBorder="1" applyAlignment="1" applyProtection="1">
      <alignment horizontal="center" vertical="top" wrapText="1"/>
    </xf>
    <xf numFmtId="0" fontId="60" fillId="0" borderId="14" xfId="1" applyFont="1" applyFill="1" applyBorder="1" applyAlignment="1" applyProtection="1">
      <alignment horizontal="center" vertical="top" wrapText="1"/>
    </xf>
    <xf numFmtId="0" fontId="60" fillId="0" borderId="18" xfId="1" applyFont="1" applyFill="1" applyBorder="1" applyAlignment="1" applyProtection="1">
      <alignment horizontal="center" vertical="top" wrapText="1"/>
    </xf>
    <xf numFmtId="0" fontId="60" fillId="0" borderId="36" xfId="1" applyFont="1" applyFill="1" applyBorder="1" applyAlignment="1" applyProtection="1">
      <alignment horizontal="center" vertical="top" wrapText="1"/>
    </xf>
    <xf numFmtId="0" fontId="30" fillId="0" borderId="19" xfId="1" applyFont="1" applyFill="1" applyBorder="1" applyAlignment="1" applyProtection="1">
      <alignment horizontal="center"/>
    </xf>
    <xf numFmtId="0" fontId="30" fillId="0" borderId="58" xfId="1" applyFont="1" applyFill="1" applyBorder="1" applyAlignment="1" applyProtection="1">
      <alignment horizontal="center"/>
    </xf>
    <xf numFmtId="0" fontId="30" fillId="0" borderId="26" xfId="1" applyFont="1" applyFill="1" applyBorder="1" applyAlignment="1" applyProtection="1">
      <alignment horizontal="center"/>
    </xf>
    <xf numFmtId="0" fontId="30" fillId="0" borderId="86" xfId="1" applyFont="1" applyFill="1" applyBorder="1" applyAlignment="1" applyProtection="1">
      <alignment horizontal="center"/>
    </xf>
    <xf numFmtId="0" fontId="30" fillId="40" borderId="38" xfId="1" applyNumberFormat="1" applyFont="1" applyFill="1" applyBorder="1" applyAlignment="1" applyProtection="1">
      <alignment horizontal="center" vertical="top"/>
      <protection locked="0"/>
    </xf>
    <xf numFmtId="0" fontId="32" fillId="40" borderId="68" xfId="1" applyFont="1" applyFill="1" applyBorder="1" applyAlignment="1" applyProtection="1">
      <alignment horizontal="center" vertical="top" wrapText="1"/>
    </xf>
    <xf numFmtId="0" fontId="32" fillId="40" borderId="69" xfId="1" applyFont="1" applyFill="1" applyBorder="1" applyAlignment="1" applyProtection="1">
      <alignment horizontal="center" vertical="top" wrapText="1"/>
    </xf>
    <xf numFmtId="0" fontId="32" fillId="40" borderId="70" xfId="1" applyFont="1" applyFill="1" applyBorder="1" applyAlignment="1" applyProtection="1">
      <alignment horizontal="center" vertical="top" wrapText="1"/>
    </xf>
    <xf numFmtId="0" fontId="30" fillId="44" borderId="14" xfId="19" quotePrefix="1" applyFont="1" applyFill="1" applyBorder="1" applyAlignment="1">
      <alignment horizontal="center" vertical="center"/>
    </xf>
    <xf numFmtId="0" fontId="60" fillId="0" borderId="0" xfId="204" applyFont="1" applyFill="1" applyAlignment="1">
      <alignment horizontal="center"/>
    </xf>
    <xf numFmtId="0" fontId="56" fillId="0" borderId="0" xfId="204" applyFont="1" applyFill="1"/>
    <xf numFmtId="0" fontId="33" fillId="0" borderId="0" xfId="204" applyFont="1" applyFill="1" applyAlignment="1">
      <alignment horizontal="left"/>
    </xf>
    <xf numFmtId="0" fontId="56" fillId="0" borderId="0" xfId="204" applyFont="1" applyFill="1" applyAlignment="1">
      <alignment horizontal="right"/>
    </xf>
    <xf numFmtId="0" fontId="55" fillId="0" borderId="0" xfId="204" applyFont="1" applyFill="1"/>
    <xf numFmtId="0" fontId="30" fillId="0" borderId="20" xfId="0" applyFont="1" applyBorder="1" applyAlignment="1">
      <alignment horizontal="center" vertical="center"/>
    </xf>
    <xf numFmtId="0" fontId="30" fillId="45" borderId="20" xfId="0" applyFont="1" applyFill="1" applyBorder="1" applyAlignment="1">
      <alignment horizontal="center" vertical="center"/>
    </xf>
    <xf numFmtId="0" fontId="30" fillId="45" borderId="14" xfId="0" applyFont="1" applyFill="1" applyBorder="1" applyAlignment="1">
      <alignment horizontal="center" vertical="center"/>
    </xf>
    <xf numFmtId="0" fontId="30" fillId="46" borderId="14" xfId="19" quotePrefix="1" applyFont="1" applyFill="1" applyBorder="1" applyAlignment="1">
      <alignment horizontal="center" vertical="center"/>
    </xf>
    <xf numFmtId="0" fontId="30" fillId="0" borderId="0" xfId="19" applyFont="1" applyFill="1" applyAlignment="1">
      <alignment vertical="center"/>
    </xf>
    <xf numFmtId="2" fontId="30" fillId="0" borderId="0" xfId="19" applyNumberFormat="1" applyFont="1" applyFill="1" applyBorder="1" applyAlignment="1">
      <alignment horizontal="center" vertical="center"/>
    </xf>
    <xf numFmtId="0" fontId="30" fillId="0" borderId="0" xfId="19" applyFont="1" applyFill="1" applyBorder="1" applyAlignment="1">
      <alignment horizontal="center" vertical="center"/>
    </xf>
    <xf numFmtId="0" fontId="56" fillId="0" borderId="0" xfId="204" applyFont="1" applyFill="1" applyAlignment="1">
      <alignment vertical="center"/>
    </xf>
    <xf numFmtId="0" fontId="33" fillId="0" borderId="0" xfId="204" applyFont="1" applyFill="1" applyAlignment="1">
      <alignment vertical="center"/>
    </xf>
    <xf numFmtId="0" fontId="86" fillId="0" borderId="0" xfId="204" applyFont="1" applyFill="1" applyAlignment="1">
      <alignment horizontal="center" vertical="center" wrapText="1"/>
    </xf>
    <xf numFmtId="0" fontId="83" fillId="0" borderId="0" xfId="204" applyFont="1" applyFill="1" applyAlignment="1">
      <alignment vertical="center"/>
    </xf>
    <xf numFmtId="0" fontId="83" fillId="0" borderId="0" xfId="204" applyFont="1" applyFill="1" applyAlignment="1">
      <alignment horizontal="center" vertical="center"/>
    </xf>
    <xf numFmtId="0" fontId="63" fillId="0" borderId="0" xfId="204" applyFont="1" applyFill="1" applyAlignment="1">
      <alignment horizontal="center" vertical="center"/>
    </xf>
    <xf numFmtId="0" fontId="63" fillId="0" borderId="0" xfId="204" applyFont="1" applyFill="1" applyAlignment="1">
      <alignment vertical="center"/>
    </xf>
    <xf numFmtId="0" fontId="33" fillId="0" borderId="0" xfId="204" applyFont="1" applyFill="1"/>
    <xf numFmtId="0" fontId="33" fillId="0" borderId="14" xfId="204" applyFont="1" applyFill="1" applyBorder="1" applyAlignment="1">
      <alignment horizontal="left"/>
    </xf>
    <xf numFmtId="0" fontId="33" fillId="46" borderId="0" xfId="204" applyFont="1" applyFill="1"/>
    <xf numFmtId="0" fontId="88" fillId="0" borderId="0" xfId="204" applyFont="1" applyFill="1" applyAlignment="1">
      <alignment horizontal="center" vertical="center"/>
    </xf>
    <xf numFmtId="0" fontId="89" fillId="0" borderId="0" xfId="204" applyFont="1" applyFill="1" applyAlignment="1">
      <alignment horizontal="center" vertical="center" wrapText="1"/>
    </xf>
    <xf numFmtId="0" fontId="30" fillId="0" borderId="20" xfId="19" quotePrefix="1" applyFont="1" applyFill="1" applyBorder="1" applyAlignment="1">
      <alignment vertic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7" borderId="14" xfId="0" applyFont="1" applyFill="1" applyBorder="1" applyAlignment="1">
      <alignment horizontal="center" vertical="center"/>
    </xf>
    <xf numFmtId="0" fontId="30" fillId="47" borderId="20" xfId="0" applyFont="1" applyFill="1" applyBorder="1" applyAlignment="1">
      <alignment horizontal="center" vertical="center"/>
    </xf>
    <xf numFmtId="0" fontId="30" fillId="48" borderId="14" xfId="0" applyFont="1" applyFill="1" applyBorder="1" applyAlignment="1">
      <alignment horizontal="center" vertical="center"/>
    </xf>
    <xf numFmtId="0" fontId="30" fillId="48" borderId="20" xfId="0" applyFont="1" applyFill="1" applyBorder="1" applyAlignment="1">
      <alignment horizontal="center" vertical="center"/>
    </xf>
    <xf numFmtId="0" fontId="36" fillId="2" borderId="8" xfId="19" applyFont="1" applyFill="1" applyBorder="1" applyAlignment="1">
      <alignment horizontal="center"/>
    </xf>
    <xf numFmtId="0" fontId="30" fillId="49" borderId="14" xfId="0" applyFont="1" applyFill="1" applyBorder="1" applyAlignment="1">
      <alignment horizontal="center" vertical="center"/>
    </xf>
    <xf numFmtId="0" fontId="30" fillId="50" borderId="14" xfId="0" applyFont="1" applyFill="1" applyBorder="1" applyAlignment="1">
      <alignment horizontal="center" vertical="center"/>
    </xf>
    <xf numFmtId="0" fontId="30" fillId="51" borderId="14" xfId="0" applyFont="1" applyFill="1" applyBorder="1" applyAlignment="1">
      <alignment horizontal="center" vertical="center"/>
    </xf>
    <xf numFmtId="0" fontId="30" fillId="52" borderId="14" xfId="0" applyFont="1" applyFill="1" applyBorder="1" applyAlignment="1">
      <alignment horizontal="center" vertical="center"/>
    </xf>
    <xf numFmtId="0" fontId="30" fillId="53" borderId="14" xfId="0" applyFont="1" applyFill="1" applyBorder="1" applyAlignment="1">
      <alignment horizontal="center" vertical="center"/>
    </xf>
    <xf numFmtId="0" fontId="30" fillId="53" borderId="20" xfId="0" applyFont="1" applyFill="1" applyBorder="1" applyAlignment="1">
      <alignment horizontal="center" vertical="center"/>
    </xf>
    <xf numFmtId="0" fontId="32" fillId="48" borderId="20" xfId="0" applyFont="1" applyFill="1" applyBorder="1" applyAlignment="1">
      <alignment horizontal="center" vertical="center"/>
    </xf>
    <xf numFmtId="0" fontId="30" fillId="54" borderId="14" xfId="0" applyFont="1" applyFill="1" applyBorder="1" applyAlignment="1">
      <alignment horizontal="center" vertical="center"/>
    </xf>
    <xf numFmtId="0" fontId="30" fillId="51" borderId="20" xfId="0" applyFont="1" applyFill="1" applyBorder="1" applyAlignment="1">
      <alignment horizontal="center" vertical="center"/>
    </xf>
    <xf numFmtId="0" fontId="32" fillId="51" borderId="14" xfId="0" applyFont="1" applyFill="1" applyBorder="1" applyAlignment="1">
      <alignment horizontal="center" vertical="center"/>
    </xf>
    <xf numFmtId="0" fontId="32" fillId="51" borderId="20" xfId="0" applyFont="1" applyFill="1" applyBorder="1" applyAlignment="1">
      <alignment horizontal="center" vertical="center"/>
    </xf>
    <xf numFmtId="0" fontId="30" fillId="55" borderId="14" xfId="0" applyFont="1" applyFill="1" applyBorder="1" applyAlignment="1">
      <alignment horizontal="center" vertical="center"/>
    </xf>
    <xf numFmtId="0" fontId="82" fillId="0" borderId="0" xfId="204" applyFont="1" applyFill="1" applyAlignment="1">
      <alignment horizontal="left"/>
    </xf>
    <xf numFmtId="0" fontId="32" fillId="55" borderId="20" xfId="0" applyFont="1" applyFill="1" applyBorder="1" applyAlignment="1">
      <alignment horizontal="center" vertical="center"/>
    </xf>
    <xf numFmtId="0" fontId="32" fillId="55" borderId="14" xfId="0" applyFont="1" applyFill="1" applyBorder="1" applyAlignment="1">
      <alignment horizontal="center" vertical="center"/>
    </xf>
    <xf numFmtId="0" fontId="30" fillId="55" borderId="20" xfId="0" applyFont="1" applyFill="1" applyBorder="1" applyAlignment="1">
      <alignment horizontal="center" vertical="center"/>
    </xf>
    <xf numFmtId="0" fontId="30" fillId="56" borderId="14" xfId="0" applyFont="1" applyFill="1" applyBorder="1" applyAlignment="1">
      <alignment horizontal="center" vertical="center"/>
    </xf>
    <xf numFmtId="0" fontId="30" fillId="56" borderId="20" xfId="0" applyFont="1" applyFill="1" applyBorder="1" applyAlignment="1">
      <alignment horizontal="center" vertical="center"/>
    </xf>
    <xf numFmtId="0" fontId="30" fillId="50" borderId="20" xfId="0" applyFont="1" applyFill="1" applyBorder="1" applyAlignment="1">
      <alignment horizontal="center" vertical="center"/>
    </xf>
    <xf numFmtId="0" fontId="33" fillId="0" borderId="22" xfId="204" applyFont="1" applyFill="1" applyBorder="1" applyAlignment="1">
      <alignment horizontal="left"/>
    </xf>
    <xf numFmtId="0" fontId="30" fillId="0" borderId="14" xfId="0" applyFont="1" applyFill="1" applyBorder="1" applyAlignment="1">
      <alignment horizontal="center" vertical="center"/>
    </xf>
    <xf numFmtId="0" fontId="30" fillId="57" borderId="14" xfId="0" applyFont="1" applyFill="1" applyBorder="1" applyAlignment="1">
      <alignment horizontal="center" vertical="center"/>
    </xf>
    <xf numFmtId="0" fontId="30" fillId="57" borderId="20" xfId="0" applyFont="1" applyFill="1" applyBorder="1" applyAlignment="1">
      <alignment horizontal="center" vertical="center"/>
    </xf>
    <xf numFmtId="0" fontId="30" fillId="58" borderId="14" xfId="0" applyFont="1" applyFill="1" applyBorder="1" applyAlignment="1">
      <alignment horizontal="center" vertical="center"/>
    </xf>
    <xf numFmtId="0" fontId="30" fillId="58" borderId="20" xfId="0" applyFont="1" applyFill="1" applyBorder="1" applyAlignment="1">
      <alignment horizontal="center" vertical="center"/>
    </xf>
    <xf numFmtId="0" fontId="30" fillId="59" borderId="14" xfId="0" applyFont="1" applyFill="1" applyBorder="1" applyAlignment="1">
      <alignment horizontal="center" vertical="center"/>
    </xf>
    <xf numFmtId="0" fontId="30" fillId="59" borderId="20" xfId="0" applyFont="1" applyFill="1" applyBorder="1" applyAlignment="1">
      <alignment horizontal="center" vertical="center"/>
    </xf>
    <xf numFmtId="0" fontId="33" fillId="38" borderId="0" xfId="204" applyFont="1" applyFill="1" applyAlignment="1">
      <alignment horizontal="center"/>
    </xf>
    <xf numFmtId="0" fontId="33" fillId="60" borderId="0" xfId="204" applyFont="1" applyFill="1" applyAlignment="1">
      <alignment horizont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4" borderId="20" xfId="19" quotePrefix="1" applyFont="1" applyFill="1" applyBorder="1" applyAlignment="1">
      <alignment horizontal="center" vertical="center"/>
    </xf>
    <xf numFmtId="0" fontId="30" fillId="44" borderId="23" xfId="19" quotePrefix="1" applyFont="1" applyFill="1" applyBorder="1" applyAlignment="1">
      <alignment horizontal="center" vertical="center"/>
    </xf>
    <xf numFmtId="0" fontId="30" fillId="46" borderId="25" xfId="19" quotePrefix="1" applyFont="1" applyFill="1" applyBorder="1" applyAlignment="1">
      <alignment horizontal="center" vertical="center"/>
    </xf>
    <xf numFmtId="0" fontId="30" fillId="46" borderId="20" xfId="19" quotePrefix="1" applyFont="1" applyFill="1" applyBorder="1" applyAlignment="1">
      <alignment horizontal="center" vertical="center"/>
    </xf>
    <xf numFmtId="49" fontId="37" fillId="0" borderId="13" xfId="19" quotePrefix="1" applyNumberFormat="1" applyFont="1" applyFill="1" applyBorder="1" applyAlignment="1">
      <alignment horizontal="center" wrapText="1"/>
    </xf>
    <xf numFmtId="49" fontId="37" fillId="0" borderId="1" xfId="19" quotePrefix="1" applyNumberFormat="1" applyFont="1" applyFill="1" applyBorder="1" applyAlignment="1">
      <alignment horizontal="center" wrapText="1"/>
    </xf>
    <xf numFmtId="49" fontId="37" fillId="0" borderId="61" xfId="19" quotePrefix="1" applyNumberFormat="1" applyFont="1" applyFill="1" applyBorder="1" applyAlignment="1">
      <alignment horizontal="center" wrapText="1"/>
    </xf>
    <xf numFmtId="49" fontId="37" fillId="0" borderId="7" xfId="19" quotePrefix="1" applyNumberFormat="1" applyFont="1" applyFill="1" applyBorder="1" applyAlignment="1">
      <alignment horizontal="center" wrapText="1"/>
    </xf>
    <xf numFmtId="49" fontId="37" fillId="0" borderId="0" xfId="19" quotePrefix="1" applyNumberFormat="1" applyFont="1" applyFill="1" applyBorder="1" applyAlignment="1">
      <alignment horizontal="center" wrapText="1"/>
    </xf>
    <xf numFmtId="49" fontId="37" fillId="0" borderId="62" xfId="19" quotePrefix="1" applyNumberFormat="1" applyFont="1" applyFill="1" applyBorder="1" applyAlignment="1">
      <alignment horizontal="center" wrapText="1"/>
    </xf>
    <xf numFmtId="49" fontId="37" fillId="0" borderId="10" xfId="19" quotePrefix="1" applyNumberFormat="1" applyFont="1" applyFill="1" applyBorder="1" applyAlignment="1">
      <alignment horizontal="center" wrapText="1"/>
    </xf>
    <xf numFmtId="49" fontId="37" fillId="0" borderId="2" xfId="19" quotePrefix="1" applyNumberFormat="1" applyFont="1" applyFill="1" applyBorder="1" applyAlignment="1">
      <alignment horizontal="center" wrapText="1"/>
    </xf>
    <xf numFmtId="49" fontId="37" fillId="0" borderId="63" xfId="19" quotePrefix="1" applyNumberFormat="1" applyFont="1" applyFill="1" applyBorder="1" applyAlignment="1">
      <alignment horizontal="center" wrapText="1"/>
    </xf>
    <xf numFmtId="0" fontId="30" fillId="46" borderId="23" xfId="19" quotePrefix="1" applyFont="1" applyFill="1" applyBorder="1" applyAlignment="1">
      <alignment horizontal="center" vertical="center"/>
    </xf>
    <xf numFmtId="0" fontId="84" fillId="0" borderId="87" xfId="1" applyFont="1" applyFill="1" applyBorder="1" applyAlignment="1" applyProtection="1">
      <alignment horizontal="center" vertical="center" wrapText="1"/>
    </xf>
    <xf numFmtId="0" fontId="84" fillId="0" borderId="83" xfId="1" applyFont="1" applyFill="1" applyBorder="1" applyAlignment="1" applyProtection="1">
      <alignment horizontal="center" vertical="center" wrapText="1"/>
    </xf>
    <xf numFmtId="0" fontId="84" fillId="0" borderId="88" xfId="1" applyFont="1" applyFill="1" applyBorder="1" applyAlignment="1" applyProtection="1">
      <alignment horizontal="center" vertical="center" wrapText="1"/>
    </xf>
    <xf numFmtId="0" fontId="84" fillId="0" borderId="72" xfId="1" applyFont="1" applyFill="1" applyBorder="1" applyAlignment="1" applyProtection="1">
      <alignment horizontal="center" vertical="center" wrapText="1"/>
    </xf>
    <xf numFmtId="0" fontId="84" fillId="0" borderId="73" xfId="1" applyFont="1" applyFill="1" applyBorder="1" applyAlignment="1" applyProtection="1">
      <alignment horizontal="center" vertical="center" wrapText="1"/>
    </xf>
    <xf numFmtId="0" fontId="84" fillId="0" borderId="77" xfId="1" applyFont="1" applyFill="1" applyBorder="1" applyAlignment="1" applyProtection="1">
      <alignment horizontal="center" vertical="center" wrapText="1"/>
    </xf>
    <xf numFmtId="0" fontId="38" fillId="0" borderId="72" xfId="1" applyFont="1" applyFill="1" applyBorder="1" applyAlignment="1" applyProtection="1">
      <alignment horizontal="center" vertical="center" wrapText="1"/>
      <protection hidden="1"/>
    </xf>
    <xf numFmtId="0" fontId="38" fillId="0" borderId="73" xfId="1" applyFont="1" applyFill="1" applyBorder="1" applyAlignment="1" applyProtection="1">
      <alignment horizontal="center" vertical="center" wrapText="1"/>
      <protection hidden="1"/>
    </xf>
    <xf numFmtId="0" fontId="38" fillId="0" borderId="76" xfId="1" applyFont="1" applyFill="1" applyBorder="1" applyAlignment="1" applyProtection="1">
      <alignment horizontal="center" vertical="center" wrapText="1"/>
      <protection hidden="1"/>
    </xf>
    <xf numFmtId="0" fontId="38" fillId="0" borderId="78" xfId="1" applyFont="1" applyFill="1" applyBorder="1" applyAlignment="1" applyProtection="1">
      <alignment horizontal="center" vertical="center" wrapText="1"/>
      <protection hidden="1"/>
    </xf>
    <xf numFmtId="0" fontId="70" fillId="0" borderId="5" xfId="1" applyNumberFormat="1" applyFont="1" applyFill="1" applyBorder="1" applyAlignment="1" applyProtection="1">
      <alignment horizontal="left" vertical="center" wrapText="1"/>
      <protection hidden="1"/>
    </xf>
    <xf numFmtId="0" fontId="70" fillId="0" borderId="6" xfId="1" applyNumberFormat="1" applyFont="1" applyFill="1" applyBorder="1" applyAlignment="1" applyProtection="1">
      <alignment horizontal="left" vertical="center" wrapText="1"/>
      <protection hidden="1"/>
    </xf>
    <xf numFmtId="0" fontId="70" fillId="0" borderId="54" xfId="1" applyNumberFormat="1" applyFont="1" applyFill="1" applyBorder="1" applyAlignment="1" applyProtection="1">
      <alignment horizontal="left" vertical="center" wrapText="1"/>
      <protection hidden="1"/>
    </xf>
    <xf numFmtId="0" fontId="38" fillId="0" borderId="79" xfId="1" applyFont="1" applyFill="1" applyBorder="1" applyAlignment="1" applyProtection="1">
      <alignment horizontal="center" vertical="center" wrapText="1"/>
      <protection hidden="1"/>
    </xf>
    <xf numFmtId="0" fontId="38" fillId="0" borderId="43" xfId="1" applyFont="1" applyFill="1" applyBorder="1" applyAlignment="1" applyProtection="1">
      <alignment horizontal="center" vertical="center" wrapText="1"/>
      <protection hidden="1"/>
    </xf>
    <xf numFmtId="0" fontId="67" fillId="0" borderId="48" xfId="1" applyNumberFormat="1" applyFont="1" applyFill="1" applyBorder="1" applyAlignment="1" applyProtection="1">
      <alignment horizontal="left" vertical="center"/>
    </xf>
    <xf numFmtId="0" fontId="67" fillId="0" borderId="12" xfId="1" applyNumberFormat="1" applyFont="1" applyFill="1" applyBorder="1" applyAlignment="1" applyProtection="1">
      <alignment horizontal="left" vertical="center"/>
    </xf>
    <xf numFmtId="0" fontId="79" fillId="0" borderId="50" xfId="0" applyFont="1" applyFill="1" applyBorder="1" applyAlignment="1">
      <alignment horizontal="center" wrapText="1"/>
    </xf>
    <xf numFmtId="0" fontId="79" fillId="0" borderId="16" xfId="0" applyFont="1" applyFill="1" applyBorder="1" applyAlignment="1">
      <alignment horizontal="center" wrapText="1"/>
    </xf>
  </cellXfs>
  <cellStyles count="285">
    <cellStyle name="%" xfId="3"/>
    <cellStyle name="% 2" xfId="4"/>
    <cellStyle name="% 2 2" xfId="84"/>
    <cellStyle name="% 3" xfId="83"/>
    <cellStyle name="20% - Accent1" xfId="44" builtinId="30" customBuiltin="1"/>
    <cellStyle name="20% - Accent1 2" xfId="103"/>
    <cellStyle name="20% - Accent1 3" xfId="142"/>
    <cellStyle name="20% - Accent1 4" xfId="179"/>
    <cellStyle name="20% - Accent2" xfId="48" builtinId="34" customBuiltin="1"/>
    <cellStyle name="20% - Accent2 2" xfId="105"/>
    <cellStyle name="20% - Accent2 3" xfId="144"/>
    <cellStyle name="20% - Accent2 4" xfId="181"/>
    <cellStyle name="20% - Accent3" xfId="52" builtinId="38" customBuiltin="1"/>
    <cellStyle name="20% - Accent3 2" xfId="107"/>
    <cellStyle name="20% - Accent3 3" xfId="146"/>
    <cellStyle name="20% - Accent3 4" xfId="183"/>
    <cellStyle name="20% - Accent4" xfId="56" builtinId="42" customBuiltin="1"/>
    <cellStyle name="20% - Accent4 2" xfId="109"/>
    <cellStyle name="20% - Accent4 3" xfId="148"/>
    <cellStyle name="20% - Accent4 4" xfId="185"/>
    <cellStyle name="20% - Accent5" xfId="60" builtinId="46" customBuiltin="1"/>
    <cellStyle name="20% - Accent5 2" xfId="111"/>
    <cellStyle name="20% - Accent5 3" xfId="150"/>
    <cellStyle name="20% - Accent5 4" xfId="187"/>
    <cellStyle name="20% - Accent6" xfId="64" builtinId="50" customBuiltin="1"/>
    <cellStyle name="20% - Accent6 2" xfId="113"/>
    <cellStyle name="20% - Accent6 3" xfId="152"/>
    <cellStyle name="20% - Accent6 4" xfId="189"/>
    <cellStyle name="40% - Accent1" xfId="45" builtinId="31" customBuiltin="1"/>
    <cellStyle name="40% - Accent1 2" xfId="104"/>
    <cellStyle name="40% - Accent1 3" xfId="143"/>
    <cellStyle name="40% - Accent1 4" xfId="180"/>
    <cellStyle name="40% - Accent2" xfId="49" builtinId="35" customBuiltin="1"/>
    <cellStyle name="40% - Accent2 2" xfId="106"/>
    <cellStyle name="40% - Accent2 3" xfId="145"/>
    <cellStyle name="40% - Accent2 4" xfId="182"/>
    <cellStyle name="40% - Accent3" xfId="53" builtinId="39" customBuiltin="1"/>
    <cellStyle name="40% - Accent3 2" xfId="108"/>
    <cellStyle name="40% - Accent3 3" xfId="147"/>
    <cellStyle name="40% - Accent3 4" xfId="184"/>
    <cellStyle name="40% - Accent4" xfId="57" builtinId="43" customBuiltin="1"/>
    <cellStyle name="40% - Accent4 2" xfId="110"/>
    <cellStyle name="40% - Accent4 3" xfId="149"/>
    <cellStyle name="40% - Accent4 4" xfId="186"/>
    <cellStyle name="40% - Accent5" xfId="61" builtinId="47" customBuiltin="1"/>
    <cellStyle name="40% - Accent5 2" xfId="112"/>
    <cellStyle name="40% - Accent5 3" xfId="151"/>
    <cellStyle name="40% - Accent5 4" xfId="188"/>
    <cellStyle name="40% - Accent6" xfId="65" builtinId="51" customBuiltin="1"/>
    <cellStyle name="40% - Accent6 2" xfId="114"/>
    <cellStyle name="40% - Accent6 3" xfId="153"/>
    <cellStyle name="40% - Accent6 4" xfId="190"/>
    <cellStyle name="60% - Accent1" xfId="46" builtinId="32" customBuiltin="1"/>
    <cellStyle name="60% - Accent2" xfId="50" builtinId="36" customBuiltin="1"/>
    <cellStyle name="60% - Accent3" xfId="54" builtinId="40" customBuiltin="1"/>
    <cellStyle name="60% - Accent4" xfId="58" builtinId="44" customBuiltin="1"/>
    <cellStyle name="60% - Accent5" xfId="62" builtinId="48" customBuiltin="1"/>
    <cellStyle name="60% - Accent6" xfId="66" builtinId="52" customBuiltin="1"/>
    <cellStyle name="Accent1" xfId="43" builtinId="29" customBuiltin="1"/>
    <cellStyle name="Accent2" xfId="47" builtinId="33" customBuiltin="1"/>
    <cellStyle name="Accent3" xfId="51" builtinId="37" customBuiltin="1"/>
    <cellStyle name="Accent4" xfId="55" builtinId="41" customBuiltin="1"/>
    <cellStyle name="Accent5" xfId="59" builtinId="45" customBuiltin="1"/>
    <cellStyle name="Accent6" xfId="63" builtinId="49" customBuiltin="1"/>
    <cellStyle name="Bad" xfId="33" builtinId="27" customBuiltin="1"/>
    <cellStyle name="Calculation" xfId="37" builtinId="22" customBuiltin="1"/>
    <cellStyle name="Check Cell" xfId="39" builtinId="23" customBuiltin="1"/>
    <cellStyle name="Comma 2" xfId="5"/>
    <cellStyle name="Comma 2 2" xfId="85"/>
    <cellStyle name="Currency 2" xfId="6"/>
    <cellStyle name="Currency 2 2" xfId="7"/>
    <cellStyle name="Currency 2 2 2" xfId="87"/>
    <cellStyle name="Currency 2 3" xfId="86"/>
    <cellStyle name="Currency 3" xfId="8"/>
    <cellStyle name="Currency 3 2" xfId="88"/>
    <cellStyle name="Currency 4" xfId="9"/>
    <cellStyle name="Currency 4 2" xfId="89"/>
    <cellStyle name="Excel Built-in Normal" xfId="75"/>
    <cellStyle name="Explanatory Text" xfId="41" builtinId="53" customBuilti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Good" xfId="32" builtinId="26" customBuiltin="1"/>
    <cellStyle name="Heading 1" xfId="28" builtinId="16" customBuiltin="1"/>
    <cellStyle name="Heading 2" xfId="29" builtinId="17" customBuiltin="1"/>
    <cellStyle name="Heading 3" xfId="30" builtinId="18" customBuiltin="1"/>
    <cellStyle name="Heading 4" xfId="31" builtinId="19" customBuiltin="1"/>
    <cellStyle name="Hyperlink" xfId="79" builtinId="8"/>
    <cellStyle name="Input" xfId="35" builtinId="20" customBuiltin="1"/>
    <cellStyle name="Linked Cell" xfId="38" builtinId="24" customBuiltin="1"/>
    <cellStyle name="Neutral" xfId="34" builtinId="28" customBuiltin="1"/>
    <cellStyle name="Normal" xfId="0" builtinId="0"/>
    <cellStyle name="Normal 10" xfId="69"/>
    <cellStyle name="Normal 10 2" xfId="117"/>
    <cellStyle name="Normal 10 3" xfId="156"/>
    <cellStyle name="Normal 10 4" xfId="193"/>
    <cellStyle name="Normal 104" xfId="21"/>
    <cellStyle name="Normal 11" xfId="70"/>
    <cellStyle name="Normal 11 2" xfId="118"/>
    <cellStyle name="Normal 11 3" xfId="157"/>
    <cellStyle name="Normal 11 4" xfId="194"/>
    <cellStyle name="Normal 12" xfId="71"/>
    <cellStyle name="Normal 12 2" xfId="119"/>
    <cellStyle name="Normal 12 3" xfId="158"/>
    <cellStyle name="Normal 12 4" xfId="195"/>
    <cellStyle name="Normal 13" xfId="72"/>
    <cellStyle name="Normal 13 2" xfId="120"/>
    <cellStyle name="Normal 13 3" xfId="159"/>
    <cellStyle name="Normal 13 4" xfId="196"/>
    <cellStyle name="Normal 14" xfId="73"/>
    <cellStyle name="Normal 14 2" xfId="121"/>
    <cellStyle name="Normal 14 3" xfId="160"/>
    <cellStyle name="Normal 14 4" xfId="197"/>
    <cellStyle name="Normal 15" xfId="74"/>
    <cellStyle name="Normal 15 2" xfId="122"/>
    <cellStyle name="Normal 15 3" xfId="161"/>
    <cellStyle name="Normal 15 4" xfId="198"/>
    <cellStyle name="Normal 16" xfId="76"/>
    <cellStyle name="Normal 16 2" xfId="123"/>
    <cellStyle name="Normal 16 3" xfId="162"/>
    <cellStyle name="Normal 16 4" xfId="199"/>
    <cellStyle name="Normal 17" xfId="78"/>
    <cellStyle name="Normal 17 2" xfId="124"/>
    <cellStyle name="Normal 17 3" xfId="163"/>
    <cellStyle name="Normal 17 4" xfId="200"/>
    <cellStyle name="Normal 18" xfId="81"/>
    <cellStyle name="Normal 18 2" xfId="126"/>
    <cellStyle name="Normal 18 3" xfId="165"/>
    <cellStyle name="Normal 18 4" xfId="202"/>
    <cellStyle name="Normal 19" xfId="203"/>
    <cellStyle name="Normal 2" xfId="2"/>
    <cellStyle name="Normal 2 2" xfId="20"/>
    <cellStyle name="Normal 3" xfId="10"/>
    <cellStyle name="Normal 3 2" xfId="11"/>
    <cellStyle name="Normal 3 2 2" xfId="12"/>
    <cellStyle name="Normal 3 2 2 2" xfId="13"/>
    <cellStyle name="Normal 3 2 2 2 2" xfId="93"/>
    <cellStyle name="Normal 3 2 2 2 3" xfId="132"/>
    <cellStyle name="Normal 3 2 2 2 4" xfId="169"/>
    <cellStyle name="Normal 3 2 2 3" xfId="14"/>
    <cellStyle name="Normal 3 2 2 3 2" xfId="94"/>
    <cellStyle name="Normal 3 2 2 3 3" xfId="133"/>
    <cellStyle name="Normal 3 2 2 3 4" xfId="170"/>
    <cellStyle name="Normal 3 2 2 4" xfId="92"/>
    <cellStyle name="Normal 3 2 2 5" xfId="131"/>
    <cellStyle name="Normal 3 2 2 6" xfId="168"/>
    <cellStyle name="Normal 3 2 3" xfId="91"/>
    <cellStyle name="Normal 3 2 4" xfId="130"/>
    <cellStyle name="Normal 3 2 5" xfId="167"/>
    <cellStyle name="Normal 3 3" xfId="15"/>
    <cellStyle name="Normal 3 3 2" xfId="24"/>
    <cellStyle name="Normal 3 3 2 2" xfId="80"/>
    <cellStyle name="Normal 3 3 2 2 2" xfId="125"/>
    <cellStyle name="Normal 3 3 2 2 3" xfId="164"/>
    <cellStyle name="Normal 3 3 2 2 4" xfId="201"/>
    <cellStyle name="Normal 3 3 2 3" xfId="100"/>
    <cellStyle name="Normal 3 3 2 4" xfId="139"/>
    <cellStyle name="Normal 3 3 2 5" xfId="176"/>
    <cellStyle name="Normal 3 3 3" xfId="82"/>
    <cellStyle name="Normal 3 3 3 2" xfId="128"/>
    <cellStyle name="Normal 3 3 3 3" xfId="127"/>
    <cellStyle name="Normal 3 3 4" xfId="95"/>
    <cellStyle name="Normal 3 3 5" xfId="134"/>
    <cellStyle name="Normal 3 3 6" xfId="171"/>
    <cellStyle name="Normal 3 3 7" xfId="204"/>
    <cellStyle name="Normal 3 4" xfId="77"/>
    <cellStyle name="Normal 3 5" xfId="90"/>
    <cellStyle name="Normal 3 6" xfId="129"/>
    <cellStyle name="Normal 3 7" xfId="166"/>
    <cellStyle name="Normal 4" xfId="16"/>
    <cellStyle name="Normal 4 2" xfId="96"/>
    <cellStyle name="Normal 4 3" xfId="135"/>
    <cellStyle name="Normal 4 4" xfId="172"/>
    <cellStyle name="Normal 5" xfId="17"/>
    <cellStyle name="Normal 6" xfId="18"/>
    <cellStyle name="Normal 6 2" xfId="97"/>
    <cellStyle name="Normal 6 3" xfId="136"/>
    <cellStyle name="Normal 6 4" xfId="173"/>
    <cellStyle name="Normal 7" xfId="22"/>
    <cellStyle name="Normal 7 2" xfId="25"/>
    <cellStyle name="Normal 7 2 2" xfId="101"/>
    <cellStyle name="Normal 7 2 3" xfId="140"/>
    <cellStyle name="Normal 7 2 4" xfId="177"/>
    <cellStyle name="Normal 7 3" xfId="98"/>
    <cellStyle name="Normal 7 4" xfId="137"/>
    <cellStyle name="Normal 7 5" xfId="174"/>
    <cellStyle name="Normal 8" xfId="23"/>
    <cellStyle name="Normal 8 2" xfId="26"/>
    <cellStyle name="Normal 8 2 2" xfId="102"/>
    <cellStyle name="Normal 8 2 3" xfId="141"/>
    <cellStyle name="Normal 8 2 4" xfId="178"/>
    <cellStyle name="Normal 8 3" xfId="99"/>
    <cellStyle name="Normal 8 4" xfId="138"/>
    <cellStyle name="Normal 8 5" xfId="175"/>
    <cellStyle name="Normal 9" xfId="67"/>
    <cellStyle name="Normal 9 2" xfId="115"/>
    <cellStyle name="Normal 9 3" xfId="154"/>
    <cellStyle name="Normal 9 4" xfId="191"/>
    <cellStyle name="Normal_Charter_Simultrans power req's_v.7" xfId="1"/>
    <cellStyle name="Normal_Rack Elevation v1 1 2" xfId="19"/>
    <cellStyle name="Note 2" xfId="68"/>
    <cellStyle name="Note 2 2" xfId="116"/>
    <cellStyle name="Note 2 3" xfId="155"/>
    <cellStyle name="Note 2 4" xfId="192"/>
    <cellStyle name="Output" xfId="36" builtinId="21" customBuiltin="1"/>
    <cellStyle name="Title" xfId="27" builtinId="15" customBuiltin="1"/>
    <cellStyle name="Total" xfId="42" builtinId="25" customBuiltin="1"/>
    <cellStyle name="Warning Text" xfId="40" builtinId="11" customBuiltin="1"/>
  </cellStyles>
  <dxfs count="3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colors>
    <mruColors>
      <color rgb="FF8DE400"/>
      <color rgb="FFCCCC00"/>
      <color rgb="FFFF0000"/>
      <color rgb="FFFFFFCC"/>
      <color rgb="FF669900"/>
      <color rgb="FF00CC00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CheckBox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76200</xdr:rowOff>
        </xdr:from>
        <xdr:to>
          <xdr:col>9</xdr:col>
          <xdr:colOff>2026920</xdr:colOff>
          <xdr:row>1</xdr:row>
          <xdr:rowOff>30480</xdr:rowOff>
        </xdr:to>
        <xdr:sp macro="" textlink="">
          <xdr:nvSpPr>
            <xdr:cNvPr id="34819" name="Button 3" hidden="1">
              <a:extLst>
                <a:ext uri="{63B3BB69-23CF-44E3-9099-C40C66FF867C}">
                  <a14:compatExt spid="_x0000_s34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0</xdr:rowOff>
        </xdr:from>
        <xdr:to>
          <xdr:col>9</xdr:col>
          <xdr:colOff>2026920</xdr:colOff>
          <xdr:row>0</xdr:row>
          <xdr:rowOff>30480</xdr:rowOff>
        </xdr:to>
        <xdr:sp macro="" textlink="">
          <xdr:nvSpPr>
            <xdr:cNvPr id="34820" name="Button 4" hidden="1">
              <a:extLst>
                <a:ext uri="{63B3BB69-23CF-44E3-9099-C40C66FF867C}">
                  <a14:compatExt spid="_x0000_s348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76200</xdr:rowOff>
        </xdr:from>
        <xdr:to>
          <xdr:col>12</xdr:col>
          <xdr:colOff>0</xdr:colOff>
          <xdr:row>1</xdr:row>
          <xdr:rowOff>30480</xdr:rowOff>
        </xdr:to>
        <xdr:sp macro="" textlink="">
          <xdr:nvSpPr>
            <xdr:cNvPr id="34821" name="Button 5" hidden="1">
              <a:extLst>
                <a:ext uri="{63B3BB69-23CF-44E3-9099-C40C66FF867C}">
                  <a14:compatExt spid="_x0000_s348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0</xdr:rowOff>
        </xdr:from>
        <xdr:to>
          <xdr:col>12</xdr:col>
          <xdr:colOff>0</xdr:colOff>
          <xdr:row>0</xdr:row>
          <xdr:rowOff>30480</xdr:rowOff>
        </xdr:to>
        <xdr:sp macro="" textlink="">
          <xdr:nvSpPr>
            <xdr:cNvPr id="34822" name="Button 6" hidden="1">
              <a:extLst>
                <a:ext uri="{63B3BB69-23CF-44E3-9099-C40C66FF867C}">
                  <a14:compatExt spid="_x0000_s348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76200</xdr:rowOff>
        </xdr:from>
        <xdr:to>
          <xdr:col>25</xdr:col>
          <xdr:colOff>2026920</xdr:colOff>
          <xdr:row>1</xdr:row>
          <xdr:rowOff>30480</xdr:rowOff>
        </xdr:to>
        <xdr:sp macro="" textlink="">
          <xdr:nvSpPr>
            <xdr:cNvPr id="34823" name="Button 7" hidden="1">
              <a:extLst>
                <a:ext uri="{63B3BB69-23CF-44E3-9099-C40C66FF867C}">
                  <a14:compatExt spid="_x0000_s348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0</xdr:rowOff>
        </xdr:from>
        <xdr:to>
          <xdr:col>25</xdr:col>
          <xdr:colOff>2026920</xdr:colOff>
          <xdr:row>0</xdr:row>
          <xdr:rowOff>30480</xdr:rowOff>
        </xdr:to>
        <xdr:sp macro="" textlink="">
          <xdr:nvSpPr>
            <xdr:cNvPr id="34824" name="Button 8" hidden="1">
              <a:extLst>
                <a:ext uri="{63B3BB69-23CF-44E3-9099-C40C66FF867C}">
                  <a14:compatExt spid="_x0000_s348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34829" name="Button 13" hidden="1">
              <a:extLst>
                <a:ext uri="{63B3BB69-23CF-44E3-9099-C40C66FF867C}">
                  <a14:compatExt spid="_x0000_s348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0</xdr:rowOff>
        </xdr:from>
        <xdr:to>
          <xdr:col>33</xdr:col>
          <xdr:colOff>2026920</xdr:colOff>
          <xdr:row>0</xdr:row>
          <xdr:rowOff>30480</xdr:rowOff>
        </xdr:to>
        <xdr:sp macro="" textlink="">
          <xdr:nvSpPr>
            <xdr:cNvPr id="34830" name="Button 14" hidden="1">
              <a:extLst>
                <a:ext uri="{63B3BB69-23CF-44E3-9099-C40C66FF867C}">
                  <a14:compatExt spid="_x0000_s348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34831" name="Button 15" hidden="1">
              <a:extLst>
                <a:ext uri="{63B3BB69-23CF-44E3-9099-C40C66FF867C}">
                  <a14:compatExt spid="_x0000_s348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34832" name="Button 16" hidden="1">
              <a:extLst>
                <a:ext uri="{63B3BB69-23CF-44E3-9099-C40C66FF867C}">
                  <a14:compatExt spid="_x0000_s348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34833" name="Button 17" hidden="1">
              <a:extLst>
                <a:ext uri="{63B3BB69-23CF-44E3-9099-C40C66FF867C}">
                  <a14:compatExt spid="_x0000_s34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182880</xdr:colOff>
          <xdr:row>0</xdr:row>
          <xdr:rowOff>76200</xdr:rowOff>
        </xdr:from>
        <xdr:to>
          <xdr:col>41</xdr:col>
          <xdr:colOff>2026920</xdr:colOff>
          <xdr:row>1</xdr:row>
          <xdr:rowOff>30480</xdr:rowOff>
        </xdr:to>
        <xdr:sp macro="" textlink="">
          <xdr:nvSpPr>
            <xdr:cNvPr id="34837" name="Button 21" hidden="1">
              <a:extLst>
                <a:ext uri="{63B3BB69-23CF-44E3-9099-C40C66FF867C}">
                  <a14:compatExt spid="_x0000_s34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182880</xdr:colOff>
          <xdr:row>0</xdr:row>
          <xdr:rowOff>0</xdr:rowOff>
        </xdr:from>
        <xdr:to>
          <xdr:col>41</xdr:col>
          <xdr:colOff>2026920</xdr:colOff>
          <xdr:row>0</xdr:row>
          <xdr:rowOff>30480</xdr:rowOff>
        </xdr:to>
        <xdr:sp macro="" textlink="">
          <xdr:nvSpPr>
            <xdr:cNvPr id="34838" name="Button 22" hidden="1">
              <a:extLst>
                <a:ext uri="{63B3BB69-23CF-44E3-9099-C40C66FF867C}">
                  <a14:compatExt spid="_x0000_s348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76200</xdr:rowOff>
        </xdr:from>
        <xdr:to>
          <xdr:col>17</xdr:col>
          <xdr:colOff>2026920</xdr:colOff>
          <xdr:row>1</xdr:row>
          <xdr:rowOff>30480</xdr:rowOff>
        </xdr:to>
        <xdr:sp macro="" textlink="">
          <xdr:nvSpPr>
            <xdr:cNvPr id="34840" name="Button 24" hidden="1">
              <a:extLst>
                <a:ext uri="{63B3BB69-23CF-44E3-9099-C40C66FF867C}">
                  <a14:compatExt spid="_x0000_s34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0</xdr:rowOff>
        </xdr:from>
        <xdr:to>
          <xdr:col>17</xdr:col>
          <xdr:colOff>2026920</xdr:colOff>
          <xdr:row>0</xdr:row>
          <xdr:rowOff>30480</xdr:rowOff>
        </xdr:to>
        <xdr:sp macro="" textlink="">
          <xdr:nvSpPr>
            <xdr:cNvPr id="34841" name="Button 25" hidden="1">
              <a:extLst>
                <a:ext uri="{63B3BB69-23CF-44E3-9099-C40C66FF867C}">
                  <a14:compatExt spid="_x0000_s34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0</xdr:row>
          <xdr:rowOff>76200</xdr:rowOff>
        </xdr:from>
        <xdr:to>
          <xdr:col>21</xdr:col>
          <xdr:colOff>2026920</xdr:colOff>
          <xdr:row>1</xdr:row>
          <xdr:rowOff>30480</xdr:rowOff>
        </xdr:to>
        <xdr:sp macro="" textlink="">
          <xdr:nvSpPr>
            <xdr:cNvPr id="34842" name="Button 26" hidden="1">
              <a:extLst>
                <a:ext uri="{63B3BB69-23CF-44E3-9099-C40C66FF867C}">
                  <a14:compatExt spid="_x0000_s34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34843" name="Button 27" hidden="1">
              <a:extLst>
                <a:ext uri="{63B3BB69-23CF-44E3-9099-C40C66FF867C}">
                  <a14:compatExt spid="_x0000_s34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34844" name="Button 28" hidden="1">
              <a:extLst>
                <a:ext uri="{63B3BB69-23CF-44E3-9099-C40C66FF867C}">
                  <a14:compatExt spid="_x0000_s34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34845" name="Button 29" hidden="1">
              <a:extLst>
                <a:ext uri="{63B3BB69-23CF-44E3-9099-C40C66FF867C}">
                  <a14:compatExt spid="_x0000_s348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34846" name="Button 30" hidden="1">
              <a:extLst>
                <a:ext uri="{63B3BB69-23CF-44E3-9099-C40C66FF867C}">
                  <a14:compatExt spid="_x0000_s34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76200</xdr:rowOff>
        </xdr:from>
        <xdr:to>
          <xdr:col>13</xdr:col>
          <xdr:colOff>2026920</xdr:colOff>
          <xdr:row>1</xdr:row>
          <xdr:rowOff>30480</xdr:rowOff>
        </xdr:to>
        <xdr:sp macro="" textlink="">
          <xdr:nvSpPr>
            <xdr:cNvPr id="34847" name="Button 31" hidden="1">
              <a:extLst>
                <a:ext uri="{63B3BB69-23CF-44E3-9099-C40C66FF867C}">
                  <a14:compatExt spid="_x0000_s348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0</xdr:rowOff>
        </xdr:from>
        <xdr:to>
          <xdr:col>13</xdr:col>
          <xdr:colOff>2026920</xdr:colOff>
          <xdr:row>0</xdr:row>
          <xdr:rowOff>30480</xdr:rowOff>
        </xdr:to>
        <xdr:sp macro="" textlink="">
          <xdr:nvSpPr>
            <xdr:cNvPr id="34848" name="Button 32" hidden="1">
              <a:extLst>
                <a:ext uri="{63B3BB69-23CF-44E3-9099-C40C66FF867C}">
                  <a14:compatExt spid="_x0000_s34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76200</xdr:rowOff>
        </xdr:from>
        <xdr:to>
          <xdr:col>9</xdr:col>
          <xdr:colOff>2026920</xdr:colOff>
          <xdr:row>1</xdr:row>
          <xdr:rowOff>30480</xdr:rowOff>
        </xdr:to>
        <xdr:sp macro="" textlink="">
          <xdr:nvSpPr>
            <xdr:cNvPr id="40963" name="Button 3" hidden="1">
              <a:extLst>
                <a:ext uri="{63B3BB69-23CF-44E3-9099-C40C66FF867C}">
                  <a14:compatExt spid="_x0000_s409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0</xdr:rowOff>
        </xdr:from>
        <xdr:to>
          <xdr:col>9</xdr:col>
          <xdr:colOff>2026920</xdr:colOff>
          <xdr:row>0</xdr:row>
          <xdr:rowOff>30480</xdr:rowOff>
        </xdr:to>
        <xdr:sp macro="" textlink="">
          <xdr:nvSpPr>
            <xdr:cNvPr id="40964" name="Button 4" hidden="1">
              <a:extLst>
                <a:ext uri="{63B3BB69-23CF-44E3-9099-C40C66FF867C}">
                  <a14:compatExt spid="_x0000_s409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76200</xdr:rowOff>
        </xdr:from>
        <xdr:to>
          <xdr:col>13</xdr:col>
          <xdr:colOff>2026920</xdr:colOff>
          <xdr:row>1</xdr:row>
          <xdr:rowOff>30480</xdr:rowOff>
        </xdr:to>
        <xdr:sp macro="" textlink="">
          <xdr:nvSpPr>
            <xdr:cNvPr id="40965" name="Button 5" hidden="1">
              <a:extLst>
                <a:ext uri="{63B3BB69-23CF-44E3-9099-C40C66FF867C}">
                  <a14:compatExt spid="_x0000_s409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0</xdr:rowOff>
        </xdr:from>
        <xdr:to>
          <xdr:col>13</xdr:col>
          <xdr:colOff>2026920</xdr:colOff>
          <xdr:row>0</xdr:row>
          <xdr:rowOff>30480</xdr:rowOff>
        </xdr:to>
        <xdr:sp macro="" textlink="">
          <xdr:nvSpPr>
            <xdr:cNvPr id="40966" name="Button 6" hidden="1">
              <a:extLst>
                <a:ext uri="{63B3BB69-23CF-44E3-9099-C40C66FF867C}">
                  <a14:compatExt spid="_x0000_s409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76200</xdr:rowOff>
        </xdr:from>
        <xdr:to>
          <xdr:col>17</xdr:col>
          <xdr:colOff>2026920</xdr:colOff>
          <xdr:row>1</xdr:row>
          <xdr:rowOff>30480</xdr:rowOff>
        </xdr:to>
        <xdr:sp macro="" textlink="">
          <xdr:nvSpPr>
            <xdr:cNvPr id="40967" name="Button 7" hidden="1">
              <a:extLst>
                <a:ext uri="{63B3BB69-23CF-44E3-9099-C40C66FF867C}">
                  <a14:compatExt spid="_x0000_s409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0</xdr:rowOff>
        </xdr:from>
        <xdr:to>
          <xdr:col>17</xdr:col>
          <xdr:colOff>2026920</xdr:colOff>
          <xdr:row>0</xdr:row>
          <xdr:rowOff>30480</xdr:rowOff>
        </xdr:to>
        <xdr:sp macro="" textlink="">
          <xdr:nvSpPr>
            <xdr:cNvPr id="40968" name="Button 8" hidden="1">
              <a:extLst>
                <a:ext uri="{63B3BB69-23CF-44E3-9099-C40C66FF867C}">
                  <a14:compatExt spid="_x0000_s409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0</xdr:row>
          <xdr:rowOff>76200</xdr:rowOff>
        </xdr:from>
        <xdr:to>
          <xdr:col>21</xdr:col>
          <xdr:colOff>2026920</xdr:colOff>
          <xdr:row>1</xdr:row>
          <xdr:rowOff>30480</xdr:rowOff>
        </xdr:to>
        <xdr:sp macro="" textlink="">
          <xdr:nvSpPr>
            <xdr:cNvPr id="40969" name="Button 9" hidden="1">
              <a:extLst>
                <a:ext uri="{63B3BB69-23CF-44E3-9099-C40C66FF867C}">
                  <a14:compatExt spid="_x0000_s40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0</xdr:row>
          <xdr:rowOff>0</xdr:rowOff>
        </xdr:from>
        <xdr:to>
          <xdr:col>21</xdr:col>
          <xdr:colOff>2026920</xdr:colOff>
          <xdr:row>0</xdr:row>
          <xdr:rowOff>30480</xdr:rowOff>
        </xdr:to>
        <xdr:sp macro="" textlink="">
          <xdr:nvSpPr>
            <xdr:cNvPr id="40970" name="Button 10" hidden="1">
              <a:extLst>
                <a:ext uri="{63B3BB69-23CF-44E3-9099-C40C66FF867C}">
                  <a14:compatExt spid="_x0000_s409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40973" name="Button 13" hidden="1">
              <a:extLst>
                <a:ext uri="{63B3BB69-23CF-44E3-9099-C40C66FF867C}">
                  <a14:compatExt spid="_x0000_s409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40974" name="Button 14" hidden="1">
              <a:extLst>
                <a:ext uri="{63B3BB69-23CF-44E3-9099-C40C66FF867C}">
                  <a14:compatExt spid="_x0000_s409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40975" name="Button 15" hidden="1">
              <a:extLst>
                <a:ext uri="{63B3BB69-23CF-44E3-9099-C40C66FF867C}">
                  <a14:compatExt spid="_x0000_s409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0</xdr:rowOff>
        </xdr:from>
        <xdr:to>
          <xdr:col>33</xdr:col>
          <xdr:colOff>2026920</xdr:colOff>
          <xdr:row>0</xdr:row>
          <xdr:rowOff>30480</xdr:rowOff>
        </xdr:to>
        <xdr:sp macro="" textlink="">
          <xdr:nvSpPr>
            <xdr:cNvPr id="40976" name="Button 16" hidden="1">
              <a:extLst>
                <a:ext uri="{63B3BB69-23CF-44E3-9099-C40C66FF867C}">
                  <a14:compatExt spid="_x0000_s409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40979" name="Button 19" hidden="1">
              <a:extLst>
                <a:ext uri="{63B3BB69-23CF-44E3-9099-C40C66FF867C}">
                  <a14:compatExt spid="_x0000_s409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0</xdr:rowOff>
        </xdr:from>
        <xdr:to>
          <xdr:col>33</xdr:col>
          <xdr:colOff>2026920</xdr:colOff>
          <xdr:row>0</xdr:row>
          <xdr:rowOff>30480</xdr:rowOff>
        </xdr:to>
        <xdr:sp macro="" textlink="">
          <xdr:nvSpPr>
            <xdr:cNvPr id="40980" name="Button 20" hidden="1">
              <a:extLst>
                <a:ext uri="{63B3BB69-23CF-44E3-9099-C40C66FF867C}">
                  <a14:compatExt spid="_x0000_s409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40981" name="Button 21" hidden="1">
              <a:extLst>
                <a:ext uri="{63B3BB69-23CF-44E3-9099-C40C66FF867C}">
                  <a14:compatExt spid="_x0000_s409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40982" name="Button 22" hidden="1">
              <a:extLst>
                <a:ext uri="{63B3BB69-23CF-44E3-9099-C40C66FF867C}">
                  <a14:compatExt spid="_x0000_s409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40989" name="Button 29" hidden="1">
              <a:extLst>
                <a:ext uri="{63B3BB69-23CF-44E3-9099-C40C66FF867C}">
                  <a14:compatExt spid="_x0000_s409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0</xdr:rowOff>
        </xdr:from>
        <xdr:to>
          <xdr:col>33</xdr:col>
          <xdr:colOff>2026920</xdr:colOff>
          <xdr:row>0</xdr:row>
          <xdr:rowOff>30480</xdr:rowOff>
        </xdr:to>
        <xdr:sp macro="" textlink="">
          <xdr:nvSpPr>
            <xdr:cNvPr id="40990" name="Button 30" hidden="1">
              <a:extLst>
                <a:ext uri="{63B3BB69-23CF-44E3-9099-C40C66FF867C}">
                  <a14:compatExt spid="_x0000_s409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76200</xdr:rowOff>
        </xdr:from>
        <xdr:to>
          <xdr:col>25</xdr:col>
          <xdr:colOff>2026920</xdr:colOff>
          <xdr:row>1</xdr:row>
          <xdr:rowOff>30480</xdr:rowOff>
        </xdr:to>
        <xdr:sp macro="" textlink="">
          <xdr:nvSpPr>
            <xdr:cNvPr id="40991" name="Button 31" hidden="1">
              <a:extLst>
                <a:ext uri="{63B3BB69-23CF-44E3-9099-C40C66FF867C}">
                  <a14:compatExt spid="_x0000_s409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0</xdr:rowOff>
        </xdr:from>
        <xdr:to>
          <xdr:col>25</xdr:col>
          <xdr:colOff>2026920</xdr:colOff>
          <xdr:row>0</xdr:row>
          <xdr:rowOff>30480</xdr:rowOff>
        </xdr:to>
        <xdr:sp macro="" textlink="">
          <xdr:nvSpPr>
            <xdr:cNvPr id="40992" name="Button 32" hidden="1">
              <a:extLst>
                <a:ext uri="{63B3BB69-23CF-44E3-9099-C40C66FF867C}">
                  <a14:compatExt spid="_x0000_s409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76200</xdr:rowOff>
        </xdr:from>
        <xdr:to>
          <xdr:col>25</xdr:col>
          <xdr:colOff>2026920</xdr:colOff>
          <xdr:row>1</xdr:row>
          <xdr:rowOff>30480</xdr:rowOff>
        </xdr:to>
        <xdr:sp macro="" textlink="">
          <xdr:nvSpPr>
            <xdr:cNvPr id="40993" name="Button 33" hidden="1">
              <a:extLst>
                <a:ext uri="{63B3BB69-23CF-44E3-9099-C40C66FF867C}">
                  <a14:compatExt spid="_x0000_s409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0</xdr:rowOff>
        </xdr:from>
        <xdr:to>
          <xdr:col>25</xdr:col>
          <xdr:colOff>2026920</xdr:colOff>
          <xdr:row>0</xdr:row>
          <xdr:rowOff>30480</xdr:rowOff>
        </xdr:to>
        <xdr:sp macro="" textlink="">
          <xdr:nvSpPr>
            <xdr:cNvPr id="40994" name="Button 34" hidden="1">
              <a:extLst>
                <a:ext uri="{63B3BB69-23CF-44E3-9099-C40C66FF867C}">
                  <a14:compatExt spid="_x0000_s409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76200</xdr:rowOff>
        </xdr:from>
        <xdr:to>
          <xdr:col>17</xdr:col>
          <xdr:colOff>2026920</xdr:colOff>
          <xdr:row>1</xdr:row>
          <xdr:rowOff>30480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0</xdr:rowOff>
        </xdr:from>
        <xdr:to>
          <xdr:col>17</xdr:col>
          <xdr:colOff>2026920</xdr:colOff>
          <xdr:row>0</xdr:row>
          <xdr:rowOff>30480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xdr:oneCellAnchor>
    <xdr:from>
      <xdr:col>20</xdr:col>
      <xdr:colOff>135477</xdr:colOff>
      <xdr:row>18</xdr:row>
      <xdr:rowOff>152401</xdr:rowOff>
    </xdr:from>
    <xdr:ext cx="3403590" cy="880532"/>
    <xdr:sp macro="" textlink="">
      <xdr:nvSpPr>
        <xdr:cNvPr id="6" name="TextBox 5"/>
        <xdr:cNvSpPr txBox="1"/>
      </xdr:nvSpPr>
      <xdr:spPr>
        <a:xfrm>
          <a:off x="16988377" y="4013201"/>
          <a:ext cx="3403590" cy="8805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PHYSICAL SPACE FOR FUTURE EXPANSION</a:t>
          </a:r>
        </a:p>
        <a:p>
          <a:r>
            <a:rPr lang="en-US" sz="1400" b="1"/>
            <a:t>	      (STB Rack)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76200</xdr:rowOff>
        </xdr:from>
        <xdr:to>
          <xdr:col>6</xdr:col>
          <xdr:colOff>2026920</xdr:colOff>
          <xdr:row>1</xdr:row>
          <xdr:rowOff>30480</xdr:rowOff>
        </xdr:to>
        <xdr:sp macro="" textlink="">
          <xdr:nvSpPr>
            <xdr:cNvPr id="50177" name="Button 1" hidden="1">
              <a:extLst>
                <a:ext uri="{63B3BB69-23CF-44E3-9099-C40C66FF867C}">
                  <a14:compatExt spid="_x0000_s50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0</xdr:rowOff>
        </xdr:from>
        <xdr:to>
          <xdr:col>6</xdr:col>
          <xdr:colOff>2026920</xdr:colOff>
          <xdr:row>0</xdr:row>
          <xdr:rowOff>30480</xdr:rowOff>
        </xdr:to>
        <xdr:sp macro="" textlink="">
          <xdr:nvSpPr>
            <xdr:cNvPr id="50178" name="Button 2" hidden="1">
              <a:extLst>
                <a:ext uri="{63B3BB69-23CF-44E3-9099-C40C66FF867C}">
                  <a14:compatExt spid="_x0000_s50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76200</xdr:rowOff>
        </xdr:from>
        <xdr:to>
          <xdr:col>6</xdr:col>
          <xdr:colOff>2026920</xdr:colOff>
          <xdr:row>1</xdr:row>
          <xdr:rowOff>30480</xdr:rowOff>
        </xdr:to>
        <xdr:sp macro="" textlink="">
          <xdr:nvSpPr>
            <xdr:cNvPr id="50179" name="Button 3" hidden="1">
              <a:extLst>
                <a:ext uri="{63B3BB69-23CF-44E3-9099-C40C66FF867C}">
                  <a14:compatExt spid="_x0000_s50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0</xdr:rowOff>
        </xdr:from>
        <xdr:to>
          <xdr:col>6</xdr:col>
          <xdr:colOff>2026920</xdr:colOff>
          <xdr:row>0</xdr:row>
          <xdr:rowOff>30480</xdr:rowOff>
        </xdr:to>
        <xdr:sp macro="" textlink="">
          <xdr:nvSpPr>
            <xdr:cNvPr id="50180" name="Button 4" hidden="1">
              <a:extLst>
                <a:ext uri="{63B3BB69-23CF-44E3-9099-C40C66FF867C}">
                  <a14:compatExt spid="_x0000_s50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76200</xdr:rowOff>
        </xdr:from>
        <xdr:to>
          <xdr:col>10</xdr:col>
          <xdr:colOff>2026920</xdr:colOff>
          <xdr:row>1</xdr:row>
          <xdr:rowOff>30480</xdr:rowOff>
        </xdr:to>
        <xdr:sp macro="" textlink="">
          <xdr:nvSpPr>
            <xdr:cNvPr id="50181" name="Button 5" hidden="1">
              <a:extLst>
                <a:ext uri="{63B3BB69-23CF-44E3-9099-C40C66FF867C}">
                  <a14:compatExt spid="_x0000_s50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0</xdr:rowOff>
        </xdr:from>
        <xdr:to>
          <xdr:col>10</xdr:col>
          <xdr:colOff>2026920</xdr:colOff>
          <xdr:row>0</xdr:row>
          <xdr:rowOff>30480</xdr:rowOff>
        </xdr:to>
        <xdr:sp macro="" textlink="">
          <xdr:nvSpPr>
            <xdr:cNvPr id="50182" name="Button 6" hidden="1">
              <a:extLst>
                <a:ext uri="{63B3BB69-23CF-44E3-9099-C40C66FF867C}">
                  <a14:compatExt spid="_x0000_s50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76200</xdr:rowOff>
        </xdr:from>
        <xdr:to>
          <xdr:col>10</xdr:col>
          <xdr:colOff>2026920</xdr:colOff>
          <xdr:row>1</xdr:row>
          <xdr:rowOff>30480</xdr:rowOff>
        </xdr:to>
        <xdr:sp macro="" textlink="">
          <xdr:nvSpPr>
            <xdr:cNvPr id="50183" name="Button 7" hidden="1">
              <a:extLst>
                <a:ext uri="{63B3BB69-23CF-44E3-9099-C40C66FF867C}">
                  <a14:compatExt spid="_x0000_s50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0</xdr:rowOff>
        </xdr:from>
        <xdr:to>
          <xdr:col>10</xdr:col>
          <xdr:colOff>2026920</xdr:colOff>
          <xdr:row>0</xdr:row>
          <xdr:rowOff>30480</xdr:rowOff>
        </xdr:to>
        <xdr:sp macro="" textlink="">
          <xdr:nvSpPr>
            <xdr:cNvPr id="50184" name="Button 8" hidden="1">
              <a:extLst>
                <a:ext uri="{63B3BB69-23CF-44E3-9099-C40C66FF867C}">
                  <a14:compatExt spid="_x0000_s50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76200</xdr:rowOff>
        </xdr:from>
        <xdr:to>
          <xdr:col>14</xdr:col>
          <xdr:colOff>2026920</xdr:colOff>
          <xdr:row>1</xdr:row>
          <xdr:rowOff>30480</xdr:rowOff>
        </xdr:to>
        <xdr:sp macro="" textlink="">
          <xdr:nvSpPr>
            <xdr:cNvPr id="50187" name="Button 11" hidden="1">
              <a:extLst>
                <a:ext uri="{63B3BB69-23CF-44E3-9099-C40C66FF867C}">
                  <a14:compatExt spid="_x0000_s50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0</xdr:rowOff>
        </xdr:from>
        <xdr:to>
          <xdr:col>14</xdr:col>
          <xdr:colOff>2026920</xdr:colOff>
          <xdr:row>0</xdr:row>
          <xdr:rowOff>30480</xdr:rowOff>
        </xdr:to>
        <xdr:sp macro="" textlink="">
          <xdr:nvSpPr>
            <xdr:cNvPr id="50188" name="Button 12" hidden="1">
              <a:extLst>
                <a:ext uri="{63B3BB69-23CF-44E3-9099-C40C66FF867C}">
                  <a14:compatExt spid="_x0000_s50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76200</xdr:rowOff>
        </xdr:from>
        <xdr:to>
          <xdr:col>14</xdr:col>
          <xdr:colOff>2026920</xdr:colOff>
          <xdr:row>1</xdr:row>
          <xdr:rowOff>30480</xdr:rowOff>
        </xdr:to>
        <xdr:sp macro="" textlink="">
          <xdr:nvSpPr>
            <xdr:cNvPr id="50189" name="Button 13" hidden="1">
              <a:extLst>
                <a:ext uri="{63B3BB69-23CF-44E3-9099-C40C66FF867C}">
                  <a14:compatExt spid="_x0000_s50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0</xdr:rowOff>
        </xdr:from>
        <xdr:to>
          <xdr:col>14</xdr:col>
          <xdr:colOff>2026920</xdr:colOff>
          <xdr:row>0</xdr:row>
          <xdr:rowOff>30480</xdr:rowOff>
        </xdr:to>
        <xdr:sp macro="" textlink="">
          <xdr:nvSpPr>
            <xdr:cNvPr id="50190" name="Button 14" hidden="1">
              <a:extLst>
                <a:ext uri="{63B3BB69-23CF-44E3-9099-C40C66FF867C}">
                  <a14:compatExt spid="_x0000_s50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0</xdr:row>
          <xdr:rowOff>30480</xdr:rowOff>
        </xdr:from>
        <xdr:to>
          <xdr:col>0</xdr:col>
          <xdr:colOff>1287780</xdr:colOff>
          <xdr:row>0</xdr:row>
          <xdr:rowOff>259080</xdr:rowOff>
        </xdr:to>
        <xdr:sp macro="" textlink="">
          <xdr:nvSpPr>
            <xdr:cNvPr id="32770" name="Check Box UnUsedPorts" hidden="1">
              <a:extLst>
                <a:ext uri="{63B3BB69-23CF-44E3-9099-C40C66FF867C}">
                  <a14:compatExt spid="_x0000_s327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B0F0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Hide Unused Devices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30480</xdr:colOff>
          <xdr:row>0</xdr:row>
          <xdr:rowOff>76200</xdr:rowOff>
        </xdr:from>
        <xdr:to>
          <xdr:col>22</xdr:col>
          <xdr:colOff>0</xdr:colOff>
          <xdr:row>13</xdr:row>
          <xdr:rowOff>30480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30480</xdr:colOff>
          <xdr:row>0</xdr:row>
          <xdr:rowOff>76200</xdr:rowOff>
        </xdr:from>
        <xdr:to>
          <xdr:col>26</xdr:col>
          <xdr:colOff>0</xdr:colOff>
          <xdr:row>13</xdr:row>
          <xdr:rowOff>30480</xdr:rowOff>
        </xdr:to>
        <xdr:sp macro="" textlink="">
          <xdr:nvSpPr>
            <xdr:cNvPr id="23554" name="Button 2" hidden="1">
              <a:extLst>
                <a:ext uri="{63B3BB69-23CF-44E3-9099-C40C66FF867C}">
                  <a14:compatExt spid="_x0000_s23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30480</xdr:colOff>
          <xdr:row>0</xdr:row>
          <xdr:rowOff>76200</xdr:rowOff>
        </xdr:from>
        <xdr:to>
          <xdr:col>30</xdr:col>
          <xdr:colOff>0</xdr:colOff>
          <xdr:row>13</xdr:row>
          <xdr:rowOff>30480</xdr:rowOff>
        </xdr:to>
        <xdr:sp macro="" textlink="">
          <xdr:nvSpPr>
            <xdr:cNvPr id="23555" name="Button 3" hidden="1">
              <a:extLst>
                <a:ext uri="{63B3BB69-23CF-44E3-9099-C40C66FF867C}">
                  <a14:compatExt spid="_x0000_s235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30480</xdr:rowOff>
        </xdr:to>
        <xdr:sp macro="" textlink="">
          <xdr:nvSpPr>
            <xdr:cNvPr id="23556" name="Button 4" hidden="1">
              <a:extLst>
                <a:ext uri="{63B3BB69-23CF-44E3-9099-C40C66FF867C}">
                  <a14:compatExt spid="_x0000_s235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30480</xdr:rowOff>
        </xdr:to>
        <xdr:sp macro="" textlink="">
          <xdr:nvSpPr>
            <xdr:cNvPr id="23557" name="Button 5" hidden="1">
              <a:extLst>
                <a:ext uri="{63B3BB69-23CF-44E3-9099-C40C66FF867C}">
                  <a14:compatExt spid="_x0000_s23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30480</xdr:rowOff>
        </xdr:to>
        <xdr:sp macro="" textlink="">
          <xdr:nvSpPr>
            <xdr:cNvPr id="23558" name="Button 6" hidden="1">
              <a:extLst>
                <a:ext uri="{63B3BB69-23CF-44E3-9099-C40C66FF867C}">
                  <a14:compatExt spid="_x0000_s23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13" Type="http://schemas.openxmlformats.org/officeDocument/2006/relationships/ctrlProp" Target="../ctrlProps/ctrlProp33.xml"/><Relationship Id="rId18" Type="http://schemas.openxmlformats.org/officeDocument/2006/relationships/ctrlProp" Target="../ctrlProps/ctrlProp38.xml"/><Relationship Id="rId3" Type="http://schemas.openxmlformats.org/officeDocument/2006/relationships/ctrlProp" Target="../ctrlProps/ctrlProp23.xml"/><Relationship Id="rId21" Type="http://schemas.openxmlformats.org/officeDocument/2006/relationships/ctrlProp" Target="../ctrlProps/ctrlProp41.xml"/><Relationship Id="rId7" Type="http://schemas.openxmlformats.org/officeDocument/2006/relationships/ctrlProp" Target="../ctrlProps/ctrlProp27.xml"/><Relationship Id="rId12" Type="http://schemas.openxmlformats.org/officeDocument/2006/relationships/ctrlProp" Target="../ctrlProps/ctrlProp32.xml"/><Relationship Id="rId17" Type="http://schemas.openxmlformats.org/officeDocument/2006/relationships/ctrlProp" Target="../ctrlProps/ctrlProp37.xml"/><Relationship Id="rId2" Type="http://schemas.openxmlformats.org/officeDocument/2006/relationships/vmlDrawing" Target="../drawings/vmlDrawing2.vml"/><Relationship Id="rId16" Type="http://schemas.openxmlformats.org/officeDocument/2006/relationships/ctrlProp" Target="../ctrlProps/ctrlProp36.xml"/><Relationship Id="rId20" Type="http://schemas.openxmlformats.org/officeDocument/2006/relationships/ctrlProp" Target="../ctrlProps/ctrlProp40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26.xml"/><Relationship Id="rId11" Type="http://schemas.openxmlformats.org/officeDocument/2006/relationships/ctrlProp" Target="../ctrlProps/ctrlProp31.xml"/><Relationship Id="rId24" Type="http://schemas.openxmlformats.org/officeDocument/2006/relationships/ctrlProp" Target="../ctrlProps/ctrlProp44.xml"/><Relationship Id="rId5" Type="http://schemas.openxmlformats.org/officeDocument/2006/relationships/ctrlProp" Target="../ctrlProps/ctrlProp25.xml"/><Relationship Id="rId15" Type="http://schemas.openxmlformats.org/officeDocument/2006/relationships/ctrlProp" Target="../ctrlProps/ctrlProp35.xml"/><Relationship Id="rId23" Type="http://schemas.openxmlformats.org/officeDocument/2006/relationships/ctrlProp" Target="../ctrlProps/ctrlProp43.xml"/><Relationship Id="rId10" Type="http://schemas.openxmlformats.org/officeDocument/2006/relationships/ctrlProp" Target="../ctrlProps/ctrlProp30.xml"/><Relationship Id="rId19" Type="http://schemas.openxmlformats.org/officeDocument/2006/relationships/ctrlProp" Target="../ctrlProps/ctrlProp39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Relationship Id="rId14" Type="http://schemas.openxmlformats.org/officeDocument/2006/relationships/ctrlProp" Target="../ctrlProps/ctrlProp34.xml"/><Relationship Id="rId22" Type="http://schemas.openxmlformats.org/officeDocument/2006/relationships/ctrlProp" Target="../ctrlProps/ctrlProp4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4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7.xml"/><Relationship Id="rId5" Type="http://schemas.openxmlformats.org/officeDocument/2006/relationships/ctrlProp" Target="../ctrlProps/ctrlProp46.xml"/><Relationship Id="rId4" Type="http://schemas.openxmlformats.org/officeDocument/2006/relationships/ctrlProp" Target="../ctrlProps/ctrlProp4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4.xml"/><Relationship Id="rId13" Type="http://schemas.openxmlformats.org/officeDocument/2006/relationships/ctrlProp" Target="../ctrlProps/ctrlProp59.xml"/><Relationship Id="rId3" Type="http://schemas.openxmlformats.org/officeDocument/2006/relationships/ctrlProp" Target="../ctrlProps/ctrlProp49.xml"/><Relationship Id="rId7" Type="http://schemas.openxmlformats.org/officeDocument/2006/relationships/ctrlProp" Target="../ctrlProps/ctrlProp53.xml"/><Relationship Id="rId12" Type="http://schemas.openxmlformats.org/officeDocument/2006/relationships/ctrlProp" Target="../ctrlProps/ctrlProp58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52.xml"/><Relationship Id="rId11" Type="http://schemas.openxmlformats.org/officeDocument/2006/relationships/ctrlProp" Target="../ctrlProps/ctrlProp57.xml"/><Relationship Id="rId5" Type="http://schemas.openxmlformats.org/officeDocument/2006/relationships/ctrlProp" Target="../ctrlProps/ctrlProp51.xml"/><Relationship Id="rId10" Type="http://schemas.openxmlformats.org/officeDocument/2006/relationships/ctrlProp" Target="../ctrlProps/ctrlProp56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Relationship Id="rId14" Type="http://schemas.openxmlformats.org/officeDocument/2006/relationships/ctrlProp" Target="../ctrlProps/ctrlProp60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snv-intra/Marketing/mediagrid/Data%20Sheets/MediaGrid%20Tech%20Specs.pdf" TargetMode="External"/><Relationship Id="rId18" Type="http://schemas.openxmlformats.org/officeDocument/2006/relationships/hyperlink" Target="http://sage/marketing/mediagrid/Data%20Sheets/MediaGrid%20Tech%20Specs.pdf" TargetMode="External"/><Relationship Id="rId26" Type="http://schemas.openxmlformats.org/officeDocument/2006/relationships/hyperlink" Target="http://sage/marketing/products/swmgmt/nmx/Documentation/Product%20Documents/Platform/Server%20Specification/NMX%20Servers%20specifications%20-%20E%20series.pdf" TargetMode="External"/><Relationship Id="rId39" Type="http://schemas.openxmlformats.org/officeDocument/2006/relationships/hyperlink" Target="http://sage/marketing/dvProductMarketing/DV%20Products/PRODUCT%20-%20ENCODERS/ENCODER%20PRODUCT%20INFO/DATASHEETS/Electra%208200%20Datasheet.pdf" TargetMode="External"/><Relationship Id="rId21" Type="http://schemas.openxmlformats.org/officeDocument/2006/relationships/hyperlink" Target="http://snv-intra/Marketing/mediagrid/Data%20Sheets/MediaGrid%20Tech%20Specs.pdf" TargetMode="External"/><Relationship Id="rId34" Type="http://schemas.openxmlformats.org/officeDocument/2006/relationships/hyperlink" Target="http://www.cisco.com/en/US/prod/collateral/switches/ps5718/ps708/data_sheet_c78-708665.pdf" TargetMode="External"/><Relationship Id="rId42" Type="http://schemas.openxmlformats.org/officeDocument/2006/relationships/hyperlink" Target="http://sage/marketing/products/MultiScreen/Shared%20Documents/ProMedia/ProMedia-Specifications-v1.3.0.0.pdf" TargetMode="External"/><Relationship Id="rId47" Type="http://schemas.openxmlformats.org/officeDocument/2006/relationships/hyperlink" Target="http://www.connectpro.com/prod_kvm_sl2.html" TargetMode="External"/><Relationship Id="rId50" Type="http://schemas.openxmlformats.org/officeDocument/2006/relationships/hyperlink" Target="http://snv-intra/Marketing/mediagrid/Data%20Sheets/MediaGrid%20Tech%20Specs.pdf" TargetMode="External"/><Relationship Id="rId55" Type="http://schemas.openxmlformats.org/officeDocument/2006/relationships/hyperlink" Target="http://sage/marketing/mediagrid/Data%20Sheets/MediaGrid%20Tech%20Specs.pdf" TargetMode="External"/><Relationship Id="rId63" Type="http://schemas.openxmlformats.org/officeDocument/2006/relationships/hyperlink" Target="http://www.cisco.com/en/US/prod/collateral/switches/ps5718/ps6406/product_data_sheet0900aecd80322c0c.pdf" TargetMode="External"/><Relationship Id="rId68" Type="http://schemas.openxmlformats.org/officeDocument/2006/relationships/ctrlProp" Target="../ctrlProps/ctrlProp61.xml"/><Relationship Id="rId7" Type="http://schemas.openxmlformats.org/officeDocument/2006/relationships/hyperlink" Target="http://www.harmonicinc.com/sites/default/files/data_sheets/SMD9200_Datasheet.pdf" TargetMode="External"/><Relationship Id="rId2" Type="http://schemas.openxmlformats.org/officeDocument/2006/relationships/hyperlink" Target="http://snv-intra/Marketing/mediagrid/Data%20Sheets/MediaGrid%20Tech%20Specs.pdf" TargetMode="External"/><Relationship Id="rId16" Type="http://schemas.openxmlformats.org/officeDocument/2006/relationships/hyperlink" Target="http://snv-intra/Marketing/mediagrid/Data%20Sheets/MediaGrid%20Tech%20Specs.pdf" TargetMode="External"/><Relationship Id="rId29" Type="http://schemas.openxmlformats.org/officeDocument/2006/relationships/hyperlink" Target="http://sage/marketing/products/MultiScreen/Shared%20Documents/ProMedia/ProMedia-Specifications-v1.3.0.0.pdf" TargetMode="External"/><Relationship Id="rId1" Type="http://schemas.openxmlformats.org/officeDocument/2006/relationships/hyperlink" Target="http://snv-intra/Marketing/mediagrid/Data%20Sheets/MediaGrid%20Tech%20Specs.pdf" TargetMode="External"/><Relationship Id="rId6" Type="http://schemas.openxmlformats.org/officeDocument/2006/relationships/hyperlink" Target="http://www.harmonicinc.com/sites/default/files/data_sheets/SMD9200_Datasheet.pdf" TargetMode="External"/><Relationship Id="rId11" Type="http://schemas.openxmlformats.org/officeDocument/2006/relationships/hyperlink" Target="http://www.cisco.com/en/US/prod/collateral/switches/ps9441/ps9670/data_sheet_c78-618603.pdf" TargetMode="External"/><Relationship Id="rId24" Type="http://schemas.openxmlformats.org/officeDocument/2006/relationships/hyperlink" Target="http://sage/marketing/products/MultiScreen/Shared%20Documents/ProMedia/ProMedia-Specifications-v1.3.1.0.pdf" TargetMode="External"/><Relationship Id="rId32" Type="http://schemas.openxmlformats.org/officeDocument/2006/relationships/hyperlink" Target="http://www.harmonicinc.com/view_collateral.cfm?ID=4102" TargetMode="External"/><Relationship Id="rId37" Type="http://schemas.openxmlformats.org/officeDocument/2006/relationships/hyperlink" Target="http://www.cisco.com/en/US/prod/collateral/switches/ps5718/ps5528/product_data_sheet09186a00801f3d7d.pdf" TargetMode="External"/><Relationship Id="rId40" Type="http://schemas.openxmlformats.org/officeDocument/2006/relationships/hyperlink" Target="http://sage/marketing/products/CableEdge/nsg/NSG%20Documentation/Marketing%20Documents/Datasheets/NSG%209000-6G%20DataSheet.pdf" TargetMode="External"/><Relationship Id="rId45" Type="http://schemas.openxmlformats.org/officeDocument/2006/relationships/hyperlink" Target="http://sage/marketing/products/MultiScreen/Shared%20Documents/ProMedia/ProMedia-Specifications-v1.3.0.0.pdf" TargetMode="External"/><Relationship Id="rId53" Type="http://schemas.openxmlformats.org/officeDocument/2006/relationships/hyperlink" Target="http://snv-intra/Marketing/mediagrid/Data%20Sheets/MediaGrid%20Tech%20Specs.pdf" TargetMode="External"/><Relationship Id="rId58" Type="http://schemas.openxmlformats.org/officeDocument/2006/relationships/hyperlink" Target="http://sage/marketing/products/swmgmt/nmx/Documentation/Product%20Documents/Platform/Server%20Specification/NMX%20Servers%20specifications%20-%20E%20series.pdf" TargetMode="External"/><Relationship Id="rId66" Type="http://schemas.openxmlformats.org/officeDocument/2006/relationships/drawing" Target="../drawings/drawing5.xml"/><Relationship Id="rId5" Type="http://schemas.openxmlformats.org/officeDocument/2006/relationships/hyperlink" Target="http://www.quintechelectronics.com/pdf/Specs/routers/srr/SRR00702X1SC000%20Rev%20A.pdf" TargetMode="External"/><Relationship Id="rId15" Type="http://schemas.openxmlformats.org/officeDocument/2006/relationships/hyperlink" Target="http://www.harmonicinc.com/sites/default/files/data_sheets/ProStream9100_Datasheet.pdf" TargetMode="External"/><Relationship Id="rId23" Type="http://schemas.openxmlformats.org/officeDocument/2006/relationships/hyperlink" Target="http://snv-intra/Marketing/mediagrid/Data%20Sheets/MediaGrid%20Tech%20Specs.pdf" TargetMode="External"/><Relationship Id="rId28" Type="http://schemas.openxmlformats.org/officeDocument/2006/relationships/hyperlink" Target="http://www.harmonicinc.com/sites/default/files/data_sheets/ProStream8000_Datasheet.pdf" TargetMode="External"/><Relationship Id="rId36" Type="http://schemas.openxmlformats.org/officeDocument/2006/relationships/hyperlink" Target="http://www.cisco.com/en/US/prod/collateral/switches/ps5718/ps5023/data_sheet_c78-531031.html" TargetMode="External"/><Relationship Id="rId49" Type="http://schemas.openxmlformats.org/officeDocument/2006/relationships/hyperlink" Target="http://www.cisco.com/en/US/prod/collateral/switches/ps5718/ps5023/product_data_sheet0900aecd80371991.pdf" TargetMode="External"/><Relationship Id="rId57" Type="http://schemas.openxmlformats.org/officeDocument/2006/relationships/hyperlink" Target="http://www.uswi.com/PDF/Technical/DataSheets/Systems/USC%20Spec%20Sheet%20DVSU1-001.pdf" TargetMode="External"/><Relationship Id="rId61" Type="http://schemas.openxmlformats.org/officeDocument/2006/relationships/hyperlink" Target="http://support.dell.com/support/edocs/systems/md1200/multlang/GSG/DAO_BCC/K356M.pdf" TargetMode="External"/><Relationship Id="rId10" Type="http://schemas.openxmlformats.org/officeDocument/2006/relationships/hyperlink" Target="http://www.cisco.com/en/US/prod/collateral/switches/ps5718/ps6406/product_data_sheet0900aecd80322c0c.pdf" TargetMode="External"/><Relationship Id="rId19" Type="http://schemas.openxmlformats.org/officeDocument/2006/relationships/hyperlink" Target="http://www.broadcast.harris.com/productsandsolutions/RoutingSystems/RoutingSwitchers/SmallRouting/Panacea.asp" TargetMode="External"/><Relationship Id="rId31" Type="http://schemas.openxmlformats.org/officeDocument/2006/relationships/hyperlink" Target="http://sage/marketing/products/MultiScreen/Shared%20Documents/ProMedia/ProMedia-Specifications-v1.3.0.0.pdf" TargetMode="External"/><Relationship Id="rId44" Type="http://schemas.openxmlformats.org/officeDocument/2006/relationships/hyperlink" Target="http://sage/marketing/products/MultiScreen/Shared%20Documents/ProMedia/ProMedia-Specifications-v1.3.0.0.pdf" TargetMode="External"/><Relationship Id="rId52" Type="http://schemas.openxmlformats.org/officeDocument/2006/relationships/hyperlink" Target="http://snv-intra/Marketing/mediagrid/Data%20Sheets/MediaGrid%20Tech%20Specs.pdf" TargetMode="External"/><Relationship Id="rId60" Type="http://schemas.openxmlformats.org/officeDocument/2006/relationships/hyperlink" Target="http://www.broadcast.harris.com/productsandsolutions/RoutingSystems/RoutingSwitchers/SmallRouting/Panacea.asp" TargetMode="External"/><Relationship Id="rId65" Type="http://schemas.openxmlformats.org/officeDocument/2006/relationships/hyperlink" Target="http://sage/marketing/dvProductMarketing/DV%20Products/PRODUCT%20-%20ENCODERS/ENCODER%20PRODUCT%20INFO/DATASHEETS/Electra%208100%20Datasheet.pdf" TargetMode="External"/><Relationship Id="rId4" Type="http://schemas.openxmlformats.org/officeDocument/2006/relationships/hyperlink" Target="http://www.snellgroup.com/documents/brochures/routing/Halo.pdf" TargetMode="External"/><Relationship Id="rId9" Type="http://schemas.openxmlformats.org/officeDocument/2006/relationships/hyperlink" Target="http://www.harmonicinc.com/sites/default/files/data_sheets/ProStream1000_Datasheet.pdf" TargetMode="External"/><Relationship Id="rId14" Type="http://schemas.openxmlformats.org/officeDocument/2006/relationships/hyperlink" Target="http://snv-intra/Marketing/mediagrid/Data%20Sheets/MediaGrid%20Tech%20Specs.pdf" TargetMode="External"/><Relationship Id="rId22" Type="http://schemas.openxmlformats.org/officeDocument/2006/relationships/hyperlink" Target="http://sage/marketing/products/swmgmt/nmx/Documentation/Marketing%20Documents/Datasheets%20and%20Product%20Specs/NMX%20Server%20specifications.pdf" TargetMode="External"/><Relationship Id="rId27" Type="http://schemas.openxmlformats.org/officeDocument/2006/relationships/hyperlink" Target="http://sage/marketing/products/swmgmt/nmx/Documentation/Marketing%20Documents/Datasheets%20and%20Product%20Specs/NMX%20Server%20specifications.pdf" TargetMode="External"/><Relationship Id="rId30" Type="http://schemas.openxmlformats.org/officeDocument/2006/relationships/hyperlink" Target="http://sage/marketing/products/MultiScreen/Shared%20Documents/ProMedia/ProMedia-Specifications-v1.3.0.0.pdf" TargetMode="External"/><Relationship Id="rId35" Type="http://schemas.openxmlformats.org/officeDocument/2006/relationships/hyperlink" Target="http://www.cisco.com/en/US/prod/collateral/switches/ps5718/ps6021/ps10947/data_sheet_c78-598933.pdf" TargetMode="External"/><Relationship Id="rId43" Type="http://schemas.openxmlformats.org/officeDocument/2006/relationships/hyperlink" Target="http://sage/marketing/convergence/Shared%20Documents/ProMedia/ProMedia-Specifications-v1.2.0.0.0B.pdf" TargetMode="External"/><Relationship Id="rId48" Type="http://schemas.openxmlformats.org/officeDocument/2006/relationships/hyperlink" Target="http://www.snellgroup.com/documents/brochures/routing/Halo.pdf" TargetMode="External"/><Relationship Id="rId56" Type="http://schemas.openxmlformats.org/officeDocument/2006/relationships/hyperlink" Target="http://sage/marketing/mediagrid/Data%20Sheets/MediaGrid%20Tech%20Specs.pdf" TargetMode="External"/><Relationship Id="rId64" Type="http://schemas.openxmlformats.org/officeDocument/2006/relationships/hyperlink" Target="http://www.harmonicinc.com/sites/default/files/data_sheets/Electra9200_Datasheet.pdf" TargetMode="External"/><Relationship Id="rId8" Type="http://schemas.openxmlformats.org/officeDocument/2006/relationships/hyperlink" Target="http://www.harmonicinc.com/sites/default/files/data_sheets/ProStream9100_Datasheet.pdf" TargetMode="External"/><Relationship Id="rId51" Type="http://schemas.openxmlformats.org/officeDocument/2006/relationships/hyperlink" Target="http://snv-intra/Marketing/mediagrid/Data%20Sheets/MediaGrid%20Tech%20Specs.pdf" TargetMode="External"/><Relationship Id="rId3" Type="http://schemas.openxmlformats.org/officeDocument/2006/relationships/hyperlink" Target="http://www.dem-uk.com/bes/Data/Product_Downloads/bes-mdu14ns001-mdu-data.pdf" TargetMode="External"/><Relationship Id="rId12" Type="http://schemas.openxmlformats.org/officeDocument/2006/relationships/hyperlink" Target="http://www.cisco.com/en/US/prod/collateral/switches/ps5718/ps6021/ps10947/data_sheet_c78-598933.pdf" TargetMode="External"/><Relationship Id="rId17" Type="http://schemas.openxmlformats.org/officeDocument/2006/relationships/hyperlink" Target="http://sage/marketing/mediagrid/Data%20Sheets/MediaGrid%20Tech%20Specs.pdf" TargetMode="External"/><Relationship Id="rId25" Type="http://schemas.openxmlformats.org/officeDocument/2006/relationships/hyperlink" Target="http://sage/marketing/products/MultiScreen/Shared%20Documents/ProMedia/ProMedia-Specifications-v1.3.1.0.pdf" TargetMode="External"/><Relationship Id="rId33" Type="http://schemas.openxmlformats.org/officeDocument/2006/relationships/hyperlink" Target="http://www.cisco.com/en/US/prod/collateral/switches/ps5718/ps708/data_sheet_c78-708665.pdf" TargetMode="External"/><Relationship Id="rId38" Type="http://schemas.openxmlformats.org/officeDocument/2006/relationships/hyperlink" Target="http://sage/marketing/dvProductMarketing/DV%20Products/PRODUCT%20-%20ENCODERS/ENCODER%20PRODUCT%20INFO/DATASHEETS/Electra%209200%20datasheet.pdf" TargetMode="External"/><Relationship Id="rId46" Type="http://schemas.openxmlformats.org/officeDocument/2006/relationships/hyperlink" Target="http://www.brocade.com/products/all/application-delivery-controllers/product-details/serveriron-adx-series/specifications.page" TargetMode="External"/><Relationship Id="rId59" Type="http://schemas.openxmlformats.org/officeDocument/2006/relationships/hyperlink" Target="http://sage/marketing/products/CableEdge/nsg/NSG%20Documentation/Marketing%20Documents/Datasheets/NSG9000-40G%20Datasheet%202011-12.pdf" TargetMode="External"/><Relationship Id="rId67" Type="http://schemas.openxmlformats.org/officeDocument/2006/relationships/vmlDrawing" Target="../drawings/vmlDrawing5.vml"/><Relationship Id="rId20" Type="http://schemas.openxmlformats.org/officeDocument/2006/relationships/hyperlink" Target="http://sage/marketing/dvProductMarketing/DV%20Products/PRODUCT%20-%203rd%20PARTY/Modulators/PSM3600/Documents%20and%20Datasheet/PSM3600_v1.1.pdf" TargetMode="External"/><Relationship Id="rId41" Type="http://schemas.openxmlformats.org/officeDocument/2006/relationships/hyperlink" Target="http://www.harmonicinc.com/sites/default/files/data_sheets/ProStream9100_Datasheet.pdf" TargetMode="External"/><Relationship Id="rId54" Type="http://schemas.openxmlformats.org/officeDocument/2006/relationships/hyperlink" Target="http://sage/marketing/mediagrid/Data%20Sheets/MediaGrid%20Tech%20Specs.pdf" TargetMode="External"/><Relationship Id="rId62" Type="http://schemas.openxmlformats.org/officeDocument/2006/relationships/hyperlink" Target="http://sage/marketing/products/MultiScreen/Shared%20Documents/ProMedia/ProMedia-Specifications-v1.3.1.0.pdf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7.xml"/><Relationship Id="rId3" Type="http://schemas.openxmlformats.org/officeDocument/2006/relationships/ctrlProp" Target="../ctrlProps/ctrlProp62.xml"/><Relationship Id="rId7" Type="http://schemas.openxmlformats.org/officeDocument/2006/relationships/ctrlProp" Target="../ctrlProps/ctrlProp6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65.xml"/><Relationship Id="rId5" Type="http://schemas.openxmlformats.org/officeDocument/2006/relationships/ctrlProp" Target="../ctrlProps/ctrlProp64.xml"/><Relationship Id="rId4" Type="http://schemas.openxmlformats.org/officeDocument/2006/relationships/ctrlProp" Target="../ctrlProps/ctrlProp6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51"/>
  <sheetViews>
    <sheetView tabSelected="1" topLeftCell="O1" zoomScale="50" zoomScaleNormal="50" workbookViewId="0">
      <selection activeCell="AD53" sqref="AD53"/>
    </sheetView>
  </sheetViews>
  <sheetFormatPr defaultRowHeight="13.2" x14ac:dyDescent="0.25"/>
  <cols>
    <col min="1" max="1" width="2.6640625" style="421" customWidth="1"/>
    <col min="2" max="2" width="9.33203125" style="421" customWidth="1"/>
    <col min="3" max="3" width="7.33203125" style="421" customWidth="1"/>
    <col min="5" max="5" width="2.6640625" style="421" customWidth="1"/>
    <col min="6" max="6" width="42.6640625" style="404" customWidth="1"/>
    <col min="7" max="7" width="2.6640625" style="421" customWidth="1"/>
    <col min="8" max="8" width="1.6640625" style="403" customWidth="1"/>
    <col min="9" max="9" width="2.6640625" style="421" customWidth="1"/>
    <col min="10" max="10" width="42.6640625" style="404" customWidth="1"/>
    <col min="11" max="11" width="2.6640625" style="421" customWidth="1"/>
    <col min="12" max="12" width="3.109375" customWidth="1"/>
    <col min="13" max="13" width="2.6640625" style="421" customWidth="1"/>
    <col min="14" max="14" width="42.6640625" style="404" customWidth="1"/>
    <col min="15" max="15" width="2.6640625" style="421" customWidth="1"/>
    <col min="16" max="16" width="3.109375" customWidth="1"/>
    <col min="17" max="17" width="2.6640625" style="421" customWidth="1"/>
    <col min="18" max="18" width="42.6640625" style="404" customWidth="1"/>
    <col min="19" max="19" width="2.6640625" style="421" customWidth="1"/>
    <col min="20" max="20" width="3.109375" customWidth="1"/>
    <col min="21" max="21" width="2.6640625" style="421" customWidth="1"/>
    <col min="22" max="22" width="42.6640625" style="404" customWidth="1"/>
    <col min="23" max="23" width="2.6640625" style="421" customWidth="1"/>
    <col min="24" max="24" width="1.6640625" style="403" customWidth="1"/>
    <col min="25" max="25" width="2.6640625" style="421" customWidth="1"/>
    <col min="26" max="26" width="42.6640625" style="404" customWidth="1"/>
    <col min="27" max="27" width="2.6640625" style="421" customWidth="1"/>
    <col min="28" max="28" width="3.109375" customWidth="1"/>
    <col min="29" max="29" width="2.6640625" style="421" customWidth="1"/>
    <col min="30" max="30" width="42.6640625" style="404" customWidth="1"/>
    <col min="31" max="31" width="2.6640625" style="421" customWidth="1"/>
    <col min="32" max="32" width="3.109375" customWidth="1"/>
    <col min="33" max="33" width="2.6640625" style="421" customWidth="1"/>
    <col min="34" max="34" width="42.6640625" style="404" customWidth="1"/>
    <col min="35" max="35" width="2.6640625" style="421" customWidth="1"/>
    <col min="36" max="36" width="1.88671875" style="421" customWidth="1"/>
    <col min="37" max="37" width="2.6640625" style="421" customWidth="1"/>
    <col min="38" max="38" width="42.6640625" style="404" customWidth="1"/>
    <col min="39" max="39" width="2.6640625" style="421" customWidth="1"/>
    <col min="40" max="40" width="1.6640625" style="403" customWidth="1"/>
    <col min="41" max="41" width="2.6640625" style="421" customWidth="1"/>
    <col min="42" max="42" width="42.6640625" style="404" customWidth="1"/>
    <col min="43" max="43" width="2.6640625" style="421" customWidth="1"/>
    <col min="44" max="44" width="3.109375" customWidth="1"/>
  </cols>
  <sheetData>
    <row r="1" spans="1:43" ht="16.2" thickBot="1" x14ac:dyDescent="0.3">
      <c r="A1" s="411"/>
      <c r="B1" s="412"/>
      <c r="C1" s="413"/>
      <c r="E1" s="418"/>
      <c r="F1" s="416" t="s">
        <v>984</v>
      </c>
      <c r="G1" s="415"/>
      <c r="H1" s="414"/>
      <c r="I1" s="415"/>
      <c r="J1" s="416" t="s">
        <v>984</v>
      </c>
      <c r="K1" s="418"/>
      <c r="M1" s="415"/>
      <c r="N1" s="416" t="s">
        <v>984</v>
      </c>
      <c r="O1" s="418"/>
      <c r="Q1" s="415"/>
      <c r="R1" s="416" t="s">
        <v>984</v>
      </c>
      <c r="S1" s="418"/>
      <c r="U1" s="418"/>
      <c r="V1" s="416" t="s">
        <v>984</v>
      </c>
      <c r="W1" s="415"/>
      <c r="X1" s="414"/>
      <c r="Y1" s="415"/>
      <c r="Z1" s="416" t="s">
        <v>984</v>
      </c>
      <c r="AA1" s="418"/>
      <c r="AC1" s="415"/>
      <c r="AD1" s="416" t="s">
        <v>984</v>
      </c>
      <c r="AE1" s="418"/>
      <c r="AG1" s="415"/>
      <c r="AH1" s="416" t="s">
        <v>984</v>
      </c>
      <c r="AI1" s="418"/>
      <c r="AJ1" s="415"/>
      <c r="AK1" s="415"/>
      <c r="AL1" s="416" t="s">
        <v>984</v>
      </c>
      <c r="AM1" s="419"/>
      <c r="AN1" s="414"/>
      <c r="AO1" s="415"/>
      <c r="AP1" s="416" t="s">
        <v>984</v>
      </c>
      <c r="AQ1" s="418"/>
    </row>
    <row r="2" spans="1:43" x14ac:dyDescent="0.25">
      <c r="A2" s="10"/>
      <c r="B2" s="11" t="s">
        <v>1</v>
      </c>
      <c r="C2" s="12" t="s">
        <v>2</v>
      </c>
      <c r="E2" s="27"/>
      <c r="F2" s="30" t="s">
        <v>14</v>
      </c>
      <c r="G2" s="27"/>
      <c r="I2" s="27"/>
      <c r="J2" s="30">
        <v>200</v>
      </c>
      <c r="K2" s="27"/>
      <c r="M2" s="27"/>
      <c r="N2" s="30">
        <v>300</v>
      </c>
      <c r="O2" s="27"/>
      <c r="Q2" s="27"/>
      <c r="R2" s="30" t="s">
        <v>17</v>
      </c>
      <c r="S2" s="27"/>
      <c r="U2" s="27"/>
      <c r="V2" s="30" t="s">
        <v>1133</v>
      </c>
      <c r="W2" s="27"/>
      <c r="Y2" s="27"/>
      <c r="Z2" s="30" t="s">
        <v>982</v>
      </c>
      <c r="AA2" s="27"/>
      <c r="AC2" s="27"/>
      <c r="AD2" s="30" t="s">
        <v>983</v>
      </c>
      <c r="AE2" s="27"/>
      <c r="AG2" s="27"/>
      <c r="AH2" s="30" t="s">
        <v>1134</v>
      </c>
      <c r="AI2" s="27"/>
      <c r="AK2" s="27"/>
      <c r="AL2" s="30">
        <v>900</v>
      </c>
      <c r="AM2" s="27"/>
      <c r="AO2" s="27"/>
      <c r="AP2" s="30">
        <v>1000</v>
      </c>
      <c r="AQ2" s="27"/>
    </row>
    <row r="3" spans="1:43" x14ac:dyDescent="0.25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62" t="s">
        <v>1112</v>
      </c>
      <c r="G3" s="22" t="str">
        <f ca="1">IF(LEN(F3)=0,"",$C3)</f>
        <v>42</v>
      </c>
      <c r="I3" s="28" t="str">
        <f ca="1">IF(LEN(J3)=0,"",$C3)</f>
        <v>42</v>
      </c>
      <c r="J3" s="462" t="s">
        <v>1118</v>
      </c>
      <c r="K3" s="22" t="str">
        <f ca="1">IF(LEN(J3)=0,"",$C3)</f>
        <v>42</v>
      </c>
      <c r="M3" s="28" t="str">
        <f ca="1">IF(LEN(N3)=0,"",$C3)</f>
        <v>42</v>
      </c>
      <c r="N3" s="462" t="s">
        <v>1118</v>
      </c>
      <c r="O3" s="22" t="str">
        <f ca="1">IF(LEN(N3)=0,"",$C3)</f>
        <v>42</v>
      </c>
      <c r="Q3" s="28" t="str">
        <f ca="1">IF(LEN(R3)=0,"",$C3)</f>
        <v>42</v>
      </c>
      <c r="R3" s="428" t="s">
        <v>1116</v>
      </c>
      <c r="S3" s="22" t="str">
        <f ca="1">IF(LEN(R3)=0,"",$C3)</f>
        <v>42</v>
      </c>
      <c r="U3" s="28" t="str">
        <f ca="1">IF(LEN(V3)=0,"",$C3)</f>
        <v>42</v>
      </c>
      <c r="V3" s="435" t="s">
        <v>1115</v>
      </c>
      <c r="W3" s="22" t="str">
        <f ca="1">IF(LEN(V3)=0,"",$C3)</f>
        <v>42</v>
      </c>
      <c r="Y3" s="28" t="str">
        <f ca="1">IF(LEN(Z3)=0,"",$C3)</f>
        <v>42</v>
      </c>
      <c r="Z3" s="430" t="s">
        <v>1117</v>
      </c>
      <c r="AA3" s="22" t="str">
        <f ca="1">IF(LEN(Z3)=0,"",$C3)</f>
        <v>42</v>
      </c>
      <c r="AC3" s="28" t="str">
        <f t="shared" ref="AC3:AC43" ca="1" si="2">IF(LEN(AD3)=0,"",$C3)</f>
        <v>42</v>
      </c>
      <c r="AD3" s="437" t="s">
        <v>1116</v>
      </c>
      <c r="AE3" s="22" t="str">
        <f t="shared" ref="AE3:AE43" ca="1" si="3">IF(LEN(AD3)=0,"",$C3)</f>
        <v>42</v>
      </c>
      <c r="AG3" s="28" t="str">
        <f>IF(LEN(AH3)=0,"",$C3)</f>
        <v/>
      </c>
      <c r="AH3" s="70"/>
      <c r="AI3" s="22" t="str">
        <f>IF(LEN(AH3)=0,"",$C3)</f>
        <v/>
      </c>
      <c r="AK3" s="28" t="str">
        <f>IF(LEN(AL3)=0,"",$C3)</f>
        <v/>
      </c>
      <c r="AL3" s="70"/>
      <c r="AM3" s="22" t="str">
        <f>IF(LEN(AL3)=0,"",$C3)</f>
        <v/>
      </c>
      <c r="AO3" s="28" t="str">
        <f ca="1">IF(LEN(AP3)=0,"",$C3)</f>
        <v>42</v>
      </c>
      <c r="AP3" s="462" t="s">
        <v>1150</v>
      </c>
      <c r="AQ3" s="22" t="str">
        <f ca="1">IF(LEN(AP3)=0,"",$C3)</f>
        <v>42</v>
      </c>
    </row>
    <row r="4" spans="1:43" x14ac:dyDescent="0.25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3" si="4">IF(LEN(F4)=0,"",$C4)</f>
        <v/>
      </c>
      <c r="F4" s="463"/>
      <c r="G4" s="22" t="str">
        <f t="shared" ref="G4:G43" si="5">IF(LEN(F4)=0,"",$C4)</f>
        <v/>
      </c>
      <c r="I4" s="28" t="str">
        <f t="shared" ref="I4:I43" si="6">IF(LEN(J4)=0,"",$C4)</f>
        <v/>
      </c>
      <c r="J4" s="463"/>
      <c r="K4" s="22" t="str">
        <f t="shared" ref="K4:K43" si="7">IF(LEN(J4)=0,"",$C4)</f>
        <v/>
      </c>
      <c r="M4" s="28" t="str">
        <f t="shared" ref="M4:M43" si="8">IF(LEN(N4)=0,"",$C4)</f>
        <v/>
      </c>
      <c r="N4" s="463"/>
      <c r="O4" s="22" t="str">
        <f t="shared" ref="O4:O43" si="9">IF(LEN(N4)=0,"",$C4)</f>
        <v/>
      </c>
      <c r="Q4" s="28" t="str">
        <f t="shared" ref="Q4:Q43" si="10">IF(LEN(R4)=0,"",$C4)</f>
        <v/>
      </c>
      <c r="R4" s="409"/>
      <c r="S4" s="22" t="str">
        <f t="shared" ref="S4:S43" si="11">IF(LEN(R4)=0,"",$C4)</f>
        <v/>
      </c>
      <c r="U4" s="28" t="str">
        <f t="shared" ref="U4:U43" ca="1" si="12">IF(LEN(V4)=0,"",$C4)</f>
        <v>41</v>
      </c>
      <c r="V4" s="435" t="s">
        <v>1115</v>
      </c>
      <c r="W4" s="22" t="str">
        <f t="shared" ref="W4:W43" ca="1" si="13">IF(LEN(V4)=0,"",$C4)</f>
        <v>41</v>
      </c>
      <c r="Y4" s="28" t="str">
        <f t="shared" ref="Y4:Y43" ca="1" si="14">IF(LEN(Z4)=0,"",$C4)</f>
        <v>41</v>
      </c>
      <c r="Z4" s="430" t="s">
        <v>1117</v>
      </c>
      <c r="AA4" s="22" t="str">
        <f t="shared" ref="AA4:AA43" ca="1" si="15">IF(LEN(Z4)=0,"",$C4)</f>
        <v>41</v>
      </c>
      <c r="AC4" s="28" t="str">
        <f t="shared" si="2"/>
        <v/>
      </c>
      <c r="AD4" s="409"/>
      <c r="AE4" s="22" t="str">
        <f t="shared" si="3"/>
        <v/>
      </c>
      <c r="AG4" s="28" t="str">
        <f t="shared" ref="AG4:AG43" ca="1" si="16">IF(LEN(AH4)=0,"",$C4)</f>
        <v>41</v>
      </c>
      <c r="AH4" s="410" t="s">
        <v>1204</v>
      </c>
      <c r="AI4" s="22" t="str">
        <f t="shared" ref="AI4:AI43" ca="1" si="17">IF(LEN(AH4)=0,"",$C4)</f>
        <v>41</v>
      </c>
      <c r="AK4" s="28" t="str">
        <f t="shared" ref="AK4:AK43" ca="1" si="18">IF(LEN(AL4)=0,"",$C4)</f>
        <v>41</v>
      </c>
      <c r="AL4" s="410" t="s">
        <v>1108</v>
      </c>
      <c r="AM4" s="22" t="str">
        <f t="shared" ref="AM4:AM43" ca="1" si="19">IF(LEN(AL4)=0,"",$C4)</f>
        <v>41</v>
      </c>
      <c r="AO4" s="28" t="str">
        <f t="shared" ref="AO4:AO43" si="20">IF(LEN(AP4)=0,"",$C4)</f>
        <v/>
      </c>
      <c r="AP4" s="463"/>
      <c r="AQ4" s="22" t="str">
        <f t="shared" ref="AQ4:AQ43" si="21">IF(LEN(AP4)=0,"",$C4)</f>
        <v/>
      </c>
    </row>
    <row r="5" spans="1:43" x14ac:dyDescent="0.25">
      <c r="A5" s="10"/>
      <c r="B5" s="13">
        <f t="shared" ca="1" si="0"/>
        <v>70</v>
      </c>
      <c r="C5" s="14" t="str">
        <f t="shared" ca="1" si="1"/>
        <v>40</v>
      </c>
      <c r="E5" s="28" t="str">
        <f t="shared" si="4"/>
        <v/>
      </c>
      <c r="G5" s="22" t="str">
        <f t="shared" si="5"/>
        <v/>
      </c>
      <c r="I5" s="28" t="str">
        <f t="shared" si="6"/>
        <v/>
      </c>
      <c r="J5" s="407"/>
      <c r="K5" s="22" t="str">
        <f t="shared" si="7"/>
        <v/>
      </c>
      <c r="M5" s="28" t="str">
        <f t="shared" si="8"/>
        <v/>
      </c>
      <c r="N5" s="407"/>
      <c r="O5" s="22" t="str">
        <f t="shared" si="9"/>
        <v/>
      </c>
      <c r="Q5" s="28" t="str">
        <f t="shared" si="10"/>
        <v/>
      </c>
      <c r="R5" s="407"/>
      <c r="S5" s="22" t="str">
        <f t="shared" si="11"/>
        <v/>
      </c>
      <c r="U5" s="28" t="str">
        <f t="shared" si="12"/>
        <v/>
      </c>
      <c r="W5" s="22" t="str">
        <f t="shared" si="13"/>
        <v/>
      </c>
      <c r="Y5" s="28" t="str">
        <f t="shared" si="14"/>
        <v/>
      </c>
      <c r="Z5" s="407"/>
      <c r="AA5" s="22" t="str">
        <f t="shared" si="15"/>
        <v/>
      </c>
      <c r="AC5" s="28" t="str">
        <f t="shared" si="2"/>
        <v/>
      </c>
      <c r="AD5" s="407"/>
      <c r="AE5" s="22" t="str">
        <f t="shared" si="3"/>
        <v/>
      </c>
      <c r="AG5" s="28" t="str">
        <f t="shared" si="16"/>
        <v/>
      </c>
      <c r="AH5" s="407"/>
      <c r="AI5" s="22" t="str">
        <f t="shared" si="17"/>
        <v/>
      </c>
      <c r="AK5" s="28" t="str">
        <f t="shared" ca="1" si="18"/>
        <v>40</v>
      </c>
      <c r="AL5" s="410" t="s">
        <v>1109</v>
      </c>
      <c r="AM5" s="22" t="str">
        <f t="shared" ca="1" si="19"/>
        <v>40</v>
      </c>
      <c r="AO5" s="28" t="str">
        <f t="shared" si="20"/>
        <v/>
      </c>
      <c r="AP5" s="407"/>
      <c r="AQ5" s="22" t="str">
        <f t="shared" si="21"/>
        <v/>
      </c>
    </row>
    <row r="6" spans="1:43" x14ac:dyDescent="0.25">
      <c r="A6" s="10"/>
      <c r="B6" s="13">
        <f t="shared" ca="1" si="0"/>
        <v>68.25</v>
      </c>
      <c r="C6" s="14" t="str">
        <f t="shared" ca="1" si="1"/>
        <v>39</v>
      </c>
      <c r="E6" s="28" t="str">
        <f t="shared" si="4"/>
        <v/>
      </c>
      <c r="F6" s="409"/>
      <c r="G6" s="22" t="str">
        <f t="shared" si="5"/>
        <v/>
      </c>
      <c r="I6" s="28" t="str">
        <f t="shared" si="6"/>
        <v/>
      </c>
      <c r="J6" s="409"/>
      <c r="K6" s="22" t="str">
        <f t="shared" si="7"/>
        <v/>
      </c>
      <c r="M6" s="28" t="str">
        <f t="shared" si="8"/>
        <v/>
      </c>
      <c r="N6" s="409"/>
      <c r="O6" s="22" t="str">
        <f t="shared" si="9"/>
        <v/>
      </c>
      <c r="Q6" s="28" t="str">
        <f t="shared" si="10"/>
        <v/>
      </c>
      <c r="R6" s="409"/>
      <c r="S6" s="22" t="str">
        <f t="shared" si="11"/>
        <v/>
      </c>
      <c r="U6" s="28" t="str">
        <f t="shared" ca="1" si="12"/>
        <v>39</v>
      </c>
      <c r="V6" s="442" t="s">
        <v>1156</v>
      </c>
      <c r="W6" s="22" t="str">
        <f t="shared" ca="1" si="13"/>
        <v>39</v>
      </c>
      <c r="Y6" s="28" t="str">
        <f t="shared" ca="1" si="14"/>
        <v>39</v>
      </c>
      <c r="Z6" s="439" t="s">
        <v>1168</v>
      </c>
      <c r="AA6" s="22" t="str">
        <f t="shared" ca="1" si="15"/>
        <v>39</v>
      </c>
      <c r="AC6" s="28" t="str">
        <f t="shared" ca="1" si="2"/>
        <v>39</v>
      </c>
      <c r="AD6" s="437" t="s">
        <v>1189</v>
      </c>
      <c r="AE6" s="22" t="str">
        <f t="shared" ca="1" si="3"/>
        <v>39</v>
      </c>
      <c r="AG6" s="28" t="str">
        <f t="shared" ca="1" si="16"/>
        <v>39</v>
      </c>
      <c r="AH6" s="410" t="s">
        <v>1108</v>
      </c>
      <c r="AI6" s="22" t="str">
        <f t="shared" ca="1" si="17"/>
        <v>39</v>
      </c>
      <c r="AK6" s="28" t="str">
        <f t="shared" si="18"/>
        <v/>
      </c>
      <c r="AL6" s="70"/>
      <c r="AM6" s="22" t="str">
        <f t="shared" si="19"/>
        <v/>
      </c>
      <c r="AO6" s="28" t="str">
        <f t="shared" si="20"/>
        <v/>
      </c>
      <c r="AP6" s="409"/>
      <c r="AQ6" s="22" t="str">
        <f t="shared" si="21"/>
        <v/>
      </c>
    </row>
    <row r="7" spans="1:43" x14ac:dyDescent="0.25">
      <c r="A7" s="10"/>
      <c r="B7" s="13">
        <f t="shared" ca="1" si="0"/>
        <v>66.5</v>
      </c>
      <c r="C7" s="14" t="str">
        <f t="shared" ca="1" si="1"/>
        <v>38</v>
      </c>
      <c r="E7" s="28" t="str">
        <f t="shared" si="4"/>
        <v/>
      </c>
      <c r="F7" s="408"/>
      <c r="G7" s="22" t="str">
        <f t="shared" si="5"/>
        <v/>
      </c>
      <c r="H7" s="405"/>
      <c r="I7" s="28" t="str">
        <f t="shared" si="6"/>
        <v/>
      </c>
      <c r="J7" s="408"/>
      <c r="K7" s="22" t="str">
        <f t="shared" si="7"/>
        <v/>
      </c>
      <c r="M7" s="28" t="str">
        <f t="shared" si="8"/>
        <v/>
      </c>
      <c r="N7" s="408"/>
      <c r="O7" s="22" t="str">
        <f t="shared" si="9"/>
        <v/>
      </c>
      <c r="Q7" s="28" t="str">
        <f t="shared" si="10"/>
        <v/>
      </c>
      <c r="R7" s="408"/>
      <c r="S7" s="22" t="str">
        <f t="shared" si="11"/>
        <v/>
      </c>
      <c r="U7" s="28" t="str">
        <f t="shared" ca="1" si="12"/>
        <v>38</v>
      </c>
      <c r="V7" s="443" t="s">
        <v>1157</v>
      </c>
      <c r="W7" s="22" t="str">
        <f t="shared" ca="1" si="13"/>
        <v>38</v>
      </c>
      <c r="X7" s="405"/>
      <c r="Y7" s="28" t="str">
        <f t="shared" ca="1" si="14"/>
        <v>38</v>
      </c>
      <c r="Z7" s="430" t="s">
        <v>1167</v>
      </c>
      <c r="AA7" s="22" t="str">
        <f t="shared" ca="1" si="15"/>
        <v>38</v>
      </c>
      <c r="AC7" s="28" t="str">
        <f t="shared" ca="1" si="2"/>
        <v>38</v>
      </c>
      <c r="AD7" s="438" t="s">
        <v>1190</v>
      </c>
      <c r="AE7" s="22" t="str">
        <f t="shared" ca="1" si="3"/>
        <v>38</v>
      </c>
      <c r="AG7" s="28" t="str">
        <f t="shared" si="16"/>
        <v/>
      </c>
      <c r="AH7" s="407"/>
      <c r="AI7" s="22" t="str">
        <f t="shared" si="17"/>
        <v/>
      </c>
      <c r="AK7" s="28" t="str">
        <f t="shared" ref="AK7:AK13" ca="1" si="22">IF(LEN(AL26)=0,"",$C7)</f>
        <v>38</v>
      </c>
      <c r="AL7" s="462" t="s">
        <v>953</v>
      </c>
      <c r="AM7" s="22" t="str">
        <f t="shared" ref="AM7:AM13" ca="1" si="23">IF(LEN(AL26)=0,"",$C7)</f>
        <v>38</v>
      </c>
      <c r="AN7" s="405"/>
      <c r="AO7" s="28" t="str">
        <f t="shared" si="20"/>
        <v/>
      </c>
      <c r="AP7" s="408"/>
      <c r="AQ7" s="22" t="str">
        <f t="shared" si="21"/>
        <v/>
      </c>
    </row>
    <row r="8" spans="1:43" x14ac:dyDescent="0.25">
      <c r="A8" s="10"/>
      <c r="B8" s="13">
        <f t="shared" ca="1" si="0"/>
        <v>64.75</v>
      </c>
      <c r="C8" s="14" t="str">
        <f t="shared" ca="1" si="1"/>
        <v>37</v>
      </c>
      <c r="E8" s="28" t="str">
        <f t="shared" si="4"/>
        <v/>
      </c>
      <c r="G8" s="22" t="str">
        <f t="shared" si="5"/>
        <v/>
      </c>
      <c r="H8" s="405"/>
      <c r="I8" s="28" t="str">
        <f t="shared" si="6"/>
        <v/>
      </c>
      <c r="K8" s="22" t="str">
        <f t="shared" si="7"/>
        <v/>
      </c>
      <c r="M8" s="28" t="str">
        <f t="shared" si="8"/>
        <v/>
      </c>
      <c r="O8" s="22" t="str">
        <f t="shared" si="9"/>
        <v/>
      </c>
      <c r="Q8" s="28" t="str">
        <f t="shared" si="10"/>
        <v/>
      </c>
      <c r="S8" s="22" t="str">
        <f t="shared" si="11"/>
        <v/>
      </c>
      <c r="U8" s="28" t="str">
        <f t="shared" si="12"/>
        <v/>
      </c>
      <c r="W8" s="22" t="str">
        <f t="shared" si="13"/>
        <v/>
      </c>
      <c r="X8" s="405"/>
      <c r="Y8" s="28" t="str">
        <f t="shared" si="14"/>
        <v/>
      </c>
      <c r="AA8" s="22" t="str">
        <f t="shared" si="15"/>
        <v/>
      </c>
      <c r="AC8" s="28" t="str">
        <f t="shared" si="2"/>
        <v/>
      </c>
      <c r="AE8" s="22" t="str">
        <f t="shared" si="3"/>
        <v/>
      </c>
      <c r="AG8" s="28" t="str">
        <f t="shared" ca="1" si="16"/>
        <v>37</v>
      </c>
      <c r="AH8" s="410" t="s">
        <v>1205</v>
      </c>
      <c r="AI8" s="22" t="str">
        <f t="shared" ca="1" si="17"/>
        <v>37</v>
      </c>
      <c r="AK8" s="28" t="str">
        <f t="shared" si="22"/>
        <v/>
      </c>
      <c r="AL8" s="463"/>
      <c r="AM8" s="22" t="str">
        <f t="shared" si="23"/>
        <v/>
      </c>
      <c r="AN8" s="405"/>
      <c r="AO8" s="28" t="str">
        <f t="shared" si="20"/>
        <v/>
      </c>
      <c r="AQ8" s="22" t="str">
        <f t="shared" si="21"/>
        <v/>
      </c>
    </row>
    <row r="9" spans="1:43" x14ac:dyDescent="0.25">
      <c r="A9" s="10"/>
      <c r="B9" s="13">
        <f t="shared" ca="1" si="0"/>
        <v>63</v>
      </c>
      <c r="C9" s="14" t="str">
        <f t="shared" ca="1" si="1"/>
        <v>36</v>
      </c>
      <c r="E9" s="28" t="str">
        <f t="shared" si="4"/>
        <v/>
      </c>
      <c r="F9" s="409"/>
      <c r="G9" s="22" t="str">
        <f t="shared" si="5"/>
        <v/>
      </c>
      <c r="H9" s="405"/>
      <c r="I9" s="28" t="str">
        <f t="shared" si="6"/>
        <v/>
      </c>
      <c r="J9" s="409"/>
      <c r="K9" s="22" t="str">
        <f t="shared" si="7"/>
        <v/>
      </c>
      <c r="M9" s="28" t="str">
        <f t="shared" si="8"/>
        <v/>
      </c>
      <c r="N9" s="409"/>
      <c r="O9" s="22" t="str">
        <f t="shared" si="9"/>
        <v/>
      </c>
      <c r="Q9" s="28" t="str">
        <f t="shared" ca="1" si="10"/>
        <v>36</v>
      </c>
      <c r="R9" s="428" t="s">
        <v>1179</v>
      </c>
      <c r="S9" s="22" t="str">
        <f t="shared" ca="1" si="11"/>
        <v>36</v>
      </c>
      <c r="U9" s="28" t="str">
        <f t="shared" ca="1" si="12"/>
        <v>36</v>
      </c>
      <c r="V9" s="442" t="s">
        <v>1158</v>
      </c>
      <c r="W9" s="22" t="str">
        <f t="shared" ca="1" si="13"/>
        <v>36</v>
      </c>
      <c r="X9" s="405"/>
      <c r="Y9" s="28" t="str">
        <f t="shared" ca="1" si="14"/>
        <v>36</v>
      </c>
      <c r="Z9" s="430" t="s">
        <v>1169</v>
      </c>
      <c r="AA9" s="22" t="str">
        <f t="shared" ca="1" si="15"/>
        <v>36</v>
      </c>
      <c r="AC9" s="28" t="str">
        <f t="shared" ca="1" si="2"/>
        <v>36</v>
      </c>
      <c r="AD9" s="437" t="s">
        <v>1191</v>
      </c>
      <c r="AE9" s="22" t="str">
        <f t="shared" ca="1" si="3"/>
        <v>36</v>
      </c>
      <c r="AG9" s="28" t="str">
        <f t="shared" si="16"/>
        <v/>
      </c>
      <c r="AH9" s="407"/>
      <c r="AI9" s="22" t="str">
        <f t="shared" si="17"/>
        <v/>
      </c>
      <c r="AK9" s="28" t="str">
        <f t="shared" ca="1" si="22"/>
        <v>36</v>
      </c>
      <c r="AM9" s="22" t="str">
        <f t="shared" ca="1" si="23"/>
        <v>36</v>
      </c>
      <c r="AN9" s="405"/>
      <c r="AO9" s="28" t="str">
        <f t="shared" si="20"/>
        <v/>
      </c>
      <c r="AP9" s="409"/>
      <c r="AQ9" s="22" t="str">
        <f t="shared" si="21"/>
        <v/>
      </c>
    </row>
    <row r="10" spans="1:43" x14ac:dyDescent="0.25">
      <c r="A10" s="10"/>
      <c r="B10" s="13">
        <f t="shared" ca="1" si="0"/>
        <v>61.25</v>
      </c>
      <c r="C10" s="14" t="str">
        <f t="shared" ca="1" si="1"/>
        <v>35</v>
      </c>
      <c r="E10" s="28" t="str">
        <f t="shared" si="4"/>
        <v/>
      </c>
      <c r="F10" s="408"/>
      <c r="G10" s="22" t="str">
        <f t="shared" si="5"/>
        <v/>
      </c>
      <c r="H10" s="405"/>
      <c r="I10" s="28" t="str">
        <f t="shared" si="6"/>
        <v/>
      </c>
      <c r="J10" s="408"/>
      <c r="K10" s="22" t="str">
        <f t="shared" si="7"/>
        <v/>
      </c>
      <c r="M10" s="28" t="str">
        <f t="shared" si="8"/>
        <v/>
      </c>
      <c r="N10" s="408"/>
      <c r="O10" s="22" t="str">
        <f t="shared" si="9"/>
        <v/>
      </c>
      <c r="Q10" s="28" t="str">
        <f t="shared" ca="1" si="10"/>
        <v>35</v>
      </c>
      <c r="R10" s="429" t="s">
        <v>1185</v>
      </c>
      <c r="S10" s="22" t="str">
        <f t="shared" ca="1" si="11"/>
        <v>35</v>
      </c>
      <c r="U10" s="28" t="str">
        <f t="shared" ca="1" si="12"/>
        <v>35</v>
      </c>
      <c r="V10" s="441" t="s">
        <v>1153</v>
      </c>
      <c r="W10" s="22" t="str">
        <f t="shared" ca="1" si="13"/>
        <v>35</v>
      </c>
      <c r="X10" s="405"/>
      <c r="Y10" s="28" t="str">
        <f t="shared" ca="1" si="14"/>
        <v>35</v>
      </c>
      <c r="Z10" s="431" t="s">
        <v>1170</v>
      </c>
      <c r="AA10" s="22" t="str">
        <f t="shared" ca="1" si="15"/>
        <v>35</v>
      </c>
      <c r="AC10" s="28" t="str">
        <f t="shared" ca="1" si="2"/>
        <v>35</v>
      </c>
      <c r="AD10" s="438" t="s">
        <v>1192</v>
      </c>
      <c r="AE10" s="22" t="str">
        <f t="shared" ca="1" si="3"/>
        <v>35</v>
      </c>
      <c r="AG10" s="28" t="str">
        <f t="shared" ca="1" si="16"/>
        <v>35</v>
      </c>
      <c r="AH10" s="410" t="s">
        <v>1206</v>
      </c>
      <c r="AI10" s="22" t="str">
        <f t="shared" ca="1" si="17"/>
        <v>35</v>
      </c>
      <c r="AK10" s="28" t="str">
        <f t="shared" si="22"/>
        <v/>
      </c>
      <c r="AL10" s="462" t="s">
        <v>976</v>
      </c>
      <c r="AM10" s="22" t="str">
        <f t="shared" si="23"/>
        <v/>
      </c>
      <c r="AN10" s="405"/>
      <c r="AO10" s="28" t="str">
        <f t="shared" si="20"/>
        <v/>
      </c>
      <c r="AP10" s="408"/>
      <c r="AQ10" s="22" t="str">
        <f t="shared" si="21"/>
        <v/>
      </c>
    </row>
    <row r="11" spans="1:43" x14ac:dyDescent="0.25">
      <c r="A11" s="10"/>
      <c r="B11" s="13">
        <f t="shared" ca="1" si="0"/>
        <v>59.5</v>
      </c>
      <c r="C11" s="14" t="str">
        <f t="shared" ca="1" si="1"/>
        <v>34</v>
      </c>
      <c r="E11" s="28" t="str">
        <f t="shared" si="4"/>
        <v/>
      </c>
      <c r="G11" s="22" t="str">
        <f t="shared" si="5"/>
        <v/>
      </c>
      <c r="H11" s="405"/>
      <c r="I11" s="28" t="str">
        <f t="shared" si="6"/>
        <v/>
      </c>
      <c r="K11" s="22" t="str">
        <f t="shared" si="7"/>
        <v/>
      </c>
      <c r="M11" s="28" t="str">
        <f t="shared" si="8"/>
        <v/>
      </c>
      <c r="O11" s="22" t="str">
        <f t="shared" si="9"/>
        <v/>
      </c>
      <c r="Q11" s="28" t="str">
        <f t="shared" si="10"/>
        <v/>
      </c>
      <c r="S11" s="22" t="str">
        <f t="shared" si="11"/>
        <v/>
      </c>
      <c r="U11" s="28" t="str">
        <f t="shared" si="12"/>
        <v/>
      </c>
      <c r="W11" s="22" t="str">
        <f t="shared" si="13"/>
        <v/>
      </c>
      <c r="X11" s="405"/>
      <c r="Y11" s="28" t="str">
        <f t="shared" si="14"/>
        <v/>
      </c>
      <c r="AA11" s="22" t="str">
        <f t="shared" si="15"/>
        <v/>
      </c>
      <c r="AC11" s="28" t="str">
        <f t="shared" si="2"/>
        <v/>
      </c>
      <c r="AE11" s="22" t="str">
        <f t="shared" si="3"/>
        <v/>
      </c>
      <c r="AG11" s="28" t="str">
        <f t="shared" si="16"/>
        <v/>
      </c>
      <c r="AH11" s="407"/>
      <c r="AI11" s="22" t="str">
        <f t="shared" si="17"/>
        <v/>
      </c>
      <c r="AK11" s="28" t="str">
        <f t="shared" ca="1" si="22"/>
        <v>34</v>
      </c>
      <c r="AL11" s="463"/>
      <c r="AM11" s="22" t="str">
        <f t="shared" ca="1" si="23"/>
        <v>34</v>
      </c>
      <c r="AN11" s="405"/>
      <c r="AO11" s="28" t="str">
        <f t="shared" si="20"/>
        <v/>
      </c>
      <c r="AQ11" s="22" t="str">
        <f t="shared" si="21"/>
        <v/>
      </c>
    </row>
    <row r="12" spans="1:43" x14ac:dyDescent="0.25">
      <c r="A12" s="10"/>
      <c r="B12" s="13">
        <f t="shared" ca="1" si="0"/>
        <v>57.75</v>
      </c>
      <c r="C12" s="14" t="str">
        <f t="shared" ca="1" si="1"/>
        <v>33</v>
      </c>
      <c r="E12" s="28" t="str">
        <f t="shared" si="4"/>
        <v/>
      </c>
      <c r="F12" s="409"/>
      <c r="G12" s="22" t="str">
        <f t="shared" si="5"/>
        <v/>
      </c>
      <c r="H12" s="405"/>
      <c r="I12" s="28" t="str">
        <f t="shared" si="6"/>
        <v/>
      </c>
      <c r="J12" s="409"/>
      <c r="K12" s="22" t="str">
        <f t="shared" si="7"/>
        <v/>
      </c>
      <c r="M12" s="28" t="str">
        <f t="shared" si="8"/>
        <v/>
      </c>
      <c r="N12" s="409"/>
      <c r="O12" s="22" t="str">
        <f t="shared" si="9"/>
        <v/>
      </c>
      <c r="Q12" s="28" t="str">
        <f t="shared" ca="1" si="10"/>
        <v>33</v>
      </c>
      <c r="R12" s="428" t="s">
        <v>1186</v>
      </c>
      <c r="S12" s="22" t="str">
        <f t="shared" ca="1" si="11"/>
        <v>33</v>
      </c>
      <c r="U12" s="28" t="str">
        <f t="shared" ca="1" si="12"/>
        <v>33</v>
      </c>
      <c r="V12" s="435" t="s">
        <v>696</v>
      </c>
      <c r="W12" s="22" t="str">
        <f t="shared" ca="1" si="13"/>
        <v>33</v>
      </c>
      <c r="X12" s="405"/>
      <c r="Y12" s="28" t="str">
        <f t="shared" ca="1" si="14"/>
        <v>33</v>
      </c>
      <c r="Z12" s="430" t="s">
        <v>1171</v>
      </c>
      <c r="AA12" s="22" t="str">
        <f t="shared" ca="1" si="15"/>
        <v>33</v>
      </c>
      <c r="AC12" s="28" t="str">
        <f t="shared" ca="1" si="2"/>
        <v>33</v>
      </c>
      <c r="AD12" s="437" t="s">
        <v>1193</v>
      </c>
      <c r="AE12" s="22" t="str">
        <f t="shared" ca="1" si="3"/>
        <v>33</v>
      </c>
      <c r="AG12" s="28" t="str">
        <f t="shared" ca="1" si="16"/>
        <v>33</v>
      </c>
      <c r="AH12" s="410" t="s">
        <v>955</v>
      </c>
      <c r="AI12" s="22" t="str">
        <f t="shared" ca="1" si="17"/>
        <v>33</v>
      </c>
      <c r="AK12" s="28" t="str">
        <f t="shared" si="22"/>
        <v/>
      </c>
      <c r="AL12" s="462" t="s">
        <v>977</v>
      </c>
      <c r="AM12" s="22" t="str">
        <f t="shared" si="23"/>
        <v/>
      </c>
      <c r="AN12" s="405"/>
      <c r="AO12" s="28" t="str">
        <f t="shared" si="20"/>
        <v/>
      </c>
      <c r="AP12" s="409"/>
      <c r="AQ12" s="22" t="str">
        <f t="shared" si="21"/>
        <v/>
      </c>
    </row>
    <row r="13" spans="1:43" x14ac:dyDescent="0.25">
      <c r="A13" s="10"/>
      <c r="B13" s="13">
        <f t="shared" ca="1" si="0"/>
        <v>56</v>
      </c>
      <c r="C13" s="14" t="str">
        <f t="shared" ca="1" si="1"/>
        <v>32</v>
      </c>
      <c r="E13" s="28" t="str">
        <f t="shared" si="4"/>
        <v/>
      </c>
      <c r="F13" s="408"/>
      <c r="G13" s="22" t="str">
        <f t="shared" si="5"/>
        <v/>
      </c>
      <c r="H13" s="405"/>
      <c r="I13" s="28" t="str">
        <f t="shared" si="6"/>
        <v/>
      </c>
      <c r="J13" s="408"/>
      <c r="K13" s="22" t="str">
        <f t="shared" si="7"/>
        <v/>
      </c>
      <c r="M13" s="28" t="str">
        <f t="shared" si="8"/>
        <v/>
      </c>
      <c r="N13" s="408"/>
      <c r="O13" s="22" t="str">
        <f t="shared" si="9"/>
        <v/>
      </c>
      <c r="Q13" s="28" t="str">
        <f t="shared" ca="1" si="10"/>
        <v>32</v>
      </c>
      <c r="R13" s="429" t="s">
        <v>1187</v>
      </c>
      <c r="S13" s="22" t="str">
        <f t="shared" ca="1" si="11"/>
        <v>32</v>
      </c>
      <c r="U13" s="28" t="str">
        <f t="shared" ca="1" si="12"/>
        <v>32</v>
      </c>
      <c r="V13" s="441" t="s">
        <v>1151</v>
      </c>
      <c r="W13" s="22" t="str">
        <f t="shared" ca="1" si="13"/>
        <v>32</v>
      </c>
      <c r="X13" s="405"/>
      <c r="Y13" s="28" t="str">
        <f t="shared" ca="1" si="14"/>
        <v>32</v>
      </c>
      <c r="Z13" s="431" t="s">
        <v>1172</v>
      </c>
      <c r="AA13" s="22" t="str">
        <f t="shared" ca="1" si="15"/>
        <v>32</v>
      </c>
      <c r="AC13" s="28" t="str">
        <f t="shared" ca="1" si="2"/>
        <v>32</v>
      </c>
      <c r="AD13" s="437" t="s">
        <v>1194</v>
      </c>
      <c r="AE13" s="22" t="str">
        <f t="shared" ca="1" si="3"/>
        <v>32</v>
      </c>
      <c r="AG13" s="28" t="str">
        <f t="shared" si="16"/>
        <v/>
      </c>
      <c r="AI13" s="22" t="str">
        <f t="shared" si="17"/>
        <v/>
      </c>
      <c r="AK13" s="28" t="str">
        <f t="shared" ca="1" si="22"/>
        <v>32</v>
      </c>
      <c r="AL13" s="463"/>
      <c r="AM13" s="22" t="str">
        <f t="shared" ca="1" si="23"/>
        <v>32</v>
      </c>
      <c r="AN13" s="405"/>
      <c r="AO13" s="28" t="str">
        <f t="shared" si="20"/>
        <v/>
      </c>
      <c r="AP13" s="408"/>
      <c r="AQ13" s="22" t="str">
        <f t="shared" si="21"/>
        <v/>
      </c>
    </row>
    <row r="14" spans="1:43" x14ac:dyDescent="0.25">
      <c r="A14" s="10"/>
      <c r="B14" s="13">
        <f t="shared" ca="1" si="0"/>
        <v>54.25</v>
      </c>
      <c r="C14" s="14" t="str">
        <f t="shared" ca="1" si="1"/>
        <v>31</v>
      </c>
      <c r="E14" s="28" t="str">
        <f t="shared" si="4"/>
        <v/>
      </c>
      <c r="G14" s="22" t="str">
        <f t="shared" si="5"/>
        <v/>
      </c>
      <c r="H14" s="405"/>
      <c r="I14" s="28" t="str">
        <f t="shared" si="6"/>
        <v/>
      </c>
      <c r="K14" s="22" t="str">
        <f t="shared" si="7"/>
        <v/>
      </c>
      <c r="M14" s="28" t="str">
        <f t="shared" si="8"/>
        <v/>
      </c>
      <c r="O14" s="22" t="str">
        <f t="shared" si="9"/>
        <v/>
      </c>
      <c r="Q14" s="28" t="str">
        <f t="shared" si="10"/>
        <v/>
      </c>
      <c r="S14" s="22" t="str">
        <f t="shared" si="11"/>
        <v/>
      </c>
      <c r="U14" s="28" t="str">
        <f t="shared" si="12"/>
        <v/>
      </c>
      <c r="W14" s="22" t="str">
        <f t="shared" si="13"/>
        <v/>
      </c>
      <c r="X14" s="405"/>
      <c r="Y14" s="28" t="str">
        <f t="shared" si="14"/>
        <v/>
      </c>
      <c r="AA14" s="22" t="str">
        <f t="shared" si="15"/>
        <v/>
      </c>
      <c r="AC14" s="28" t="str">
        <f t="shared" si="2"/>
        <v/>
      </c>
      <c r="AE14" s="22" t="str">
        <f t="shared" si="3"/>
        <v/>
      </c>
      <c r="AG14" s="28" t="str">
        <f t="shared" ca="1" si="16"/>
        <v>31</v>
      </c>
      <c r="AH14" s="410" t="s">
        <v>956</v>
      </c>
      <c r="AI14" s="22" t="str">
        <f t="shared" ca="1" si="17"/>
        <v>31</v>
      </c>
      <c r="AK14" s="28" t="str">
        <f ca="1">IF(LEN(AL34)=0,"",$C14)</f>
        <v>31</v>
      </c>
      <c r="AL14" s="462" t="s">
        <v>978</v>
      </c>
      <c r="AM14" s="22" t="str">
        <f ca="1">IF(LEN(AL34)=0,"",$C14)</f>
        <v>31</v>
      </c>
      <c r="AN14" s="405"/>
      <c r="AO14" s="28" t="str">
        <f t="shared" si="20"/>
        <v/>
      </c>
      <c r="AQ14" s="22" t="str">
        <f t="shared" si="21"/>
        <v/>
      </c>
    </row>
    <row r="15" spans="1:43" x14ac:dyDescent="0.25">
      <c r="A15" s="10"/>
      <c r="B15" s="13">
        <f t="shared" ca="1" si="0"/>
        <v>52.5</v>
      </c>
      <c r="C15" s="14" t="str">
        <f t="shared" ca="1" si="1"/>
        <v>30</v>
      </c>
      <c r="E15" s="28" t="str">
        <f t="shared" si="4"/>
        <v/>
      </c>
      <c r="F15" s="409"/>
      <c r="G15" s="22" t="str">
        <f t="shared" si="5"/>
        <v/>
      </c>
      <c r="H15" s="405"/>
      <c r="I15" s="28" t="str">
        <f t="shared" si="6"/>
        <v/>
      </c>
      <c r="J15" s="409"/>
      <c r="K15" s="22" t="str">
        <f t="shared" si="7"/>
        <v/>
      </c>
      <c r="M15" s="28" t="str">
        <f t="shared" si="8"/>
        <v/>
      </c>
      <c r="N15" s="409"/>
      <c r="O15" s="22" t="str">
        <f t="shared" si="9"/>
        <v/>
      </c>
      <c r="Q15" s="28" t="str">
        <f t="shared" ca="1" si="10"/>
        <v>30</v>
      </c>
      <c r="R15" s="409" t="s">
        <v>1200</v>
      </c>
      <c r="S15" s="22" t="str">
        <f t="shared" ca="1" si="11"/>
        <v>30</v>
      </c>
      <c r="U15" s="28" t="str">
        <f t="shared" ca="1" si="12"/>
        <v>30</v>
      </c>
      <c r="V15" s="435" t="s">
        <v>1152</v>
      </c>
      <c r="W15" s="22" t="str">
        <f t="shared" ca="1" si="13"/>
        <v>30</v>
      </c>
      <c r="X15" s="405"/>
      <c r="Y15" s="28" t="str">
        <f t="shared" ca="1" si="14"/>
        <v>30</v>
      </c>
      <c r="Z15" s="430" t="s">
        <v>1173</v>
      </c>
      <c r="AA15" s="22" t="str">
        <f t="shared" ca="1" si="15"/>
        <v>30</v>
      </c>
      <c r="AC15" s="28" t="str">
        <f t="shared" ca="1" si="2"/>
        <v>30</v>
      </c>
      <c r="AD15" s="437" t="s">
        <v>1195</v>
      </c>
      <c r="AE15" s="22" t="str">
        <f t="shared" ca="1" si="3"/>
        <v>30</v>
      </c>
      <c r="AG15" s="28" t="str">
        <f t="shared" si="16"/>
        <v/>
      </c>
      <c r="AI15" s="22" t="str">
        <f t="shared" si="17"/>
        <v/>
      </c>
      <c r="AK15" s="28" t="str">
        <f>IF(LEN(AL35)=0,"",$C15)</f>
        <v/>
      </c>
      <c r="AL15" s="463"/>
      <c r="AM15" s="22" t="str">
        <f>IF(LEN(AL35)=0,"",$C15)</f>
        <v/>
      </c>
      <c r="AN15" s="405"/>
      <c r="AO15" s="28" t="str">
        <f t="shared" si="20"/>
        <v/>
      </c>
      <c r="AP15" s="409"/>
      <c r="AQ15" s="22" t="str">
        <f t="shared" si="21"/>
        <v/>
      </c>
    </row>
    <row r="16" spans="1:43" x14ac:dyDescent="0.25">
      <c r="A16" s="10"/>
      <c r="B16" s="13">
        <f t="shared" ca="1" si="0"/>
        <v>50.75</v>
      </c>
      <c r="C16" s="14" t="str">
        <f t="shared" ca="1" si="1"/>
        <v>29</v>
      </c>
      <c r="E16" s="28" t="str">
        <f t="shared" si="4"/>
        <v/>
      </c>
      <c r="F16" s="408"/>
      <c r="G16" s="22" t="str">
        <f t="shared" si="5"/>
        <v/>
      </c>
      <c r="H16" s="405"/>
      <c r="I16" s="28" t="str">
        <f t="shared" si="6"/>
        <v/>
      </c>
      <c r="J16" s="408"/>
      <c r="K16" s="22" t="str">
        <f t="shared" si="7"/>
        <v/>
      </c>
      <c r="M16" s="28" t="str">
        <f t="shared" si="8"/>
        <v/>
      </c>
      <c r="N16" s="408"/>
      <c r="O16" s="22" t="str">
        <f t="shared" si="9"/>
        <v/>
      </c>
      <c r="Q16" s="28" t="str">
        <f t="shared" si="10"/>
        <v/>
      </c>
      <c r="R16" s="408"/>
      <c r="S16" s="22" t="str">
        <f t="shared" si="11"/>
        <v/>
      </c>
      <c r="U16" s="28" t="str">
        <f t="shared" ca="1" si="12"/>
        <v>29</v>
      </c>
      <c r="V16" s="435" t="s">
        <v>1154</v>
      </c>
      <c r="W16" s="22" t="str">
        <f t="shared" ca="1" si="13"/>
        <v>29</v>
      </c>
      <c r="X16" s="405"/>
      <c r="Y16" s="28" t="str">
        <f t="shared" ca="1" si="14"/>
        <v>29</v>
      </c>
      <c r="Z16" s="431" t="s">
        <v>1174</v>
      </c>
      <c r="AA16" s="22" t="str">
        <f t="shared" ca="1" si="15"/>
        <v>29</v>
      </c>
      <c r="AC16" s="28" t="str">
        <f t="shared" ca="1" si="2"/>
        <v>29</v>
      </c>
      <c r="AD16" s="437" t="s">
        <v>1196</v>
      </c>
      <c r="AE16" s="22" t="str">
        <f t="shared" ca="1" si="3"/>
        <v>29</v>
      </c>
      <c r="AG16" s="28" t="str">
        <f t="shared" ca="1" si="16"/>
        <v>29</v>
      </c>
      <c r="AH16" s="410" t="s">
        <v>957</v>
      </c>
      <c r="AI16" s="22" t="str">
        <f t="shared" ca="1" si="17"/>
        <v>29</v>
      </c>
      <c r="AK16" s="28" t="e">
        <f>IF(LEN(#REF!)=0,"",$C16)</f>
        <v>#REF!</v>
      </c>
      <c r="AL16" s="462" t="s">
        <v>981</v>
      </c>
      <c r="AM16" s="22" t="e">
        <f>IF(LEN(#REF!)=0,"",$C16)</f>
        <v>#REF!</v>
      </c>
      <c r="AN16" s="405"/>
      <c r="AO16" s="28" t="str">
        <f t="shared" si="20"/>
        <v/>
      </c>
      <c r="AP16" s="408"/>
      <c r="AQ16" s="22" t="str">
        <f t="shared" si="21"/>
        <v/>
      </c>
    </row>
    <row r="17" spans="1:43" x14ac:dyDescent="0.25">
      <c r="A17" s="10"/>
      <c r="B17" s="13">
        <f t="shared" ca="1" si="0"/>
        <v>49</v>
      </c>
      <c r="C17" s="14" t="str">
        <f t="shared" ca="1" si="1"/>
        <v>28</v>
      </c>
      <c r="E17" s="28" t="str">
        <f t="shared" si="4"/>
        <v/>
      </c>
      <c r="G17" s="22" t="str">
        <f t="shared" si="5"/>
        <v/>
      </c>
      <c r="H17" s="405"/>
      <c r="I17" s="28" t="str">
        <f t="shared" si="6"/>
        <v/>
      </c>
      <c r="K17" s="22" t="str">
        <f t="shared" si="7"/>
        <v/>
      </c>
      <c r="M17" s="28" t="str">
        <f t="shared" si="8"/>
        <v/>
      </c>
      <c r="O17" s="22" t="str">
        <f t="shared" si="9"/>
        <v/>
      </c>
      <c r="Q17" s="28" t="str">
        <f t="shared" si="10"/>
        <v/>
      </c>
      <c r="S17" s="22" t="str">
        <f t="shared" si="11"/>
        <v/>
      </c>
      <c r="U17" s="28" t="str">
        <f t="shared" si="12"/>
        <v/>
      </c>
      <c r="W17" s="22" t="str">
        <f t="shared" si="13"/>
        <v/>
      </c>
      <c r="X17" s="405"/>
      <c r="Y17" s="28" t="str">
        <f t="shared" si="14"/>
        <v/>
      </c>
      <c r="AA17" s="22" t="str">
        <f t="shared" si="15"/>
        <v/>
      </c>
      <c r="AC17" s="28" t="str">
        <f t="shared" si="2"/>
        <v/>
      </c>
      <c r="AE17" s="22" t="str">
        <f t="shared" si="3"/>
        <v/>
      </c>
      <c r="AG17" s="28" t="str">
        <f t="shared" si="16"/>
        <v/>
      </c>
      <c r="AI17" s="22" t="str">
        <f t="shared" si="17"/>
        <v/>
      </c>
      <c r="AK17" s="28" t="str">
        <f ca="1">IF(LEN(AL36)=0,"",$C17)</f>
        <v>28</v>
      </c>
      <c r="AL17" s="463"/>
      <c r="AM17" s="22" t="str">
        <f ca="1">IF(LEN(AL36)=0,"",$C17)</f>
        <v>28</v>
      </c>
      <c r="AN17" s="405"/>
      <c r="AO17" s="28" t="str">
        <f t="shared" si="20"/>
        <v/>
      </c>
      <c r="AQ17" s="22" t="str">
        <f t="shared" si="21"/>
        <v/>
      </c>
    </row>
    <row r="18" spans="1:43" x14ac:dyDescent="0.25">
      <c r="A18" s="10"/>
      <c r="B18" s="13">
        <f t="shared" ca="1" si="0"/>
        <v>47.25</v>
      </c>
      <c r="C18" s="14" t="str">
        <f t="shared" ca="1" si="1"/>
        <v>27</v>
      </c>
      <c r="E18" s="28" t="str">
        <f t="shared" si="4"/>
        <v/>
      </c>
      <c r="F18" s="409"/>
      <c r="G18" s="22" t="str">
        <f t="shared" si="5"/>
        <v/>
      </c>
      <c r="H18" s="405"/>
      <c r="I18" s="28" t="str">
        <f t="shared" si="6"/>
        <v/>
      </c>
      <c r="J18" s="409"/>
      <c r="K18" s="22" t="str">
        <f t="shared" si="7"/>
        <v/>
      </c>
      <c r="M18" s="28" t="str">
        <f t="shared" si="8"/>
        <v/>
      </c>
      <c r="N18" s="409"/>
      <c r="O18" s="22" t="str">
        <f t="shared" si="9"/>
        <v/>
      </c>
      <c r="Q18" s="28" t="str">
        <f t="shared" si="10"/>
        <v/>
      </c>
      <c r="R18" s="409"/>
      <c r="S18" s="22" t="str">
        <f t="shared" si="11"/>
        <v/>
      </c>
      <c r="U18" s="28" t="str">
        <f t="shared" ca="1" si="12"/>
        <v>27</v>
      </c>
      <c r="V18" s="441" t="s">
        <v>1155</v>
      </c>
      <c r="W18" s="22" t="str">
        <f t="shared" ca="1" si="13"/>
        <v>27</v>
      </c>
      <c r="X18" s="405"/>
      <c r="Y18" s="28" t="str">
        <f t="shared" ca="1" si="14"/>
        <v>27</v>
      </c>
      <c r="Z18" s="430" t="s">
        <v>1175</v>
      </c>
      <c r="AA18" s="22" t="str">
        <f t="shared" ca="1" si="15"/>
        <v>27</v>
      </c>
      <c r="AC18" s="28" t="str">
        <f t="shared" ca="1" si="2"/>
        <v>27</v>
      </c>
      <c r="AD18" s="437" t="s">
        <v>1197</v>
      </c>
      <c r="AE18" s="22" t="str">
        <f t="shared" ca="1" si="3"/>
        <v>27</v>
      </c>
      <c r="AG18" s="28" t="str">
        <f t="shared" ca="1" si="16"/>
        <v>27</v>
      </c>
      <c r="AH18" s="410" t="s">
        <v>958</v>
      </c>
      <c r="AI18" s="22" t="str">
        <f t="shared" ca="1" si="17"/>
        <v>27</v>
      </c>
      <c r="AK18" s="28" t="str">
        <f ca="1">IF(LEN(AL38)=0,"",$C18)</f>
        <v>27</v>
      </c>
      <c r="AL18" s="462" t="s">
        <v>979</v>
      </c>
      <c r="AM18" s="22" t="str">
        <f ca="1">IF(LEN(AL38)=0,"",$C18)</f>
        <v>27</v>
      </c>
      <c r="AN18" s="405"/>
      <c r="AO18" s="28" t="str">
        <f t="shared" si="20"/>
        <v/>
      </c>
      <c r="AP18" s="409"/>
      <c r="AQ18" s="22" t="str">
        <f t="shared" si="21"/>
        <v/>
      </c>
    </row>
    <row r="19" spans="1:43" x14ac:dyDescent="0.25">
      <c r="A19" s="10"/>
      <c r="B19" s="13">
        <f t="shared" ca="1" si="0"/>
        <v>45.5</v>
      </c>
      <c r="C19" s="14" t="str">
        <f t="shared" ca="1" si="1"/>
        <v>26</v>
      </c>
      <c r="E19" s="28" t="str">
        <f t="shared" si="4"/>
        <v/>
      </c>
      <c r="F19" s="408"/>
      <c r="G19" s="22" t="str">
        <f t="shared" si="5"/>
        <v/>
      </c>
      <c r="H19" s="405"/>
      <c r="I19" s="28" t="str">
        <f t="shared" si="6"/>
        <v/>
      </c>
      <c r="J19" s="408"/>
      <c r="K19" s="22" t="str">
        <f t="shared" si="7"/>
        <v/>
      </c>
      <c r="M19" s="28" t="str">
        <f t="shared" si="8"/>
        <v/>
      </c>
      <c r="N19" s="408"/>
      <c r="O19" s="22" t="str">
        <f t="shared" si="9"/>
        <v/>
      </c>
      <c r="Q19" s="28" t="str">
        <f t="shared" si="10"/>
        <v/>
      </c>
      <c r="R19" s="408"/>
      <c r="S19" s="22" t="str">
        <f t="shared" si="11"/>
        <v/>
      </c>
      <c r="U19" s="28" t="str">
        <f t="shared" ca="1" si="12"/>
        <v>26</v>
      </c>
      <c r="V19" s="441" t="s">
        <v>1159</v>
      </c>
      <c r="W19" s="22" t="str">
        <f t="shared" ca="1" si="13"/>
        <v>26</v>
      </c>
      <c r="X19" s="405"/>
      <c r="Y19" s="28" t="str">
        <f t="shared" ca="1" si="14"/>
        <v>26</v>
      </c>
      <c r="Z19" s="431" t="s">
        <v>1176</v>
      </c>
      <c r="AA19" s="22" t="str">
        <f t="shared" ca="1" si="15"/>
        <v>26</v>
      </c>
      <c r="AC19" s="28" t="str">
        <f t="shared" ca="1" si="2"/>
        <v>26</v>
      </c>
      <c r="AD19" s="437" t="s">
        <v>1198</v>
      </c>
      <c r="AE19" s="22" t="str">
        <f t="shared" ca="1" si="3"/>
        <v>26</v>
      </c>
      <c r="AG19" s="28" t="str">
        <f t="shared" si="16"/>
        <v/>
      </c>
      <c r="AI19" s="22" t="str">
        <f t="shared" si="17"/>
        <v/>
      </c>
      <c r="AK19" s="28" t="str">
        <f>IF(LEN(AL39)=0,"",$C19)</f>
        <v/>
      </c>
      <c r="AL19" s="463"/>
      <c r="AM19" s="22" t="str">
        <f>IF(LEN(AL39)=0,"",$C19)</f>
        <v/>
      </c>
      <c r="AN19" s="405"/>
      <c r="AO19" s="28" t="str">
        <f t="shared" si="20"/>
        <v/>
      </c>
      <c r="AP19" s="408"/>
      <c r="AQ19" s="22" t="str">
        <f t="shared" si="21"/>
        <v/>
      </c>
    </row>
    <row r="20" spans="1:43" x14ac:dyDescent="0.25">
      <c r="A20" s="10"/>
      <c r="B20" s="13">
        <f t="shared" ca="1" si="0"/>
        <v>43.75</v>
      </c>
      <c r="C20" s="14" t="str">
        <f t="shared" ca="1" si="1"/>
        <v>25</v>
      </c>
      <c r="E20" s="28" t="str">
        <f t="shared" si="4"/>
        <v/>
      </c>
      <c r="G20" s="22" t="str">
        <f t="shared" si="5"/>
        <v/>
      </c>
      <c r="H20" s="405"/>
      <c r="I20" s="28" t="str">
        <f t="shared" si="6"/>
        <v/>
      </c>
      <c r="K20" s="22" t="str">
        <f t="shared" si="7"/>
        <v/>
      </c>
      <c r="M20" s="28" t="str">
        <f t="shared" si="8"/>
        <v/>
      </c>
      <c r="O20" s="22" t="str">
        <f t="shared" si="9"/>
        <v/>
      </c>
      <c r="Q20" s="28" t="str">
        <f t="shared" si="10"/>
        <v/>
      </c>
      <c r="S20" s="22" t="str">
        <f t="shared" si="11"/>
        <v/>
      </c>
      <c r="U20" s="28" t="str">
        <f t="shared" si="12"/>
        <v/>
      </c>
      <c r="W20" s="22" t="str">
        <f t="shared" si="13"/>
        <v/>
      </c>
      <c r="X20" s="405"/>
      <c r="Y20" s="28" t="str">
        <f t="shared" si="14"/>
        <v/>
      </c>
      <c r="AA20" s="22" t="str">
        <f t="shared" si="15"/>
        <v/>
      </c>
      <c r="AC20" s="28" t="str">
        <f t="shared" si="2"/>
        <v/>
      </c>
      <c r="AE20" s="22" t="str">
        <f t="shared" si="3"/>
        <v/>
      </c>
      <c r="AG20" s="28" t="str">
        <f t="shared" ca="1" si="16"/>
        <v>25</v>
      </c>
      <c r="AH20" s="410" t="s">
        <v>959</v>
      </c>
      <c r="AI20" s="22" t="str">
        <f t="shared" ca="1" si="17"/>
        <v>25</v>
      </c>
      <c r="AK20" s="28" t="str">
        <f ca="1">IF(LEN(AL40)=0,"",$C20)</f>
        <v>25</v>
      </c>
      <c r="AL20" s="462" t="s">
        <v>1100</v>
      </c>
      <c r="AM20" s="22" t="str">
        <f ca="1">IF(LEN(AL40)=0,"",$C20)</f>
        <v>25</v>
      </c>
      <c r="AN20" s="405"/>
      <c r="AO20" s="28" t="str">
        <f t="shared" si="20"/>
        <v/>
      </c>
      <c r="AQ20" s="22" t="str">
        <f t="shared" si="21"/>
        <v/>
      </c>
    </row>
    <row r="21" spans="1:43" x14ac:dyDescent="0.25">
      <c r="A21" s="10"/>
      <c r="B21" s="13">
        <f t="shared" ca="1" si="0"/>
        <v>42</v>
      </c>
      <c r="C21" s="14" t="str">
        <f t="shared" ca="1" si="1"/>
        <v>24</v>
      </c>
      <c r="E21" s="28" t="str">
        <f t="shared" si="4"/>
        <v/>
      </c>
      <c r="F21" s="409"/>
      <c r="G21" s="22" t="str">
        <f t="shared" si="5"/>
        <v/>
      </c>
      <c r="H21" s="405"/>
      <c r="I21" s="28" t="str">
        <f t="shared" si="6"/>
        <v/>
      </c>
      <c r="J21" s="409"/>
      <c r="K21" s="22" t="str">
        <f t="shared" si="7"/>
        <v/>
      </c>
      <c r="M21" s="28" t="str">
        <f t="shared" si="8"/>
        <v/>
      </c>
      <c r="N21" s="409"/>
      <c r="O21" s="22" t="str">
        <f t="shared" si="9"/>
        <v/>
      </c>
      <c r="Q21" s="28" t="str">
        <f t="shared" si="10"/>
        <v/>
      </c>
      <c r="R21" s="409"/>
      <c r="S21" s="22" t="str">
        <f t="shared" si="11"/>
        <v/>
      </c>
      <c r="U21" s="28" t="str">
        <f t="shared" ca="1" si="12"/>
        <v>24</v>
      </c>
      <c r="V21" s="435" t="s">
        <v>1160</v>
      </c>
      <c r="W21" s="22" t="str">
        <f t="shared" ca="1" si="13"/>
        <v>24</v>
      </c>
      <c r="X21" s="405"/>
      <c r="Y21" s="28" t="str">
        <f t="shared" ca="1" si="14"/>
        <v>24</v>
      </c>
      <c r="Z21" s="430" t="s">
        <v>1177</v>
      </c>
      <c r="AA21" s="22" t="str">
        <f t="shared" ca="1" si="15"/>
        <v>24</v>
      </c>
      <c r="AC21" s="28" t="str">
        <f t="shared" ca="1" si="2"/>
        <v>24</v>
      </c>
      <c r="AD21" s="437" t="s">
        <v>1199</v>
      </c>
      <c r="AE21" s="22" t="str">
        <f t="shared" ca="1" si="3"/>
        <v>24</v>
      </c>
      <c r="AG21" s="28" t="str">
        <f>IF(LEN(AH25)=0,"",$C21)</f>
        <v/>
      </c>
      <c r="AI21" s="22" t="str">
        <f>IF(LEN(AH25)=0,"",$C21)</f>
        <v/>
      </c>
      <c r="AK21" s="28" t="str">
        <f ca="1">IF(LEN(AL25)=0,"",$C21)</f>
        <v>24</v>
      </c>
      <c r="AL21" s="463"/>
      <c r="AM21" s="22" t="str">
        <f ca="1">IF(LEN(AL25)=0,"",$C21)</f>
        <v>24</v>
      </c>
      <c r="AN21" s="405"/>
      <c r="AO21" s="28" t="str">
        <f t="shared" si="20"/>
        <v/>
      </c>
      <c r="AP21" s="409"/>
      <c r="AQ21" s="22" t="str">
        <f t="shared" si="21"/>
        <v/>
      </c>
    </row>
    <row r="22" spans="1:43" x14ac:dyDescent="0.25">
      <c r="A22" s="10"/>
      <c r="B22" s="13">
        <f t="shared" ca="1" si="0"/>
        <v>40.25</v>
      </c>
      <c r="C22" s="14" t="str">
        <f t="shared" ca="1" si="1"/>
        <v>23</v>
      </c>
      <c r="E22" s="28" t="str">
        <f t="shared" si="4"/>
        <v/>
      </c>
      <c r="F22" s="408"/>
      <c r="G22" s="22" t="str">
        <f t="shared" si="5"/>
        <v/>
      </c>
      <c r="H22" s="405"/>
      <c r="I22" s="28" t="str">
        <f t="shared" si="6"/>
        <v/>
      </c>
      <c r="J22" s="408"/>
      <c r="K22" s="22" t="str">
        <f t="shared" si="7"/>
        <v/>
      </c>
      <c r="M22" s="28" t="str">
        <f t="shared" si="8"/>
        <v/>
      </c>
      <c r="N22" s="408"/>
      <c r="O22" s="22" t="str">
        <f t="shared" si="9"/>
        <v/>
      </c>
      <c r="Q22" s="28" t="str">
        <f t="shared" si="10"/>
        <v/>
      </c>
      <c r="R22" s="408"/>
      <c r="S22" s="22" t="str">
        <f t="shared" si="11"/>
        <v/>
      </c>
      <c r="U22" s="28" t="str">
        <f t="shared" ca="1" si="12"/>
        <v>23</v>
      </c>
      <c r="V22" s="441" t="s">
        <v>1161</v>
      </c>
      <c r="W22" s="22" t="str">
        <f t="shared" ca="1" si="13"/>
        <v>23</v>
      </c>
      <c r="X22" s="405"/>
      <c r="Y22" s="28" t="str">
        <f t="shared" ca="1" si="14"/>
        <v>23</v>
      </c>
      <c r="Z22" s="431" t="s">
        <v>1178</v>
      </c>
      <c r="AA22" s="22" t="str">
        <f t="shared" ca="1" si="15"/>
        <v>23</v>
      </c>
      <c r="AC22" s="28" t="str">
        <f t="shared" ca="1" si="2"/>
        <v>23</v>
      </c>
      <c r="AD22" s="437" t="s">
        <v>1235</v>
      </c>
      <c r="AE22" s="22" t="str">
        <f t="shared" ca="1" si="3"/>
        <v>23</v>
      </c>
      <c r="AG22" s="28" t="str">
        <f t="shared" ca="1" si="16"/>
        <v>23</v>
      </c>
      <c r="AH22" s="410" t="s">
        <v>960</v>
      </c>
      <c r="AI22" s="22" t="str">
        <f t="shared" ca="1" si="17"/>
        <v>23</v>
      </c>
      <c r="AK22" s="28" t="e">
        <f>IF(LEN(#REF!)=0,"",$C22)</f>
        <v>#REF!</v>
      </c>
      <c r="AL22" s="462" t="s">
        <v>1101</v>
      </c>
      <c r="AM22" s="22" t="e">
        <f>IF(LEN(#REF!)=0,"",$C22)</f>
        <v>#REF!</v>
      </c>
      <c r="AN22" s="405"/>
      <c r="AO22" s="28" t="str">
        <f t="shared" si="20"/>
        <v/>
      </c>
      <c r="AP22" s="408"/>
      <c r="AQ22" s="22" t="str">
        <f t="shared" si="21"/>
        <v/>
      </c>
    </row>
    <row r="23" spans="1:43" x14ac:dyDescent="0.25">
      <c r="A23" s="10"/>
      <c r="B23" s="13">
        <f t="shared" ca="1" si="0"/>
        <v>38.5</v>
      </c>
      <c r="C23" s="14" t="str">
        <f t="shared" ca="1" si="1"/>
        <v>22</v>
      </c>
      <c r="E23" s="28" t="str">
        <f t="shared" si="4"/>
        <v/>
      </c>
      <c r="G23" s="22" t="str">
        <f t="shared" si="5"/>
        <v/>
      </c>
      <c r="H23" s="405"/>
      <c r="I23" s="28" t="str">
        <f t="shared" si="6"/>
        <v/>
      </c>
      <c r="K23" s="22" t="str">
        <f t="shared" si="7"/>
        <v/>
      </c>
      <c r="M23" s="28" t="str">
        <f t="shared" si="8"/>
        <v/>
      </c>
      <c r="O23" s="22" t="str">
        <f t="shared" si="9"/>
        <v/>
      </c>
      <c r="Q23" s="28" t="str">
        <f t="shared" si="10"/>
        <v/>
      </c>
      <c r="S23" s="22" t="str">
        <f t="shared" si="11"/>
        <v/>
      </c>
      <c r="U23" s="28" t="str">
        <f t="shared" si="12"/>
        <v/>
      </c>
      <c r="W23" s="22" t="str">
        <f t="shared" si="13"/>
        <v/>
      </c>
      <c r="X23" s="405"/>
      <c r="Y23" s="28" t="str">
        <f t="shared" si="14"/>
        <v/>
      </c>
      <c r="AA23" s="22" t="str">
        <f t="shared" si="15"/>
        <v/>
      </c>
      <c r="AC23" s="28" t="str">
        <f t="shared" si="2"/>
        <v/>
      </c>
      <c r="AE23" s="22" t="str">
        <f t="shared" si="3"/>
        <v/>
      </c>
      <c r="AG23" s="28" t="str">
        <f t="shared" si="16"/>
        <v/>
      </c>
      <c r="AI23" s="22" t="str">
        <f t="shared" si="17"/>
        <v/>
      </c>
      <c r="AK23" s="28" t="e">
        <f>IF(LEN(#REF!)=0,"",$C23)</f>
        <v>#REF!</v>
      </c>
      <c r="AL23" s="463"/>
      <c r="AM23" s="22" t="e">
        <f>IF(LEN(#REF!)=0,"",$C23)</f>
        <v>#REF!</v>
      </c>
      <c r="AN23" s="405"/>
      <c r="AO23" s="28" t="str">
        <f t="shared" si="20"/>
        <v/>
      </c>
      <c r="AQ23" s="22" t="str">
        <f t="shared" si="21"/>
        <v/>
      </c>
    </row>
    <row r="24" spans="1:43" x14ac:dyDescent="0.25">
      <c r="A24" s="10"/>
      <c r="B24" s="13">
        <f t="shared" ca="1" si="0"/>
        <v>36.75</v>
      </c>
      <c r="C24" s="14" t="str">
        <f t="shared" ca="1" si="1"/>
        <v>21</v>
      </c>
      <c r="E24" s="28" t="str">
        <f t="shared" si="4"/>
        <v/>
      </c>
      <c r="F24" s="409"/>
      <c r="G24" s="22" t="str">
        <f t="shared" si="5"/>
        <v/>
      </c>
      <c r="H24" s="405"/>
      <c r="I24" s="28" t="str">
        <f t="shared" si="6"/>
        <v/>
      </c>
      <c r="J24" s="409"/>
      <c r="K24" s="22" t="str">
        <f t="shared" si="7"/>
        <v/>
      </c>
      <c r="M24" s="28" t="str">
        <f t="shared" si="8"/>
        <v/>
      </c>
      <c r="N24" s="409"/>
      <c r="O24" s="22" t="str">
        <f t="shared" si="9"/>
        <v/>
      </c>
      <c r="Q24" s="28" t="str">
        <f t="shared" si="10"/>
        <v/>
      </c>
      <c r="R24" s="409"/>
      <c r="S24" s="22" t="str">
        <f t="shared" si="11"/>
        <v/>
      </c>
      <c r="U24" s="28" t="str">
        <f t="shared" ca="1" si="12"/>
        <v>21</v>
      </c>
      <c r="V24" s="435" t="s">
        <v>1162</v>
      </c>
      <c r="W24" s="22" t="str">
        <f t="shared" ca="1" si="13"/>
        <v>21</v>
      </c>
      <c r="X24" s="405"/>
      <c r="Y24" s="28" t="str">
        <f t="shared" ca="1" si="14"/>
        <v>21</v>
      </c>
      <c r="Z24" s="430" t="s">
        <v>1188</v>
      </c>
      <c r="AA24" s="22" t="str">
        <f t="shared" ca="1" si="15"/>
        <v>21</v>
      </c>
      <c r="AC24" s="28" t="str">
        <f t="shared" ca="1" si="2"/>
        <v>21</v>
      </c>
      <c r="AD24" s="462" t="s">
        <v>1238</v>
      </c>
      <c r="AE24" s="22" t="str">
        <f t="shared" ca="1" si="3"/>
        <v>21</v>
      </c>
      <c r="AG24" s="28" t="str">
        <f t="shared" ca="1" si="16"/>
        <v>21</v>
      </c>
      <c r="AH24" s="410" t="s">
        <v>961</v>
      </c>
      <c r="AI24" s="22" t="str">
        <f t="shared" ca="1" si="17"/>
        <v>21</v>
      </c>
      <c r="AK24" s="28" t="str">
        <f t="shared" ref="AK24:AK37" ca="1" si="24">IF(LEN(AL10)=0,"",$C24)</f>
        <v>21</v>
      </c>
      <c r="AM24" s="22" t="str">
        <f t="shared" ref="AM24:AM37" ca="1" si="25">IF(LEN(AL10)=0,"",$C24)</f>
        <v>21</v>
      </c>
      <c r="AN24" s="405"/>
      <c r="AO24" s="28" t="str">
        <f t="shared" si="20"/>
        <v/>
      </c>
      <c r="AP24" s="409"/>
      <c r="AQ24" s="22" t="str">
        <f t="shared" si="21"/>
        <v/>
      </c>
    </row>
    <row r="25" spans="1:43" x14ac:dyDescent="0.25">
      <c r="A25" s="10"/>
      <c r="B25" s="13">
        <f t="shared" ca="1" si="0"/>
        <v>35</v>
      </c>
      <c r="C25" s="14" t="str">
        <f t="shared" ca="1" si="1"/>
        <v>20</v>
      </c>
      <c r="E25" s="28" t="str">
        <f t="shared" si="4"/>
        <v/>
      </c>
      <c r="F25" s="408"/>
      <c r="G25" s="22" t="str">
        <f t="shared" si="5"/>
        <v/>
      </c>
      <c r="H25" s="405"/>
      <c r="I25" s="28" t="str">
        <f t="shared" si="6"/>
        <v/>
      </c>
      <c r="J25" s="408"/>
      <c r="K25" s="22" t="str">
        <f t="shared" si="7"/>
        <v/>
      </c>
      <c r="M25" s="28" t="str">
        <f t="shared" si="8"/>
        <v/>
      </c>
      <c r="N25" s="408"/>
      <c r="O25" s="22" t="str">
        <f t="shared" si="9"/>
        <v/>
      </c>
      <c r="Q25" s="28" t="str">
        <f t="shared" si="10"/>
        <v/>
      </c>
      <c r="R25" s="408"/>
      <c r="S25" s="22" t="str">
        <f t="shared" si="11"/>
        <v/>
      </c>
      <c r="U25" s="28" t="str">
        <f t="shared" ca="1" si="12"/>
        <v>20</v>
      </c>
      <c r="V25" s="441" t="s">
        <v>1163</v>
      </c>
      <c r="W25" s="22" t="str">
        <f t="shared" ca="1" si="13"/>
        <v>20</v>
      </c>
      <c r="X25" s="405"/>
      <c r="Y25" s="28" t="str">
        <f t="shared" ca="1" si="14"/>
        <v>20</v>
      </c>
      <c r="Z25" s="408" t="s">
        <v>1228</v>
      </c>
      <c r="AA25" s="22" t="str">
        <f t="shared" ca="1" si="15"/>
        <v>20</v>
      </c>
      <c r="AC25" s="28" t="str">
        <f t="shared" si="2"/>
        <v/>
      </c>
      <c r="AD25" s="463"/>
      <c r="AE25" s="22" t="str">
        <f t="shared" si="3"/>
        <v/>
      </c>
      <c r="AG25" s="28" t="str">
        <f t="shared" ref="AG25:AG33" si="26">IF(LEN(AH27)=0,"",$C25)</f>
        <v/>
      </c>
      <c r="AI25" s="22" t="str">
        <f t="shared" ref="AI25:AI33" si="27">IF(LEN(AH27)=0,"",$C25)</f>
        <v/>
      </c>
      <c r="AK25" s="28" t="str">
        <f t="shared" si="24"/>
        <v/>
      </c>
      <c r="AL25" s="410" t="s">
        <v>46</v>
      </c>
      <c r="AM25" s="22" t="str">
        <f t="shared" si="25"/>
        <v/>
      </c>
      <c r="AN25" s="405"/>
      <c r="AO25" s="28" t="str">
        <f t="shared" si="20"/>
        <v/>
      </c>
      <c r="AP25" s="408"/>
      <c r="AQ25" s="22" t="str">
        <f t="shared" si="21"/>
        <v/>
      </c>
    </row>
    <row r="26" spans="1:43" x14ac:dyDescent="0.25">
      <c r="A26" s="10"/>
      <c r="B26" s="13">
        <f t="shared" ca="1" si="0"/>
        <v>33.25</v>
      </c>
      <c r="C26" s="14" t="str">
        <f t="shared" ca="1" si="1"/>
        <v>19</v>
      </c>
      <c r="E26" s="28" t="str">
        <f t="shared" si="4"/>
        <v/>
      </c>
      <c r="G26" s="22" t="str">
        <f t="shared" si="5"/>
        <v/>
      </c>
      <c r="H26" s="405"/>
      <c r="I26" s="28" t="str">
        <f t="shared" si="6"/>
        <v/>
      </c>
      <c r="K26" s="22" t="str">
        <f t="shared" si="7"/>
        <v/>
      </c>
      <c r="M26" s="28" t="str">
        <f t="shared" si="8"/>
        <v/>
      </c>
      <c r="O26" s="22" t="str">
        <f t="shared" si="9"/>
        <v/>
      </c>
      <c r="Q26" s="28" t="str">
        <f t="shared" si="10"/>
        <v/>
      </c>
      <c r="S26" s="22" t="str">
        <f t="shared" si="11"/>
        <v/>
      </c>
      <c r="U26" s="28" t="str">
        <f t="shared" si="12"/>
        <v/>
      </c>
      <c r="W26" s="22" t="str">
        <f t="shared" si="13"/>
        <v/>
      </c>
      <c r="X26" s="405"/>
      <c r="Y26" s="28" t="str">
        <f t="shared" si="14"/>
        <v/>
      </c>
      <c r="AA26" s="22" t="str">
        <f t="shared" si="15"/>
        <v/>
      </c>
      <c r="AC26" s="28" t="str">
        <f t="shared" si="2"/>
        <v/>
      </c>
      <c r="AE26" s="22" t="str">
        <f t="shared" si="3"/>
        <v/>
      </c>
      <c r="AG26" s="28" t="str">
        <f t="shared" ca="1" si="26"/>
        <v>19</v>
      </c>
      <c r="AH26" s="410" t="s">
        <v>1123</v>
      </c>
      <c r="AI26" s="22" t="str">
        <f t="shared" ca="1" si="27"/>
        <v>19</v>
      </c>
      <c r="AK26" s="28" t="str">
        <f t="shared" ca="1" si="24"/>
        <v>19</v>
      </c>
      <c r="AL26" s="401" t="s">
        <v>1119</v>
      </c>
      <c r="AM26" s="22" t="str">
        <f t="shared" ca="1" si="25"/>
        <v>19</v>
      </c>
      <c r="AN26" s="405"/>
      <c r="AO26" s="28" t="str">
        <f t="shared" si="20"/>
        <v/>
      </c>
      <c r="AQ26" s="22" t="str">
        <f t="shared" si="21"/>
        <v/>
      </c>
    </row>
    <row r="27" spans="1:43" x14ac:dyDescent="0.25">
      <c r="A27" s="10"/>
      <c r="B27" s="13">
        <f t="shared" ca="1" si="0"/>
        <v>31.5</v>
      </c>
      <c r="C27" s="14" t="str">
        <f t="shared" ca="1" si="1"/>
        <v>18</v>
      </c>
      <c r="E27" s="28" t="str">
        <f t="shared" si="4"/>
        <v/>
      </c>
      <c r="F27" s="409"/>
      <c r="G27" s="22" t="str">
        <f t="shared" si="5"/>
        <v/>
      </c>
      <c r="H27" s="405"/>
      <c r="I27" s="28" t="str">
        <f t="shared" si="6"/>
        <v/>
      </c>
      <c r="J27" s="409"/>
      <c r="K27" s="22" t="str">
        <f t="shared" si="7"/>
        <v/>
      </c>
      <c r="M27" s="28" t="str">
        <f t="shared" si="8"/>
        <v/>
      </c>
      <c r="N27" s="409"/>
      <c r="O27" s="22" t="str">
        <f t="shared" si="9"/>
        <v/>
      </c>
      <c r="Q27" s="28" t="str">
        <f t="shared" si="10"/>
        <v/>
      </c>
      <c r="R27" s="409"/>
      <c r="S27" s="22" t="str">
        <f t="shared" si="11"/>
        <v/>
      </c>
      <c r="U27" s="28" t="str">
        <f t="shared" ca="1" si="12"/>
        <v>18</v>
      </c>
      <c r="V27" s="435" t="s">
        <v>1164</v>
      </c>
      <c r="W27" s="22" t="str">
        <f t="shared" ca="1" si="13"/>
        <v>18</v>
      </c>
      <c r="X27" s="405"/>
      <c r="Y27" s="28" t="str">
        <f t="shared" ca="1" si="14"/>
        <v>18</v>
      </c>
      <c r="Z27" s="408" t="s">
        <v>1229</v>
      </c>
      <c r="AA27" s="22" t="str">
        <f t="shared" ca="1" si="15"/>
        <v>18</v>
      </c>
      <c r="AC27" s="28" t="str">
        <f t="shared" ca="1" si="2"/>
        <v>18</v>
      </c>
      <c r="AD27" s="462" t="s">
        <v>970</v>
      </c>
      <c r="AE27" s="22" t="str">
        <f t="shared" ca="1" si="3"/>
        <v>18</v>
      </c>
      <c r="AG27" s="28" t="str">
        <f t="shared" si="26"/>
        <v/>
      </c>
      <c r="AI27" s="22" t="str">
        <f t="shared" si="27"/>
        <v/>
      </c>
      <c r="AK27" s="28" t="str">
        <f t="shared" si="24"/>
        <v/>
      </c>
      <c r="AL27" s="70"/>
      <c r="AM27" s="22" t="str">
        <f t="shared" si="25"/>
        <v/>
      </c>
      <c r="AN27" s="405"/>
      <c r="AO27" s="28" t="str">
        <f t="shared" si="20"/>
        <v/>
      </c>
      <c r="AP27" s="409"/>
      <c r="AQ27" s="22" t="str">
        <f t="shared" si="21"/>
        <v/>
      </c>
    </row>
    <row r="28" spans="1:43" x14ac:dyDescent="0.25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4"/>
        <v/>
      </c>
      <c r="F28" s="408"/>
      <c r="G28" s="22" t="str">
        <f t="shared" si="5"/>
        <v/>
      </c>
      <c r="I28" s="28" t="str">
        <f t="shared" si="6"/>
        <v/>
      </c>
      <c r="J28" s="408"/>
      <c r="K28" s="22" t="str">
        <f t="shared" si="7"/>
        <v/>
      </c>
      <c r="M28" s="28" t="str">
        <f t="shared" si="8"/>
        <v/>
      </c>
      <c r="N28" s="408"/>
      <c r="O28" s="22" t="str">
        <f t="shared" si="9"/>
        <v/>
      </c>
      <c r="Q28" s="28" t="str">
        <f t="shared" si="10"/>
        <v/>
      </c>
      <c r="R28" s="408"/>
      <c r="S28" s="22" t="str">
        <f t="shared" si="11"/>
        <v/>
      </c>
      <c r="U28" s="28" t="str">
        <f t="shared" ca="1" si="12"/>
        <v>17</v>
      </c>
      <c r="V28" s="441" t="s">
        <v>1165</v>
      </c>
      <c r="W28" s="22" t="str">
        <f t="shared" ca="1" si="13"/>
        <v>17</v>
      </c>
      <c r="Y28" s="28" t="str">
        <f t="shared" ca="1" si="14"/>
        <v>17</v>
      </c>
      <c r="Z28" s="408" t="s">
        <v>1230</v>
      </c>
      <c r="AA28" s="22" t="str">
        <f t="shared" ca="1" si="15"/>
        <v>17</v>
      </c>
      <c r="AC28" s="28" t="str">
        <f t="shared" si="2"/>
        <v/>
      </c>
      <c r="AD28" s="463"/>
      <c r="AE28" s="22" t="str">
        <f t="shared" si="3"/>
        <v/>
      </c>
      <c r="AG28" s="28" t="str">
        <f t="shared" ca="1" si="26"/>
        <v>17</v>
      </c>
      <c r="AH28" s="410" t="s">
        <v>1124</v>
      </c>
      <c r="AI28" s="22" t="str">
        <f t="shared" ca="1" si="27"/>
        <v>17</v>
      </c>
      <c r="AK28" s="28" t="str">
        <f t="shared" ca="1" si="24"/>
        <v>17</v>
      </c>
      <c r="AL28" s="401" t="s">
        <v>1121</v>
      </c>
      <c r="AM28" s="22" t="str">
        <f t="shared" ca="1" si="25"/>
        <v>17</v>
      </c>
      <c r="AO28" s="28" t="str">
        <f t="shared" si="20"/>
        <v/>
      </c>
      <c r="AP28" s="408"/>
      <c r="AQ28" s="22" t="str">
        <f t="shared" si="21"/>
        <v/>
      </c>
    </row>
    <row r="29" spans="1:43" x14ac:dyDescent="0.25">
      <c r="A29" s="10"/>
      <c r="B29" s="13">
        <f t="shared" ca="1" si="0"/>
        <v>28</v>
      </c>
      <c r="C29" s="14" t="str">
        <f t="shared" ca="1" si="1"/>
        <v>16</v>
      </c>
      <c r="E29" s="28" t="str">
        <f t="shared" si="4"/>
        <v/>
      </c>
      <c r="G29" s="22" t="str">
        <f t="shared" si="5"/>
        <v/>
      </c>
      <c r="H29" s="406"/>
      <c r="I29" s="28" t="str">
        <f t="shared" si="6"/>
        <v/>
      </c>
      <c r="K29" s="22" t="str">
        <f t="shared" si="7"/>
        <v/>
      </c>
      <c r="M29" s="28" t="str">
        <f t="shared" si="8"/>
        <v/>
      </c>
      <c r="O29" s="22" t="str">
        <f t="shared" si="9"/>
        <v/>
      </c>
      <c r="Q29" s="28" t="str">
        <f t="shared" si="10"/>
        <v/>
      </c>
      <c r="S29" s="22" t="str">
        <f t="shared" si="11"/>
        <v/>
      </c>
      <c r="U29" s="28" t="str">
        <f t="shared" si="12"/>
        <v/>
      </c>
      <c r="W29" s="22" t="str">
        <f t="shared" si="13"/>
        <v/>
      </c>
      <c r="X29" s="406"/>
      <c r="Y29" s="28" t="str">
        <f t="shared" si="14"/>
        <v/>
      </c>
      <c r="AA29" s="22" t="str">
        <f t="shared" si="15"/>
        <v/>
      </c>
      <c r="AC29" s="28" t="str">
        <f t="shared" ca="1" si="2"/>
        <v>16</v>
      </c>
      <c r="AD29" s="462" t="s">
        <v>971</v>
      </c>
      <c r="AE29" s="22" t="str">
        <f t="shared" ca="1" si="3"/>
        <v>16</v>
      </c>
      <c r="AG29" s="28" t="str">
        <f t="shared" si="26"/>
        <v/>
      </c>
      <c r="AI29" s="22" t="str">
        <f t="shared" si="27"/>
        <v/>
      </c>
      <c r="AK29" s="28" t="str">
        <f t="shared" si="24"/>
        <v/>
      </c>
      <c r="AL29" s="70"/>
      <c r="AM29" s="22" t="str">
        <f t="shared" si="25"/>
        <v/>
      </c>
      <c r="AN29" s="406"/>
      <c r="AO29" s="28" t="str">
        <f t="shared" si="20"/>
        <v/>
      </c>
      <c r="AQ29" s="22" t="str">
        <f t="shared" si="21"/>
        <v/>
      </c>
    </row>
    <row r="30" spans="1:43" x14ac:dyDescent="0.25">
      <c r="A30" s="10"/>
      <c r="B30" s="13">
        <f t="shared" ca="1" si="0"/>
        <v>26.25</v>
      </c>
      <c r="C30" s="14" t="str">
        <f t="shared" ca="1" si="1"/>
        <v>15</v>
      </c>
      <c r="E30" s="28" t="str">
        <f t="shared" si="4"/>
        <v/>
      </c>
      <c r="F30" s="409"/>
      <c r="G30" s="22" t="str">
        <f t="shared" si="5"/>
        <v/>
      </c>
      <c r="H30" s="406"/>
      <c r="I30" s="28" t="str">
        <f t="shared" si="6"/>
        <v/>
      </c>
      <c r="J30" s="409"/>
      <c r="K30" s="22" t="str">
        <f t="shared" si="7"/>
        <v/>
      </c>
      <c r="M30" s="28" t="str">
        <f t="shared" si="8"/>
        <v/>
      </c>
      <c r="N30" s="409"/>
      <c r="O30" s="22" t="str">
        <f t="shared" si="9"/>
        <v/>
      </c>
      <c r="Q30" s="28" t="str">
        <f t="shared" si="10"/>
        <v/>
      </c>
      <c r="R30" s="409"/>
      <c r="S30" s="22" t="str">
        <f t="shared" si="11"/>
        <v/>
      </c>
      <c r="U30" s="28" t="str">
        <f t="shared" ca="1" si="12"/>
        <v>15</v>
      </c>
      <c r="V30" s="435" t="s">
        <v>1166</v>
      </c>
      <c r="W30" s="22" t="str">
        <f t="shared" ca="1" si="13"/>
        <v>15</v>
      </c>
      <c r="X30" s="406"/>
      <c r="Y30" s="28" t="str">
        <f t="shared" ca="1" si="14"/>
        <v>15</v>
      </c>
      <c r="Z30" s="408" t="s">
        <v>1231</v>
      </c>
      <c r="AA30" s="22" t="str">
        <f t="shared" ca="1" si="15"/>
        <v>15</v>
      </c>
      <c r="AC30" s="28" t="str">
        <f t="shared" si="2"/>
        <v/>
      </c>
      <c r="AD30" s="463"/>
      <c r="AE30" s="22" t="str">
        <f t="shared" si="3"/>
        <v/>
      </c>
      <c r="AG30" s="28" t="str">
        <f t="shared" ca="1" si="26"/>
        <v>15</v>
      </c>
      <c r="AH30" s="410" t="s">
        <v>962</v>
      </c>
      <c r="AI30" s="22" t="str">
        <f t="shared" ca="1" si="27"/>
        <v>15</v>
      </c>
      <c r="AK30" s="28" t="str">
        <f t="shared" ca="1" si="24"/>
        <v>15</v>
      </c>
      <c r="AL30" s="401" t="s">
        <v>1120</v>
      </c>
      <c r="AM30" s="22" t="str">
        <f t="shared" ca="1" si="25"/>
        <v>15</v>
      </c>
      <c r="AN30" s="406"/>
      <c r="AO30" s="28" t="str">
        <f t="shared" si="20"/>
        <v/>
      </c>
      <c r="AP30" s="409"/>
      <c r="AQ30" s="22" t="str">
        <f t="shared" si="21"/>
        <v/>
      </c>
    </row>
    <row r="31" spans="1:43" x14ac:dyDescent="0.25">
      <c r="A31" s="10"/>
      <c r="B31" s="13">
        <f t="shared" ca="1" si="0"/>
        <v>24.5</v>
      </c>
      <c r="C31" s="14" t="str">
        <f t="shared" ca="1" si="1"/>
        <v>14</v>
      </c>
      <c r="E31" s="28" t="str">
        <f t="shared" si="4"/>
        <v/>
      </c>
      <c r="F31" s="408"/>
      <c r="G31" s="22" t="str">
        <f t="shared" si="5"/>
        <v/>
      </c>
      <c r="H31" s="406"/>
      <c r="I31" s="28" t="str">
        <f t="shared" si="6"/>
        <v/>
      </c>
      <c r="J31" s="408"/>
      <c r="K31" s="22" t="str">
        <f t="shared" si="7"/>
        <v/>
      </c>
      <c r="M31" s="28" t="str">
        <f t="shared" si="8"/>
        <v/>
      </c>
      <c r="N31" s="408"/>
      <c r="O31" s="22" t="str">
        <f t="shared" si="9"/>
        <v/>
      </c>
      <c r="Q31" s="28" t="str">
        <f t="shared" si="10"/>
        <v/>
      </c>
      <c r="R31" s="408"/>
      <c r="S31" s="22" t="str">
        <f t="shared" si="11"/>
        <v/>
      </c>
      <c r="U31" s="28" t="str">
        <f t="shared" ca="1" si="12"/>
        <v>14</v>
      </c>
      <c r="V31" s="441" t="s">
        <v>1225</v>
      </c>
      <c r="W31" s="22" t="str">
        <f t="shared" ca="1" si="13"/>
        <v>14</v>
      </c>
      <c r="X31" s="406"/>
      <c r="Y31" s="28" t="str">
        <f t="shared" ca="1" si="14"/>
        <v>14</v>
      </c>
      <c r="Z31" s="408" t="s">
        <v>1232</v>
      </c>
      <c r="AA31" s="22" t="str">
        <f t="shared" ca="1" si="15"/>
        <v>14</v>
      </c>
      <c r="AC31" s="28" t="str">
        <f t="shared" ca="1" si="2"/>
        <v>14</v>
      </c>
      <c r="AD31" s="462" t="s">
        <v>972</v>
      </c>
      <c r="AE31" s="22" t="str">
        <f t="shared" ca="1" si="3"/>
        <v>14</v>
      </c>
      <c r="AG31" s="28" t="str">
        <f t="shared" si="26"/>
        <v/>
      </c>
      <c r="AI31" s="22" t="str">
        <f t="shared" si="27"/>
        <v/>
      </c>
      <c r="AK31" s="28" t="str">
        <f t="shared" si="24"/>
        <v/>
      </c>
      <c r="AL31" s="70"/>
      <c r="AM31" s="22" t="str">
        <f t="shared" si="25"/>
        <v/>
      </c>
      <c r="AN31" s="406"/>
      <c r="AO31" s="28" t="str">
        <f t="shared" si="20"/>
        <v/>
      </c>
      <c r="AP31" s="408"/>
      <c r="AQ31" s="22" t="str">
        <f t="shared" si="21"/>
        <v/>
      </c>
    </row>
    <row r="32" spans="1:43" x14ac:dyDescent="0.25">
      <c r="A32" s="10"/>
      <c r="B32" s="13">
        <f t="shared" ca="1" si="0"/>
        <v>22.75</v>
      </c>
      <c r="C32" s="14" t="str">
        <f t="shared" ca="1" si="1"/>
        <v>13</v>
      </c>
      <c r="E32" s="28" t="str">
        <f t="shared" si="4"/>
        <v/>
      </c>
      <c r="G32" s="22" t="str">
        <f t="shared" si="5"/>
        <v/>
      </c>
      <c r="H32" s="406"/>
      <c r="I32" s="28" t="str">
        <f t="shared" si="6"/>
        <v/>
      </c>
      <c r="K32" s="22" t="str">
        <f t="shared" si="7"/>
        <v/>
      </c>
      <c r="M32" s="28" t="str">
        <f t="shared" si="8"/>
        <v/>
      </c>
      <c r="O32" s="22" t="str">
        <f t="shared" si="9"/>
        <v/>
      </c>
      <c r="Q32" s="28" t="str">
        <f t="shared" si="10"/>
        <v/>
      </c>
      <c r="S32" s="22" t="str">
        <f t="shared" si="11"/>
        <v/>
      </c>
      <c r="U32" s="28" t="str">
        <f t="shared" si="12"/>
        <v/>
      </c>
      <c r="W32" s="22" t="str">
        <f t="shared" si="13"/>
        <v/>
      </c>
      <c r="X32" s="406"/>
      <c r="Y32" s="28" t="str">
        <f t="shared" si="14"/>
        <v/>
      </c>
      <c r="AA32" s="22" t="str">
        <f t="shared" si="15"/>
        <v/>
      </c>
      <c r="AC32" s="28" t="str">
        <f t="shared" si="2"/>
        <v/>
      </c>
      <c r="AD32" s="463"/>
      <c r="AE32" s="22" t="str">
        <f t="shared" si="3"/>
        <v/>
      </c>
      <c r="AG32" s="28" t="str">
        <f t="shared" ca="1" si="26"/>
        <v>13</v>
      </c>
      <c r="AH32" s="410" t="s">
        <v>1125</v>
      </c>
      <c r="AI32" s="22" t="str">
        <f t="shared" ca="1" si="27"/>
        <v>13</v>
      </c>
      <c r="AK32" s="28" t="str">
        <f t="shared" ca="1" si="24"/>
        <v>13</v>
      </c>
      <c r="AL32" s="401" t="s">
        <v>1122</v>
      </c>
      <c r="AM32" s="22" t="str">
        <f t="shared" ca="1" si="25"/>
        <v>13</v>
      </c>
      <c r="AN32" s="406"/>
      <c r="AO32" s="28" t="str">
        <f t="shared" si="20"/>
        <v/>
      </c>
      <c r="AQ32" s="22" t="str">
        <f t="shared" si="21"/>
        <v/>
      </c>
    </row>
    <row r="33" spans="1:43" x14ac:dyDescent="0.25">
      <c r="A33" s="10"/>
      <c r="B33" s="13">
        <f t="shared" ca="1" si="0"/>
        <v>21</v>
      </c>
      <c r="C33" s="14" t="str">
        <f t="shared" ca="1" si="1"/>
        <v>12</v>
      </c>
      <c r="E33" s="28" t="str">
        <f t="shared" si="4"/>
        <v/>
      </c>
      <c r="F33" s="409"/>
      <c r="G33" s="22" t="str">
        <f t="shared" si="5"/>
        <v/>
      </c>
      <c r="H33" s="406"/>
      <c r="I33" s="28" t="str">
        <f t="shared" si="6"/>
        <v/>
      </c>
      <c r="J33" s="409"/>
      <c r="K33" s="22" t="str">
        <f t="shared" si="7"/>
        <v/>
      </c>
      <c r="M33" s="28" t="str">
        <f t="shared" si="8"/>
        <v/>
      </c>
      <c r="N33" s="409"/>
      <c r="O33" s="22" t="str">
        <f t="shared" si="9"/>
        <v/>
      </c>
      <c r="Q33" s="28" t="str">
        <f t="shared" si="10"/>
        <v/>
      </c>
      <c r="R33" s="409"/>
      <c r="S33" s="22" t="str">
        <f t="shared" si="11"/>
        <v/>
      </c>
      <c r="U33" s="28" t="str">
        <f t="shared" ca="1" si="12"/>
        <v>12</v>
      </c>
      <c r="V33" s="435" t="s">
        <v>1226</v>
      </c>
      <c r="W33" s="22" t="str">
        <f t="shared" ca="1" si="13"/>
        <v>12</v>
      </c>
      <c r="X33" s="406"/>
      <c r="Y33" s="28" t="str">
        <f t="shared" ca="1" si="14"/>
        <v>12</v>
      </c>
      <c r="Z33" s="408" t="s">
        <v>1233</v>
      </c>
      <c r="AA33" s="22" t="str">
        <f t="shared" ca="1" si="15"/>
        <v>12</v>
      </c>
      <c r="AC33" s="28" t="str">
        <f t="shared" ca="1" si="2"/>
        <v>12</v>
      </c>
      <c r="AD33" s="462" t="s">
        <v>980</v>
      </c>
      <c r="AE33" s="22" t="str">
        <f t="shared" ca="1" si="3"/>
        <v>12</v>
      </c>
      <c r="AG33" s="28" t="str">
        <f t="shared" si="26"/>
        <v/>
      </c>
      <c r="AI33" s="22" t="str">
        <f t="shared" si="27"/>
        <v/>
      </c>
      <c r="AK33" s="28" t="str">
        <f t="shared" si="24"/>
        <v/>
      </c>
      <c r="AM33" s="22" t="str">
        <f t="shared" si="25"/>
        <v/>
      </c>
      <c r="AN33" s="406"/>
      <c r="AO33" s="28" t="str">
        <f t="shared" si="20"/>
        <v/>
      </c>
      <c r="AP33" s="409"/>
      <c r="AQ33" s="22" t="str">
        <f t="shared" si="21"/>
        <v/>
      </c>
    </row>
    <row r="34" spans="1:43" x14ac:dyDescent="0.25">
      <c r="A34" s="10"/>
      <c r="B34" s="13">
        <f t="shared" ca="1" si="0"/>
        <v>19.25</v>
      </c>
      <c r="C34" s="14" t="str">
        <f t="shared" ca="1" si="1"/>
        <v>11</v>
      </c>
      <c r="E34" s="28" t="str">
        <f t="shared" si="4"/>
        <v/>
      </c>
      <c r="F34" s="408"/>
      <c r="G34" s="22" t="str">
        <f t="shared" si="5"/>
        <v/>
      </c>
      <c r="H34" s="406"/>
      <c r="I34" s="28" t="str">
        <f t="shared" si="6"/>
        <v/>
      </c>
      <c r="J34" s="408"/>
      <c r="K34" s="22" t="str">
        <f t="shared" si="7"/>
        <v/>
      </c>
      <c r="M34" s="28" t="str">
        <f t="shared" si="8"/>
        <v/>
      </c>
      <c r="N34" s="408"/>
      <c r="O34" s="22" t="str">
        <f t="shared" si="9"/>
        <v/>
      </c>
      <c r="Q34" s="28" t="str">
        <f t="shared" si="10"/>
        <v/>
      </c>
      <c r="R34" s="408"/>
      <c r="S34" s="22" t="str">
        <f t="shared" si="11"/>
        <v/>
      </c>
      <c r="U34" s="28" t="str">
        <f t="shared" ca="1" si="12"/>
        <v>11</v>
      </c>
      <c r="V34" s="441" t="s">
        <v>1227</v>
      </c>
      <c r="W34" s="22" t="str">
        <f t="shared" ca="1" si="13"/>
        <v>11</v>
      </c>
      <c r="X34" s="406"/>
      <c r="Y34" s="28" t="str">
        <f t="shared" ca="1" si="14"/>
        <v>11</v>
      </c>
      <c r="Z34" s="408" t="s">
        <v>1234</v>
      </c>
      <c r="AA34" s="22" t="str">
        <f t="shared" ca="1" si="15"/>
        <v>11</v>
      </c>
      <c r="AC34" s="28" t="str">
        <f t="shared" si="2"/>
        <v/>
      </c>
      <c r="AD34" s="463"/>
      <c r="AE34" s="22" t="str">
        <f t="shared" si="3"/>
        <v/>
      </c>
      <c r="AG34" s="28" t="e">
        <f>IF(LEN(#REF!)=0,"",$C34)</f>
        <v>#REF!</v>
      </c>
      <c r="AH34" s="410" t="s">
        <v>1126</v>
      </c>
      <c r="AI34" s="22" t="e">
        <f>IF(LEN(#REF!)=0,"",$C34)</f>
        <v>#REF!</v>
      </c>
      <c r="AK34" s="28" t="str">
        <f t="shared" ca="1" si="24"/>
        <v>11</v>
      </c>
      <c r="AL34" s="401" t="s">
        <v>1104</v>
      </c>
      <c r="AM34" s="22" t="str">
        <f t="shared" ca="1" si="25"/>
        <v>11</v>
      </c>
      <c r="AN34" s="406"/>
      <c r="AO34" s="28" t="str">
        <f t="shared" si="20"/>
        <v/>
      </c>
      <c r="AP34" s="408"/>
      <c r="AQ34" s="22" t="str">
        <f t="shared" si="21"/>
        <v/>
      </c>
    </row>
    <row r="35" spans="1:43" x14ac:dyDescent="0.25">
      <c r="A35" s="10"/>
      <c r="B35" s="13">
        <f t="shared" ca="1" si="0"/>
        <v>17.5</v>
      </c>
      <c r="C35" s="14" t="str">
        <f t="shared" ca="1" si="1"/>
        <v>10</v>
      </c>
      <c r="E35" s="28" t="str">
        <f t="shared" si="4"/>
        <v/>
      </c>
      <c r="G35" s="22" t="str">
        <f t="shared" si="5"/>
        <v/>
      </c>
      <c r="H35" s="406"/>
      <c r="I35" s="28" t="str">
        <f t="shared" si="6"/>
        <v/>
      </c>
      <c r="K35" s="22" t="str">
        <f t="shared" si="7"/>
        <v/>
      </c>
      <c r="M35" s="28" t="str">
        <f t="shared" si="8"/>
        <v/>
      </c>
      <c r="O35" s="22" t="str">
        <f t="shared" si="9"/>
        <v/>
      </c>
      <c r="Q35" s="28" t="str">
        <f t="shared" si="10"/>
        <v/>
      </c>
      <c r="S35" s="22" t="str">
        <f t="shared" si="11"/>
        <v/>
      </c>
      <c r="U35" s="28" t="str">
        <f t="shared" si="12"/>
        <v/>
      </c>
      <c r="W35" s="22" t="str">
        <f t="shared" si="13"/>
        <v/>
      </c>
      <c r="X35" s="406"/>
      <c r="Y35" s="28" t="str">
        <f t="shared" si="14"/>
        <v/>
      </c>
      <c r="AA35" s="22" t="str">
        <f t="shared" si="15"/>
        <v/>
      </c>
      <c r="AC35" s="28" t="str">
        <f t="shared" ca="1" si="2"/>
        <v>10</v>
      </c>
      <c r="AD35" s="462" t="s">
        <v>973</v>
      </c>
      <c r="AE35" s="22" t="str">
        <f t="shared" ca="1" si="3"/>
        <v>10</v>
      </c>
      <c r="AG35" s="28" t="e">
        <f>IF(LEN(#REF!)=0,"",$C35)</f>
        <v>#REF!</v>
      </c>
      <c r="AI35" s="22" t="e">
        <f>IF(LEN(#REF!)=0,"",$C35)</f>
        <v>#REF!</v>
      </c>
      <c r="AK35" s="28" t="str">
        <f t="shared" si="24"/>
        <v/>
      </c>
      <c r="AL35" s="70"/>
      <c r="AM35" s="22" t="str">
        <f t="shared" si="25"/>
        <v/>
      </c>
      <c r="AN35" s="406"/>
      <c r="AO35" s="28" t="str">
        <f t="shared" si="20"/>
        <v/>
      </c>
      <c r="AQ35" s="22" t="str">
        <f t="shared" si="21"/>
        <v/>
      </c>
    </row>
    <row r="36" spans="1:43" x14ac:dyDescent="0.25">
      <c r="A36" s="10"/>
      <c r="B36" s="13">
        <f t="shared" ca="1" si="0"/>
        <v>15.75</v>
      </c>
      <c r="C36" s="14" t="str">
        <f t="shared" ca="1" si="1"/>
        <v>09</v>
      </c>
      <c r="E36" s="28" t="str">
        <f t="shared" si="4"/>
        <v/>
      </c>
      <c r="F36" s="409"/>
      <c r="G36" s="22" t="str">
        <f t="shared" si="5"/>
        <v/>
      </c>
      <c r="H36" s="406"/>
      <c r="I36" s="28" t="str">
        <f t="shared" si="6"/>
        <v/>
      </c>
      <c r="J36" s="409"/>
      <c r="K36" s="22" t="str">
        <f t="shared" si="7"/>
        <v/>
      </c>
      <c r="M36" s="28" t="str">
        <f t="shared" si="8"/>
        <v/>
      </c>
      <c r="N36" s="409"/>
      <c r="O36" s="22" t="str">
        <f t="shared" si="9"/>
        <v/>
      </c>
      <c r="Q36" s="28" t="str">
        <f t="shared" si="10"/>
        <v/>
      </c>
      <c r="R36" s="409"/>
      <c r="S36" s="22" t="str">
        <f t="shared" si="11"/>
        <v/>
      </c>
      <c r="U36" s="28" t="str">
        <f t="shared" ca="1" si="12"/>
        <v>09</v>
      </c>
      <c r="V36" s="462" t="s">
        <v>1236</v>
      </c>
      <c r="W36" s="22" t="str">
        <f t="shared" ca="1" si="13"/>
        <v>09</v>
      </c>
      <c r="X36" s="406"/>
      <c r="Y36" s="28" t="str">
        <f t="shared" ca="1" si="14"/>
        <v>09</v>
      </c>
      <c r="Z36" s="462" t="s">
        <v>1024</v>
      </c>
      <c r="AA36" s="22" t="str">
        <f t="shared" ca="1" si="15"/>
        <v>09</v>
      </c>
      <c r="AC36" s="28" t="str">
        <f t="shared" si="2"/>
        <v/>
      </c>
      <c r="AD36" s="463"/>
      <c r="AE36" s="22" t="str">
        <f t="shared" si="3"/>
        <v/>
      </c>
      <c r="AG36" s="28" t="str">
        <f>IF(LEN(AH37)=0,"",$C36)</f>
        <v/>
      </c>
      <c r="AH36" s="410" t="s">
        <v>1127</v>
      </c>
      <c r="AI36" s="22" t="str">
        <f>IF(LEN(AH37)=0,"",$C36)</f>
        <v/>
      </c>
      <c r="AK36" s="28" t="str">
        <f t="shared" ca="1" si="24"/>
        <v>09</v>
      </c>
      <c r="AL36" s="401" t="s">
        <v>1105</v>
      </c>
      <c r="AM36" s="22" t="str">
        <f t="shared" ca="1" si="25"/>
        <v>09</v>
      </c>
      <c r="AN36" s="406"/>
      <c r="AO36" s="28" t="str">
        <f t="shared" si="20"/>
        <v/>
      </c>
      <c r="AP36" s="409"/>
      <c r="AQ36" s="22" t="str">
        <f t="shared" si="21"/>
        <v/>
      </c>
    </row>
    <row r="37" spans="1:43" x14ac:dyDescent="0.25">
      <c r="A37" s="10"/>
      <c r="B37" s="13">
        <f t="shared" ca="1" si="0"/>
        <v>14</v>
      </c>
      <c r="C37" s="14" t="str">
        <f t="shared" ca="1" si="1"/>
        <v>08</v>
      </c>
      <c r="E37" s="28" t="str">
        <f t="shared" si="4"/>
        <v/>
      </c>
      <c r="F37" s="408"/>
      <c r="G37" s="22" t="str">
        <f t="shared" si="5"/>
        <v/>
      </c>
      <c r="H37" s="406"/>
      <c r="I37" s="28" t="str">
        <f t="shared" si="6"/>
        <v/>
      </c>
      <c r="J37" s="408"/>
      <c r="K37" s="22" t="str">
        <f t="shared" si="7"/>
        <v/>
      </c>
      <c r="M37" s="28" t="str">
        <f t="shared" si="8"/>
        <v/>
      </c>
      <c r="N37" s="408"/>
      <c r="O37" s="22" t="str">
        <f t="shared" si="9"/>
        <v/>
      </c>
      <c r="Q37" s="28" t="str">
        <f t="shared" si="10"/>
        <v/>
      </c>
      <c r="R37" s="408"/>
      <c r="S37" s="22" t="str">
        <f t="shared" si="11"/>
        <v/>
      </c>
      <c r="U37" s="28" t="str">
        <f t="shared" si="12"/>
        <v/>
      </c>
      <c r="V37" s="463"/>
      <c r="W37" s="22" t="str">
        <f t="shared" si="13"/>
        <v/>
      </c>
      <c r="X37" s="406"/>
      <c r="Y37" s="28" t="str">
        <f t="shared" si="14"/>
        <v/>
      </c>
      <c r="Z37" s="463"/>
      <c r="AA37" s="22" t="str">
        <f t="shared" si="15"/>
        <v/>
      </c>
      <c r="AC37" s="28" t="str">
        <f t="shared" ca="1" si="2"/>
        <v>08</v>
      </c>
      <c r="AD37" s="462" t="s">
        <v>974</v>
      </c>
      <c r="AE37" s="22" t="str">
        <f t="shared" ca="1" si="3"/>
        <v>08</v>
      </c>
      <c r="AG37" s="28" t="str">
        <f ca="1">IF(LEN(AH38)=0,"",$C37)</f>
        <v>08</v>
      </c>
      <c r="AI37" s="22" t="str">
        <f ca="1">IF(LEN(AH38)=0,"",$C37)</f>
        <v>08</v>
      </c>
      <c r="AK37" s="28" t="str">
        <f t="shared" si="24"/>
        <v/>
      </c>
      <c r="AM37" s="22" t="str">
        <f t="shared" si="25"/>
        <v/>
      </c>
      <c r="AN37" s="406"/>
      <c r="AO37" s="28" t="str">
        <f t="shared" si="20"/>
        <v/>
      </c>
      <c r="AP37" s="408"/>
      <c r="AQ37" s="22" t="str">
        <f t="shared" si="21"/>
        <v/>
      </c>
    </row>
    <row r="38" spans="1:43" x14ac:dyDescent="0.25">
      <c r="A38" s="10"/>
      <c r="B38" s="13">
        <f t="shared" ca="1" si="0"/>
        <v>12.25</v>
      </c>
      <c r="C38" s="14" t="str">
        <f t="shared" ca="1" si="1"/>
        <v>07</v>
      </c>
      <c r="E38" s="28" t="str">
        <f t="shared" si="4"/>
        <v/>
      </c>
      <c r="G38" s="22" t="str">
        <f t="shared" si="5"/>
        <v/>
      </c>
      <c r="H38" s="406"/>
      <c r="I38" s="28" t="str">
        <f t="shared" si="6"/>
        <v/>
      </c>
      <c r="J38" s="422"/>
      <c r="K38" s="22" t="str">
        <f t="shared" si="7"/>
        <v/>
      </c>
      <c r="M38" s="28" t="str">
        <f t="shared" si="8"/>
        <v/>
      </c>
      <c r="N38" s="422"/>
      <c r="O38" s="22" t="str">
        <f t="shared" si="9"/>
        <v/>
      </c>
      <c r="Q38" s="28" t="str">
        <f t="shared" si="10"/>
        <v/>
      </c>
      <c r="R38" s="422"/>
      <c r="S38" s="22" t="str">
        <f t="shared" si="11"/>
        <v/>
      </c>
      <c r="U38" s="28" t="str">
        <f t="shared" si="12"/>
        <v/>
      </c>
      <c r="W38" s="22" t="str">
        <f t="shared" si="13"/>
        <v/>
      </c>
      <c r="X38" s="406"/>
      <c r="Y38" s="28" t="str">
        <f t="shared" si="14"/>
        <v/>
      </c>
      <c r="Z38" s="422"/>
      <c r="AA38" s="22" t="str">
        <f t="shared" si="15"/>
        <v/>
      </c>
      <c r="AC38" s="28" t="str">
        <f t="shared" si="2"/>
        <v/>
      </c>
      <c r="AD38" s="463"/>
      <c r="AE38" s="22" t="str">
        <f t="shared" si="3"/>
        <v/>
      </c>
      <c r="AG38" s="28" t="e">
        <f>IF(LEN(#REF!)=0,"",$C38)</f>
        <v>#REF!</v>
      </c>
      <c r="AH38" s="410" t="s">
        <v>1128</v>
      </c>
      <c r="AI38" s="22" t="e">
        <f>IF(LEN(#REF!)=0,"",$C38)</f>
        <v>#REF!</v>
      </c>
      <c r="AK38" s="28" t="e">
        <f>IF(LEN(#REF!)=0,"",$C38)</f>
        <v>#REF!</v>
      </c>
      <c r="AL38" s="401" t="s">
        <v>1107</v>
      </c>
      <c r="AM38" s="22" t="e">
        <f>IF(LEN(#REF!)=0,"",$C38)</f>
        <v>#REF!</v>
      </c>
      <c r="AN38" s="406"/>
      <c r="AO38" s="28" t="str">
        <f t="shared" si="20"/>
        <v/>
      </c>
      <c r="AP38" s="422"/>
      <c r="AQ38" s="22" t="str">
        <f t="shared" si="21"/>
        <v/>
      </c>
    </row>
    <row r="39" spans="1:43" x14ac:dyDescent="0.25">
      <c r="A39" s="10"/>
      <c r="B39" s="13">
        <f t="shared" ca="1" si="0"/>
        <v>10.5</v>
      </c>
      <c r="C39" s="14" t="str">
        <f t="shared" ca="1" si="1"/>
        <v>06</v>
      </c>
      <c r="E39" s="28" t="str">
        <f t="shared" si="4"/>
        <v/>
      </c>
      <c r="F39" s="409"/>
      <c r="G39" s="22" t="str">
        <f t="shared" si="5"/>
        <v/>
      </c>
      <c r="H39" s="406"/>
      <c r="I39" s="28" t="str">
        <f t="shared" si="6"/>
        <v/>
      </c>
      <c r="J39" s="409"/>
      <c r="K39" s="22" t="str">
        <f t="shared" si="7"/>
        <v/>
      </c>
      <c r="M39" s="28" t="str">
        <f t="shared" si="8"/>
        <v/>
      </c>
      <c r="N39" s="409"/>
      <c r="O39" s="22" t="str">
        <f t="shared" si="9"/>
        <v/>
      </c>
      <c r="Q39" s="28" t="str">
        <f t="shared" si="10"/>
        <v/>
      </c>
      <c r="R39" s="409"/>
      <c r="S39" s="22" t="str">
        <f t="shared" si="11"/>
        <v/>
      </c>
      <c r="U39" s="28" t="str">
        <f t="shared" ca="1" si="12"/>
        <v>06</v>
      </c>
      <c r="V39" s="462" t="s">
        <v>1237</v>
      </c>
      <c r="W39" s="22" t="str">
        <f t="shared" ca="1" si="13"/>
        <v>06</v>
      </c>
      <c r="X39" s="406"/>
      <c r="Y39" s="28" t="str">
        <f t="shared" ca="1" si="14"/>
        <v>06</v>
      </c>
      <c r="Z39" s="462" t="s">
        <v>1025</v>
      </c>
      <c r="AA39" s="22" t="str">
        <f t="shared" ca="1" si="15"/>
        <v>06</v>
      </c>
      <c r="AC39" s="28" t="str">
        <f t="shared" ca="1" si="2"/>
        <v>06</v>
      </c>
      <c r="AD39" s="462" t="s">
        <v>975</v>
      </c>
      <c r="AE39" s="22" t="str">
        <f t="shared" ca="1" si="3"/>
        <v>06</v>
      </c>
      <c r="AG39" s="28" t="str">
        <f t="shared" si="16"/>
        <v/>
      </c>
      <c r="AI39" s="22" t="str">
        <f t="shared" si="17"/>
        <v/>
      </c>
      <c r="AK39" s="28" t="str">
        <f ca="1">IF(LEN(AL7)=0,"",$C39)</f>
        <v>06</v>
      </c>
      <c r="AM39" s="22" t="str">
        <f ca="1">IF(LEN(AL7)=0,"",$C39)</f>
        <v>06</v>
      </c>
      <c r="AN39" s="406"/>
      <c r="AO39" s="28" t="str">
        <f t="shared" si="20"/>
        <v/>
      </c>
      <c r="AP39" s="409"/>
      <c r="AQ39" s="22" t="str">
        <f t="shared" si="21"/>
        <v/>
      </c>
    </row>
    <row r="40" spans="1:43" x14ac:dyDescent="0.25">
      <c r="A40" s="10"/>
      <c r="B40" s="13">
        <f t="shared" ca="1" si="0"/>
        <v>8.75</v>
      </c>
      <c r="C40" s="14" t="str">
        <f t="shared" ca="1" si="1"/>
        <v>05</v>
      </c>
      <c r="E40" s="28" t="str">
        <f t="shared" si="4"/>
        <v/>
      </c>
      <c r="F40" s="422"/>
      <c r="G40" s="22" t="str">
        <f t="shared" si="5"/>
        <v/>
      </c>
      <c r="H40" s="406"/>
      <c r="I40" s="28" t="str">
        <f t="shared" si="6"/>
        <v/>
      </c>
      <c r="J40" s="409"/>
      <c r="K40" s="22" t="str">
        <f t="shared" si="7"/>
        <v/>
      </c>
      <c r="M40" s="28" t="str">
        <f t="shared" si="8"/>
        <v/>
      </c>
      <c r="N40" s="409"/>
      <c r="O40" s="22" t="str">
        <f t="shared" si="9"/>
        <v/>
      </c>
      <c r="Q40" s="28" t="str">
        <f t="shared" si="10"/>
        <v/>
      </c>
      <c r="R40" s="409"/>
      <c r="S40" s="22" t="str">
        <f t="shared" si="11"/>
        <v/>
      </c>
      <c r="U40" s="28" t="str">
        <f t="shared" si="12"/>
        <v/>
      </c>
      <c r="V40" s="463"/>
      <c r="W40" s="22" t="str">
        <f t="shared" si="13"/>
        <v/>
      </c>
      <c r="X40" s="406"/>
      <c r="Y40" s="28" t="str">
        <f t="shared" si="14"/>
        <v/>
      </c>
      <c r="Z40" s="463"/>
      <c r="AA40" s="22" t="str">
        <f t="shared" si="15"/>
        <v/>
      </c>
      <c r="AC40" s="28" t="str">
        <f t="shared" si="2"/>
        <v/>
      </c>
      <c r="AD40" s="463"/>
      <c r="AE40" s="22" t="str">
        <f t="shared" si="3"/>
        <v/>
      </c>
      <c r="AG40" s="28" t="str">
        <f t="shared" ca="1" si="16"/>
        <v>05</v>
      </c>
      <c r="AH40" s="410" t="s">
        <v>1129</v>
      </c>
      <c r="AI40" s="22" t="str">
        <f t="shared" ca="1" si="17"/>
        <v>05</v>
      </c>
      <c r="AK40" s="28" t="str">
        <f>IF(LEN(AL8)=0,"",$C40)</f>
        <v/>
      </c>
      <c r="AL40" s="401" t="s">
        <v>1106</v>
      </c>
      <c r="AM40" s="22" t="str">
        <f>IF(LEN(AL8)=0,"",$C40)</f>
        <v/>
      </c>
      <c r="AN40" s="406"/>
      <c r="AO40" s="28" t="str">
        <f t="shared" si="20"/>
        <v/>
      </c>
      <c r="AP40" s="409"/>
      <c r="AQ40" s="22" t="str">
        <f t="shared" si="21"/>
        <v/>
      </c>
    </row>
    <row r="41" spans="1:43" x14ac:dyDescent="0.25">
      <c r="A41" s="10"/>
      <c r="B41" s="13">
        <f t="shared" ca="1" si="0"/>
        <v>7</v>
      </c>
      <c r="C41" s="14" t="str">
        <f t="shared" ca="1" si="1"/>
        <v>04</v>
      </c>
      <c r="E41" s="28" t="str">
        <f t="shared" si="4"/>
        <v/>
      </c>
      <c r="F41" s="422"/>
      <c r="G41" s="22" t="str">
        <f t="shared" si="5"/>
        <v/>
      </c>
      <c r="H41" s="406"/>
      <c r="I41" s="28" t="str">
        <f t="shared" si="6"/>
        <v/>
      </c>
      <c r="J41" s="422"/>
      <c r="K41" s="22" t="str">
        <f t="shared" si="7"/>
        <v/>
      </c>
      <c r="M41" s="28" t="str">
        <f t="shared" si="8"/>
        <v/>
      </c>
      <c r="N41" s="422"/>
      <c r="O41" s="22" t="str">
        <f t="shared" si="9"/>
        <v/>
      </c>
      <c r="Q41" s="28" t="str">
        <f t="shared" si="10"/>
        <v/>
      </c>
      <c r="R41" s="422"/>
      <c r="S41" s="22" t="str">
        <f t="shared" si="11"/>
        <v/>
      </c>
      <c r="U41" s="28" t="str">
        <f t="shared" si="12"/>
        <v/>
      </c>
      <c r="V41" s="422"/>
      <c r="W41" s="22" t="str">
        <f t="shared" si="13"/>
        <v/>
      </c>
      <c r="X41" s="406"/>
      <c r="Y41" s="28" t="str">
        <f t="shared" si="14"/>
        <v/>
      </c>
      <c r="Z41" s="422"/>
      <c r="AA41" s="22" t="str">
        <f t="shared" si="15"/>
        <v/>
      </c>
      <c r="AC41" s="28" t="str">
        <f t="shared" si="2"/>
        <v/>
      </c>
      <c r="AD41" s="422"/>
      <c r="AE41" s="22" t="str">
        <f t="shared" si="3"/>
        <v/>
      </c>
      <c r="AG41" s="28" t="str">
        <f t="shared" si="16"/>
        <v/>
      </c>
      <c r="AH41" s="422"/>
      <c r="AI41" s="22" t="str">
        <f t="shared" si="17"/>
        <v/>
      </c>
      <c r="AK41" s="28" t="str">
        <f>IF(LEN(AL41)=0,"",$C41)</f>
        <v/>
      </c>
      <c r="AL41" s="70"/>
      <c r="AM41" s="22" t="str">
        <f>IF(LEN(AL41)=0,"",$C41)</f>
        <v/>
      </c>
      <c r="AN41" s="406"/>
      <c r="AO41" s="28" t="str">
        <f t="shared" si="20"/>
        <v/>
      </c>
      <c r="AP41" s="422"/>
      <c r="AQ41" s="22" t="str">
        <f t="shared" si="21"/>
        <v/>
      </c>
    </row>
    <row r="42" spans="1:43" x14ac:dyDescent="0.25">
      <c r="A42" s="10"/>
      <c r="B42" s="13">
        <f t="shared" ca="1" si="0"/>
        <v>5.25</v>
      </c>
      <c r="C42" s="14" t="str">
        <f t="shared" ca="1" si="1"/>
        <v>03</v>
      </c>
      <c r="E42" s="28" t="str">
        <f t="shared" ca="1" si="4"/>
        <v>03</v>
      </c>
      <c r="F42" s="462" t="s">
        <v>1113</v>
      </c>
      <c r="G42" s="22" t="str">
        <f t="shared" ca="1" si="5"/>
        <v>03</v>
      </c>
      <c r="H42" s="406"/>
      <c r="I42" s="28" t="str">
        <f t="shared" ca="1" si="6"/>
        <v>03</v>
      </c>
      <c r="J42" s="462" t="s">
        <v>1113</v>
      </c>
      <c r="K42" s="22" t="str">
        <f t="shared" ca="1" si="7"/>
        <v>03</v>
      </c>
      <c r="M42" s="28" t="str">
        <f t="shared" ca="1" si="8"/>
        <v>03</v>
      </c>
      <c r="N42" s="462" t="s">
        <v>1113</v>
      </c>
      <c r="O42" s="22" t="str">
        <f t="shared" ca="1" si="9"/>
        <v>03</v>
      </c>
      <c r="Q42" s="28" t="str">
        <f t="shared" ca="1" si="10"/>
        <v>03</v>
      </c>
      <c r="R42" s="462" t="s">
        <v>1113</v>
      </c>
      <c r="S42" s="22" t="str">
        <f t="shared" ca="1" si="11"/>
        <v>03</v>
      </c>
      <c r="U42" s="28" t="str">
        <f t="shared" ca="1" si="12"/>
        <v>03</v>
      </c>
      <c r="V42" s="462" t="s">
        <v>1113</v>
      </c>
      <c r="W42" s="22" t="str">
        <f t="shared" ca="1" si="13"/>
        <v>03</v>
      </c>
      <c r="X42" s="406"/>
      <c r="Y42" s="28" t="str">
        <f t="shared" ca="1" si="14"/>
        <v>03</v>
      </c>
      <c r="Z42" s="462" t="s">
        <v>1289</v>
      </c>
      <c r="AA42" s="22" t="str">
        <f t="shared" ca="1" si="15"/>
        <v>03</v>
      </c>
      <c r="AC42" s="28" t="str">
        <f t="shared" ca="1" si="2"/>
        <v>03</v>
      </c>
      <c r="AD42" s="462" t="s">
        <v>1093</v>
      </c>
      <c r="AE42" s="22" t="str">
        <f t="shared" ca="1" si="3"/>
        <v>03</v>
      </c>
      <c r="AG42" s="28" t="str">
        <f t="shared" ca="1" si="16"/>
        <v>03</v>
      </c>
      <c r="AH42" s="462" t="s">
        <v>1093</v>
      </c>
      <c r="AI42" s="22" t="str">
        <f t="shared" ca="1" si="17"/>
        <v>03</v>
      </c>
      <c r="AK42" s="28" t="str">
        <f t="shared" ca="1" si="18"/>
        <v>03</v>
      </c>
      <c r="AL42" s="462" t="s">
        <v>1093</v>
      </c>
      <c r="AM42" s="22" t="str">
        <f t="shared" ca="1" si="19"/>
        <v>03</v>
      </c>
      <c r="AN42" s="406"/>
      <c r="AO42" s="28" t="str">
        <f t="shared" ca="1" si="20"/>
        <v>03</v>
      </c>
      <c r="AP42" s="462" t="s">
        <v>1113</v>
      </c>
      <c r="AQ42" s="22" t="str">
        <f t="shared" ca="1" si="21"/>
        <v>03</v>
      </c>
    </row>
    <row r="43" spans="1:43" x14ac:dyDescent="0.25">
      <c r="A43" s="10"/>
      <c r="B43" s="13">
        <f t="shared" ca="1" si="0"/>
        <v>3.5</v>
      </c>
      <c r="C43" s="14" t="str">
        <f t="shared" ca="1" si="1"/>
        <v>02</v>
      </c>
      <c r="E43" s="28" t="str">
        <f t="shared" si="4"/>
        <v/>
      </c>
      <c r="F43" s="463"/>
      <c r="G43" s="22" t="str">
        <f t="shared" si="5"/>
        <v/>
      </c>
      <c r="H43" s="406"/>
      <c r="I43" s="28" t="str">
        <f t="shared" si="6"/>
        <v/>
      </c>
      <c r="J43" s="463"/>
      <c r="K43" s="22" t="str">
        <f t="shared" si="7"/>
        <v/>
      </c>
      <c r="M43" s="28" t="str">
        <f t="shared" si="8"/>
        <v/>
      </c>
      <c r="N43" s="463"/>
      <c r="O43" s="22" t="str">
        <f t="shared" si="9"/>
        <v/>
      </c>
      <c r="Q43" s="28" t="str">
        <f t="shared" si="10"/>
        <v/>
      </c>
      <c r="R43" s="463"/>
      <c r="S43" s="22" t="str">
        <f t="shared" si="11"/>
        <v/>
      </c>
      <c r="U43" s="28" t="str">
        <f t="shared" si="12"/>
        <v/>
      </c>
      <c r="V43" s="463"/>
      <c r="W43" s="22" t="str">
        <f t="shared" si="13"/>
        <v/>
      </c>
      <c r="X43" s="406"/>
      <c r="Y43" s="28" t="str">
        <f t="shared" si="14"/>
        <v/>
      </c>
      <c r="Z43" s="463"/>
      <c r="AA43" s="22" t="str">
        <f t="shared" si="15"/>
        <v/>
      </c>
      <c r="AC43" s="28" t="str">
        <f t="shared" si="2"/>
        <v/>
      </c>
      <c r="AD43" s="463"/>
      <c r="AE43" s="22" t="str">
        <f t="shared" si="3"/>
        <v/>
      </c>
      <c r="AG43" s="28" t="str">
        <f t="shared" si="16"/>
        <v/>
      </c>
      <c r="AH43" s="463"/>
      <c r="AI43" s="22" t="str">
        <f t="shared" si="17"/>
        <v/>
      </c>
      <c r="AK43" s="28" t="str">
        <f t="shared" si="18"/>
        <v/>
      </c>
      <c r="AL43" s="463"/>
      <c r="AM43" s="22" t="str">
        <f t="shared" si="19"/>
        <v/>
      </c>
      <c r="AN43" s="406"/>
      <c r="AO43" s="28" t="str">
        <f t="shared" si="20"/>
        <v/>
      </c>
      <c r="AP43" s="463"/>
      <c r="AQ43" s="22" t="str">
        <f t="shared" si="21"/>
        <v/>
      </c>
    </row>
    <row r="44" spans="1:43" ht="13.8" thickBot="1" x14ac:dyDescent="0.3">
      <c r="A44" s="10"/>
      <c r="B44" s="15">
        <v>1.75</v>
      </c>
      <c r="C44" s="20" t="str">
        <f ca="1">TEXT((INDIRECT("C[-1]",FALSE))/1.75,"00")</f>
        <v>01</v>
      </c>
      <c r="E44" s="28" t="str">
        <f t="shared" ref="E44" si="28">IF(LEN(F43)=0,"",$C44)</f>
        <v/>
      </c>
      <c r="F44" s="422"/>
      <c r="G44" s="22" t="str">
        <f t="shared" ref="G44" si="29">IF(LEN(F43)=0,"",$C44)</f>
        <v/>
      </c>
      <c r="H44" s="406"/>
      <c r="I44" s="28" t="str">
        <f t="shared" ref="I44" si="30">IF(LEN(J43)=0,"",$C44)</f>
        <v/>
      </c>
      <c r="K44" s="22" t="str">
        <f t="shared" ref="K44" si="31">IF(LEN(J43)=0,"",$C44)</f>
        <v/>
      </c>
      <c r="M44" s="28" t="str">
        <f t="shared" ref="M44" si="32">IF(LEN(N43)=0,"",$C44)</f>
        <v/>
      </c>
      <c r="O44" s="22" t="str">
        <f t="shared" ref="O44" si="33">IF(LEN(N43)=0,"",$C44)</f>
        <v/>
      </c>
      <c r="Q44" s="28" t="str">
        <f t="shared" ref="Q44" si="34">IF(LEN(R43)=0,"",$C44)</f>
        <v/>
      </c>
      <c r="S44" s="22" t="str">
        <f t="shared" ref="S44" si="35">IF(LEN(R43)=0,"",$C44)</f>
        <v/>
      </c>
      <c r="U44" s="28" t="str">
        <f t="shared" ref="U44" si="36">IF(LEN(V43)=0,"",$C44)</f>
        <v/>
      </c>
      <c r="V44" s="422"/>
      <c r="W44" s="22" t="str">
        <f t="shared" ref="W44" si="37">IF(LEN(V43)=0,"",$C44)</f>
        <v/>
      </c>
      <c r="X44" s="406"/>
      <c r="Y44" s="28" t="str">
        <f t="shared" ref="Y44" si="38">IF(LEN(Z43)=0,"",$C44)</f>
        <v/>
      </c>
      <c r="AA44" s="22" t="str">
        <f t="shared" ref="AA44" si="39">IF(LEN(Z43)=0,"",$C44)</f>
        <v/>
      </c>
      <c r="AC44" s="28" t="str">
        <f>IF(LEN(AD43)=0,"",$C44)</f>
        <v/>
      </c>
      <c r="AE44" s="22" t="str">
        <f>IF(LEN(AD43)=0,"",$C44)</f>
        <v/>
      </c>
      <c r="AG44" s="28" t="str">
        <f t="shared" ref="AG44" si="40">IF(LEN(AH43)=0,"",$C44)</f>
        <v/>
      </c>
      <c r="AI44" s="22" t="str">
        <f t="shared" ref="AI44" si="41">IF(LEN(AH43)=0,"",$C44)</f>
        <v/>
      </c>
      <c r="AK44" s="28" t="str">
        <f t="shared" ref="AK44" si="42">IF(LEN(AL43)=0,"",$C44)</f>
        <v/>
      </c>
      <c r="AM44" s="22" t="str">
        <f t="shared" ref="AM44" si="43">IF(LEN(AL43)=0,"",$C44)</f>
        <v/>
      </c>
      <c r="AN44" s="406"/>
      <c r="AO44" s="28" t="str">
        <f t="shared" ref="AO44" si="44">IF(LEN(AP43)=0,"",$C44)</f>
        <v/>
      </c>
      <c r="AQ44" s="22" t="str">
        <f t="shared" ref="AQ44" si="45">IF(LEN(AP43)=0,"",$C44)</f>
        <v/>
      </c>
    </row>
    <row r="45" spans="1:43" x14ac:dyDescent="0.25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432" t="s">
        <v>1181</v>
      </c>
      <c r="S45" s="28"/>
      <c r="U45" s="28"/>
      <c r="V45" s="432" t="s">
        <v>1180</v>
      </c>
      <c r="W45" s="28"/>
      <c r="Y45" s="28"/>
      <c r="Z45" s="432" t="s">
        <v>1180</v>
      </c>
      <c r="AA45" s="28"/>
      <c r="AC45" s="28"/>
      <c r="AD45" s="432" t="s">
        <v>1180</v>
      </c>
      <c r="AE45" s="28"/>
      <c r="AG45" s="28"/>
      <c r="AH45" s="432" t="s">
        <v>1182</v>
      </c>
      <c r="AI45" s="28"/>
      <c r="AK45" s="28"/>
      <c r="AL45" s="432" t="s">
        <v>1183</v>
      </c>
      <c r="AM45" s="28"/>
      <c r="AO45" s="28"/>
      <c r="AP45" s="432" t="s">
        <v>1184</v>
      </c>
      <c r="AQ45" s="28"/>
    </row>
    <row r="47" spans="1:43" x14ac:dyDescent="0.25">
      <c r="C47" s="423"/>
      <c r="G47" s="404"/>
      <c r="H47" s="404"/>
      <c r="I47" s="404"/>
      <c r="M47" s="404"/>
      <c r="Q47" s="404"/>
      <c r="W47" s="404"/>
      <c r="X47" s="404"/>
      <c r="Y47" s="404"/>
      <c r="AC47" s="404"/>
      <c r="AG47" s="404"/>
      <c r="AN47" s="404"/>
      <c r="AO47" s="404"/>
    </row>
    <row r="48" spans="1:43" x14ac:dyDescent="0.25">
      <c r="R48" s="404" t="s">
        <v>1201</v>
      </c>
      <c r="V48" s="404" t="s">
        <v>1201</v>
      </c>
      <c r="Z48" s="404" t="s">
        <v>1201</v>
      </c>
      <c r="AD48" s="404" t="s">
        <v>1202</v>
      </c>
    </row>
    <row r="49" spans="5:43" x14ac:dyDescent="0.25">
      <c r="F49" s="421"/>
      <c r="H49" s="421"/>
      <c r="J49" s="421"/>
      <c r="N49" s="421"/>
      <c r="R49" s="421"/>
      <c r="V49" s="421"/>
      <c r="X49" s="421"/>
      <c r="Z49" s="421"/>
      <c r="AD49" s="421"/>
      <c r="AH49" s="421"/>
      <c r="AL49" s="421"/>
      <c r="AN49" s="421"/>
      <c r="AP49" s="421"/>
    </row>
    <row r="51" spans="5:43" x14ac:dyDescent="0.25">
      <c r="E51" s="460" t="s">
        <v>1300</v>
      </c>
      <c r="F51" s="460"/>
      <c r="G51" s="460"/>
      <c r="H51" s="460"/>
      <c r="I51" s="460"/>
      <c r="J51" s="460"/>
      <c r="K51" s="460"/>
      <c r="L51" s="460"/>
      <c r="M51" s="460"/>
      <c r="N51" s="460"/>
      <c r="O51" s="460"/>
      <c r="P51" s="460"/>
      <c r="Q51" s="460"/>
      <c r="R51" s="460"/>
      <c r="S51" s="460"/>
      <c r="U51" s="461" t="s">
        <v>1301</v>
      </c>
      <c r="V51" s="461"/>
      <c r="W51" s="461"/>
      <c r="X51" s="461"/>
      <c r="Y51" s="461"/>
      <c r="Z51" s="461"/>
      <c r="AA51" s="461"/>
      <c r="AB51" s="461"/>
      <c r="AC51" s="461"/>
      <c r="AD51" s="461"/>
      <c r="AE51" s="461"/>
      <c r="AF51" s="461"/>
      <c r="AG51" s="461"/>
      <c r="AH51" s="461"/>
      <c r="AI51" s="461"/>
      <c r="AJ51" s="461"/>
      <c r="AK51" s="461"/>
      <c r="AL51" s="461"/>
      <c r="AM51" s="461"/>
      <c r="AN51" s="461"/>
      <c r="AO51" s="461"/>
      <c r="AP51" s="461"/>
      <c r="AQ51" s="461"/>
    </row>
  </sheetData>
  <dataConsolidate/>
  <mergeCells count="36">
    <mergeCell ref="AL7:AL8"/>
    <mergeCell ref="AP3:AP4"/>
    <mergeCell ref="AP42:AP43"/>
    <mergeCell ref="AL10:AL11"/>
    <mergeCell ref="AL12:AL13"/>
    <mergeCell ref="AL14:AL15"/>
    <mergeCell ref="AL16:AL17"/>
    <mergeCell ref="AL18:AL19"/>
    <mergeCell ref="AL20:AL21"/>
    <mergeCell ref="AL22:AL23"/>
    <mergeCell ref="AL42:AL43"/>
    <mergeCell ref="AD24:AD25"/>
    <mergeCell ref="AD27:AD28"/>
    <mergeCell ref="AD29:AD30"/>
    <mergeCell ref="AD31:AD32"/>
    <mergeCell ref="AD33:AD34"/>
    <mergeCell ref="F3:F4"/>
    <mergeCell ref="J3:J4"/>
    <mergeCell ref="N3:N4"/>
    <mergeCell ref="F42:F43"/>
    <mergeCell ref="J42:J43"/>
    <mergeCell ref="N42:N43"/>
    <mergeCell ref="E51:S51"/>
    <mergeCell ref="U51:AQ51"/>
    <mergeCell ref="Z36:Z37"/>
    <mergeCell ref="Z39:Z40"/>
    <mergeCell ref="V36:V37"/>
    <mergeCell ref="V39:V40"/>
    <mergeCell ref="AD42:AD43"/>
    <mergeCell ref="V42:V43"/>
    <mergeCell ref="Z42:Z43"/>
    <mergeCell ref="R42:R43"/>
    <mergeCell ref="AD37:AD38"/>
    <mergeCell ref="AH42:AH43"/>
    <mergeCell ref="AD39:AD40"/>
    <mergeCell ref="AD35:AD36"/>
  </mergeCells>
  <conditionalFormatting sqref="B3:C44">
    <cfRule type="expression" dxfId="2" priority="1">
      <formula>MOD(ROW(),2)=0</formula>
    </cfRule>
  </conditionalFormatting>
  <dataValidations count="1">
    <dataValidation type="list" allowBlank="1" showInputMessage="1" sqref="F38 F41 V38:V39 V41 AD11 Z36 Z39 V36 AD24 AD33 AL25:AL26 AH6 AL3:AL5 AL38 AL16 AL7 AH36:AH38 AL28 AL30 AL34:AL36 AL32 AL40 AH3:AH4 AH26 AH40 AH14 AH16 AH18 AH20 AH22 AH24 AH30 AH28 AH32 AH34 AH12 AH8 AH10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9" r:id="rId4" name="Button 3">
              <controlPr defaultSize="0" print="0" autoFill="0" autoPict="0" macro="[0]!Sheet03.BuildConfigSheets">
                <anchor moveWithCells="1" sizeWithCells="1">
                  <from>
                    <xdr:col>8</xdr:col>
                    <xdr:colOff>182880</xdr:colOff>
                    <xdr:row>0</xdr:row>
                    <xdr:rowOff>76200</xdr:rowOff>
                  </from>
                  <to>
                    <xdr:col>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5" name="Button 4">
              <controlPr defaultSize="0" print="0" autoFill="0" autoPict="0">
                <anchor moveWithCells="1" sizeWithCells="1">
                  <from>
                    <xdr:col>8</xdr:col>
                    <xdr:colOff>182880</xdr:colOff>
                    <xdr:row>0</xdr:row>
                    <xdr:rowOff>0</xdr:rowOff>
                  </from>
                  <to>
                    <xdr:col>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6" name="Button 5">
              <controlPr defaultSize="0" print="0" autoFill="0" autoPict="0" macro="[0]!Sheet03.BuildConfigSheets">
                <anchor moveWithCells="1" sizeWithCells="1">
                  <from>
                    <xdr:col>12</xdr:col>
                    <xdr:colOff>0</xdr:colOff>
                    <xdr:row>0</xdr:row>
                    <xdr:rowOff>76200</xdr:rowOff>
                  </from>
                  <to>
                    <xdr:col>12</xdr:col>
                    <xdr:colOff>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2" r:id="rId7" name="Button 6">
              <controlPr defaultSize="0" print="0" autoFill="0" autoPict="0">
                <anchor moveWithCells="1" sizeWithCells="1">
                  <from>
                    <xdr:col>12</xdr:col>
                    <xdr:colOff>0</xdr:colOff>
                    <xdr:row>0</xdr:row>
                    <xdr:rowOff>0</xdr:rowOff>
                  </from>
                  <to>
                    <xdr:col>12</xdr:col>
                    <xdr:colOff>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3" r:id="rId8" name="Button 7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182880</xdr:colOff>
                    <xdr:row>0</xdr:row>
                    <xdr:rowOff>76200</xdr:rowOff>
                  </from>
                  <to>
                    <xdr:col>25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4" r:id="rId9" name="Button 8">
              <controlPr defaultSize="0" print="0" autoFill="0" autoPict="0">
                <anchor moveWithCells="1" sizeWithCells="1">
                  <from>
                    <xdr:col>24</xdr:col>
                    <xdr:colOff>182880</xdr:colOff>
                    <xdr:row>0</xdr:row>
                    <xdr:rowOff>0</xdr:rowOff>
                  </from>
                  <to>
                    <xdr:col>25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9" r:id="rId10" name="Button 13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0" r:id="rId11" name="Button 14">
              <controlPr defaultSize="0" print="0" autoFill="0" autoPict="0">
                <anchor moveWithCells="1" sizeWithCells="1">
                  <from>
                    <xdr:col>32</xdr:col>
                    <xdr:colOff>182880</xdr:colOff>
                    <xdr:row>0</xdr:row>
                    <xdr:rowOff>0</xdr:rowOff>
                  </from>
                  <to>
                    <xdr:col>33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1" r:id="rId12" name="Button 15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2" r:id="rId13" name="Button 16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3" r:id="rId14" name="Button 17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7" r:id="rId15" name="Button 21">
              <controlPr defaultSize="0" print="0" autoFill="0" autoPict="0" macro="[0]!Sheet03.BuildConfigSheets">
                <anchor moveWithCells="1" sizeWithCells="1">
                  <from>
                    <xdr:col>40</xdr:col>
                    <xdr:colOff>182880</xdr:colOff>
                    <xdr:row>0</xdr:row>
                    <xdr:rowOff>76200</xdr:rowOff>
                  </from>
                  <to>
                    <xdr:col>41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8" r:id="rId16" name="Button 22">
              <controlPr defaultSize="0" print="0" autoFill="0" autoPict="0">
                <anchor moveWithCells="1" sizeWithCells="1">
                  <from>
                    <xdr:col>40</xdr:col>
                    <xdr:colOff>182880</xdr:colOff>
                    <xdr:row>0</xdr:row>
                    <xdr:rowOff>0</xdr:rowOff>
                  </from>
                  <to>
                    <xdr:col>41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0" r:id="rId17" name="Button 24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182880</xdr:colOff>
                    <xdr:row>0</xdr:row>
                    <xdr:rowOff>76200</xdr:rowOff>
                  </from>
                  <to>
                    <xdr:col>17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1" r:id="rId18" name="Button 25">
              <controlPr defaultSize="0" print="0" autoFill="0" autoPict="0">
                <anchor moveWithCells="1" sizeWithCells="1">
                  <from>
                    <xdr:col>16</xdr:col>
                    <xdr:colOff>182880</xdr:colOff>
                    <xdr:row>0</xdr:row>
                    <xdr:rowOff>0</xdr:rowOff>
                  </from>
                  <to>
                    <xdr:col>17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2" r:id="rId19" name="Button 26">
              <controlPr defaultSize="0" print="0" autoFill="0" autoPict="0" macro="[0]!Sheet03.BuildConfigSheets">
                <anchor moveWithCells="1" sizeWithCells="1">
                  <from>
                    <xdr:col>20</xdr:col>
                    <xdr:colOff>182880</xdr:colOff>
                    <xdr:row>0</xdr:row>
                    <xdr:rowOff>76200</xdr:rowOff>
                  </from>
                  <to>
                    <xdr:col>21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3" r:id="rId20" name="Button 27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4" r:id="rId21" name="Button 28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5" r:id="rId22" name="Button 29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6" r:id="rId23" name="Button 30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7" r:id="rId24" name="Button 31">
              <controlPr defaultSize="0" print="0" autoFill="0" autoPict="0" macro="[0]!Sheet03.BuildConfigSheets">
                <anchor moveWithCells="1" sizeWithCells="1">
                  <from>
                    <xdr:col>12</xdr:col>
                    <xdr:colOff>182880</xdr:colOff>
                    <xdr:row>0</xdr:row>
                    <xdr:rowOff>76200</xdr:rowOff>
                  </from>
                  <to>
                    <xdr:col>13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8" r:id="rId25" name="Button 32">
              <controlPr defaultSize="0" print="0" autoFill="0" autoPict="0">
                <anchor moveWithCells="1" sizeWithCells="1">
                  <from>
                    <xdr:col>12</xdr:col>
                    <xdr:colOff>182880</xdr:colOff>
                    <xdr:row>0</xdr:row>
                    <xdr:rowOff>0</xdr:rowOff>
                  </from>
                  <to>
                    <xdr:col>13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45"/>
  <sheetViews>
    <sheetView topLeftCell="K1" zoomScale="50" zoomScaleNormal="50" workbookViewId="0">
      <selection activeCell="Z21" sqref="Z21"/>
    </sheetView>
  </sheetViews>
  <sheetFormatPr defaultRowHeight="13.2" x14ac:dyDescent="0.25"/>
  <cols>
    <col min="1" max="1" width="2.6640625" style="421" customWidth="1"/>
    <col min="2" max="2" width="9.33203125" style="421" customWidth="1"/>
    <col min="3" max="3" width="7.33203125" style="421" customWidth="1"/>
    <col min="5" max="5" width="2.6640625" style="421" customWidth="1"/>
    <col min="6" max="6" width="42.6640625" style="404" customWidth="1"/>
    <col min="7" max="7" width="2.6640625" style="421" customWidth="1"/>
    <col min="8" max="8" width="1.6640625" style="403" customWidth="1"/>
    <col min="9" max="9" width="2.6640625" style="421" customWidth="1"/>
    <col min="10" max="10" width="42.6640625" style="404" customWidth="1"/>
    <col min="11" max="11" width="2.6640625" style="421" customWidth="1"/>
    <col min="12" max="12" width="3.109375" customWidth="1"/>
    <col min="13" max="13" width="2.6640625" style="421" customWidth="1"/>
    <col min="14" max="14" width="42.6640625" style="404" customWidth="1"/>
    <col min="15" max="15" width="2.6640625" style="421" customWidth="1"/>
    <col min="16" max="16" width="3.109375" customWidth="1"/>
    <col min="17" max="17" width="2.6640625" style="421" customWidth="1"/>
    <col min="18" max="18" width="42.6640625" style="404" customWidth="1"/>
    <col min="19" max="19" width="2.6640625" style="421" customWidth="1"/>
    <col min="20" max="20" width="3.109375" customWidth="1"/>
    <col min="21" max="21" width="2.6640625" style="421" customWidth="1"/>
    <col min="22" max="22" width="42.6640625" style="404" customWidth="1"/>
    <col min="23" max="23" width="2.6640625" style="421" customWidth="1"/>
    <col min="24" max="24" width="2.5546875" style="403" customWidth="1"/>
    <col min="25" max="25" width="2.6640625" style="421" customWidth="1"/>
    <col min="26" max="26" width="42.6640625" style="404" customWidth="1"/>
    <col min="27" max="27" width="2.6640625" style="421" customWidth="1"/>
    <col min="28" max="28" width="2.5546875" style="403" customWidth="1"/>
    <col min="29" max="29" width="2.6640625" style="421" customWidth="1"/>
    <col min="30" max="30" width="42.6640625" style="404" customWidth="1"/>
    <col min="31" max="31" width="2.6640625" style="421" customWidth="1"/>
    <col min="32" max="32" width="2.5546875" style="403" customWidth="1"/>
    <col min="33" max="33" width="2.6640625" style="421" customWidth="1"/>
    <col min="34" max="34" width="42.6640625" style="404" customWidth="1"/>
    <col min="35" max="35" width="2.6640625" style="421" customWidth="1"/>
    <col min="36" max="36" width="2.5546875" style="403" customWidth="1"/>
    <col min="37" max="37" width="2.6640625" style="421" customWidth="1"/>
    <col min="38" max="38" width="42.6640625" style="404" customWidth="1"/>
    <col min="39" max="39" width="2.6640625" style="421" customWidth="1"/>
    <col min="40" max="40" width="2.5546875" customWidth="1"/>
  </cols>
  <sheetData>
    <row r="1" spans="1:39" ht="16.2" thickBot="1" x14ac:dyDescent="0.3">
      <c r="A1" s="411"/>
      <c r="B1" s="412"/>
      <c r="C1" s="413"/>
      <c r="E1" s="418"/>
      <c r="F1" s="425" t="s">
        <v>1132</v>
      </c>
      <c r="G1" s="415"/>
      <c r="H1" s="414"/>
      <c r="I1" s="415"/>
      <c r="J1" s="425" t="s">
        <v>1132</v>
      </c>
      <c r="K1" s="418"/>
      <c r="M1" s="415"/>
      <c r="N1" s="425" t="s">
        <v>1132</v>
      </c>
      <c r="O1" s="418"/>
      <c r="Q1" s="415"/>
      <c r="R1" s="425" t="s">
        <v>1132</v>
      </c>
      <c r="S1" s="418"/>
      <c r="U1" s="415"/>
      <c r="V1" s="425" t="s">
        <v>1132</v>
      </c>
      <c r="W1" s="418"/>
      <c r="X1" s="418"/>
      <c r="Y1" s="415"/>
      <c r="Z1" s="425" t="s">
        <v>1132</v>
      </c>
      <c r="AA1" s="418"/>
      <c r="AB1" s="414"/>
      <c r="AC1" s="418"/>
      <c r="AD1" s="425" t="s">
        <v>1132</v>
      </c>
      <c r="AE1" s="415"/>
      <c r="AF1" s="414"/>
      <c r="AG1" s="415"/>
      <c r="AH1" s="425" t="s">
        <v>1132</v>
      </c>
      <c r="AI1" s="418"/>
      <c r="AJ1" s="414"/>
      <c r="AK1" s="415"/>
      <c r="AL1" s="425" t="s">
        <v>1132</v>
      </c>
      <c r="AM1" s="418"/>
    </row>
    <row r="2" spans="1:39" x14ac:dyDescent="0.25">
      <c r="A2" s="10"/>
      <c r="B2" s="11" t="s">
        <v>1</v>
      </c>
      <c r="C2" s="12" t="s">
        <v>2</v>
      </c>
      <c r="E2" s="27"/>
      <c r="F2" s="30" t="s">
        <v>14</v>
      </c>
      <c r="G2" s="27"/>
      <c r="I2" s="27"/>
      <c r="J2" s="30" t="s">
        <v>15</v>
      </c>
      <c r="K2" s="27"/>
      <c r="M2" s="27"/>
      <c r="N2" s="30" t="s">
        <v>16</v>
      </c>
      <c r="O2" s="27"/>
      <c r="Q2" s="27"/>
      <c r="R2" s="30" t="s">
        <v>17</v>
      </c>
      <c r="S2" s="27"/>
      <c r="U2" s="27"/>
      <c r="V2" s="30" t="s">
        <v>1133</v>
      </c>
      <c r="W2" s="27"/>
      <c r="Y2" s="27"/>
      <c r="Z2" s="30" t="s">
        <v>982</v>
      </c>
      <c r="AA2" s="27"/>
      <c r="AC2" s="27"/>
      <c r="AD2" s="30" t="s">
        <v>983</v>
      </c>
      <c r="AE2" s="27"/>
      <c r="AG2" s="27"/>
      <c r="AH2" s="30" t="s">
        <v>1134</v>
      </c>
      <c r="AI2" s="27"/>
      <c r="AK2" s="27"/>
      <c r="AL2" s="30" t="s">
        <v>1135</v>
      </c>
      <c r="AM2" s="27"/>
    </row>
    <row r="3" spans="1:39" x14ac:dyDescent="0.25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62" t="s">
        <v>1130</v>
      </c>
      <c r="G3" s="22" t="str">
        <f ca="1">IF(LEN(F3)=0,"",$C3)</f>
        <v>42</v>
      </c>
      <c r="I3" s="28" t="str">
        <f ca="1">IF(LEN(J3)=0,"",$C3)</f>
        <v>42</v>
      </c>
      <c r="J3" s="449" t="s">
        <v>1117</v>
      </c>
      <c r="K3" s="22" t="str">
        <f ca="1">IF(LEN(J3)=0,"",$C3)</f>
        <v>42</v>
      </c>
      <c r="M3" s="28" t="str">
        <f ca="1">IF(LEN(N3)=0,"",$C3)</f>
        <v>42</v>
      </c>
      <c r="N3" s="462" t="s">
        <v>1131</v>
      </c>
      <c r="O3" s="22" t="str">
        <f ca="1">IF(LEN(N3)=0,"",$C3)</f>
        <v>42</v>
      </c>
      <c r="Q3" s="28" t="str">
        <f ca="1">IF(LEN(R3)=0,"",$C3)</f>
        <v>42</v>
      </c>
      <c r="R3" s="409" t="s">
        <v>1251</v>
      </c>
      <c r="S3" s="22" t="str">
        <f ca="1">IF(LEN(R3)=0,"",$C3)</f>
        <v>42</v>
      </c>
      <c r="U3" s="28" t="str">
        <f ca="1">IF(LEN(V3)=0,"",$C3)</f>
        <v>42</v>
      </c>
      <c r="V3" s="444" t="s">
        <v>1114</v>
      </c>
      <c r="W3" s="22" t="str">
        <f ca="1">IF(LEN(V3)=0,"",$C3)</f>
        <v>42</v>
      </c>
      <c r="Y3" s="28" t="str">
        <f>IF(LEN(Z3)=0,"",$C3)</f>
        <v/>
      </c>
      <c r="Z3" s="426"/>
      <c r="AA3" s="22" t="str">
        <f>IF(LEN(Z3)=0,"",$C3)</f>
        <v/>
      </c>
      <c r="AC3" s="28" t="str">
        <f ca="1">IF(LEN(AD3)=0,"",$C3)</f>
        <v>42</v>
      </c>
      <c r="AD3" s="434" t="s">
        <v>1265</v>
      </c>
      <c r="AE3" s="22" t="str">
        <f ca="1">IF(LEN(AD3)=0,"",$C3)</f>
        <v>42</v>
      </c>
      <c r="AG3" s="28" t="str">
        <f ca="1">IF(LEN(AH3)=0,"",$C3)</f>
        <v>42</v>
      </c>
      <c r="AH3" s="454" t="s">
        <v>1283</v>
      </c>
      <c r="AI3" s="22" t="str">
        <f ca="1">IF(LEN(AH3)=0,"",$C3)</f>
        <v>42</v>
      </c>
      <c r="AK3" s="28" t="str">
        <f ca="1">IF(LEN(AL3)=0,"",$C3)</f>
        <v>42</v>
      </c>
      <c r="AL3" s="458" t="s">
        <v>1284</v>
      </c>
      <c r="AM3" s="22" t="str">
        <f ca="1">IF(LEN(AL3)=0,"",$C3)</f>
        <v>42</v>
      </c>
    </row>
    <row r="4" spans="1:39" x14ac:dyDescent="0.25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3" si="2">IF(LEN(F4)=0,"",$C4)</f>
        <v/>
      </c>
      <c r="F4" s="463"/>
      <c r="G4" s="22" t="str">
        <f t="shared" ref="G4:G43" si="3">IF(LEN(F4)=0,"",$C4)</f>
        <v/>
      </c>
      <c r="I4" s="28" t="str">
        <f t="shared" ref="I4:I43" si="4">IF(LEN(J4)=0,"",$C4)</f>
        <v/>
      </c>
      <c r="J4" s="408"/>
      <c r="K4" s="22" t="str">
        <f t="shared" ref="K4:K43" si="5">IF(LEN(J4)=0,"",$C4)</f>
        <v/>
      </c>
      <c r="M4" s="28" t="str">
        <f t="shared" ref="M4:M43" si="6">IF(LEN(N4)=0,"",$C4)</f>
        <v/>
      </c>
      <c r="N4" s="463"/>
      <c r="O4" s="22" t="str">
        <f t="shared" ref="O4:O43" si="7">IF(LEN(N4)=0,"",$C4)</f>
        <v/>
      </c>
      <c r="Q4" s="28" t="str">
        <f t="shared" ref="Q4:Q43" si="8">IF(LEN(R4)=0,"",$C4)</f>
        <v/>
      </c>
      <c r="R4" s="408"/>
      <c r="S4" s="22" t="str">
        <f t="shared" ref="S4:S43" si="9">IF(LEN(R4)=0,"",$C4)</f>
        <v/>
      </c>
      <c r="U4" s="28" t="str">
        <f t="shared" ref="U4:U43" si="10">IF(LEN(V4)=0,"",$C4)</f>
        <v/>
      </c>
      <c r="V4" s="409"/>
      <c r="W4" s="22" t="str">
        <f t="shared" ref="W4:W43" si="11">IF(LEN(V4)=0,"",$C4)</f>
        <v/>
      </c>
      <c r="Y4" s="28" t="str">
        <f t="shared" ref="Y4:Y20" ca="1" si="12">IF(LEN(Z4)=0,"",$C4)</f>
        <v>41</v>
      </c>
      <c r="Z4" s="401" t="s">
        <v>1148</v>
      </c>
      <c r="AA4" s="22" t="str">
        <f t="shared" ref="AA4:AA20" ca="1" si="13">IF(LEN(Z4)=0,"",$C4)</f>
        <v>41</v>
      </c>
      <c r="AC4" s="28" t="str">
        <f ca="1">IF(LEN(AD4)=0,"",$C4)</f>
        <v>41</v>
      </c>
      <c r="AD4" s="434" t="s">
        <v>1265</v>
      </c>
      <c r="AE4" s="22" t="str">
        <f ca="1">IF(LEN(AD4)=0,"",$C4)</f>
        <v>41</v>
      </c>
      <c r="AG4" s="28" t="str">
        <f t="shared" ref="AG4:AG18" ca="1" si="14">IF(LEN(AH4)=0,"",$C4)</f>
        <v>41</v>
      </c>
      <c r="AH4" s="456" t="s">
        <v>1290</v>
      </c>
      <c r="AI4" s="22" t="str">
        <f t="shared" ref="AI4:AI18" ca="1" si="15">IF(LEN(AH4)=0,"",$C4)</f>
        <v>41</v>
      </c>
      <c r="AK4" s="28" t="str">
        <f t="shared" ref="AK4:AK43" ca="1" si="16">IF(LEN(AL4)=0,"",$C4)</f>
        <v>41</v>
      </c>
      <c r="AL4" s="458" t="s">
        <v>1284</v>
      </c>
      <c r="AM4" s="22" t="str">
        <f t="shared" ref="AM4:AM43" ca="1" si="17">IF(LEN(AL4)=0,"",$C4)</f>
        <v>41</v>
      </c>
    </row>
    <row r="5" spans="1:39" x14ac:dyDescent="0.25">
      <c r="A5" s="10"/>
      <c r="B5" s="13">
        <f t="shared" ca="1" si="0"/>
        <v>70</v>
      </c>
      <c r="C5" s="14" t="str">
        <f t="shared" ca="1" si="1"/>
        <v>40</v>
      </c>
      <c r="E5" s="28" t="str">
        <f t="shared" si="2"/>
        <v/>
      </c>
      <c r="G5" s="22" t="str">
        <f t="shared" si="3"/>
        <v/>
      </c>
      <c r="I5" s="28" t="str">
        <f t="shared" si="4"/>
        <v/>
      </c>
      <c r="J5" s="407"/>
      <c r="K5" s="22" t="str">
        <f t="shared" si="5"/>
        <v/>
      </c>
      <c r="M5" s="28" t="str">
        <f t="shared" si="6"/>
        <v/>
      </c>
      <c r="N5" s="407"/>
      <c r="O5" s="22" t="str">
        <f t="shared" si="7"/>
        <v/>
      </c>
      <c r="Q5" s="28" t="str">
        <f t="shared" si="8"/>
        <v/>
      </c>
      <c r="R5" s="407"/>
      <c r="S5" s="22" t="str">
        <f t="shared" si="9"/>
        <v/>
      </c>
      <c r="U5" s="28" t="str">
        <f t="shared" si="10"/>
        <v/>
      </c>
      <c r="V5" s="407"/>
      <c r="W5" s="22" t="str">
        <f t="shared" si="11"/>
        <v/>
      </c>
      <c r="Y5" s="28" t="str">
        <f t="shared" ca="1" si="12"/>
        <v>40</v>
      </c>
      <c r="Z5" s="401" t="s">
        <v>1149</v>
      </c>
      <c r="AA5" s="22" t="str">
        <f t="shared" ca="1" si="13"/>
        <v>40</v>
      </c>
      <c r="AC5" s="28" t="str">
        <f t="shared" ref="AC5:AC15" si="18">IF(LEN(AD5)=0,"",$C5)</f>
        <v/>
      </c>
      <c r="AE5" s="22" t="str">
        <f t="shared" ref="AE5:AE15" si="19">IF(LEN(AD5)=0,"",$C5)</f>
        <v/>
      </c>
      <c r="AG5" s="28" t="str">
        <f t="shared" si="14"/>
        <v/>
      </c>
      <c r="AI5" s="22" t="str">
        <f t="shared" si="15"/>
        <v/>
      </c>
      <c r="AK5" s="28" t="str">
        <f t="shared" si="16"/>
        <v/>
      </c>
      <c r="AM5" s="22" t="str">
        <f t="shared" si="17"/>
        <v/>
      </c>
    </row>
    <row r="6" spans="1:39" x14ac:dyDescent="0.25">
      <c r="A6" s="10"/>
      <c r="B6" s="13">
        <f t="shared" ca="1" si="0"/>
        <v>68.25</v>
      </c>
      <c r="C6" s="14" t="str">
        <f t="shared" ca="1" si="1"/>
        <v>39</v>
      </c>
      <c r="E6" s="28" t="str">
        <f t="shared" si="2"/>
        <v/>
      </c>
      <c r="F6" s="409"/>
      <c r="G6" s="22" t="str">
        <f t="shared" si="3"/>
        <v/>
      </c>
      <c r="I6" s="28" t="str">
        <f t="shared" ca="1" si="4"/>
        <v>39</v>
      </c>
      <c r="J6" s="449" t="s">
        <v>1252</v>
      </c>
      <c r="K6" s="22" t="str">
        <f t="shared" ca="1" si="5"/>
        <v>39</v>
      </c>
      <c r="M6" s="28" t="str">
        <f t="shared" si="6"/>
        <v/>
      </c>
      <c r="N6" s="409"/>
      <c r="O6" s="22" t="str">
        <f t="shared" si="7"/>
        <v/>
      </c>
      <c r="Q6" s="28" t="str">
        <f t="shared" ca="1" si="8"/>
        <v>39</v>
      </c>
      <c r="R6" s="409" t="s">
        <v>1222</v>
      </c>
      <c r="S6" s="22" t="str">
        <f t="shared" ca="1" si="9"/>
        <v>39</v>
      </c>
      <c r="U6" s="28" t="str">
        <f t="shared" ca="1" si="10"/>
        <v>39</v>
      </c>
      <c r="V6" s="446" t="s">
        <v>1219</v>
      </c>
      <c r="W6" s="22" t="str">
        <f t="shared" ca="1" si="11"/>
        <v>39</v>
      </c>
      <c r="X6" s="405"/>
      <c r="Y6" s="28" t="str">
        <f t="shared" si="12"/>
        <v/>
      </c>
      <c r="Z6" s="426"/>
      <c r="AA6" s="22" t="str">
        <f t="shared" si="13"/>
        <v/>
      </c>
      <c r="AC6" s="28" t="str">
        <f t="shared" ca="1" si="18"/>
        <v>39</v>
      </c>
      <c r="AD6" s="433" t="s">
        <v>1266</v>
      </c>
      <c r="AE6" s="22" t="str">
        <f t="shared" ca="1" si="19"/>
        <v>39</v>
      </c>
      <c r="AG6" s="28" t="str">
        <f t="shared" si="14"/>
        <v/>
      </c>
      <c r="AH6" s="409"/>
      <c r="AI6" s="22" t="str">
        <f t="shared" si="15"/>
        <v/>
      </c>
      <c r="AK6" s="28" t="str">
        <f t="shared" si="16"/>
        <v/>
      </c>
      <c r="AL6" s="409"/>
      <c r="AM6" s="22" t="str">
        <f t="shared" si="17"/>
        <v/>
      </c>
    </row>
    <row r="7" spans="1:39" x14ac:dyDescent="0.25">
      <c r="A7" s="10"/>
      <c r="B7" s="13">
        <f t="shared" ca="1" si="0"/>
        <v>66.5</v>
      </c>
      <c r="C7" s="14" t="str">
        <f t="shared" ca="1" si="1"/>
        <v>38</v>
      </c>
      <c r="E7" s="28" t="str">
        <f t="shared" si="2"/>
        <v/>
      </c>
      <c r="F7" s="408"/>
      <c r="G7" s="22" t="str">
        <f t="shared" si="3"/>
        <v/>
      </c>
      <c r="H7" s="405"/>
      <c r="I7" s="28" t="str">
        <f t="shared" ca="1" si="4"/>
        <v>38</v>
      </c>
      <c r="J7" s="450" t="s">
        <v>1253</v>
      </c>
      <c r="K7" s="22" t="str">
        <f t="shared" ca="1" si="5"/>
        <v>38</v>
      </c>
      <c r="M7" s="28" t="str">
        <f t="shared" si="6"/>
        <v/>
      </c>
      <c r="N7" s="408"/>
      <c r="O7" s="22" t="str">
        <f t="shared" si="7"/>
        <v/>
      </c>
      <c r="Q7" s="28" t="str">
        <f t="shared" ca="1" si="8"/>
        <v>38</v>
      </c>
      <c r="R7" s="408" t="s">
        <v>1224</v>
      </c>
      <c r="S7" s="22" t="str">
        <f t="shared" ca="1" si="9"/>
        <v>38</v>
      </c>
      <c r="U7" s="28" t="str">
        <f t="shared" ca="1" si="10"/>
        <v>38</v>
      </c>
      <c r="V7" s="446" t="s">
        <v>1208</v>
      </c>
      <c r="W7" s="22" t="str">
        <f t="shared" ca="1" si="11"/>
        <v>38</v>
      </c>
      <c r="X7" s="405"/>
      <c r="Y7" s="28" t="str">
        <f t="shared" si="12"/>
        <v/>
      </c>
      <c r="Z7" s="426"/>
      <c r="AA7" s="22" t="str">
        <f t="shared" si="13"/>
        <v/>
      </c>
      <c r="AB7" s="405"/>
      <c r="AC7" s="28" t="str">
        <f t="shared" ca="1" si="18"/>
        <v>38</v>
      </c>
      <c r="AD7" s="436" t="s">
        <v>1267</v>
      </c>
      <c r="AE7" s="22" t="str">
        <f t="shared" ca="1" si="19"/>
        <v>38</v>
      </c>
      <c r="AF7" s="405"/>
      <c r="AG7" s="28" t="str">
        <f t="shared" si="14"/>
        <v/>
      </c>
      <c r="AI7" s="22" t="str">
        <f t="shared" si="15"/>
        <v/>
      </c>
      <c r="AJ7" s="405"/>
      <c r="AK7" s="28" t="str">
        <f t="shared" si="16"/>
        <v/>
      </c>
      <c r="AL7" s="409"/>
      <c r="AM7" s="22" t="str">
        <f t="shared" si="17"/>
        <v/>
      </c>
    </row>
    <row r="8" spans="1:39" x14ac:dyDescent="0.25">
      <c r="A8" s="10"/>
      <c r="B8" s="13">
        <f t="shared" ca="1" si="0"/>
        <v>64.75</v>
      </c>
      <c r="C8" s="14" t="str">
        <f t="shared" ca="1" si="1"/>
        <v>37</v>
      </c>
      <c r="E8" s="28" t="str">
        <f t="shared" si="2"/>
        <v/>
      </c>
      <c r="G8" s="22" t="str">
        <f t="shared" si="3"/>
        <v/>
      </c>
      <c r="H8" s="405"/>
      <c r="I8" s="28" t="str">
        <f t="shared" si="4"/>
        <v/>
      </c>
      <c r="K8" s="22" t="str">
        <f t="shared" si="5"/>
        <v/>
      </c>
      <c r="M8" s="28" t="str">
        <f t="shared" si="6"/>
        <v/>
      </c>
      <c r="O8" s="22" t="str">
        <f t="shared" si="7"/>
        <v/>
      </c>
      <c r="Q8" s="28" t="str">
        <f t="shared" si="8"/>
        <v/>
      </c>
      <c r="S8" s="22" t="str">
        <f t="shared" si="9"/>
        <v/>
      </c>
      <c r="U8" s="28" t="str">
        <f t="shared" si="10"/>
        <v/>
      </c>
      <c r="V8" s="445"/>
      <c r="W8" s="22" t="str">
        <f t="shared" si="11"/>
        <v/>
      </c>
      <c r="X8" s="405"/>
      <c r="Y8" s="28" t="str">
        <f t="shared" si="12"/>
        <v/>
      </c>
      <c r="Z8" s="462"/>
      <c r="AA8" s="22" t="str">
        <f t="shared" si="13"/>
        <v/>
      </c>
      <c r="AB8" s="405"/>
      <c r="AC8" s="28" t="str">
        <f t="shared" si="18"/>
        <v/>
      </c>
      <c r="AE8" s="22" t="str">
        <f t="shared" si="19"/>
        <v/>
      </c>
      <c r="AF8" s="405"/>
      <c r="AG8" s="28" t="str">
        <f t="shared" ca="1" si="14"/>
        <v>37</v>
      </c>
      <c r="AH8" s="410" t="s">
        <v>1098</v>
      </c>
      <c r="AI8" s="22" t="str">
        <f t="shared" ca="1" si="15"/>
        <v>37</v>
      </c>
      <c r="AJ8" s="405"/>
      <c r="AK8" s="28" t="str">
        <f t="shared" si="16"/>
        <v/>
      </c>
      <c r="AM8" s="22" t="str">
        <f t="shared" si="17"/>
        <v/>
      </c>
    </row>
    <row r="9" spans="1:39" x14ac:dyDescent="0.25">
      <c r="A9" s="10"/>
      <c r="B9" s="13">
        <f t="shared" ca="1" si="0"/>
        <v>63</v>
      </c>
      <c r="C9" s="14" t="str">
        <f t="shared" ca="1" si="1"/>
        <v>36</v>
      </c>
      <c r="E9" s="28" t="str">
        <f t="shared" si="2"/>
        <v/>
      </c>
      <c r="F9" s="409"/>
      <c r="G9" s="22" t="str">
        <f t="shared" si="3"/>
        <v/>
      </c>
      <c r="H9" s="405"/>
      <c r="I9" s="28" t="str">
        <f t="shared" ca="1" si="4"/>
        <v>36</v>
      </c>
      <c r="J9" s="449" t="s">
        <v>1254</v>
      </c>
      <c r="K9" s="22" t="str">
        <f t="shared" ca="1" si="5"/>
        <v>36</v>
      </c>
      <c r="M9" s="28" t="str">
        <f t="shared" si="6"/>
        <v/>
      </c>
      <c r="N9" s="409"/>
      <c r="O9" s="22" t="str">
        <f t="shared" si="7"/>
        <v/>
      </c>
      <c r="Q9" s="28" t="str">
        <f t="shared" ca="1" si="8"/>
        <v>36</v>
      </c>
      <c r="R9" s="409" t="s">
        <v>1220</v>
      </c>
      <c r="S9" s="22" t="str">
        <f t="shared" ca="1" si="9"/>
        <v>36</v>
      </c>
      <c r="U9" s="28" t="str">
        <f t="shared" ca="1" si="10"/>
        <v>36</v>
      </c>
      <c r="V9" s="447" t="s">
        <v>1209</v>
      </c>
      <c r="W9" s="22" t="str">
        <f t="shared" ca="1" si="11"/>
        <v>36</v>
      </c>
      <c r="X9" s="405"/>
      <c r="Y9" s="28" t="str">
        <f>IF(LEN(Z9)=0,"",$C9)</f>
        <v/>
      </c>
      <c r="Z9" s="463"/>
      <c r="AA9" s="22" t="str">
        <f>IF(LEN(Z9)=0,"",$C9)</f>
        <v/>
      </c>
      <c r="AB9" s="405"/>
      <c r="AC9" s="28" t="str">
        <f t="shared" ca="1" si="18"/>
        <v>36</v>
      </c>
      <c r="AD9" s="440" t="s">
        <v>1268</v>
      </c>
      <c r="AE9" s="22" t="str">
        <f t="shared" ca="1" si="19"/>
        <v>36</v>
      </c>
      <c r="AF9" s="405"/>
      <c r="AG9" s="28" t="str">
        <f t="shared" si="14"/>
        <v/>
      </c>
      <c r="AI9" s="22" t="str">
        <f t="shared" si="15"/>
        <v/>
      </c>
      <c r="AJ9" s="405"/>
      <c r="AK9" s="28" t="str">
        <f t="shared" ca="1" si="16"/>
        <v>36</v>
      </c>
      <c r="AL9" s="458" t="s">
        <v>1269</v>
      </c>
      <c r="AM9" s="22" t="str">
        <f t="shared" ca="1" si="17"/>
        <v>36</v>
      </c>
    </row>
    <row r="10" spans="1:39" x14ac:dyDescent="0.25">
      <c r="A10" s="10"/>
      <c r="B10" s="13">
        <f t="shared" ca="1" si="0"/>
        <v>61.25</v>
      </c>
      <c r="C10" s="14" t="str">
        <f t="shared" ca="1" si="1"/>
        <v>35</v>
      </c>
      <c r="E10" s="28" t="str">
        <f t="shared" si="2"/>
        <v/>
      </c>
      <c r="F10" s="408"/>
      <c r="G10" s="22" t="str">
        <f t="shared" si="3"/>
        <v/>
      </c>
      <c r="H10" s="405"/>
      <c r="I10" s="28" t="str">
        <f t="shared" ca="1" si="4"/>
        <v>35</v>
      </c>
      <c r="J10" s="450" t="s">
        <v>1255</v>
      </c>
      <c r="K10" s="22" t="str">
        <f t="shared" ca="1" si="5"/>
        <v>35</v>
      </c>
      <c r="M10" s="28" t="str">
        <f t="shared" si="6"/>
        <v/>
      </c>
      <c r="N10" s="408"/>
      <c r="O10" s="22" t="str">
        <f t="shared" si="7"/>
        <v/>
      </c>
      <c r="Q10" s="28" t="str">
        <f t="shared" ca="1" si="8"/>
        <v>35</v>
      </c>
      <c r="R10" s="408" t="s">
        <v>1221</v>
      </c>
      <c r="S10" s="22" t="str">
        <f t="shared" ca="1" si="9"/>
        <v>35</v>
      </c>
      <c r="U10" s="28" t="str">
        <f t="shared" ca="1" si="10"/>
        <v>35</v>
      </c>
      <c r="V10" s="446" t="s">
        <v>1210</v>
      </c>
      <c r="W10" s="22" t="str">
        <f t="shared" ca="1" si="11"/>
        <v>35</v>
      </c>
      <c r="X10" s="405"/>
      <c r="Y10" s="28" t="str">
        <f>IF(LEN(Z10)=0,"",$C10)</f>
        <v/>
      </c>
      <c r="Z10" s="426"/>
      <c r="AA10" s="22" t="str">
        <f>IF(LEN(Z10)=0,"",$C10)</f>
        <v/>
      </c>
      <c r="AB10" s="405"/>
      <c r="AC10" s="28" t="str">
        <f t="shared" si="18"/>
        <v/>
      </c>
      <c r="AE10" s="22" t="str">
        <f t="shared" si="19"/>
        <v/>
      </c>
      <c r="AF10" s="405"/>
      <c r="AG10" s="28" t="str">
        <f t="shared" ca="1" si="14"/>
        <v>35</v>
      </c>
      <c r="AH10" s="410" t="s">
        <v>1099</v>
      </c>
      <c r="AI10" s="22" t="str">
        <f t="shared" ca="1" si="15"/>
        <v>35</v>
      </c>
      <c r="AJ10" s="405"/>
      <c r="AK10" s="28" t="str">
        <f t="shared" ca="1" si="16"/>
        <v>35</v>
      </c>
      <c r="AL10" s="459" t="s">
        <v>1270</v>
      </c>
      <c r="AM10" s="22" t="str">
        <f t="shared" ca="1" si="17"/>
        <v>35</v>
      </c>
    </row>
    <row r="11" spans="1:39" x14ac:dyDescent="0.25">
      <c r="A11" s="10"/>
      <c r="B11" s="13">
        <f t="shared" ca="1" si="0"/>
        <v>59.5</v>
      </c>
      <c r="C11" s="14" t="str">
        <f t="shared" ca="1" si="1"/>
        <v>34</v>
      </c>
      <c r="E11" s="28" t="str">
        <f t="shared" si="2"/>
        <v/>
      </c>
      <c r="G11" s="22" t="str">
        <f t="shared" si="3"/>
        <v/>
      </c>
      <c r="H11" s="405"/>
      <c r="I11" s="28" t="str">
        <f t="shared" si="4"/>
        <v/>
      </c>
      <c r="K11" s="22" t="str">
        <f t="shared" si="5"/>
        <v/>
      </c>
      <c r="M11" s="28" t="str">
        <f t="shared" si="6"/>
        <v/>
      </c>
      <c r="O11" s="22" t="str">
        <f t="shared" si="7"/>
        <v/>
      </c>
      <c r="Q11" s="28" t="str">
        <f t="shared" si="8"/>
        <v/>
      </c>
      <c r="S11" s="22" t="str">
        <f t="shared" si="9"/>
        <v/>
      </c>
      <c r="U11" s="28" t="str">
        <f t="shared" si="10"/>
        <v/>
      </c>
      <c r="V11" s="445"/>
      <c r="W11" s="22" t="str">
        <f t="shared" si="11"/>
        <v/>
      </c>
      <c r="X11" s="405"/>
      <c r="Y11" s="28" t="str">
        <f t="shared" ca="1" si="12"/>
        <v>34</v>
      </c>
      <c r="Z11" s="462" t="s">
        <v>1102</v>
      </c>
      <c r="AA11" s="22" t="str">
        <f t="shared" ca="1" si="13"/>
        <v>34</v>
      </c>
      <c r="AB11" s="405"/>
      <c r="AC11" s="28" t="str">
        <f t="shared" ca="1" si="18"/>
        <v>34</v>
      </c>
      <c r="AD11" s="410" t="s">
        <v>1097</v>
      </c>
      <c r="AE11" s="22" t="str">
        <f t="shared" ca="1" si="19"/>
        <v>34</v>
      </c>
      <c r="AF11" s="405"/>
      <c r="AG11" s="28" t="str">
        <f t="shared" si="14"/>
        <v/>
      </c>
      <c r="AI11" s="22" t="str">
        <f t="shared" si="15"/>
        <v/>
      </c>
      <c r="AJ11" s="405"/>
      <c r="AK11" s="28" t="str">
        <f t="shared" si="16"/>
        <v/>
      </c>
      <c r="AM11" s="22" t="str">
        <f t="shared" si="17"/>
        <v/>
      </c>
    </row>
    <row r="12" spans="1:39" x14ac:dyDescent="0.25">
      <c r="A12" s="10"/>
      <c r="B12" s="13">
        <f t="shared" ca="1" si="0"/>
        <v>57.75</v>
      </c>
      <c r="C12" s="14" t="str">
        <f t="shared" ca="1" si="1"/>
        <v>33</v>
      </c>
      <c r="E12" s="28" t="str">
        <f t="shared" si="2"/>
        <v/>
      </c>
      <c r="F12" s="409"/>
      <c r="G12" s="22" t="str">
        <f t="shared" si="3"/>
        <v/>
      </c>
      <c r="H12" s="405"/>
      <c r="I12" s="28" t="str">
        <f t="shared" ca="1" si="4"/>
        <v>33</v>
      </c>
      <c r="J12" s="449" t="s">
        <v>1256</v>
      </c>
      <c r="K12" s="22" t="str">
        <f t="shared" ca="1" si="5"/>
        <v>33</v>
      </c>
      <c r="M12" s="28" t="str">
        <f t="shared" si="6"/>
        <v/>
      </c>
      <c r="N12" s="409"/>
      <c r="O12" s="22" t="str">
        <f t="shared" si="7"/>
        <v/>
      </c>
      <c r="Q12" s="28" t="str">
        <f t="shared" ca="1" si="8"/>
        <v>33</v>
      </c>
      <c r="R12" s="409" t="s">
        <v>1223</v>
      </c>
      <c r="S12" s="22" t="str">
        <f t="shared" ca="1" si="9"/>
        <v>33</v>
      </c>
      <c r="U12" s="28" t="str">
        <f t="shared" ca="1" si="10"/>
        <v>33</v>
      </c>
      <c r="V12" s="447" t="s">
        <v>1218</v>
      </c>
      <c r="W12" s="22" t="str">
        <f t="shared" ca="1" si="11"/>
        <v>33</v>
      </c>
      <c r="X12" s="405"/>
      <c r="Y12" s="28" t="str">
        <f t="shared" si="12"/>
        <v/>
      </c>
      <c r="Z12" s="463"/>
      <c r="AA12" s="22" t="str">
        <f t="shared" si="13"/>
        <v/>
      </c>
      <c r="AB12" s="405"/>
      <c r="AC12" s="28" t="str">
        <f t="shared" si="18"/>
        <v/>
      </c>
      <c r="AE12" s="22" t="str">
        <f t="shared" si="19"/>
        <v/>
      </c>
      <c r="AF12" s="405"/>
      <c r="AG12" s="28" t="str">
        <f t="shared" ca="1" si="14"/>
        <v>33</v>
      </c>
      <c r="AH12" s="454" t="s">
        <v>1269</v>
      </c>
      <c r="AI12" s="22" t="str">
        <f t="shared" ca="1" si="15"/>
        <v>33</v>
      </c>
      <c r="AJ12" s="405"/>
      <c r="AK12" s="28" t="str">
        <f t="shared" ca="1" si="16"/>
        <v>33</v>
      </c>
      <c r="AL12" s="458" t="s">
        <v>1271</v>
      </c>
      <c r="AM12" s="22" t="str">
        <f t="shared" ca="1" si="17"/>
        <v>33</v>
      </c>
    </row>
    <row r="13" spans="1:39" x14ac:dyDescent="0.25">
      <c r="A13" s="10"/>
      <c r="B13" s="13">
        <f t="shared" ca="1" si="0"/>
        <v>56</v>
      </c>
      <c r="C13" s="14" t="str">
        <f t="shared" ca="1" si="1"/>
        <v>32</v>
      </c>
      <c r="E13" s="28" t="str">
        <f t="shared" si="2"/>
        <v/>
      </c>
      <c r="F13" s="408"/>
      <c r="G13" s="22" t="str">
        <f t="shared" si="3"/>
        <v/>
      </c>
      <c r="H13" s="405"/>
      <c r="I13" s="28" t="str">
        <f t="shared" ca="1" si="4"/>
        <v>32</v>
      </c>
      <c r="J13" s="450" t="s">
        <v>1257</v>
      </c>
      <c r="K13" s="22" t="str">
        <f t="shared" ca="1" si="5"/>
        <v>32</v>
      </c>
      <c r="M13" s="28" t="str">
        <f t="shared" si="6"/>
        <v/>
      </c>
      <c r="N13" s="408"/>
      <c r="O13" s="22" t="str">
        <f t="shared" si="7"/>
        <v/>
      </c>
      <c r="Q13" s="28" t="str">
        <f t="shared" ca="1" si="8"/>
        <v>32</v>
      </c>
      <c r="R13" s="408" t="s">
        <v>1242</v>
      </c>
      <c r="S13" s="22" t="str">
        <f t="shared" ca="1" si="9"/>
        <v>32</v>
      </c>
      <c r="U13" s="28" t="str">
        <f t="shared" ca="1" si="10"/>
        <v>32</v>
      </c>
      <c r="V13" s="448" t="s">
        <v>1207</v>
      </c>
      <c r="W13" s="22" t="str">
        <f t="shared" ca="1" si="11"/>
        <v>32</v>
      </c>
      <c r="X13" s="405"/>
      <c r="Y13" s="28" t="str">
        <f t="shared" si="12"/>
        <v/>
      </c>
      <c r="Z13" s="426"/>
      <c r="AA13" s="22" t="str">
        <f t="shared" si="13"/>
        <v/>
      </c>
      <c r="AB13" s="405"/>
      <c r="AC13" s="28" t="str">
        <f t="shared" ca="1" si="18"/>
        <v>32</v>
      </c>
      <c r="AD13" s="410" t="s">
        <v>1136</v>
      </c>
      <c r="AE13" s="22" t="str">
        <f t="shared" ca="1" si="19"/>
        <v>32</v>
      </c>
      <c r="AF13" s="405"/>
      <c r="AG13" s="28" t="str">
        <f t="shared" ca="1" si="14"/>
        <v>32</v>
      </c>
      <c r="AH13" s="455" t="s">
        <v>1270</v>
      </c>
      <c r="AI13" s="22" t="str">
        <f t="shared" ca="1" si="15"/>
        <v>32</v>
      </c>
      <c r="AJ13" s="405"/>
      <c r="AK13" s="28" t="str">
        <f t="shared" ca="1" si="16"/>
        <v>32</v>
      </c>
      <c r="AL13" s="459" t="s">
        <v>1272</v>
      </c>
      <c r="AM13" s="22" t="str">
        <f t="shared" ca="1" si="17"/>
        <v>32</v>
      </c>
    </row>
    <row r="14" spans="1:39" x14ac:dyDescent="0.25">
      <c r="A14" s="10"/>
      <c r="B14" s="13">
        <f t="shared" ca="1" si="0"/>
        <v>54.25</v>
      </c>
      <c r="C14" s="14" t="str">
        <f t="shared" ca="1" si="1"/>
        <v>31</v>
      </c>
      <c r="E14" s="28" t="str">
        <f t="shared" si="2"/>
        <v/>
      </c>
      <c r="G14" s="22" t="str">
        <f t="shared" si="3"/>
        <v/>
      </c>
      <c r="H14" s="405"/>
      <c r="I14" s="28" t="str">
        <f t="shared" si="4"/>
        <v/>
      </c>
      <c r="K14" s="22" t="str">
        <f t="shared" si="5"/>
        <v/>
      </c>
      <c r="M14" s="28" t="str">
        <f t="shared" si="6"/>
        <v/>
      </c>
      <c r="O14" s="22" t="str">
        <f t="shared" si="7"/>
        <v/>
      </c>
      <c r="Q14" s="28" t="str">
        <f t="shared" si="8"/>
        <v/>
      </c>
      <c r="S14" s="22" t="str">
        <f t="shared" si="9"/>
        <v/>
      </c>
      <c r="U14" s="28" t="str">
        <f t="shared" si="10"/>
        <v/>
      </c>
      <c r="W14" s="22" t="str">
        <f t="shared" si="11"/>
        <v/>
      </c>
      <c r="X14" s="405"/>
      <c r="Y14" s="28" t="str">
        <f t="shared" ca="1" si="12"/>
        <v>31</v>
      </c>
      <c r="Z14" s="462" t="s">
        <v>1103</v>
      </c>
      <c r="AA14" s="22" t="str">
        <f t="shared" ca="1" si="13"/>
        <v>31</v>
      </c>
      <c r="AB14" s="405"/>
      <c r="AC14" s="28" t="str">
        <f t="shared" si="18"/>
        <v/>
      </c>
      <c r="AE14" s="22" t="str">
        <f t="shared" si="19"/>
        <v/>
      </c>
      <c r="AF14" s="405"/>
      <c r="AG14" s="28" t="str">
        <f t="shared" si="14"/>
        <v/>
      </c>
      <c r="AI14" s="22" t="str">
        <f t="shared" si="15"/>
        <v/>
      </c>
      <c r="AJ14" s="405"/>
      <c r="AK14" s="28" t="str">
        <f t="shared" si="16"/>
        <v/>
      </c>
      <c r="AM14" s="22" t="str">
        <f t="shared" si="17"/>
        <v/>
      </c>
    </row>
    <row r="15" spans="1:39" x14ac:dyDescent="0.25">
      <c r="A15" s="10"/>
      <c r="B15" s="13">
        <f t="shared" ca="1" si="0"/>
        <v>52.5</v>
      </c>
      <c r="C15" s="14" t="str">
        <f t="shared" ca="1" si="1"/>
        <v>30</v>
      </c>
      <c r="E15" s="28" t="str">
        <f t="shared" si="2"/>
        <v/>
      </c>
      <c r="F15" s="409"/>
      <c r="G15" s="22" t="str">
        <f t="shared" si="3"/>
        <v/>
      </c>
      <c r="H15" s="405"/>
      <c r="I15" s="28" t="str">
        <f t="shared" ca="1" si="4"/>
        <v>30</v>
      </c>
      <c r="J15" s="449" t="s">
        <v>1258</v>
      </c>
      <c r="K15" s="22" t="str">
        <f t="shared" ca="1" si="5"/>
        <v>30</v>
      </c>
      <c r="M15" s="28" t="str">
        <f t="shared" si="6"/>
        <v/>
      </c>
      <c r="N15" s="409"/>
      <c r="O15" s="22" t="str">
        <f t="shared" si="7"/>
        <v/>
      </c>
      <c r="Q15" s="28" t="str">
        <f t="shared" ca="1" si="8"/>
        <v>30</v>
      </c>
      <c r="R15" s="409" t="s">
        <v>1241</v>
      </c>
      <c r="S15" s="22" t="str">
        <f t="shared" ca="1" si="9"/>
        <v>30</v>
      </c>
      <c r="U15" s="28" t="str">
        <f t="shared" ca="1" si="10"/>
        <v>30</v>
      </c>
      <c r="V15" s="444" t="s">
        <v>1211</v>
      </c>
      <c r="W15" s="22" t="str">
        <f t="shared" ca="1" si="11"/>
        <v>30</v>
      </c>
      <c r="X15" s="405"/>
      <c r="Y15" s="28" t="str">
        <f>IF(LEN(Z15)=0,"",$C15)</f>
        <v/>
      </c>
      <c r="Z15" s="463"/>
      <c r="AA15" s="22" t="str">
        <f>IF(LEN(Z15)=0,"",$C15)</f>
        <v/>
      </c>
      <c r="AB15" s="405"/>
      <c r="AC15" s="28" t="str">
        <f t="shared" ca="1" si="18"/>
        <v>30</v>
      </c>
      <c r="AD15" s="434" t="s">
        <v>1269</v>
      </c>
      <c r="AE15" s="22" t="str">
        <f t="shared" ca="1" si="19"/>
        <v>30</v>
      </c>
      <c r="AF15" s="405"/>
      <c r="AG15" s="28" t="str">
        <f t="shared" ca="1" si="14"/>
        <v>30</v>
      </c>
      <c r="AH15" s="454" t="s">
        <v>1271</v>
      </c>
      <c r="AI15" s="22" t="str">
        <f t="shared" ca="1" si="15"/>
        <v>30</v>
      </c>
      <c r="AJ15" s="405"/>
      <c r="AK15" s="28" t="str">
        <f t="shared" ca="1" si="16"/>
        <v>30</v>
      </c>
      <c r="AL15" s="458" t="s">
        <v>1273</v>
      </c>
      <c r="AM15" s="22" t="str">
        <f t="shared" ca="1" si="17"/>
        <v>30</v>
      </c>
    </row>
    <row r="16" spans="1:39" x14ac:dyDescent="0.25">
      <c r="A16" s="10"/>
      <c r="B16" s="13">
        <f t="shared" ca="1" si="0"/>
        <v>50.75</v>
      </c>
      <c r="C16" s="14" t="str">
        <f t="shared" ca="1" si="1"/>
        <v>29</v>
      </c>
      <c r="E16" s="28" t="str">
        <f t="shared" si="2"/>
        <v/>
      </c>
      <c r="F16" s="408"/>
      <c r="G16" s="22" t="str">
        <f t="shared" si="3"/>
        <v/>
      </c>
      <c r="H16" s="405"/>
      <c r="I16" s="28" t="str">
        <f t="shared" ca="1" si="4"/>
        <v>29</v>
      </c>
      <c r="J16" s="408" t="s">
        <v>1264</v>
      </c>
      <c r="K16" s="22" t="str">
        <f t="shared" ca="1" si="5"/>
        <v>29</v>
      </c>
      <c r="M16" s="28" t="str">
        <f t="shared" si="6"/>
        <v/>
      </c>
      <c r="N16" s="408"/>
      <c r="O16" s="22" t="str">
        <f t="shared" si="7"/>
        <v/>
      </c>
      <c r="Q16" s="28" t="str">
        <f t="shared" ca="1" si="8"/>
        <v>29</v>
      </c>
      <c r="R16" s="409" t="s">
        <v>1243</v>
      </c>
      <c r="S16" s="22" t="str">
        <f t="shared" ca="1" si="9"/>
        <v>29</v>
      </c>
      <c r="U16" s="28" t="str">
        <f t="shared" ca="1" si="10"/>
        <v>29</v>
      </c>
      <c r="V16" s="448" t="s">
        <v>1212</v>
      </c>
      <c r="W16" s="22" t="str">
        <f t="shared" ca="1" si="11"/>
        <v>29</v>
      </c>
      <c r="X16" s="405"/>
      <c r="Y16" s="28" t="str">
        <f>IF(LEN(Z16)=0,"",$C16)</f>
        <v/>
      </c>
      <c r="Z16" s="426"/>
      <c r="AA16" s="22" t="str">
        <f>IF(LEN(Z16)=0,"",$C16)</f>
        <v/>
      </c>
      <c r="AB16" s="405"/>
      <c r="AC16" s="28" t="str">
        <f t="shared" ref="AC16:AC42" ca="1" si="20">IF(LEN(AD16)=0,"",$C16)</f>
        <v>29</v>
      </c>
      <c r="AD16" s="451" t="s">
        <v>1270</v>
      </c>
      <c r="AE16" s="22" t="str">
        <f t="shared" ref="AE16:AE42" ca="1" si="21">IF(LEN(AD16)=0,"",$C16)</f>
        <v>29</v>
      </c>
      <c r="AF16" s="405"/>
      <c r="AG16" s="28" t="str">
        <f t="shared" ca="1" si="14"/>
        <v>29</v>
      </c>
      <c r="AH16" s="455" t="s">
        <v>1272</v>
      </c>
      <c r="AI16" s="22" t="str">
        <f t="shared" ca="1" si="15"/>
        <v>29</v>
      </c>
      <c r="AJ16" s="405"/>
      <c r="AK16" s="28" t="str">
        <f t="shared" ca="1" si="16"/>
        <v>29</v>
      </c>
      <c r="AL16" s="459" t="s">
        <v>1274</v>
      </c>
      <c r="AM16" s="22" t="str">
        <f t="shared" ca="1" si="17"/>
        <v>29</v>
      </c>
    </row>
    <row r="17" spans="1:39" x14ac:dyDescent="0.25">
      <c r="A17" s="10"/>
      <c r="B17" s="13">
        <f t="shared" ca="1" si="0"/>
        <v>49</v>
      </c>
      <c r="C17" s="14" t="str">
        <f t="shared" ca="1" si="1"/>
        <v>28</v>
      </c>
      <c r="E17" s="28" t="str">
        <f t="shared" si="2"/>
        <v/>
      </c>
      <c r="G17" s="22" t="str">
        <f t="shared" si="3"/>
        <v/>
      </c>
      <c r="H17" s="405"/>
      <c r="I17" s="28" t="str">
        <f t="shared" si="4"/>
        <v/>
      </c>
      <c r="K17" s="22" t="str">
        <f t="shared" si="5"/>
        <v/>
      </c>
      <c r="M17" s="28" t="str">
        <f t="shared" si="6"/>
        <v/>
      </c>
      <c r="O17" s="22" t="str">
        <f t="shared" si="7"/>
        <v/>
      </c>
      <c r="Q17" s="28" t="str">
        <f t="shared" si="8"/>
        <v/>
      </c>
      <c r="S17" s="22" t="str">
        <f t="shared" si="9"/>
        <v/>
      </c>
      <c r="U17" s="28" t="str">
        <f t="shared" si="10"/>
        <v/>
      </c>
      <c r="W17" s="22" t="str">
        <f t="shared" si="11"/>
        <v/>
      </c>
      <c r="X17" s="405"/>
      <c r="Y17" s="28" t="str">
        <f ca="1">IF(LEN(Z17)=0,"",$C17)</f>
        <v>28</v>
      </c>
      <c r="Z17" s="462" t="s">
        <v>1203</v>
      </c>
      <c r="AA17" s="22" t="str">
        <f ca="1">IF(LEN(Z17)=0,"",$C17)</f>
        <v>28</v>
      </c>
      <c r="AB17" s="405"/>
      <c r="AC17" s="28" t="str">
        <f t="shared" si="20"/>
        <v/>
      </c>
      <c r="AE17" s="22" t="str">
        <f t="shared" si="21"/>
        <v/>
      </c>
      <c r="AF17" s="405"/>
      <c r="AG17" s="28" t="str">
        <f t="shared" si="14"/>
        <v/>
      </c>
      <c r="AI17" s="22" t="str">
        <f t="shared" si="15"/>
        <v/>
      </c>
      <c r="AJ17" s="405"/>
      <c r="AK17" s="28" t="str">
        <f t="shared" si="16"/>
        <v/>
      </c>
      <c r="AM17" s="22" t="str">
        <f t="shared" si="17"/>
        <v/>
      </c>
    </row>
    <row r="18" spans="1:39" x14ac:dyDescent="0.25">
      <c r="A18" s="10"/>
      <c r="B18" s="13">
        <f t="shared" ca="1" si="0"/>
        <v>47.25</v>
      </c>
      <c r="C18" s="14" t="str">
        <f t="shared" ca="1" si="1"/>
        <v>27</v>
      </c>
      <c r="E18" s="28" t="str">
        <f t="shared" si="2"/>
        <v/>
      </c>
      <c r="F18" s="409"/>
      <c r="G18" s="22" t="str">
        <f t="shared" si="3"/>
        <v/>
      </c>
      <c r="H18" s="405"/>
      <c r="I18" s="28" t="str">
        <f t="shared" ca="1" si="4"/>
        <v>27</v>
      </c>
      <c r="J18" s="409" t="s">
        <v>1263</v>
      </c>
      <c r="K18" s="22" t="str">
        <f t="shared" ca="1" si="5"/>
        <v>27</v>
      </c>
      <c r="M18" s="28" t="str">
        <f t="shared" si="6"/>
        <v/>
      </c>
      <c r="N18" s="409"/>
      <c r="O18" s="22" t="str">
        <f t="shared" si="7"/>
        <v/>
      </c>
      <c r="Q18" s="28" t="str">
        <f t="shared" ca="1" si="8"/>
        <v>27</v>
      </c>
      <c r="R18" s="409" t="s">
        <v>1244</v>
      </c>
      <c r="S18" s="22" t="str">
        <f t="shared" ca="1" si="9"/>
        <v>27</v>
      </c>
      <c r="U18" s="28" t="str">
        <f t="shared" ca="1" si="10"/>
        <v>27</v>
      </c>
      <c r="V18" s="444" t="s">
        <v>1213</v>
      </c>
      <c r="W18" s="22" t="str">
        <f t="shared" ca="1" si="11"/>
        <v>27</v>
      </c>
      <c r="X18" s="405"/>
      <c r="Y18" s="28" t="str">
        <f>IF(LEN(Z18)=0,"",$C18)</f>
        <v/>
      </c>
      <c r="Z18" s="463"/>
      <c r="AA18" s="22" t="str">
        <f>IF(LEN(Z18)=0,"",$C18)</f>
        <v/>
      </c>
      <c r="AB18" s="405"/>
      <c r="AC18" s="28" t="str">
        <f t="shared" ca="1" si="20"/>
        <v>27</v>
      </c>
      <c r="AD18" s="434" t="s">
        <v>1271</v>
      </c>
      <c r="AE18" s="22" t="str">
        <f t="shared" ca="1" si="21"/>
        <v>27</v>
      </c>
      <c r="AF18" s="405"/>
      <c r="AG18" s="28" t="str">
        <f t="shared" ca="1" si="14"/>
        <v>27</v>
      </c>
      <c r="AH18" s="454" t="s">
        <v>1273</v>
      </c>
      <c r="AI18" s="22" t="str">
        <f t="shared" ca="1" si="15"/>
        <v>27</v>
      </c>
      <c r="AJ18" s="405"/>
      <c r="AK18" s="28" t="str">
        <f t="shared" ca="1" si="16"/>
        <v>27</v>
      </c>
      <c r="AL18" s="458" t="s">
        <v>1275</v>
      </c>
      <c r="AM18" s="22" t="str">
        <f t="shared" ca="1" si="17"/>
        <v>27</v>
      </c>
    </row>
    <row r="19" spans="1:39" x14ac:dyDescent="0.25">
      <c r="A19" s="10"/>
      <c r="B19" s="13">
        <f t="shared" ca="1" si="0"/>
        <v>45.5</v>
      </c>
      <c r="C19" s="14" t="str">
        <f t="shared" ca="1" si="1"/>
        <v>26</v>
      </c>
      <c r="E19" s="28" t="str">
        <f t="shared" si="2"/>
        <v/>
      </c>
      <c r="F19" s="408"/>
      <c r="G19" s="22" t="str">
        <f t="shared" si="3"/>
        <v/>
      </c>
      <c r="H19" s="405"/>
      <c r="I19" s="28" t="str">
        <f t="shared" ca="1" si="4"/>
        <v>26</v>
      </c>
      <c r="J19" s="408" t="s">
        <v>1262</v>
      </c>
      <c r="K19" s="22" t="str">
        <f t="shared" ca="1" si="5"/>
        <v>26</v>
      </c>
      <c r="M19" s="28" t="str">
        <f t="shared" si="6"/>
        <v/>
      </c>
      <c r="N19" s="408"/>
      <c r="O19" s="22" t="str">
        <f t="shared" si="7"/>
        <v/>
      </c>
      <c r="Q19" s="28" t="str">
        <f t="shared" ca="1" si="8"/>
        <v>26</v>
      </c>
      <c r="R19" s="409" t="s">
        <v>1245</v>
      </c>
      <c r="S19" s="22" t="str">
        <f t="shared" ca="1" si="9"/>
        <v>26</v>
      </c>
      <c r="U19" s="28" t="str">
        <f t="shared" ca="1" si="10"/>
        <v>26</v>
      </c>
      <c r="V19" s="448" t="s">
        <v>1214</v>
      </c>
      <c r="W19" s="22" t="str">
        <f t="shared" ca="1" si="11"/>
        <v>26</v>
      </c>
      <c r="X19" s="405"/>
      <c r="Y19" s="28" t="str">
        <f>IF(LEN(Z19)=0,"",$C19)</f>
        <v/>
      </c>
      <c r="Z19" s="426"/>
      <c r="AA19" s="22" t="str">
        <f>IF(LEN(Z19)=0,"",$C19)</f>
        <v/>
      </c>
      <c r="AB19" s="405"/>
      <c r="AC19" s="28" t="str">
        <f t="shared" ca="1" si="20"/>
        <v>26</v>
      </c>
      <c r="AD19" s="451" t="s">
        <v>1272</v>
      </c>
      <c r="AE19" s="22" t="str">
        <f t="shared" ca="1" si="21"/>
        <v>26</v>
      </c>
      <c r="AF19" s="405"/>
      <c r="AG19" s="28" t="str">
        <f t="shared" ref="AG19:AG43" ca="1" si="22">IF(LEN(AH19)=0,"",$C19)</f>
        <v>26</v>
      </c>
      <c r="AH19" s="455" t="s">
        <v>1274</v>
      </c>
      <c r="AI19" s="22" t="str">
        <f t="shared" ref="AI19:AI43" ca="1" si="23">IF(LEN(AH19)=0,"",$C19)</f>
        <v>26</v>
      </c>
      <c r="AJ19" s="405"/>
      <c r="AK19" s="28" t="str">
        <f t="shared" ca="1" si="16"/>
        <v>26</v>
      </c>
      <c r="AL19" s="459" t="s">
        <v>1276</v>
      </c>
      <c r="AM19" s="22" t="str">
        <f t="shared" ca="1" si="17"/>
        <v>26</v>
      </c>
    </row>
    <row r="20" spans="1:39" x14ac:dyDescent="0.25">
      <c r="A20" s="10"/>
      <c r="B20" s="13">
        <f t="shared" ca="1" si="0"/>
        <v>43.75</v>
      </c>
      <c r="C20" s="14" t="str">
        <f t="shared" ca="1" si="1"/>
        <v>25</v>
      </c>
      <c r="E20" s="28" t="str">
        <f t="shared" si="2"/>
        <v/>
      </c>
      <c r="G20" s="22" t="str">
        <f t="shared" si="3"/>
        <v/>
      </c>
      <c r="H20" s="405"/>
      <c r="I20" s="28" t="str">
        <f t="shared" si="4"/>
        <v/>
      </c>
      <c r="K20" s="22" t="str">
        <f t="shared" si="5"/>
        <v/>
      </c>
      <c r="M20" s="28" t="str">
        <f t="shared" si="6"/>
        <v/>
      </c>
      <c r="O20" s="22" t="str">
        <f t="shared" si="7"/>
        <v/>
      </c>
      <c r="Q20" s="28" t="str">
        <f t="shared" si="8"/>
        <v/>
      </c>
      <c r="S20" s="22" t="str">
        <f t="shared" si="9"/>
        <v/>
      </c>
      <c r="U20" s="28" t="str">
        <f t="shared" si="10"/>
        <v/>
      </c>
      <c r="W20" s="22" t="str">
        <f t="shared" si="11"/>
        <v/>
      </c>
      <c r="X20" s="405"/>
      <c r="Y20" s="28" t="str">
        <f t="shared" ca="1" si="12"/>
        <v>25</v>
      </c>
      <c r="Z20" s="410" t="s">
        <v>1137</v>
      </c>
      <c r="AA20" s="22" t="str">
        <f t="shared" ca="1" si="13"/>
        <v>25</v>
      </c>
      <c r="AB20" s="405"/>
      <c r="AC20" s="28" t="str">
        <f t="shared" si="20"/>
        <v/>
      </c>
      <c r="AE20" s="22" t="str">
        <f t="shared" si="21"/>
        <v/>
      </c>
      <c r="AF20" s="405"/>
      <c r="AG20" s="28" t="str">
        <f t="shared" si="22"/>
        <v/>
      </c>
      <c r="AI20" s="22" t="str">
        <f t="shared" si="23"/>
        <v/>
      </c>
      <c r="AJ20" s="405"/>
      <c r="AK20" s="28" t="str">
        <f t="shared" si="16"/>
        <v/>
      </c>
      <c r="AM20" s="22" t="str">
        <f t="shared" si="17"/>
        <v/>
      </c>
    </row>
    <row r="21" spans="1:39" x14ac:dyDescent="0.25">
      <c r="A21" s="10"/>
      <c r="B21" s="13">
        <f t="shared" ca="1" si="0"/>
        <v>42</v>
      </c>
      <c r="C21" s="14" t="str">
        <f t="shared" ca="1" si="1"/>
        <v>24</v>
      </c>
      <c r="E21" s="28" t="str">
        <f t="shared" si="2"/>
        <v/>
      </c>
      <c r="F21" s="409"/>
      <c r="G21" s="22" t="str">
        <f t="shared" si="3"/>
        <v/>
      </c>
      <c r="H21" s="405"/>
      <c r="I21" s="28" t="str">
        <f t="shared" ca="1" si="4"/>
        <v>24</v>
      </c>
      <c r="J21" s="409" t="s">
        <v>1261</v>
      </c>
      <c r="K21" s="22" t="str">
        <f t="shared" ca="1" si="5"/>
        <v>24</v>
      </c>
      <c r="M21" s="28" t="str">
        <f t="shared" si="6"/>
        <v/>
      </c>
      <c r="N21" s="409"/>
      <c r="O21" s="22" t="str">
        <f t="shared" si="7"/>
        <v/>
      </c>
      <c r="Q21" s="28" t="str">
        <f t="shared" ca="1" si="8"/>
        <v>24</v>
      </c>
      <c r="R21" s="409" t="s">
        <v>1246</v>
      </c>
      <c r="S21" s="22" t="str">
        <f t="shared" ca="1" si="9"/>
        <v>24</v>
      </c>
      <c r="U21" s="28" t="str">
        <f t="shared" ca="1" si="10"/>
        <v>24</v>
      </c>
      <c r="V21" s="444" t="s">
        <v>1215</v>
      </c>
      <c r="W21" s="22" t="str">
        <f t="shared" ca="1" si="11"/>
        <v>24</v>
      </c>
      <c r="X21" s="405"/>
      <c r="Y21" s="28" t="str">
        <f>IF(LEN(Z21)=0,"",$C21)</f>
        <v/>
      </c>
      <c r="Z21" s="453"/>
      <c r="AA21" s="22" t="str">
        <f>IF(LEN(Z21)=0,"",$C21)</f>
        <v/>
      </c>
      <c r="AB21" s="405"/>
      <c r="AC21" s="28" t="str">
        <f t="shared" ca="1" si="20"/>
        <v>24</v>
      </c>
      <c r="AD21" s="434" t="s">
        <v>1273</v>
      </c>
      <c r="AE21" s="22" t="str">
        <f t="shared" ca="1" si="21"/>
        <v>24</v>
      </c>
      <c r="AF21" s="405"/>
      <c r="AG21" s="28" t="str">
        <f t="shared" ca="1" si="22"/>
        <v>24</v>
      </c>
      <c r="AH21" s="456" t="s">
        <v>1275</v>
      </c>
      <c r="AI21" s="22" t="str">
        <f t="shared" ca="1" si="23"/>
        <v>24</v>
      </c>
      <c r="AJ21" s="405"/>
      <c r="AK21" s="28" t="str">
        <f t="shared" ca="1" si="16"/>
        <v>24</v>
      </c>
      <c r="AL21" s="458" t="s">
        <v>1277</v>
      </c>
      <c r="AM21" s="22" t="str">
        <f t="shared" ca="1" si="17"/>
        <v>24</v>
      </c>
    </row>
    <row r="22" spans="1:39" x14ac:dyDescent="0.25">
      <c r="A22" s="10"/>
      <c r="B22" s="13">
        <f t="shared" ca="1" si="0"/>
        <v>40.25</v>
      </c>
      <c r="C22" s="14" t="str">
        <f t="shared" ca="1" si="1"/>
        <v>23</v>
      </c>
      <c r="E22" s="28" t="str">
        <f t="shared" si="2"/>
        <v/>
      </c>
      <c r="F22" s="408"/>
      <c r="G22" s="22" t="str">
        <f t="shared" si="3"/>
        <v/>
      </c>
      <c r="H22" s="405"/>
      <c r="I22" s="28" t="str">
        <f t="shared" ca="1" si="4"/>
        <v>23</v>
      </c>
      <c r="J22" s="408" t="s">
        <v>1260</v>
      </c>
      <c r="K22" s="22" t="str">
        <f t="shared" ca="1" si="5"/>
        <v>23</v>
      </c>
      <c r="M22" s="28" t="str">
        <f t="shared" si="6"/>
        <v/>
      </c>
      <c r="N22" s="408"/>
      <c r="O22" s="22" t="str">
        <f t="shared" si="7"/>
        <v/>
      </c>
      <c r="Q22" s="28" t="str">
        <f t="shared" ca="1" si="8"/>
        <v>23</v>
      </c>
      <c r="R22" s="409" t="s">
        <v>1247</v>
      </c>
      <c r="S22" s="22" t="str">
        <f t="shared" ca="1" si="9"/>
        <v>23</v>
      </c>
      <c r="U22" s="28" t="str">
        <f t="shared" ca="1" si="10"/>
        <v>23</v>
      </c>
      <c r="V22" s="448" t="s">
        <v>1216</v>
      </c>
      <c r="W22" s="22" t="str">
        <f t="shared" ca="1" si="11"/>
        <v>23</v>
      </c>
      <c r="X22" s="405"/>
      <c r="Y22" s="28" t="str">
        <f ca="1">IF(LEN(Z22)=0,"",$C22)</f>
        <v>23</v>
      </c>
      <c r="Z22" s="410" t="s">
        <v>1138</v>
      </c>
      <c r="AA22" s="22" t="str">
        <f ca="1">IF(LEN(Z22)=0,"",$C22)</f>
        <v>23</v>
      </c>
      <c r="AB22" s="405"/>
      <c r="AC22" s="28" t="str">
        <f t="shared" ca="1" si="20"/>
        <v>23</v>
      </c>
      <c r="AD22" s="451" t="s">
        <v>1274</v>
      </c>
      <c r="AE22" s="22" t="str">
        <f t="shared" ca="1" si="21"/>
        <v>23</v>
      </c>
      <c r="AF22" s="405"/>
      <c r="AG22" s="28" t="str">
        <f t="shared" ca="1" si="22"/>
        <v>23</v>
      </c>
      <c r="AH22" s="457" t="s">
        <v>1276</v>
      </c>
      <c r="AI22" s="22" t="str">
        <f t="shared" ca="1" si="23"/>
        <v>23</v>
      </c>
      <c r="AJ22" s="405"/>
      <c r="AK22" s="28" t="str">
        <f t="shared" ca="1" si="16"/>
        <v>23</v>
      </c>
      <c r="AL22" s="458" t="s">
        <v>1278</v>
      </c>
      <c r="AM22" s="22" t="str">
        <f t="shared" ca="1" si="17"/>
        <v>23</v>
      </c>
    </row>
    <row r="23" spans="1:39" x14ac:dyDescent="0.25">
      <c r="A23" s="10"/>
      <c r="B23" s="13">
        <f t="shared" ca="1" si="0"/>
        <v>38.5</v>
      </c>
      <c r="C23" s="14" t="str">
        <f t="shared" ca="1" si="1"/>
        <v>22</v>
      </c>
      <c r="E23" s="28" t="str">
        <f t="shared" si="2"/>
        <v/>
      </c>
      <c r="G23" s="22" t="str">
        <f t="shared" si="3"/>
        <v/>
      </c>
      <c r="H23" s="405"/>
      <c r="I23" s="28" t="str">
        <f t="shared" si="4"/>
        <v/>
      </c>
      <c r="K23" s="22" t="str">
        <f t="shared" si="5"/>
        <v/>
      </c>
      <c r="M23" s="28" t="str">
        <f t="shared" si="6"/>
        <v/>
      </c>
      <c r="O23" s="22" t="str">
        <f t="shared" si="7"/>
        <v/>
      </c>
      <c r="Q23" s="28" t="str">
        <f t="shared" si="8"/>
        <v/>
      </c>
      <c r="S23" s="22" t="str">
        <f t="shared" si="9"/>
        <v/>
      </c>
      <c r="U23" s="28" t="str">
        <f t="shared" si="10"/>
        <v/>
      </c>
      <c r="W23" s="22" t="str">
        <f t="shared" si="11"/>
        <v/>
      </c>
      <c r="X23" s="405"/>
      <c r="Y23" s="28" t="str">
        <f>IF(LEN(Z23)=0,"",$C23)</f>
        <v/>
      </c>
      <c r="Z23" s="426"/>
      <c r="AA23" s="22" t="str">
        <f>IF(LEN(Z23)=0,"",$C23)</f>
        <v/>
      </c>
      <c r="AB23" s="405"/>
      <c r="AC23" s="28" t="str">
        <f t="shared" si="20"/>
        <v/>
      </c>
      <c r="AE23" s="22" t="str">
        <f t="shared" si="21"/>
        <v/>
      </c>
      <c r="AF23" s="405"/>
      <c r="AG23" s="28" t="str">
        <f t="shared" si="22"/>
        <v/>
      </c>
      <c r="AI23" s="22" t="str">
        <f t="shared" si="23"/>
        <v/>
      </c>
      <c r="AJ23" s="405"/>
      <c r="AK23" s="28" t="str">
        <f t="shared" si="16"/>
        <v/>
      </c>
      <c r="AM23" s="22" t="str">
        <f t="shared" si="17"/>
        <v/>
      </c>
    </row>
    <row r="24" spans="1:39" x14ac:dyDescent="0.25">
      <c r="A24" s="10"/>
      <c r="B24" s="13">
        <f t="shared" ca="1" si="0"/>
        <v>36.75</v>
      </c>
      <c r="C24" s="14" t="str">
        <f t="shared" ca="1" si="1"/>
        <v>21</v>
      </c>
      <c r="E24" s="28" t="str">
        <f t="shared" si="2"/>
        <v/>
      </c>
      <c r="F24" s="409"/>
      <c r="G24" s="22" t="str">
        <f t="shared" si="3"/>
        <v/>
      </c>
      <c r="H24" s="405"/>
      <c r="I24" s="28" t="str">
        <f t="shared" ca="1" si="4"/>
        <v>21</v>
      </c>
      <c r="J24" s="409" t="s">
        <v>1259</v>
      </c>
      <c r="K24" s="22" t="str">
        <f t="shared" ca="1" si="5"/>
        <v>21</v>
      </c>
      <c r="M24" s="28" t="str">
        <f t="shared" si="6"/>
        <v/>
      </c>
      <c r="N24" s="409"/>
      <c r="O24" s="22" t="str">
        <f t="shared" si="7"/>
        <v/>
      </c>
      <c r="Q24" s="28" t="str">
        <f t="shared" ca="1" si="8"/>
        <v>21</v>
      </c>
      <c r="R24" s="409" t="s">
        <v>1248</v>
      </c>
      <c r="S24" s="22" t="str">
        <f t="shared" ca="1" si="9"/>
        <v>21</v>
      </c>
      <c r="U24" s="28" t="str">
        <f t="shared" ca="1" si="10"/>
        <v>21</v>
      </c>
      <c r="V24" s="444" t="s">
        <v>1217</v>
      </c>
      <c r="W24" s="22" t="str">
        <f t="shared" ca="1" si="11"/>
        <v>21</v>
      </c>
      <c r="X24" s="405"/>
      <c r="Y24" s="28" t="str">
        <f t="shared" ref="Y24:Y40" ca="1" si="24">IF(LEN(Z24)=0,"",$C24)</f>
        <v>21</v>
      </c>
      <c r="Z24" s="427" t="s">
        <v>970</v>
      </c>
      <c r="AA24" s="22" t="str">
        <f t="shared" ref="AA24:AA40" ca="1" si="25">IF(LEN(Z24)=0,"",$C24)</f>
        <v>21</v>
      </c>
      <c r="AB24" s="405"/>
      <c r="AC24" s="28" t="str">
        <f t="shared" ca="1" si="20"/>
        <v>21</v>
      </c>
      <c r="AD24" s="434" t="s">
        <v>1275</v>
      </c>
      <c r="AE24" s="22" t="str">
        <f t="shared" ca="1" si="21"/>
        <v>21</v>
      </c>
      <c r="AF24" s="405"/>
      <c r="AG24" s="28" t="str">
        <f t="shared" ca="1" si="22"/>
        <v>21</v>
      </c>
      <c r="AH24" s="456" t="s">
        <v>1277</v>
      </c>
      <c r="AI24" s="22" t="str">
        <f t="shared" ca="1" si="23"/>
        <v>21</v>
      </c>
      <c r="AJ24" s="405"/>
      <c r="AK24" s="28" t="str">
        <f t="shared" si="16"/>
        <v/>
      </c>
      <c r="AL24" s="409"/>
      <c r="AM24" s="22" t="str">
        <f t="shared" si="17"/>
        <v/>
      </c>
    </row>
    <row r="25" spans="1:39" x14ac:dyDescent="0.25">
      <c r="A25" s="10"/>
      <c r="B25" s="13">
        <f t="shared" ca="1" si="0"/>
        <v>35</v>
      </c>
      <c r="C25" s="14" t="str">
        <f t="shared" ca="1" si="1"/>
        <v>20</v>
      </c>
      <c r="E25" s="28" t="str">
        <f t="shared" si="2"/>
        <v/>
      </c>
      <c r="F25" s="408"/>
      <c r="G25" s="22" t="str">
        <f t="shared" si="3"/>
        <v/>
      </c>
      <c r="H25" s="405"/>
      <c r="I25" s="28" t="str">
        <f t="shared" si="4"/>
        <v/>
      </c>
      <c r="J25" s="408"/>
      <c r="K25" s="22" t="str">
        <f t="shared" si="5"/>
        <v/>
      </c>
      <c r="M25" s="28" t="str">
        <f t="shared" si="6"/>
        <v/>
      </c>
      <c r="N25" s="408"/>
      <c r="O25" s="22" t="str">
        <f t="shared" si="7"/>
        <v/>
      </c>
      <c r="Q25" s="28" t="str">
        <f t="shared" ca="1" si="8"/>
        <v>20</v>
      </c>
      <c r="R25" s="409" t="s">
        <v>1249</v>
      </c>
      <c r="S25" s="22" t="str">
        <f t="shared" ca="1" si="9"/>
        <v>20</v>
      </c>
      <c r="U25" s="28" t="str">
        <f t="shared" ca="1" si="10"/>
        <v>20</v>
      </c>
      <c r="V25" s="408" t="s">
        <v>1250</v>
      </c>
      <c r="W25" s="22" t="str">
        <f t="shared" ca="1" si="11"/>
        <v>20</v>
      </c>
      <c r="X25" s="405"/>
      <c r="Y25" s="28" t="str">
        <f t="shared" ca="1" si="24"/>
        <v>20</v>
      </c>
      <c r="Z25" s="401" t="s">
        <v>971</v>
      </c>
      <c r="AA25" s="22" t="str">
        <f t="shared" ca="1" si="25"/>
        <v>20</v>
      </c>
      <c r="AB25" s="405"/>
      <c r="AC25" s="28" t="str">
        <f t="shared" ca="1" si="20"/>
        <v>20</v>
      </c>
      <c r="AD25" s="451" t="s">
        <v>1276</v>
      </c>
      <c r="AE25" s="22" t="str">
        <f t="shared" ca="1" si="21"/>
        <v>20</v>
      </c>
      <c r="AF25" s="405"/>
      <c r="AG25" s="28" t="str">
        <f t="shared" ca="1" si="22"/>
        <v>20</v>
      </c>
      <c r="AH25" s="456" t="s">
        <v>1278</v>
      </c>
      <c r="AI25" s="22" t="str">
        <f t="shared" ca="1" si="23"/>
        <v>20</v>
      </c>
      <c r="AJ25" s="405"/>
      <c r="AK25" s="28" t="str">
        <f t="shared" si="16"/>
        <v/>
      </c>
      <c r="AL25" s="408"/>
      <c r="AM25" s="22" t="str">
        <f t="shared" si="17"/>
        <v/>
      </c>
    </row>
    <row r="26" spans="1:39" x14ac:dyDescent="0.25">
      <c r="A26" s="10"/>
      <c r="B26" s="13">
        <f t="shared" ca="1" si="0"/>
        <v>33.25</v>
      </c>
      <c r="C26" s="14" t="str">
        <f t="shared" ca="1" si="1"/>
        <v>19</v>
      </c>
      <c r="E26" s="28" t="str">
        <f t="shared" si="2"/>
        <v/>
      </c>
      <c r="G26" s="22" t="str">
        <f t="shared" si="3"/>
        <v/>
      </c>
      <c r="H26" s="405"/>
      <c r="I26" s="28" t="str">
        <f t="shared" si="4"/>
        <v/>
      </c>
      <c r="K26" s="22" t="str">
        <f t="shared" si="5"/>
        <v/>
      </c>
      <c r="M26" s="28" t="str">
        <f t="shared" si="6"/>
        <v/>
      </c>
      <c r="O26" s="22" t="str">
        <f t="shared" si="7"/>
        <v/>
      </c>
      <c r="Q26" s="28" t="str">
        <f t="shared" si="8"/>
        <v/>
      </c>
      <c r="S26" s="22" t="str">
        <f t="shared" si="9"/>
        <v/>
      </c>
      <c r="U26" s="28" t="str">
        <f t="shared" si="10"/>
        <v/>
      </c>
      <c r="W26" s="22" t="str">
        <f t="shared" si="11"/>
        <v/>
      </c>
      <c r="X26" s="405"/>
      <c r="Y26" s="28" t="str">
        <f t="shared" si="24"/>
        <v/>
      </c>
      <c r="Z26" s="426"/>
      <c r="AA26" s="22" t="str">
        <f t="shared" si="25"/>
        <v/>
      </c>
      <c r="AB26" s="405"/>
      <c r="AC26" s="28" t="str">
        <f t="shared" si="20"/>
        <v/>
      </c>
      <c r="AE26" s="22" t="str">
        <f t="shared" si="21"/>
        <v/>
      </c>
      <c r="AF26" s="405"/>
      <c r="AG26" s="28" t="str">
        <f t="shared" si="22"/>
        <v/>
      </c>
      <c r="AI26" s="22" t="str">
        <f t="shared" si="23"/>
        <v/>
      </c>
      <c r="AJ26" s="405"/>
      <c r="AK26" s="28" t="str">
        <f t="shared" si="16"/>
        <v/>
      </c>
      <c r="AM26" s="22" t="str">
        <f t="shared" si="17"/>
        <v/>
      </c>
    </row>
    <row r="27" spans="1:39" x14ac:dyDescent="0.25">
      <c r="A27" s="10"/>
      <c r="B27" s="13">
        <f t="shared" ca="1" si="0"/>
        <v>31.5</v>
      </c>
      <c r="C27" s="14" t="str">
        <f t="shared" ca="1" si="1"/>
        <v>18</v>
      </c>
      <c r="E27" s="28" t="str">
        <f t="shared" si="2"/>
        <v/>
      </c>
      <c r="F27" s="409"/>
      <c r="G27" s="22" t="str">
        <f t="shared" si="3"/>
        <v/>
      </c>
      <c r="H27" s="405"/>
      <c r="I27" s="28" t="str">
        <f t="shared" si="4"/>
        <v/>
      </c>
      <c r="J27" s="409"/>
      <c r="K27" s="22" t="str">
        <f t="shared" si="5"/>
        <v/>
      </c>
      <c r="M27" s="28" t="str">
        <f t="shared" si="6"/>
        <v/>
      </c>
      <c r="N27" s="409"/>
      <c r="O27" s="22" t="str">
        <f t="shared" si="7"/>
        <v/>
      </c>
      <c r="Q27" s="28" t="str">
        <f t="shared" si="8"/>
        <v/>
      </c>
      <c r="R27" s="409"/>
      <c r="S27" s="22" t="str">
        <f t="shared" si="9"/>
        <v/>
      </c>
      <c r="U27" s="28" t="str">
        <f t="shared" si="10"/>
        <v/>
      </c>
      <c r="V27" s="409"/>
      <c r="W27" s="22" t="str">
        <f t="shared" si="11"/>
        <v/>
      </c>
      <c r="X27" s="405"/>
      <c r="Y27" s="28" t="str">
        <f t="shared" ca="1" si="24"/>
        <v>18</v>
      </c>
      <c r="Z27" s="462" t="s">
        <v>1147</v>
      </c>
      <c r="AA27" s="22" t="str">
        <f t="shared" ca="1" si="25"/>
        <v>18</v>
      </c>
      <c r="AB27" s="405"/>
      <c r="AC27" s="28" t="str">
        <f t="shared" ca="1" si="20"/>
        <v>18</v>
      </c>
      <c r="AD27" s="433" t="s">
        <v>1277</v>
      </c>
      <c r="AE27" s="22" t="str">
        <f t="shared" ca="1" si="21"/>
        <v>18</v>
      </c>
      <c r="AF27" s="405"/>
      <c r="AG27" s="28" t="str">
        <f t="shared" ca="1" si="22"/>
        <v>18</v>
      </c>
      <c r="AH27" s="409" t="s">
        <v>1285</v>
      </c>
      <c r="AI27" s="22" t="str">
        <f t="shared" ca="1" si="23"/>
        <v>18</v>
      </c>
      <c r="AJ27" s="405"/>
      <c r="AK27" s="28" t="str">
        <f t="shared" si="16"/>
        <v/>
      </c>
      <c r="AL27" s="409"/>
      <c r="AM27" s="22" t="str">
        <f t="shared" si="17"/>
        <v/>
      </c>
    </row>
    <row r="28" spans="1:39" x14ac:dyDescent="0.25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2"/>
        <v/>
      </c>
      <c r="F28" s="408"/>
      <c r="G28" s="22" t="str">
        <f t="shared" si="3"/>
        <v/>
      </c>
      <c r="I28" s="28" t="str">
        <f t="shared" si="4"/>
        <v/>
      </c>
      <c r="J28" s="408"/>
      <c r="K28" s="22" t="str">
        <f t="shared" si="5"/>
        <v/>
      </c>
      <c r="M28" s="28" t="str">
        <f t="shared" si="6"/>
        <v/>
      </c>
      <c r="N28" s="408"/>
      <c r="O28" s="22" t="str">
        <f t="shared" si="7"/>
        <v/>
      </c>
      <c r="Q28" s="28" t="str">
        <f t="shared" si="8"/>
        <v/>
      </c>
      <c r="R28" s="408"/>
      <c r="S28" s="22" t="str">
        <f t="shared" si="9"/>
        <v/>
      </c>
      <c r="U28" s="28" t="str">
        <f t="shared" si="10"/>
        <v/>
      </c>
      <c r="V28" s="408"/>
      <c r="W28" s="22" t="str">
        <f t="shared" si="11"/>
        <v/>
      </c>
      <c r="Y28" s="28" t="str">
        <f t="shared" si="24"/>
        <v/>
      </c>
      <c r="Z28" s="464"/>
      <c r="AA28" s="22" t="str">
        <f t="shared" si="25"/>
        <v/>
      </c>
      <c r="AC28" s="28" t="str">
        <f t="shared" ca="1" si="20"/>
        <v>17</v>
      </c>
      <c r="AD28" s="433" t="s">
        <v>1278</v>
      </c>
      <c r="AE28" s="22" t="str">
        <f t="shared" ca="1" si="21"/>
        <v>17</v>
      </c>
      <c r="AG28" s="28" t="str">
        <f t="shared" ca="1" si="22"/>
        <v>17</v>
      </c>
      <c r="AH28" s="409" t="s">
        <v>1286</v>
      </c>
      <c r="AI28" s="22" t="str">
        <f t="shared" ca="1" si="23"/>
        <v>17</v>
      </c>
      <c r="AK28" s="28" t="str">
        <f t="shared" si="16"/>
        <v/>
      </c>
      <c r="AL28" s="408"/>
      <c r="AM28" s="22" t="str">
        <f t="shared" si="17"/>
        <v/>
      </c>
    </row>
    <row r="29" spans="1:39" x14ac:dyDescent="0.25">
      <c r="A29" s="10"/>
      <c r="B29" s="13">
        <f t="shared" ca="1" si="0"/>
        <v>28</v>
      </c>
      <c r="C29" s="14" t="str">
        <f t="shared" ca="1" si="1"/>
        <v>16</v>
      </c>
      <c r="E29" s="28" t="str">
        <f t="shared" si="2"/>
        <v/>
      </c>
      <c r="G29" s="22" t="str">
        <f t="shared" si="3"/>
        <v/>
      </c>
      <c r="H29" s="406"/>
      <c r="I29" s="28" t="str">
        <f t="shared" si="4"/>
        <v/>
      </c>
      <c r="K29" s="22" t="str">
        <f t="shared" si="5"/>
        <v/>
      </c>
      <c r="M29" s="28" t="str">
        <f t="shared" si="6"/>
        <v/>
      </c>
      <c r="O29" s="22" t="str">
        <f t="shared" si="7"/>
        <v/>
      </c>
      <c r="Q29" s="28" t="str">
        <f t="shared" si="8"/>
        <v/>
      </c>
      <c r="S29" s="22" t="str">
        <f t="shared" si="9"/>
        <v/>
      </c>
      <c r="U29" s="28" t="str">
        <f t="shared" si="10"/>
        <v/>
      </c>
      <c r="W29" s="22" t="str">
        <f t="shared" si="11"/>
        <v/>
      </c>
      <c r="X29" s="406"/>
      <c r="Y29" s="28" t="str">
        <f t="shared" si="24"/>
        <v/>
      </c>
      <c r="Z29" s="463"/>
      <c r="AA29" s="22" t="str">
        <f t="shared" si="25"/>
        <v/>
      </c>
      <c r="AB29" s="406"/>
      <c r="AC29" s="28" t="str">
        <f t="shared" si="20"/>
        <v/>
      </c>
      <c r="AE29" s="22" t="str">
        <f t="shared" si="21"/>
        <v/>
      </c>
      <c r="AF29" s="406"/>
      <c r="AG29" s="28" t="str">
        <f t="shared" si="22"/>
        <v/>
      </c>
      <c r="AI29" s="22" t="str">
        <f t="shared" si="23"/>
        <v/>
      </c>
      <c r="AJ29" s="406"/>
      <c r="AK29" s="28" t="str">
        <f t="shared" si="16"/>
        <v/>
      </c>
      <c r="AM29" s="22" t="str">
        <f t="shared" si="17"/>
        <v/>
      </c>
    </row>
    <row r="30" spans="1:39" x14ac:dyDescent="0.25">
      <c r="A30" s="10"/>
      <c r="B30" s="13">
        <f t="shared" ca="1" si="0"/>
        <v>26.25</v>
      </c>
      <c r="C30" s="14" t="str">
        <f t="shared" ca="1" si="1"/>
        <v>15</v>
      </c>
      <c r="E30" s="28" t="str">
        <f t="shared" si="2"/>
        <v/>
      </c>
      <c r="F30" s="409"/>
      <c r="G30" s="22" t="str">
        <f t="shared" si="3"/>
        <v/>
      </c>
      <c r="H30" s="406"/>
      <c r="I30" s="28" t="str">
        <f t="shared" si="4"/>
        <v/>
      </c>
      <c r="J30" s="409"/>
      <c r="K30" s="22" t="str">
        <f t="shared" si="5"/>
        <v/>
      </c>
      <c r="M30" s="28" t="str">
        <f t="shared" si="6"/>
        <v/>
      </c>
      <c r="N30" s="409"/>
      <c r="O30" s="22" t="str">
        <f t="shared" si="7"/>
        <v/>
      </c>
      <c r="Q30" s="28" t="str">
        <f t="shared" si="8"/>
        <v/>
      </c>
      <c r="R30" s="409"/>
      <c r="S30" s="22" t="str">
        <f t="shared" si="9"/>
        <v/>
      </c>
      <c r="U30" s="28" t="str">
        <f t="shared" si="10"/>
        <v/>
      </c>
      <c r="V30" s="409"/>
      <c r="W30" s="22" t="str">
        <f t="shared" si="11"/>
        <v/>
      </c>
      <c r="X30" s="406"/>
      <c r="Y30" s="28" t="str">
        <f t="shared" si="24"/>
        <v/>
      </c>
      <c r="Z30" s="426"/>
      <c r="AA30" s="22" t="str">
        <f t="shared" si="25"/>
        <v/>
      </c>
      <c r="AB30" s="406"/>
      <c r="AC30" s="28" t="str">
        <f t="shared" ca="1" si="20"/>
        <v>15</v>
      </c>
      <c r="AD30" s="436" t="s">
        <v>1279</v>
      </c>
      <c r="AE30" s="22" t="str">
        <f t="shared" ca="1" si="21"/>
        <v>15</v>
      </c>
      <c r="AF30" s="406"/>
      <c r="AG30" s="28" t="str">
        <f t="shared" ca="1" si="22"/>
        <v>15</v>
      </c>
      <c r="AH30" s="409" t="s">
        <v>1287</v>
      </c>
      <c r="AI30" s="22" t="str">
        <f t="shared" ca="1" si="23"/>
        <v>15</v>
      </c>
      <c r="AJ30" s="406"/>
      <c r="AK30" s="28" t="str">
        <f t="shared" si="16"/>
        <v/>
      </c>
      <c r="AL30" s="409"/>
      <c r="AM30" s="22" t="str">
        <f t="shared" si="17"/>
        <v/>
      </c>
    </row>
    <row r="31" spans="1:39" x14ac:dyDescent="0.25">
      <c r="A31" s="10"/>
      <c r="B31" s="13">
        <f t="shared" ca="1" si="0"/>
        <v>24.5</v>
      </c>
      <c r="C31" s="14" t="str">
        <f t="shared" ca="1" si="1"/>
        <v>14</v>
      </c>
      <c r="E31" s="28" t="str">
        <f t="shared" si="2"/>
        <v/>
      </c>
      <c r="F31" s="408"/>
      <c r="G31" s="22" t="str">
        <f t="shared" si="3"/>
        <v/>
      </c>
      <c r="H31" s="406"/>
      <c r="I31" s="28" t="str">
        <f t="shared" si="4"/>
        <v/>
      </c>
      <c r="J31" s="408"/>
      <c r="K31" s="22" t="str">
        <f t="shared" si="5"/>
        <v/>
      </c>
      <c r="M31" s="28" t="str">
        <f t="shared" si="6"/>
        <v/>
      </c>
      <c r="N31" s="408"/>
      <c r="O31" s="22" t="str">
        <f t="shared" si="7"/>
        <v/>
      </c>
      <c r="Q31" s="28" t="str">
        <f t="shared" si="8"/>
        <v/>
      </c>
      <c r="R31" s="408"/>
      <c r="S31" s="22" t="str">
        <f t="shared" si="9"/>
        <v/>
      </c>
      <c r="U31" s="28" t="str">
        <f t="shared" si="10"/>
        <v/>
      </c>
      <c r="V31" s="408"/>
      <c r="W31" s="22" t="str">
        <f t="shared" si="11"/>
        <v/>
      </c>
      <c r="X31" s="406"/>
      <c r="Y31" s="28" t="str">
        <f t="shared" ca="1" si="24"/>
        <v>14</v>
      </c>
      <c r="Z31" s="409" t="s">
        <v>1139</v>
      </c>
      <c r="AA31" s="22" t="str">
        <f t="shared" ca="1" si="25"/>
        <v>14</v>
      </c>
      <c r="AB31" s="406"/>
      <c r="AC31" s="28" t="str">
        <f t="shared" ca="1" si="20"/>
        <v>14</v>
      </c>
      <c r="AD31" s="436" t="s">
        <v>1280</v>
      </c>
      <c r="AE31" s="22" t="str">
        <f t="shared" ca="1" si="21"/>
        <v>14</v>
      </c>
      <c r="AF31" s="406"/>
      <c r="AG31" s="28" t="str">
        <f t="shared" ca="1" si="22"/>
        <v>14</v>
      </c>
      <c r="AH31" s="409" t="s">
        <v>1288</v>
      </c>
      <c r="AI31" s="22" t="str">
        <f t="shared" ca="1" si="23"/>
        <v>14</v>
      </c>
      <c r="AJ31" s="406"/>
      <c r="AK31" s="28" t="str">
        <f t="shared" si="16"/>
        <v/>
      </c>
      <c r="AL31" s="408"/>
      <c r="AM31" s="22" t="str">
        <f t="shared" si="17"/>
        <v/>
      </c>
    </row>
    <row r="32" spans="1:39" x14ac:dyDescent="0.25">
      <c r="A32" s="10"/>
      <c r="B32" s="13">
        <f t="shared" ca="1" si="0"/>
        <v>22.75</v>
      </c>
      <c r="C32" s="14" t="str">
        <f t="shared" ca="1" si="1"/>
        <v>13</v>
      </c>
      <c r="E32" s="28" t="str">
        <f t="shared" si="2"/>
        <v/>
      </c>
      <c r="G32" s="22" t="str">
        <f t="shared" si="3"/>
        <v/>
      </c>
      <c r="H32" s="406"/>
      <c r="I32" s="28" t="str">
        <f t="shared" si="4"/>
        <v/>
      </c>
      <c r="K32" s="22" t="str">
        <f t="shared" si="5"/>
        <v/>
      </c>
      <c r="M32" s="28" t="str">
        <f t="shared" si="6"/>
        <v/>
      </c>
      <c r="O32" s="22" t="str">
        <f t="shared" si="7"/>
        <v/>
      </c>
      <c r="Q32" s="28" t="str">
        <f t="shared" si="8"/>
        <v/>
      </c>
      <c r="S32" s="22" t="str">
        <f t="shared" si="9"/>
        <v/>
      </c>
      <c r="U32" s="28" t="str">
        <f t="shared" si="10"/>
        <v/>
      </c>
      <c r="W32" s="22" t="str">
        <f t="shared" si="11"/>
        <v/>
      </c>
      <c r="X32" s="406"/>
      <c r="Y32" s="28" t="str">
        <f t="shared" ca="1" si="24"/>
        <v>13</v>
      </c>
      <c r="Z32" s="409" t="s">
        <v>1142</v>
      </c>
      <c r="AA32" s="22" t="str">
        <f t="shared" ca="1" si="25"/>
        <v>13</v>
      </c>
      <c r="AB32" s="406"/>
      <c r="AC32" s="28" t="str">
        <f t="shared" si="20"/>
        <v/>
      </c>
      <c r="AE32" s="22" t="str">
        <f t="shared" si="21"/>
        <v/>
      </c>
      <c r="AF32" s="406"/>
      <c r="AG32" s="28" t="str">
        <f t="shared" si="22"/>
        <v/>
      </c>
      <c r="AI32" s="22" t="str">
        <f t="shared" si="23"/>
        <v/>
      </c>
      <c r="AJ32" s="406"/>
      <c r="AK32" s="28" t="str">
        <f t="shared" si="16"/>
        <v/>
      </c>
      <c r="AM32" s="22" t="str">
        <f t="shared" si="17"/>
        <v/>
      </c>
    </row>
    <row r="33" spans="1:39" x14ac:dyDescent="0.25">
      <c r="A33" s="10"/>
      <c r="B33" s="13">
        <f t="shared" ca="1" si="0"/>
        <v>21</v>
      </c>
      <c r="C33" s="14" t="str">
        <f t="shared" ca="1" si="1"/>
        <v>12</v>
      </c>
      <c r="E33" s="28" t="str">
        <f t="shared" si="2"/>
        <v/>
      </c>
      <c r="F33" s="409"/>
      <c r="G33" s="22" t="str">
        <f t="shared" si="3"/>
        <v/>
      </c>
      <c r="H33" s="406"/>
      <c r="I33" s="28" t="str">
        <f t="shared" si="4"/>
        <v/>
      </c>
      <c r="J33" s="409"/>
      <c r="K33" s="22" t="str">
        <f t="shared" si="5"/>
        <v/>
      </c>
      <c r="M33" s="28" t="str">
        <f t="shared" si="6"/>
        <v/>
      </c>
      <c r="N33" s="409"/>
      <c r="O33" s="22" t="str">
        <f t="shared" si="7"/>
        <v/>
      </c>
      <c r="Q33" s="28" t="str">
        <f t="shared" si="8"/>
        <v/>
      </c>
      <c r="R33" s="409"/>
      <c r="S33" s="22" t="str">
        <f t="shared" si="9"/>
        <v/>
      </c>
      <c r="U33" s="28" t="str">
        <f t="shared" si="10"/>
        <v/>
      </c>
      <c r="V33" s="409"/>
      <c r="W33" s="22" t="str">
        <f t="shared" si="11"/>
        <v/>
      </c>
      <c r="X33" s="406"/>
      <c r="Y33" s="28" t="str">
        <f t="shared" si="24"/>
        <v/>
      </c>
      <c r="AA33" s="22" t="str">
        <f t="shared" si="25"/>
        <v/>
      </c>
      <c r="AB33" s="406"/>
      <c r="AC33" s="28" t="str">
        <f t="shared" ca="1" si="20"/>
        <v>12</v>
      </c>
      <c r="AD33" s="440" t="s">
        <v>1281</v>
      </c>
      <c r="AE33" s="22" t="str">
        <f t="shared" ca="1" si="21"/>
        <v>12</v>
      </c>
      <c r="AF33" s="406"/>
      <c r="AG33" s="28" t="str">
        <f t="shared" si="22"/>
        <v/>
      </c>
      <c r="AH33" s="409"/>
      <c r="AI33" s="22" t="str">
        <f t="shared" si="23"/>
        <v/>
      </c>
      <c r="AJ33" s="406"/>
      <c r="AK33" s="28" t="str">
        <f t="shared" si="16"/>
        <v/>
      </c>
      <c r="AL33" s="409"/>
      <c r="AM33" s="22" t="str">
        <f t="shared" si="17"/>
        <v/>
      </c>
    </row>
    <row r="34" spans="1:39" x14ac:dyDescent="0.25">
      <c r="A34" s="10"/>
      <c r="B34" s="13">
        <f t="shared" ca="1" si="0"/>
        <v>19.25</v>
      </c>
      <c r="C34" s="14" t="str">
        <f t="shared" ca="1" si="1"/>
        <v>11</v>
      </c>
      <c r="E34" s="28" t="str">
        <f t="shared" si="2"/>
        <v/>
      </c>
      <c r="F34" s="408"/>
      <c r="G34" s="22" t="str">
        <f t="shared" si="3"/>
        <v/>
      </c>
      <c r="H34" s="406"/>
      <c r="I34" s="28" t="str">
        <f t="shared" si="4"/>
        <v/>
      </c>
      <c r="J34" s="408"/>
      <c r="K34" s="22" t="str">
        <f t="shared" si="5"/>
        <v/>
      </c>
      <c r="M34" s="28" t="str">
        <f t="shared" si="6"/>
        <v/>
      </c>
      <c r="N34" s="408"/>
      <c r="O34" s="22" t="str">
        <f t="shared" si="7"/>
        <v/>
      </c>
      <c r="Q34" s="28" t="str">
        <f t="shared" si="8"/>
        <v/>
      </c>
      <c r="R34" s="408"/>
      <c r="S34" s="22" t="str">
        <f t="shared" si="9"/>
        <v/>
      </c>
      <c r="U34" s="28" t="str">
        <f t="shared" si="10"/>
        <v/>
      </c>
      <c r="V34" s="408"/>
      <c r="W34" s="22" t="str">
        <f t="shared" si="11"/>
        <v/>
      </c>
      <c r="X34" s="406"/>
      <c r="Y34" s="28" t="str">
        <f t="shared" ca="1" si="24"/>
        <v>11</v>
      </c>
      <c r="Z34" s="409" t="s">
        <v>1143</v>
      </c>
      <c r="AA34" s="22" t="str">
        <f t="shared" ca="1" si="25"/>
        <v>11</v>
      </c>
      <c r="AB34" s="406"/>
      <c r="AC34" s="28" t="str">
        <f t="shared" ca="1" si="20"/>
        <v>11</v>
      </c>
      <c r="AD34" s="440" t="s">
        <v>1282</v>
      </c>
      <c r="AE34" s="22" t="str">
        <f t="shared" ca="1" si="21"/>
        <v>11</v>
      </c>
      <c r="AF34" s="406"/>
      <c r="AG34" s="28" t="str">
        <f t="shared" si="22"/>
        <v/>
      </c>
      <c r="AH34" s="408"/>
      <c r="AI34" s="22" t="str">
        <f t="shared" si="23"/>
        <v/>
      </c>
      <c r="AJ34" s="406"/>
      <c r="AK34" s="28" t="str">
        <f t="shared" si="16"/>
        <v/>
      </c>
      <c r="AL34" s="408"/>
      <c r="AM34" s="22" t="str">
        <f t="shared" si="17"/>
        <v/>
      </c>
    </row>
    <row r="35" spans="1:39" x14ac:dyDescent="0.25">
      <c r="A35" s="10"/>
      <c r="B35" s="13">
        <f t="shared" ca="1" si="0"/>
        <v>17.5</v>
      </c>
      <c r="C35" s="14" t="str">
        <f t="shared" ca="1" si="1"/>
        <v>10</v>
      </c>
      <c r="E35" s="28" t="str">
        <f t="shared" si="2"/>
        <v/>
      </c>
      <c r="G35" s="22" t="str">
        <f t="shared" si="3"/>
        <v/>
      </c>
      <c r="H35" s="406"/>
      <c r="I35" s="28" t="str">
        <f t="shared" si="4"/>
        <v/>
      </c>
      <c r="K35" s="22" t="str">
        <f t="shared" si="5"/>
        <v/>
      </c>
      <c r="M35" s="28" t="str">
        <f t="shared" si="6"/>
        <v/>
      </c>
      <c r="O35" s="22" t="str">
        <f t="shared" si="7"/>
        <v/>
      </c>
      <c r="Q35" s="28" t="str">
        <f t="shared" si="8"/>
        <v/>
      </c>
      <c r="S35" s="22" t="str">
        <f t="shared" si="9"/>
        <v/>
      </c>
      <c r="U35" s="28" t="str">
        <f t="shared" si="10"/>
        <v/>
      </c>
      <c r="W35" s="22" t="str">
        <f t="shared" si="11"/>
        <v/>
      </c>
      <c r="X35" s="406"/>
      <c r="Y35" s="28" t="str">
        <f t="shared" ca="1" si="24"/>
        <v>10</v>
      </c>
      <c r="Z35" s="409" t="s">
        <v>1144</v>
      </c>
      <c r="AA35" s="22" t="str">
        <f t="shared" ca="1" si="25"/>
        <v>10</v>
      </c>
      <c r="AB35" s="406"/>
      <c r="AC35" s="28" t="str">
        <f t="shared" si="20"/>
        <v/>
      </c>
      <c r="AE35" s="22" t="str">
        <f t="shared" si="21"/>
        <v/>
      </c>
      <c r="AF35" s="406"/>
      <c r="AG35" s="28" t="str">
        <f t="shared" si="22"/>
        <v/>
      </c>
      <c r="AI35" s="22" t="str">
        <f t="shared" si="23"/>
        <v/>
      </c>
      <c r="AJ35" s="406"/>
      <c r="AK35" s="28" t="str">
        <f t="shared" si="16"/>
        <v/>
      </c>
      <c r="AL35" s="452"/>
      <c r="AM35" s="22" t="str">
        <f t="shared" si="17"/>
        <v/>
      </c>
    </row>
    <row r="36" spans="1:39" x14ac:dyDescent="0.25">
      <c r="A36" s="10"/>
      <c r="B36" s="13">
        <f t="shared" ca="1" si="0"/>
        <v>15.75</v>
      </c>
      <c r="C36" s="14" t="str">
        <f t="shared" ca="1" si="1"/>
        <v>09</v>
      </c>
      <c r="E36" s="28" t="str">
        <f t="shared" si="2"/>
        <v/>
      </c>
      <c r="F36" s="409"/>
      <c r="G36" s="22" t="str">
        <f t="shared" si="3"/>
        <v/>
      </c>
      <c r="H36" s="406"/>
      <c r="I36" s="28" t="str">
        <f t="shared" si="4"/>
        <v/>
      </c>
      <c r="J36" s="409"/>
      <c r="K36" s="22" t="str">
        <f t="shared" si="5"/>
        <v/>
      </c>
      <c r="M36" s="28" t="str">
        <f t="shared" si="6"/>
        <v/>
      </c>
      <c r="N36" s="409"/>
      <c r="O36" s="22" t="str">
        <f t="shared" si="7"/>
        <v/>
      </c>
      <c r="Q36" s="28" t="str">
        <f t="shared" si="8"/>
        <v/>
      </c>
      <c r="R36" s="409"/>
      <c r="S36" s="22" t="str">
        <f t="shared" si="9"/>
        <v/>
      </c>
      <c r="U36" s="28" t="str">
        <f t="shared" si="10"/>
        <v/>
      </c>
      <c r="V36" s="409"/>
      <c r="W36" s="22" t="str">
        <f t="shared" si="11"/>
        <v/>
      </c>
      <c r="X36" s="406"/>
      <c r="Y36" s="28" t="str">
        <f t="shared" si="24"/>
        <v/>
      </c>
      <c r="AA36" s="22" t="str">
        <f t="shared" si="25"/>
        <v/>
      </c>
      <c r="AB36" s="406"/>
      <c r="AC36" s="28" t="str">
        <f t="shared" si="20"/>
        <v/>
      </c>
      <c r="AD36" s="409"/>
      <c r="AE36" s="22" t="str">
        <f t="shared" si="21"/>
        <v/>
      </c>
      <c r="AF36" s="406"/>
      <c r="AG36" s="28" t="str">
        <f t="shared" si="22"/>
        <v/>
      </c>
      <c r="AH36" s="409"/>
      <c r="AI36" s="22" t="str">
        <f t="shared" si="23"/>
        <v/>
      </c>
      <c r="AJ36" s="406"/>
      <c r="AK36" s="28" t="str">
        <f t="shared" si="16"/>
        <v/>
      </c>
      <c r="AL36" s="409"/>
      <c r="AM36" s="22" t="str">
        <f t="shared" si="17"/>
        <v/>
      </c>
    </row>
    <row r="37" spans="1:39" x14ac:dyDescent="0.25">
      <c r="A37" s="10"/>
      <c r="B37" s="13">
        <f t="shared" ca="1" si="0"/>
        <v>14</v>
      </c>
      <c r="C37" s="14" t="str">
        <f t="shared" ca="1" si="1"/>
        <v>08</v>
      </c>
      <c r="E37" s="28" t="str">
        <f t="shared" si="2"/>
        <v/>
      </c>
      <c r="F37" s="408"/>
      <c r="G37" s="22" t="str">
        <f t="shared" si="3"/>
        <v/>
      </c>
      <c r="H37" s="406"/>
      <c r="I37" s="28" t="str">
        <f t="shared" si="4"/>
        <v/>
      </c>
      <c r="J37" s="408"/>
      <c r="K37" s="22" t="str">
        <f t="shared" si="5"/>
        <v/>
      </c>
      <c r="M37" s="28" t="str">
        <f t="shared" si="6"/>
        <v/>
      </c>
      <c r="N37" s="408"/>
      <c r="O37" s="22" t="str">
        <f t="shared" si="7"/>
        <v/>
      </c>
      <c r="Q37" s="28" t="str">
        <f t="shared" si="8"/>
        <v/>
      </c>
      <c r="R37" s="408"/>
      <c r="S37" s="22" t="str">
        <f t="shared" si="9"/>
        <v/>
      </c>
      <c r="U37" s="28" t="str">
        <f t="shared" si="10"/>
        <v/>
      </c>
      <c r="V37" s="408"/>
      <c r="W37" s="22" t="str">
        <f t="shared" si="11"/>
        <v/>
      </c>
      <c r="X37" s="406"/>
      <c r="Y37" s="28" t="str">
        <f t="shared" ca="1" si="24"/>
        <v>08</v>
      </c>
      <c r="Z37" s="409" t="s">
        <v>1145</v>
      </c>
      <c r="AA37" s="22" t="str">
        <f t="shared" ca="1" si="25"/>
        <v>08</v>
      </c>
      <c r="AB37" s="406"/>
      <c r="AC37" s="28" t="str">
        <f t="shared" si="20"/>
        <v/>
      </c>
      <c r="AD37" s="409"/>
      <c r="AE37" s="22" t="str">
        <f t="shared" si="21"/>
        <v/>
      </c>
      <c r="AF37" s="406"/>
      <c r="AG37" s="28" t="str">
        <f t="shared" si="22"/>
        <v/>
      </c>
      <c r="AH37" s="409"/>
      <c r="AI37" s="22" t="str">
        <f t="shared" si="23"/>
        <v/>
      </c>
      <c r="AJ37" s="406"/>
      <c r="AK37" s="28" t="str">
        <f t="shared" si="16"/>
        <v/>
      </c>
      <c r="AL37" s="408"/>
      <c r="AM37" s="22" t="str">
        <f t="shared" si="17"/>
        <v/>
      </c>
    </row>
    <row r="38" spans="1:39" x14ac:dyDescent="0.25">
      <c r="A38" s="10"/>
      <c r="B38" s="13">
        <f t="shared" ca="1" si="0"/>
        <v>12.25</v>
      </c>
      <c r="C38" s="14" t="str">
        <f t="shared" ca="1" si="1"/>
        <v>07</v>
      </c>
      <c r="E38" s="28" t="str">
        <f t="shared" si="2"/>
        <v/>
      </c>
      <c r="G38" s="22" t="str">
        <f t="shared" si="3"/>
        <v/>
      </c>
      <c r="H38" s="406"/>
      <c r="I38" s="28" t="str">
        <f t="shared" si="4"/>
        <v/>
      </c>
      <c r="J38" s="422"/>
      <c r="K38" s="22" t="str">
        <f t="shared" si="5"/>
        <v/>
      </c>
      <c r="M38" s="28" t="str">
        <f t="shared" si="6"/>
        <v/>
      </c>
      <c r="N38" s="422"/>
      <c r="O38" s="22" t="str">
        <f t="shared" si="7"/>
        <v/>
      </c>
      <c r="Q38" s="28" t="str">
        <f t="shared" si="8"/>
        <v/>
      </c>
      <c r="R38" s="422"/>
      <c r="S38" s="22" t="str">
        <f t="shared" si="9"/>
        <v/>
      </c>
      <c r="U38" s="28" t="str">
        <f t="shared" si="10"/>
        <v/>
      </c>
      <c r="V38" s="422"/>
      <c r="W38" s="22" t="str">
        <f t="shared" si="11"/>
        <v/>
      </c>
      <c r="X38" s="406"/>
      <c r="Y38" s="28" t="str">
        <f t="shared" ca="1" si="24"/>
        <v>07</v>
      </c>
      <c r="Z38" s="409" t="s">
        <v>1146</v>
      </c>
      <c r="AA38" s="22" t="str">
        <f t="shared" ca="1" si="25"/>
        <v>07</v>
      </c>
      <c r="AB38" s="406"/>
      <c r="AC38" s="28" t="str">
        <f t="shared" si="20"/>
        <v/>
      </c>
      <c r="AE38" s="22" t="str">
        <f t="shared" si="21"/>
        <v/>
      </c>
      <c r="AF38" s="406"/>
      <c r="AG38" s="28" t="str">
        <f t="shared" si="22"/>
        <v/>
      </c>
      <c r="AI38" s="22" t="str">
        <f t="shared" si="23"/>
        <v/>
      </c>
      <c r="AJ38" s="406"/>
      <c r="AK38" s="28" t="str">
        <f t="shared" si="16"/>
        <v/>
      </c>
      <c r="AL38" s="452"/>
      <c r="AM38" s="22" t="str">
        <f t="shared" si="17"/>
        <v/>
      </c>
    </row>
    <row r="39" spans="1:39" x14ac:dyDescent="0.25">
      <c r="A39" s="10"/>
      <c r="B39" s="13">
        <f t="shared" ca="1" si="0"/>
        <v>10.5</v>
      </c>
      <c r="C39" s="14" t="str">
        <f t="shared" ca="1" si="1"/>
        <v>06</v>
      </c>
      <c r="E39" s="28" t="str">
        <f t="shared" si="2"/>
        <v/>
      </c>
      <c r="F39" s="409"/>
      <c r="G39" s="22" t="str">
        <f t="shared" si="3"/>
        <v/>
      </c>
      <c r="H39" s="406"/>
      <c r="I39" s="28" t="str">
        <f t="shared" si="4"/>
        <v/>
      </c>
      <c r="J39" s="409"/>
      <c r="K39" s="22" t="str">
        <f t="shared" si="5"/>
        <v/>
      </c>
      <c r="M39" s="28" t="str">
        <f t="shared" si="6"/>
        <v/>
      </c>
      <c r="N39" s="409"/>
      <c r="O39" s="22" t="str">
        <f t="shared" si="7"/>
        <v/>
      </c>
      <c r="Q39" s="28" t="str">
        <f t="shared" ca="1" si="8"/>
        <v>06</v>
      </c>
      <c r="R39" s="462" t="s">
        <v>1240</v>
      </c>
      <c r="S39" s="22" t="str">
        <f t="shared" ca="1" si="9"/>
        <v>06</v>
      </c>
      <c r="U39" s="28" t="str">
        <f t="shared" ca="1" si="10"/>
        <v>06</v>
      </c>
      <c r="V39" s="462" t="s">
        <v>1239</v>
      </c>
      <c r="W39" s="22" t="str">
        <f t="shared" ca="1" si="11"/>
        <v>06</v>
      </c>
      <c r="X39" s="406"/>
      <c r="Y39" s="28" t="str">
        <f t="shared" si="24"/>
        <v/>
      </c>
      <c r="Z39" s="426"/>
      <c r="AA39" s="22" t="str">
        <f t="shared" si="25"/>
        <v/>
      </c>
      <c r="AB39" s="406"/>
      <c r="AC39" s="28" t="str">
        <f t="shared" si="20"/>
        <v/>
      </c>
      <c r="AD39" s="409"/>
      <c r="AE39" s="22" t="str">
        <f t="shared" si="21"/>
        <v/>
      </c>
      <c r="AF39" s="406"/>
      <c r="AG39" s="28" t="str">
        <f t="shared" si="22"/>
        <v/>
      </c>
      <c r="AH39" s="409"/>
      <c r="AI39" s="22" t="str">
        <f t="shared" si="23"/>
        <v/>
      </c>
      <c r="AJ39" s="406"/>
      <c r="AK39" s="28" t="str">
        <f t="shared" ca="1" si="16"/>
        <v>06</v>
      </c>
      <c r="AL39" s="410" t="s">
        <v>1137</v>
      </c>
      <c r="AM39" s="22" t="str">
        <f t="shared" ca="1" si="17"/>
        <v>06</v>
      </c>
    </row>
    <row r="40" spans="1:39" x14ac:dyDescent="0.25">
      <c r="A40" s="10"/>
      <c r="B40" s="13">
        <f t="shared" ca="1" si="0"/>
        <v>8.75</v>
      </c>
      <c r="C40" s="14" t="str">
        <f t="shared" ca="1" si="1"/>
        <v>05</v>
      </c>
      <c r="E40" s="28" t="str">
        <f t="shared" si="2"/>
        <v/>
      </c>
      <c r="F40" s="422"/>
      <c r="G40" s="22" t="str">
        <f t="shared" si="3"/>
        <v/>
      </c>
      <c r="H40" s="406"/>
      <c r="I40" s="28" t="str">
        <f t="shared" si="4"/>
        <v/>
      </c>
      <c r="J40" s="409"/>
      <c r="K40" s="22" t="str">
        <f t="shared" si="5"/>
        <v/>
      </c>
      <c r="M40" s="28" t="str">
        <f t="shared" si="6"/>
        <v/>
      </c>
      <c r="N40" s="409"/>
      <c r="O40" s="22" t="str">
        <f t="shared" si="7"/>
        <v/>
      </c>
      <c r="Q40" s="28" t="str">
        <f t="shared" si="8"/>
        <v/>
      </c>
      <c r="R40" s="463"/>
      <c r="S40" s="22" t="str">
        <f t="shared" si="9"/>
        <v/>
      </c>
      <c r="U40" s="28" t="str">
        <f t="shared" si="10"/>
        <v/>
      </c>
      <c r="V40" s="463"/>
      <c r="W40" s="22" t="str">
        <f t="shared" si="11"/>
        <v/>
      </c>
      <c r="X40" s="406"/>
      <c r="Y40" s="28" t="str">
        <f t="shared" ca="1" si="24"/>
        <v>05</v>
      </c>
      <c r="Z40" s="409" t="s">
        <v>1141</v>
      </c>
      <c r="AA40" s="22" t="str">
        <f t="shared" ca="1" si="25"/>
        <v>05</v>
      </c>
      <c r="AB40" s="406"/>
      <c r="AC40" s="28" t="str">
        <f t="shared" si="20"/>
        <v/>
      </c>
      <c r="AD40" s="409"/>
      <c r="AE40" s="22" t="str">
        <f t="shared" si="21"/>
        <v/>
      </c>
      <c r="AF40" s="406"/>
      <c r="AG40" s="28" t="str">
        <f t="shared" si="22"/>
        <v/>
      </c>
      <c r="AH40" s="409"/>
      <c r="AI40" s="22" t="str">
        <f t="shared" si="23"/>
        <v/>
      </c>
      <c r="AJ40" s="406"/>
      <c r="AK40" s="28" t="str">
        <f t="shared" si="16"/>
        <v/>
      </c>
      <c r="AL40" s="453"/>
      <c r="AM40" s="22" t="str">
        <f t="shared" si="17"/>
        <v/>
      </c>
    </row>
    <row r="41" spans="1:39" x14ac:dyDescent="0.25">
      <c r="A41" s="10"/>
      <c r="B41" s="13">
        <f t="shared" ca="1" si="0"/>
        <v>7</v>
      </c>
      <c r="C41" s="14" t="str">
        <f t="shared" ca="1" si="1"/>
        <v>04</v>
      </c>
      <c r="E41" s="28" t="str">
        <f t="shared" si="2"/>
        <v/>
      </c>
      <c r="F41" s="422"/>
      <c r="G41" s="22" t="str">
        <f t="shared" si="3"/>
        <v/>
      </c>
      <c r="H41" s="406"/>
      <c r="I41" s="28" t="str">
        <f t="shared" si="4"/>
        <v/>
      </c>
      <c r="J41" s="422"/>
      <c r="K41" s="22" t="str">
        <f t="shared" si="5"/>
        <v/>
      </c>
      <c r="M41" s="28" t="str">
        <f t="shared" si="6"/>
        <v/>
      </c>
      <c r="N41" s="422"/>
      <c r="O41" s="22" t="str">
        <f t="shared" si="7"/>
        <v/>
      </c>
      <c r="Q41" s="28" t="str">
        <f t="shared" si="8"/>
        <v/>
      </c>
      <c r="R41" s="422"/>
      <c r="S41" s="22" t="str">
        <f t="shared" si="9"/>
        <v/>
      </c>
      <c r="U41" s="28" t="str">
        <f t="shared" si="10"/>
        <v/>
      </c>
      <c r="V41" s="422"/>
      <c r="W41" s="22" t="str">
        <f t="shared" si="11"/>
        <v/>
      </c>
      <c r="X41" s="406"/>
      <c r="Y41" s="28" t="str">
        <f ca="1">IF(LEN(Z41)=0,"",$C41)</f>
        <v>04</v>
      </c>
      <c r="Z41" s="409" t="s">
        <v>1140</v>
      </c>
      <c r="AA41" s="22" t="str">
        <f ca="1">IF(LEN(Z41)=0,"",$C41)</f>
        <v>04</v>
      </c>
      <c r="AB41" s="406"/>
      <c r="AC41" s="28" t="str">
        <f t="shared" si="20"/>
        <v/>
      </c>
      <c r="AD41" s="452"/>
      <c r="AE41" s="22" t="str">
        <f t="shared" si="21"/>
        <v/>
      </c>
      <c r="AF41" s="406"/>
      <c r="AG41" s="28" t="str">
        <f t="shared" si="22"/>
        <v/>
      </c>
      <c r="AH41" s="452"/>
      <c r="AI41" s="22" t="str">
        <f t="shared" si="23"/>
        <v/>
      </c>
      <c r="AJ41" s="406"/>
      <c r="AK41" s="28" t="str">
        <f t="shared" ca="1" si="16"/>
        <v>04</v>
      </c>
      <c r="AL41" s="410" t="s">
        <v>1138</v>
      </c>
      <c r="AM41" s="22" t="str">
        <f t="shared" ca="1" si="17"/>
        <v>04</v>
      </c>
    </row>
    <row r="42" spans="1:39" x14ac:dyDescent="0.25">
      <c r="A42" s="10"/>
      <c r="B42" s="13">
        <f t="shared" ca="1" si="0"/>
        <v>5.25</v>
      </c>
      <c r="C42" s="14" t="str">
        <f t="shared" ca="1" si="1"/>
        <v>03</v>
      </c>
      <c r="E42" s="28" t="str">
        <f t="shared" ca="1" si="2"/>
        <v>03</v>
      </c>
      <c r="F42" s="462" t="s">
        <v>1113</v>
      </c>
      <c r="G42" s="22" t="str">
        <f t="shared" ca="1" si="3"/>
        <v>03</v>
      </c>
      <c r="H42" s="406"/>
      <c r="I42" s="28" t="str">
        <f t="shared" ca="1" si="4"/>
        <v>03</v>
      </c>
      <c r="J42" s="462" t="s">
        <v>1113</v>
      </c>
      <c r="K42" s="22" t="str">
        <f t="shared" ca="1" si="5"/>
        <v>03</v>
      </c>
      <c r="M42" s="28" t="str">
        <f t="shared" ca="1" si="6"/>
        <v>03</v>
      </c>
      <c r="N42" s="462" t="s">
        <v>1113</v>
      </c>
      <c r="O42" s="22" t="str">
        <f t="shared" ca="1" si="7"/>
        <v>03</v>
      </c>
      <c r="Q42" s="28" t="str">
        <f t="shared" ca="1" si="8"/>
        <v>03</v>
      </c>
      <c r="R42" s="462" t="s">
        <v>1113</v>
      </c>
      <c r="S42" s="22" t="str">
        <f t="shared" ca="1" si="9"/>
        <v>03</v>
      </c>
      <c r="U42" s="28" t="str">
        <f t="shared" ca="1" si="10"/>
        <v>03</v>
      </c>
      <c r="V42" s="462" t="s">
        <v>1113</v>
      </c>
      <c r="W42" s="22" t="str">
        <f t="shared" ca="1" si="11"/>
        <v>03</v>
      </c>
      <c r="X42" s="406"/>
      <c r="Y42" s="28" t="str">
        <f t="shared" ref="Y42:Y43" si="26">IF(LEN(Z42)=0,"",$C42)</f>
        <v/>
      </c>
      <c r="Z42" s="422"/>
      <c r="AA42" s="22" t="str">
        <f t="shared" ref="AA42:AA43" si="27">IF(LEN(Z42)=0,"",$C42)</f>
        <v/>
      </c>
      <c r="AB42" s="406"/>
      <c r="AC42" s="28" t="str">
        <f t="shared" si="20"/>
        <v/>
      </c>
      <c r="AE42" s="22" t="str">
        <f t="shared" si="21"/>
        <v/>
      </c>
      <c r="AF42" s="406"/>
      <c r="AG42" s="28" t="str">
        <f t="shared" si="22"/>
        <v/>
      </c>
      <c r="AH42" s="422"/>
      <c r="AI42" s="22" t="str">
        <f t="shared" si="23"/>
        <v/>
      </c>
      <c r="AJ42" s="406"/>
      <c r="AK42" s="28" t="str">
        <f t="shared" si="16"/>
        <v/>
      </c>
      <c r="AL42" s="422"/>
      <c r="AM42" s="22" t="str">
        <f t="shared" si="17"/>
        <v/>
      </c>
    </row>
    <row r="43" spans="1:39" x14ac:dyDescent="0.25">
      <c r="A43" s="10"/>
      <c r="B43" s="13">
        <f t="shared" ca="1" si="0"/>
        <v>3.5</v>
      </c>
      <c r="C43" s="14" t="str">
        <f t="shared" ca="1" si="1"/>
        <v>02</v>
      </c>
      <c r="E43" s="28" t="str">
        <f t="shared" si="2"/>
        <v/>
      </c>
      <c r="F43" s="463"/>
      <c r="G43" s="22" t="str">
        <f t="shared" si="3"/>
        <v/>
      </c>
      <c r="H43" s="406"/>
      <c r="I43" s="28" t="str">
        <f t="shared" si="4"/>
        <v/>
      </c>
      <c r="J43" s="463"/>
      <c r="K43" s="22" t="str">
        <f t="shared" si="5"/>
        <v/>
      </c>
      <c r="M43" s="28" t="str">
        <f t="shared" si="6"/>
        <v/>
      </c>
      <c r="N43" s="463"/>
      <c r="O43" s="22" t="str">
        <f t="shared" si="7"/>
        <v/>
      </c>
      <c r="Q43" s="28" t="str">
        <f t="shared" si="8"/>
        <v/>
      </c>
      <c r="R43" s="463"/>
      <c r="S43" s="22" t="str">
        <f t="shared" si="9"/>
        <v/>
      </c>
      <c r="U43" s="28" t="str">
        <f t="shared" si="10"/>
        <v/>
      </c>
      <c r="V43" s="463"/>
      <c r="W43" s="22" t="str">
        <f t="shared" si="11"/>
        <v/>
      </c>
      <c r="X43" s="406"/>
      <c r="Y43" s="28" t="str">
        <f t="shared" ca="1" si="26"/>
        <v>02</v>
      </c>
      <c r="Z43" s="401" t="s">
        <v>1292</v>
      </c>
      <c r="AA43" s="22" t="str">
        <f t="shared" ca="1" si="27"/>
        <v>02</v>
      </c>
      <c r="AB43" s="406"/>
      <c r="AC43" s="28" t="str">
        <f ca="1">IF(LEN(AD43)=0,"",$C43)</f>
        <v>02</v>
      </c>
      <c r="AD43" s="401" t="s">
        <v>1294</v>
      </c>
      <c r="AE43" s="22" t="str">
        <f ca="1">IF(LEN(AD43)=0,"",$C43)</f>
        <v>02</v>
      </c>
      <c r="AF43" s="406"/>
      <c r="AG43" s="28" t="str">
        <f t="shared" ca="1" si="22"/>
        <v>02</v>
      </c>
      <c r="AH43" s="401" t="s">
        <v>1296</v>
      </c>
      <c r="AI43" s="22" t="str">
        <f t="shared" ca="1" si="23"/>
        <v>02</v>
      </c>
      <c r="AJ43" s="406"/>
      <c r="AK43" s="28" t="str">
        <f t="shared" ca="1" si="16"/>
        <v>02</v>
      </c>
      <c r="AL43" s="401" t="s">
        <v>1298</v>
      </c>
      <c r="AM43" s="22" t="str">
        <f t="shared" ca="1" si="17"/>
        <v>02</v>
      </c>
    </row>
    <row r="44" spans="1:39" ht="13.8" thickBot="1" x14ac:dyDescent="0.3">
      <c r="A44" s="10"/>
      <c r="B44" s="15">
        <v>1.75</v>
      </c>
      <c r="C44" s="20" t="str">
        <f ca="1">TEXT((INDIRECT("C[-1]",FALSE))/1.75,"00")</f>
        <v>01</v>
      </c>
      <c r="E44" s="28" t="str">
        <f t="shared" ref="E44" si="28">IF(LEN(F43)=0,"",$C44)</f>
        <v/>
      </c>
      <c r="F44" s="422"/>
      <c r="G44" s="22" t="str">
        <f t="shared" ref="G44" si="29">IF(LEN(F43)=0,"",$C44)</f>
        <v/>
      </c>
      <c r="H44" s="406"/>
      <c r="I44" s="28" t="str">
        <f t="shared" ref="I44" si="30">IF(LEN(J43)=0,"",$C44)</f>
        <v/>
      </c>
      <c r="K44" s="22" t="str">
        <f t="shared" ref="K44" si="31">IF(LEN(J43)=0,"",$C44)</f>
        <v/>
      </c>
      <c r="M44" s="28" t="str">
        <f t="shared" ref="M44" si="32">IF(LEN(N43)=0,"",$C44)</f>
        <v/>
      </c>
      <c r="O44" s="22" t="str">
        <f t="shared" ref="O44" si="33">IF(LEN(N43)=0,"",$C44)</f>
        <v/>
      </c>
      <c r="Q44" s="28" t="str">
        <f t="shared" ref="Q44" si="34">IF(LEN(R43)=0,"",$C44)</f>
        <v/>
      </c>
      <c r="S44" s="22" t="str">
        <f t="shared" ref="S44" si="35">IF(LEN(R43)=0,"",$C44)</f>
        <v/>
      </c>
      <c r="U44" s="28" t="str">
        <f t="shared" ref="U44" si="36">IF(LEN(V43)=0,"",$C44)</f>
        <v/>
      </c>
      <c r="W44" s="22" t="str">
        <f t="shared" ref="W44" si="37">IF(LEN(V43)=0,"",$C44)</f>
        <v/>
      </c>
      <c r="X44" s="406"/>
      <c r="Y44" s="28" t="str">
        <f t="shared" ref="Y44" ca="1" si="38">IF(LEN(Z43)=0,"",$C44)</f>
        <v>01</v>
      </c>
      <c r="Z44" s="401" t="s">
        <v>1293</v>
      </c>
      <c r="AA44" s="22" t="str">
        <f t="shared" ref="AA44" ca="1" si="39">IF(LEN(Z43)=0,"",$C44)</f>
        <v>01</v>
      </c>
      <c r="AB44" s="406"/>
      <c r="AC44" s="28" t="str">
        <f ca="1">IF(LEN(AD43)=0,"",$C44)</f>
        <v>01</v>
      </c>
      <c r="AD44" s="401" t="s">
        <v>1295</v>
      </c>
      <c r="AE44" s="22" t="str">
        <f ca="1">IF(LEN(AD43)=0,"",$C44)</f>
        <v>01</v>
      </c>
      <c r="AF44" s="406"/>
      <c r="AG44" s="28" t="str">
        <f t="shared" ref="AG44" ca="1" si="40">IF(LEN(AH43)=0,"",$C44)</f>
        <v>01</v>
      </c>
      <c r="AH44" s="401" t="s">
        <v>1297</v>
      </c>
      <c r="AI44" s="22" t="str">
        <f t="shared" ref="AI44" ca="1" si="41">IF(LEN(AH43)=0,"",$C44)</f>
        <v>01</v>
      </c>
      <c r="AJ44" s="406"/>
      <c r="AK44" s="28" t="str">
        <f t="shared" ref="AK44" ca="1" si="42">IF(LEN(AL43)=0,"",$C44)</f>
        <v>01</v>
      </c>
      <c r="AL44" s="401" t="s">
        <v>1299</v>
      </c>
      <c r="AM44" s="22" t="str">
        <f t="shared" ref="AM44" ca="1" si="43">IF(LEN(AL43)=0,"",$C44)</f>
        <v>01</v>
      </c>
    </row>
    <row r="45" spans="1:39" x14ac:dyDescent="0.25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19"/>
      <c r="S45" s="28"/>
      <c r="U45" s="28"/>
      <c r="V45" s="19"/>
      <c r="W45" s="28"/>
      <c r="Y45" s="28"/>
      <c r="Z45" s="19"/>
      <c r="AA45" s="28"/>
      <c r="AC45" s="28"/>
      <c r="AD45" s="19"/>
      <c r="AE45" s="28"/>
      <c r="AG45" s="28"/>
      <c r="AH45" s="19"/>
      <c r="AI45" s="28"/>
      <c r="AK45" s="28"/>
      <c r="AL45" s="19"/>
      <c r="AM45" s="28"/>
    </row>
  </sheetData>
  <mergeCells count="14">
    <mergeCell ref="V42:V43"/>
    <mergeCell ref="V39:V40"/>
    <mergeCell ref="R39:R40"/>
    <mergeCell ref="F3:F4"/>
    <mergeCell ref="Z11:Z12"/>
    <mergeCell ref="Z14:Z15"/>
    <mergeCell ref="Z17:Z18"/>
    <mergeCell ref="Z27:Z29"/>
    <mergeCell ref="Z8:Z9"/>
    <mergeCell ref="F42:F43"/>
    <mergeCell ref="J42:J43"/>
    <mergeCell ref="N3:N4"/>
    <mergeCell ref="N42:N43"/>
    <mergeCell ref="R42:R43"/>
  </mergeCells>
  <conditionalFormatting sqref="B3:C44">
    <cfRule type="expression" dxfId="1" priority="1">
      <formula>MOD(ROW(),2)=0</formula>
    </cfRule>
  </conditionalFormatting>
  <dataValidations count="1">
    <dataValidation type="list" allowBlank="1" showInputMessage="1" sqref="F38 F41 Z20 R39 AD11 AL41 AH10 AD13 V39 AH8 Z27 AL39 Z14 Z17 Z11 Z22 Z8">
      <formula1>_ValidDevices_</formula1>
    </dataValidation>
  </dataValidations>
  <pageMargins left="0.7" right="0.7" top="0.75" bottom="0.75" header="0.3" footer="0.3"/>
  <ignoredErrors>
    <ignoredError sqref="V2 Z2 AD2 AH2 AL2" numberStoredAsText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3" r:id="rId3" name="Button 3">
              <controlPr defaultSize="0" print="0" autoFill="0" autoPict="0" macro="[0]!Sheet03.BuildConfigSheets">
                <anchor moveWithCells="1" sizeWithCells="1">
                  <from>
                    <xdr:col>8</xdr:col>
                    <xdr:colOff>182880</xdr:colOff>
                    <xdr:row>0</xdr:row>
                    <xdr:rowOff>76200</xdr:rowOff>
                  </from>
                  <to>
                    <xdr:col>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4" r:id="rId4" name="Button 4">
              <controlPr defaultSize="0" print="0" autoFill="0" autoPict="0">
                <anchor moveWithCells="1" sizeWithCells="1">
                  <from>
                    <xdr:col>8</xdr:col>
                    <xdr:colOff>182880</xdr:colOff>
                    <xdr:row>0</xdr:row>
                    <xdr:rowOff>0</xdr:rowOff>
                  </from>
                  <to>
                    <xdr:col>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5" r:id="rId5" name="Button 5">
              <controlPr defaultSize="0" print="0" autoFill="0" autoPict="0" macro="[0]!Sheet03.BuildConfigSheets">
                <anchor moveWithCells="1" sizeWithCells="1">
                  <from>
                    <xdr:col>12</xdr:col>
                    <xdr:colOff>182880</xdr:colOff>
                    <xdr:row>0</xdr:row>
                    <xdr:rowOff>76200</xdr:rowOff>
                  </from>
                  <to>
                    <xdr:col>13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6" r:id="rId6" name="Button 6">
              <controlPr defaultSize="0" print="0" autoFill="0" autoPict="0">
                <anchor moveWithCells="1" sizeWithCells="1">
                  <from>
                    <xdr:col>12</xdr:col>
                    <xdr:colOff>182880</xdr:colOff>
                    <xdr:row>0</xdr:row>
                    <xdr:rowOff>0</xdr:rowOff>
                  </from>
                  <to>
                    <xdr:col>13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7" r:id="rId7" name="Button 7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182880</xdr:colOff>
                    <xdr:row>0</xdr:row>
                    <xdr:rowOff>76200</xdr:rowOff>
                  </from>
                  <to>
                    <xdr:col>17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8" r:id="rId8" name="Button 8">
              <controlPr defaultSize="0" print="0" autoFill="0" autoPict="0">
                <anchor moveWithCells="1" sizeWithCells="1">
                  <from>
                    <xdr:col>16</xdr:col>
                    <xdr:colOff>182880</xdr:colOff>
                    <xdr:row>0</xdr:row>
                    <xdr:rowOff>0</xdr:rowOff>
                  </from>
                  <to>
                    <xdr:col>17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9" r:id="rId9" name="Button 9">
              <controlPr defaultSize="0" print="0" autoFill="0" autoPict="0" macro="[0]!Sheet03.BuildConfigSheets">
                <anchor moveWithCells="1" sizeWithCells="1">
                  <from>
                    <xdr:col>20</xdr:col>
                    <xdr:colOff>182880</xdr:colOff>
                    <xdr:row>0</xdr:row>
                    <xdr:rowOff>76200</xdr:rowOff>
                  </from>
                  <to>
                    <xdr:col>21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0" r:id="rId10" name="Button 10">
              <controlPr defaultSize="0" print="0" autoFill="0" autoPict="0">
                <anchor moveWithCells="1" sizeWithCells="1">
                  <from>
                    <xdr:col>20</xdr:col>
                    <xdr:colOff>182880</xdr:colOff>
                    <xdr:row>0</xdr:row>
                    <xdr:rowOff>0</xdr:rowOff>
                  </from>
                  <to>
                    <xdr:col>21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3" r:id="rId11" name="Button 13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4" r:id="rId12" name="Button 14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5" r:id="rId13" name="Button 15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6" r:id="rId14" name="Button 16">
              <controlPr defaultSize="0" print="0" autoFill="0" autoPict="0">
                <anchor moveWithCells="1" sizeWithCells="1">
                  <from>
                    <xdr:col>32</xdr:col>
                    <xdr:colOff>182880</xdr:colOff>
                    <xdr:row>0</xdr:row>
                    <xdr:rowOff>0</xdr:rowOff>
                  </from>
                  <to>
                    <xdr:col>33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9" r:id="rId15" name="Button 19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0" r:id="rId16" name="Button 20">
              <controlPr defaultSize="0" print="0" autoFill="0" autoPict="0">
                <anchor moveWithCells="1" sizeWithCells="1">
                  <from>
                    <xdr:col>32</xdr:col>
                    <xdr:colOff>182880</xdr:colOff>
                    <xdr:row>0</xdr:row>
                    <xdr:rowOff>0</xdr:rowOff>
                  </from>
                  <to>
                    <xdr:col>33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1" r:id="rId17" name="Button 21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2" r:id="rId18" name="Button 22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9" r:id="rId19" name="Button 29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0" r:id="rId20" name="Button 30">
              <controlPr defaultSize="0" print="0" autoFill="0" autoPict="0">
                <anchor moveWithCells="1" sizeWithCells="1">
                  <from>
                    <xdr:col>32</xdr:col>
                    <xdr:colOff>182880</xdr:colOff>
                    <xdr:row>0</xdr:row>
                    <xdr:rowOff>0</xdr:rowOff>
                  </from>
                  <to>
                    <xdr:col>33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1" r:id="rId21" name="Button 31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182880</xdr:colOff>
                    <xdr:row>0</xdr:row>
                    <xdr:rowOff>76200</xdr:rowOff>
                  </from>
                  <to>
                    <xdr:col>25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2" r:id="rId22" name="Button 32">
              <controlPr defaultSize="0" print="0" autoFill="0" autoPict="0">
                <anchor moveWithCells="1" sizeWithCells="1">
                  <from>
                    <xdr:col>24</xdr:col>
                    <xdr:colOff>182880</xdr:colOff>
                    <xdr:row>0</xdr:row>
                    <xdr:rowOff>0</xdr:rowOff>
                  </from>
                  <to>
                    <xdr:col>25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3" r:id="rId23" name="Button 33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182880</xdr:colOff>
                    <xdr:row>0</xdr:row>
                    <xdr:rowOff>76200</xdr:rowOff>
                  </from>
                  <to>
                    <xdr:col>25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4" r:id="rId24" name="Button 34">
              <controlPr defaultSize="0" print="0" autoFill="0" autoPict="0">
                <anchor moveWithCells="1" sizeWithCells="1">
                  <from>
                    <xdr:col>24</xdr:col>
                    <xdr:colOff>182880</xdr:colOff>
                    <xdr:row>0</xdr:row>
                    <xdr:rowOff>0</xdr:rowOff>
                  </from>
                  <to>
                    <xdr:col>25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2">
    <pageSetUpPr fitToPage="1"/>
  </sheetPr>
  <dimension ref="A1:AM52"/>
  <sheetViews>
    <sheetView topLeftCell="B1" zoomScale="30" zoomScaleNormal="30" zoomScalePageLayoutView="75" workbookViewId="0">
      <selection activeCell="J34" sqref="J34:J41"/>
    </sheetView>
  </sheetViews>
  <sheetFormatPr defaultColWidth="9.33203125" defaultRowHeight="13.2" x14ac:dyDescent="0.25"/>
  <cols>
    <col min="1" max="1" width="2.6640625" style="421" customWidth="1"/>
    <col min="2" max="2" width="9.33203125" style="421" customWidth="1"/>
    <col min="3" max="3" width="7.33203125" style="421" customWidth="1"/>
    <col min="4" max="4" width="1.6640625" style="403" customWidth="1"/>
    <col min="5" max="5" width="2.44140625" style="421" customWidth="1"/>
    <col min="6" max="6" width="42.6640625" style="404" customWidth="1"/>
    <col min="7" max="7" width="2.6640625" style="421" customWidth="1"/>
    <col min="8" max="8" width="1.6640625" style="402" customWidth="1"/>
    <col min="9" max="9" width="2.6640625" style="421" customWidth="1"/>
    <col min="10" max="10" width="42.6640625" style="404" customWidth="1"/>
    <col min="11" max="11" width="2.6640625" style="421" customWidth="1"/>
    <col min="12" max="12" width="1.6640625" style="403" customWidth="1"/>
    <col min="13" max="13" width="2.6640625" style="421" customWidth="1"/>
    <col min="14" max="14" width="42.6640625" style="404" customWidth="1"/>
    <col min="15" max="15" width="2.6640625" style="421" customWidth="1"/>
    <col min="16" max="16" width="1.6640625" style="403" customWidth="1"/>
    <col min="17" max="17" width="2.6640625" style="421" customWidth="1"/>
    <col min="18" max="18" width="42.6640625" style="404" customWidth="1"/>
    <col min="19" max="19" width="2.6640625" style="421" customWidth="1"/>
    <col min="20" max="20" width="1.6640625" style="403" customWidth="1"/>
    <col min="21" max="21" width="2.6640625" style="421" customWidth="1"/>
    <col min="22" max="22" width="42.6640625" style="404" customWidth="1"/>
    <col min="23" max="23" width="2.6640625" style="421" customWidth="1"/>
    <col min="24" max="24" width="1.6640625" style="403" customWidth="1"/>
    <col min="25" max="25" width="2.6640625" style="421" customWidth="1"/>
    <col min="26" max="26" width="42.6640625" style="404" customWidth="1"/>
    <col min="27" max="27" width="2.6640625" style="421" customWidth="1"/>
    <col min="28" max="28" width="1.6640625" style="403" customWidth="1"/>
    <col min="29" max="29" width="2.6640625" style="421" customWidth="1"/>
    <col min="30" max="30" width="42.6640625" style="404" customWidth="1"/>
    <col min="31" max="31" width="2.6640625" style="421" customWidth="1"/>
    <col min="32" max="32" width="1.88671875" style="421" customWidth="1"/>
    <col min="33" max="33" width="2.6640625" style="421" customWidth="1"/>
    <col min="34" max="34" width="42.6640625" style="404" customWidth="1"/>
    <col min="35" max="35" width="2.6640625" style="421" customWidth="1"/>
    <col min="36" max="36" width="1.88671875" style="421" customWidth="1"/>
    <col min="37" max="37" width="2.6640625" style="421" customWidth="1"/>
    <col min="38" max="38" width="42.6640625" style="404" customWidth="1"/>
    <col min="39" max="39" width="2.6640625" style="421" customWidth="1"/>
    <col min="40" max="16384" width="9.33203125" style="421"/>
  </cols>
  <sheetData>
    <row r="1" spans="1:39" s="415" customFormat="1" ht="48.9" customHeight="1" thickBot="1" x14ac:dyDescent="0.3">
      <c r="A1" s="411"/>
      <c r="B1" s="412"/>
      <c r="C1" s="413"/>
      <c r="D1" s="414"/>
      <c r="F1" s="416" t="s">
        <v>984</v>
      </c>
      <c r="G1" s="417"/>
      <c r="H1" s="417"/>
      <c r="I1" s="417"/>
      <c r="J1" s="416" t="s">
        <v>984</v>
      </c>
      <c r="L1" s="414"/>
      <c r="M1" s="418"/>
      <c r="N1" s="416" t="s">
        <v>984</v>
      </c>
      <c r="P1" s="414"/>
      <c r="R1" s="416" t="s">
        <v>984</v>
      </c>
      <c r="S1" s="418"/>
      <c r="T1" s="418"/>
      <c r="V1" s="416" t="s">
        <v>984</v>
      </c>
      <c r="W1" s="418"/>
      <c r="X1" s="418"/>
      <c r="Y1" s="418"/>
      <c r="Z1" s="416" t="s">
        <v>984</v>
      </c>
      <c r="AB1" s="414"/>
      <c r="AD1" s="416" t="s">
        <v>984</v>
      </c>
      <c r="AE1" s="418"/>
      <c r="AH1" s="416" t="s">
        <v>985</v>
      </c>
      <c r="AI1" s="419"/>
      <c r="AJ1" s="420"/>
      <c r="AK1" s="420"/>
      <c r="AL1" s="416" t="s">
        <v>986</v>
      </c>
      <c r="AM1" s="418"/>
    </row>
    <row r="2" spans="1:39" ht="15" customHeight="1" x14ac:dyDescent="0.25">
      <c r="A2" s="10"/>
      <c r="B2" s="11" t="s">
        <v>1</v>
      </c>
      <c r="C2" s="12" t="s">
        <v>2</v>
      </c>
      <c r="E2" s="27"/>
      <c r="F2" s="30" t="s">
        <v>14</v>
      </c>
      <c r="G2" s="27"/>
      <c r="I2" s="27"/>
      <c r="J2" s="30" t="s">
        <v>15</v>
      </c>
      <c r="K2" s="27"/>
      <c r="M2" s="27"/>
      <c r="N2" s="30" t="s">
        <v>16</v>
      </c>
      <c r="O2" s="27"/>
      <c r="Q2" s="27"/>
      <c r="R2" s="30" t="s">
        <v>17</v>
      </c>
      <c r="S2" s="27"/>
      <c r="U2" s="467"/>
      <c r="V2" s="468"/>
      <c r="W2" s="469"/>
      <c r="Y2" s="27"/>
      <c r="Z2" s="30" t="s">
        <v>982</v>
      </c>
      <c r="AA2" s="27"/>
      <c r="AC2" s="27"/>
      <c r="AD2" s="30" t="s">
        <v>983</v>
      </c>
      <c r="AE2" s="27"/>
      <c r="AG2" s="27"/>
      <c r="AH2" s="29"/>
      <c r="AI2" s="27"/>
      <c r="AK2" s="27"/>
      <c r="AL2" s="29"/>
      <c r="AM2" s="27"/>
    </row>
    <row r="3" spans="1:39" ht="15" customHeight="1" x14ac:dyDescent="0.25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62" t="s">
        <v>987</v>
      </c>
      <c r="G3" s="22" t="str">
        <f ca="1">IF(LEN(F3)=0,"",$C3)</f>
        <v>42</v>
      </c>
      <c r="I3" s="28" t="str">
        <f ca="1">IF(LEN(J3)=0,"",$C3)</f>
        <v>42</v>
      </c>
      <c r="J3" s="462" t="s">
        <v>988</v>
      </c>
      <c r="K3" s="22" t="str">
        <f ca="1">IF(LEN(J3)=0,"",$C3)</f>
        <v>42</v>
      </c>
      <c r="M3" s="28" t="str">
        <f ca="1">IF(LEN(N3)=0,"",$C3)</f>
        <v>42</v>
      </c>
      <c r="N3" s="462" t="s">
        <v>989</v>
      </c>
      <c r="O3" s="22" t="str">
        <f ca="1">IF(LEN(N3)=0,"",$C3)</f>
        <v>42</v>
      </c>
      <c r="Q3" s="28" t="str">
        <f ca="1">IF(LEN(R3)=0,"",$C3)</f>
        <v>42</v>
      </c>
      <c r="R3" s="462" t="s">
        <v>990</v>
      </c>
      <c r="S3" s="22" t="str">
        <f ca="1">IF(LEN(R3)=0,"",$C3)</f>
        <v>42</v>
      </c>
      <c r="U3" s="470"/>
      <c r="V3" s="471"/>
      <c r="W3" s="472"/>
      <c r="Y3" s="28" t="str">
        <f ca="1">IF(LEN(Z3)=0,"",$C3)</f>
        <v>42</v>
      </c>
      <c r="Z3" s="462" t="s">
        <v>1093</v>
      </c>
      <c r="AA3" s="22" t="str">
        <f ca="1">IF(LEN(Z3)=0,"",$C3)</f>
        <v>42</v>
      </c>
      <c r="AC3" s="28" t="str">
        <f ca="1">IF(LEN(AD3)=0,"",$C3)</f>
        <v>42</v>
      </c>
      <c r="AD3" s="462" t="s">
        <v>1095</v>
      </c>
      <c r="AE3" s="22" t="str">
        <f ca="1">IF(LEN(AD3)=0,"",$C3)</f>
        <v>42</v>
      </c>
      <c r="AG3" s="28" t="str">
        <f>IF(LEN(AH3)=0,"",$C3)</f>
        <v/>
      </c>
      <c r="AH3" s="70"/>
      <c r="AI3" s="22" t="str">
        <f>IF(LEN(AH3)=0,"",$C3)</f>
        <v/>
      </c>
      <c r="AK3" s="28" t="str">
        <f>IF(LEN(AL3)=0,"",$C3)</f>
        <v/>
      </c>
      <c r="AL3" s="70"/>
      <c r="AM3" s="22" t="str">
        <f>IF(LEN(AL3)=0,"",$C3)</f>
        <v/>
      </c>
    </row>
    <row r="4" spans="1:39" ht="15" customHeight="1" x14ac:dyDescent="0.25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4" si="2">IF(LEN(F4)=0,"",$C4)</f>
        <v/>
      </c>
      <c r="F4" s="463"/>
      <c r="G4" s="22" t="str">
        <f t="shared" ref="G4:G43" si="3">IF(LEN(F4)=0,"",$C4)</f>
        <v/>
      </c>
      <c r="I4" s="28" t="str">
        <f t="shared" ref="I4:I43" si="4">IF(LEN(J4)=0,"",$C4)</f>
        <v/>
      </c>
      <c r="J4" s="463"/>
      <c r="K4" s="22" t="str">
        <f t="shared" ref="K4:K43" si="5">IF(LEN(J4)=0,"",$C4)</f>
        <v/>
      </c>
      <c r="M4" s="28" t="str">
        <f t="shared" ref="M4:M43" si="6">IF(LEN(N4)=0,"",$C4)</f>
        <v/>
      </c>
      <c r="N4" s="463"/>
      <c r="O4" s="22" t="str">
        <f t="shared" ref="O4:O43" si="7">IF(LEN(N4)=0,"",$C4)</f>
        <v/>
      </c>
      <c r="Q4" s="28" t="str">
        <f t="shared" ref="Q4:Q43" si="8">IF(LEN(R4)=0,"",$C4)</f>
        <v/>
      </c>
      <c r="R4" s="463"/>
      <c r="S4" s="22" t="str">
        <f t="shared" ref="S4:S43" si="9">IF(LEN(R4)=0,"",$C4)</f>
        <v/>
      </c>
      <c r="U4" s="470"/>
      <c r="V4" s="471"/>
      <c r="W4" s="472"/>
      <c r="Y4" s="28" t="str">
        <f t="shared" ref="Y4:Y43" si="10">IF(LEN(Z4)=0,"",$C4)</f>
        <v/>
      </c>
      <c r="Z4" s="463"/>
      <c r="AA4" s="22" t="str">
        <f t="shared" ref="AA4:AA43" si="11">IF(LEN(Z4)=0,"",$C4)</f>
        <v/>
      </c>
      <c r="AC4" s="28" t="str">
        <f t="shared" ref="AC4:AC43" si="12">IF(LEN(AD4)=0,"",$C4)</f>
        <v/>
      </c>
      <c r="AD4" s="463"/>
      <c r="AE4" s="22" t="str">
        <f t="shared" ref="AE4:AE43" si="13">IF(LEN(AD4)=0,"",$C4)</f>
        <v/>
      </c>
      <c r="AG4" s="28" t="str">
        <f t="shared" ref="AG4:AG43" si="14">IF(LEN(AH4)=0,"",$C4)</f>
        <v/>
      </c>
      <c r="AH4" s="70"/>
      <c r="AI4" s="22" t="str">
        <f t="shared" ref="AI4:AI43" si="15">IF(LEN(AH4)=0,"",$C4)</f>
        <v/>
      </c>
      <c r="AK4" s="28" t="str">
        <f t="shared" ref="AK4:AK43" si="16">IF(LEN(AL4)=0,"",$C4)</f>
        <v/>
      </c>
      <c r="AL4" s="70"/>
      <c r="AM4" s="22" t="str">
        <f t="shared" ref="AM4:AM43" si="17">IF(LEN(AL4)=0,"",$C4)</f>
        <v/>
      </c>
    </row>
    <row r="5" spans="1:39" ht="15" customHeight="1" x14ac:dyDescent="0.25">
      <c r="A5" s="10"/>
      <c r="B5" s="13">
        <f t="shared" ca="1" si="0"/>
        <v>70</v>
      </c>
      <c r="C5" s="14" t="str">
        <f t="shared" ca="1" si="1"/>
        <v>40</v>
      </c>
      <c r="E5" s="28" t="str">
        <f t="shared" si="2"/>
        <v/>
      </c>
      <c r="F5" s="70"/>
      <c r="G5" s="22" t="str">
        <f t="shared" si="3"/>
        <v/>
      </c>
      <c r="I5" s="28" t="str">
        <f t="shared" si="4"/>
        <v/>
      </c>
      <c r="J5" s="70"/>
      <c r="K5" s="22" t="str">
        <f t="shared" si="5"/>
        <v/>
      </c>
      <c r="M5" s="28" t="str">
        <f t="shared" si="6"/>
        <v/>
      </c>
      <c r="O5" s="22" t="str">
        <f t="shared" si="7"/>
        <v/>
      </c>
      <c r="Q5" s="28" t="str">
        <f t="shared" si="8"/>
        <v/>
      </c>
      <c r="R5" s="407"/>
      <c r="S5" s="22" t="str">
        <f t="shared" si="9"/>
        <v/>
      </c>
      <c r="U5" s="470"/>
      <c r="V5" s="471"/>
      <c r="W5" s="472"/>
      <c r="Y5" s="28" t="str">
        <f t="shared" si="10"/>
        <v/>
      </c>
      <c r="AA5" s="22" t="str">
        <f t="shared" si="11"/>
        <v/>
      </c>
      <c r="AC5" s="28" t="str">
        <f t="shared" si="12"/>
        <v/>
      </c>
      <c r="AE5" s="22" t="str">
        <f t="shared" si="13"/>
        <v/>
      </c>
      <c r="AG5" s="28" t="str">
        <f t="shared" si="14"/>
        <v/>
      </c>
      <c r="AH5" s="70"/>
      <c r="AI5" s="22" t="str">
        <f t="shared" si="15"/>
        <v/>
      </c>
      <c r="AK5" s="28" t="str">
        <f t="shared" ca="1" si="16"/>
        <v>40</v>
      </c>
      <c r="AL5" s="462" t="s">
        <v>1102</v>
      </c>
      <c r="AM5" s="22" t="str">
        <f t="shared" ca="1" si="17"/>
        <v>40</v>
      </c>
    </row>
    <row r="6" spans="1:39" ht="15" customHeight="1" x14ac:dyDescent="0.25">
      <c r="A6" s="10"/>
      <c r="B6" s="13">
        <f t="shared" ca="1" si="0"/>
        <v>68.25</v>
      </c>
      <c r="C6" s="14" t="str">
        <f t="shared" ca="1" si="1"/>
        <v>39</v>
      </c>
      <c r="D6" s="405"/>
      <c r="E6" s="28" t="str">
        <f t="shared" ca="1" si="2"/>
        <v>39</v>
      </c>
      <c r="F6" s="462" t="s">
        <v>1110</v>
      </c>
      <c r="G6" s="22" t="str">
        <f t="shared" ca="1" si="3"/>
        <v>39</v>
      </c>
      <c r="I6" s="28" t="str">
        <f t="shared" ca="1" si="4"/>
        <v>39</v>
      </c>
      <c r="J6" s="462" t="s">
        <v>1111</v>
      </c>
      <c r="K6" s="22" t="str">
        <f t="shared" ca="1" si="5"/>
        <v>39</v>
      </c>
      <c r="L6" s="405"/>
      <c r="M6" s="28" t="str">
        <f t="shared" ca="1" si="6"/>
        <v>39</v>
      </c>
      <c r="N6" s="409" t="s">
        <v>1028</v>
      </c>
      <c r="O6" s="22" t="str">
        <f t="shared" ca="1" si="7"/>
        <v>39</v>
      </c>
      <c r="Q6" s="28" t="str">
        <f t="shared" ca="1" si="8"/>
        <v>39</v>
      </c>
      <c r="R6" s="409" t="s">
        <v>1053</v>
      </c>
      <c r="S6" s="22" t="str">
        <f t="shared" ca="1" si="9"/>
        <v>39</v>
      </c>
      <c r="T6" s="405"/>
      <c r="U6" s="470"/>
      <c r="V6" s="471"/>
      <c r="W6" s="472"/>
      <c r="X6" s="405"/>
      <c r="Y6" s="28" t="str">
        <f t="shared" ca="1" si="10"/>
        <v>39</v>
      </c>
      <c r="Z6" s="462" t="s">
        <v>1094</v>
      </c>
      <c r="AA6" s="22" t="str">
        <f t="shared" ca="1" si="11"/>
        <v>39</v>
      </c>
      <c r="AC6" s="28" t="str">
        <f t="shared" ca="1" si="12"/>
        <v>39</v>
      </c>
      <c r="AD6" s="462" t="s">
        <v>1096</v>
      </c>
      <c r="AE6" s="22" t="str">
        <f t="shared" ca="1" si="13"/>
        <v>39</v>
      </c>
      <c r="AG6" s="28" t="str">
        <f t="shared" si="14"/>
        <v/>
      </c>
      <c r="AH6" s="70"/>
      <c r="AI6" s="22" t="str">
        <f t="shared" si="15"/>
        <v/>
      </c>
      <c r="AK6" s="28" t="str">
        <f t="shared" si="16"/>
        <v/>
      </c>
      <c r="AL6" s="463"/>
      <c r="AM6" s="22" t="str">
        <f t="shared" si="17"/>
        <v/>
      </c>
    </row>
    <row r="7" spans="1:39" ht="15" customHeight="1" x14ac:dyDescent="0.25">
      <c r="A7" s="10"/>
      <c r="B7" s="13">
        <f t="shared" ca="1" si="0"/>
        <v>66.5</v>
      </c>
      <c r="C7" s="14" t="str">
        <f t="shared" ca="1" si="1"/>
        <v>38</v>
      </c>
      <c r="D7" s="405"/>
      <c r="E7" s="28" t="str">
        <f t="shared" si="2"/>
        <v/>
      </c>
      <c r="F7" s="463"/>
      <c r="G7" s="22" t="str">
        <f t="shared" si="3"/>
        <v/>
      </c>
      <c r="I7" s="28" t="str">
        <f t="shared" si="4"/>
        <v/>
      </c>
      <c r="J7" s="463"/>
      <c r="K7" s="22" t="str">
        <f t="shared" si="5"/>
        <v/>
      </c>
      <c r="L7" s="405"/>
      <c r="M7" s="28" t="str">
        <f t="shared" ca="1" si="6"/>
        <v>38</v>
      </c>
      <c r="N7" s="408" t="s">
        <v>1029</v>
      </c>
      <c r="O7" s="22" t="str">
        <f t="shared" ca="1" si="7"/>
        <v>38</v>
      </c>
      <c r="P7" s="405"/>
      <c r="Q7" s="28" t="str">
        <f t="shared" ca="1" si="8"/>
        <v>38</v>
      </c>
      <c r="R7" s="408" t="s">
        <v>1054</v>
      </c>
      <c r="S7" s="22" t="str">
        <f t="shared" ca="1" si="9"/>
        <v>38</v>
      </c>
      <c r="T7" s="405"/>
      <c r="U7" s="470"/>
      <c r="V7" s="471"/>
      <c r="W7" s="472"/>
      <c r="X7" s="405"/>
      <c r="Y7" s="28" t="str">
        <f t="shared" si="10"/>
        <v/>
      </c>
      <c r="Z7" s="463"/>
      <c r="AA7" s="22" t="str">
        <f t="shared" si="11"/>
        <v/>
      </c>
      <c r="AB7" s="405"/>
      <c r="AC7" s="28" t="str">
        <f t="shared" si="12"/>
        <v/>
      </c>
      <c r="AD7" s="463"/>
      <c r="AE7" s="22" t="str">
        <f t="shared" si="13"/>
        <v/>
      </c>
      <c r="AG7" s="28" t="str">
        <f t="shared" si="14"/>
        <v/>
      </c>
      <c r="AH7" s="70"/>
      <c r="AI7" s="22" t="str">
        <f t="shared" si="15"/>
        <v/>
      </c>
      <c r="AK7" s="28" t="str">
        <f t="shared" si="16"/>
        <v/>
      </c>
      <c r="AM7" s="22" t="str">
        <f t="shared" si="17"/>
        <v/>
      </c>
    </row>
    <row r="8" spans="1:39" ht="15" customHeight="1" x14ac:dyDescent="0.25">
      <c r="A8" s="10"/>
      <c r="B8" s="13">
        <f t="shared" ca="1" si="0"/>
        <v>64.75</v>
      </c>
      <c r="C8" s="14" t="str">
        <f t="shared" ca="1" si="1"/>
        <v>37</v>
      </c>
      <c r="D8" s="405"/>
      <c r="E8" s="28" t="str">
        <f t="shared" si="2"/>
        <v/>
      </c>
      <c r="G8" s="22" t="str">
        <f t="shared" si="3"/>
        <v/>
      </c>
      <c r="I8" s="28" t="str">
        <f t="shared" si="4"/>
        <v/>
      </c>
      <c r="K8" s="22" t="str">
        <f t="shared" si="5"/>
        <v/>
      </c>
      <c r="L8" s="405"/>
      <c r="M8" s="28" t="str">
        <f t="shared" si="6"/>
        <v/>
      </c>
      <c r="O8" s="22" t="str">
        <f t="shared" si="7"/>
        <v/>
      </c>
      <c r="P8" s="405"/>
      <c r="Q8" s="28" t="str">
        <f t="shared" si="8"/>
        <v/>
      </c>
      <c r="S8" s="22" t="str">
        <f t="shared" si="9"/>
        <v/>
      </c>
      <c r="T8" s="405"/>
      <c r="U8" s="470"/>
      <c r="V8" s="471"/>
      <c r="W8" s="472"/>
      <c r="X8" s="405"/>
      <c r="Y8" s="28" t="str">
        <f t="shared" si="10"/>
        <v/>
      </c>
      <c r="AA8" s="22" t="str">
        <f t="shared" si="11"/>
        <v/>
      </c>
      <c r="AB8" s="405"/>
      <c r="AC8" s="28" t="str">
        <f t="shared" si="12"/>
        <v/>
      </c>
      <c r="AE8" s="22" t="str">
        <f t="shared" si="13"/>
        <v/>
      </c>
      <c r="AG8" s="28" t="str">
        <f t="shared" si="14"/>
        <v/>
      </c>
      <c r="AH8" s="70"/>
      <c r="AI8" s="22" t="str">
        <f t="shared" si="15"/>
        <v/>
      </c>
      <c r="AK8" s="28" t="str">
        <f t="shared" ca="1" si="16"/>
        <v>37</v>
      </c>
      <c r="AL8" s="462" t="s">
        <v>1103</v>
      </c>
      <c r="AM8" s="22" t="str">
        <f t="shared" ca="1" si="17"/>
        <v>37</v>
      </c>
    </row>
    <row r="9" spans="1:39" ht="15" customHeight="1" x14ac:dyDescent="0.25">
      <c r="A9" s="10"/>
      <c r="B9" s="13">
        <f t="shared" ca="1" si="0"/>
        <v>63</v>
      </c>
      <c r="C9" s="14" t="str">
        <f t="shared" ca="1" si="1"/>
        <v>36</v>
      </c>
      <c r="D9" s="405"/>
      <c r="E9" s="28" t="str">
        <f t="shared" ca="1" si="2"/>
        <v>36</v>
      </c>
      <c r="F9" s="410" t="s">
        <v>955</v>
      </c>
      <c r="G9" s="22" t="str">
        <f t="shared" ca="1" si="3"/>
        <v>36</v>
      </c>
      <c r="I9" s="28" t="str">
        <f t="shared" ca="1" si="4"/>
        <v>36</v>
      </c>
      <c r="J9" s="410" t="s">
        <v>964</v>
      </c>
      <c r="K9" s="22" t="str">
        <f t="shared" ca="1" si="5"/>
        <v>36</v>
      </c>
      <c r="L9" s="405"/>
      <c r="M9" s="28" t="str">
        <f t="shared" ca="1" si="6"/>
        <v>36</v>
      </c>
      <c r="N9" s="409" t="s">
        <v>1030</v>
      </c>
      <c r="O9" s="22" t="str">
        <f t="shared" ca="1" si="7"/>
        <v>36</v>
      </c>
      <c r="P9" s="405"/>
      <c r="Q9" s="28" t="str">
        <f t="shared" ca="1" si="8"/>
        <v>36</v>
      </c>
      <c r="R9" s="409" t="s">
        <v>1055</v>
      </c>
      <c r="S9" s="22" t="str">
        <f t="shared" ca="1" si="9"/>
        <v>36</v>
      </c>
      <c r="T9" s="405"/>
      <c r="U9" s="470"/>
      <c r="V9" s="471"/>
      <c r="W9" s="472"/>
      <c r="X9" s="405"/>
      <c r="Y9" s="28" t="str">
        <f t="shared" ca="1" si="10"/>
        <v>36</v>
      </c>
      <c r="Z9" s="409" t="s">
        <v>991</v>
      </c>
      <c r="AA9" s="22" t="str">
        <f t="shared" ca="1" si="11"/>
        <v>36</v>
      </c>
      <c r="AB9" s="405"/>
      <c r="AC9" s="28" t="str">
        <f t="shared" ca="1" si="12"/>
        <v>36</v>
      </c>
      <c r="AD9" s="409" t="s">
        <v>992</v>
      </c>
      <c r="AE9" s="22" t="str">
        <f t="shared" ca="1" si="13"/>
        <v>36</v>
      </c>
      <c r="AG9" s="28" t="str">
        <f t="shared" si="14"/>
        <v/>
      </c>
      <c r="AH9" s="70"/>
      <c r="AI9" s="22" t="str">
        <f t="shared" si="15"/>
        <v/>
      </c>
      <c r="AK9" s="28" t="str">
        <f t="shared" si="16"/>
        <v/>
      </c>
      <c r="AL9" s="463"/>
      <c r="AM9" s="22" t="str">
        <f t="shared" si="17"/>
        <v/>
      </c>
    </row>
    <row r="10" spans="1:39" ht="15" customHeight="1" x14ac:dyDescent="0.25">
      <c r="A10" s="10"/>
      <c r="B10" s="13">
        <f t="shared" ca="1" si="0"/>
        <v>61.25</v>
      </c>
      <c r="C10" s="14" t="str">
        <f t="shared" ca="1" si="1"/>
        <v>35</v>
      </c>
      <c r="D10" s="405"/>
      <c r="E10" s="28" t="str">
        <f t="shared" si="2"/>
        <v/>
      </c>
      <c r="G10" s="22" t="str">
        <f t="shared" si="3"/>
        <v/>
      </c>
      <c r="I10" s="28" t="str">
        <f t="shared" si="4"/>
        <v/>
      </c>
      <c r="K10" s="22" t="str">
        <f t="shared" si="5"/>
        <v/>
      </c>
      <c r="L10" s="405"/>
      <c r="M10" s="28" t="str">
        <f t="shared" ca="1" si="6"/>
        <v>35</v>
      </c>
      <c r="N10" s="408" t="s">
        <v>1031</v>
      </c>
      <c r="O10" s="22" t="str">
        <f t="shared" ca="1" si="7"/>
        <v>35</v>
      </c>
      <c r="P10" s="405"/>
      <c r="Q10" s="28" t="str">
        <f t="shared" ca="1" si="8"/>
        <v>35</v>
      </c>
      <c r="R10" s="408" t="s">
        <v>1056</v>
      </c>
      <c r="S10" s="22" t="str">
        <f t="shared" ca="1" si="9"/>
        <v>35</v>
      </c>
      <c r="T10" s="405"/>
      <c r="U10" s="470"/>
      <c r="V10" s="471"/>
      <c r="W10" s="472"/>
      <c r="X10" s="405"/>
      <c r="Y10" s="28" t="str">
        <f t="shared" ca="1" si="10"/>
        <v>35</v>
      </c>
      <c r="Z10" s="408" t="s">
        <v>993</v>
      </c>
      <c r="AA10" s="22" t="str">
        <f t="shared" ca="1" si="11"/>
        <v>35</v>
      </c>
      <c r="AB10" s="405"/>
      <c r="AC10" s="28" t="str">
        <f t="shared" ca="1" si="12"/>
        <v>35</v>
      </c>
      <c r="AD10" s="408" t="s">
        <v>994</v>
      </c>
      <c r="AE10" s="22" t="str">
        <f t="shared" ca="1" si="13"/>
        <v>35</v>
      </c>
      <c r="AG10" s="28" t="str">
        <f t="shared" si="14"/>
        <v/>
      </c>
      <c r="AH10" s="70"/>
      <c r="AI10" s="22" t="str">
        <f t="shared" si="15"/>
        <v/>
      </c>
      <c r="AK10" s="28" t="str">
        <f t="shared" si="16"/>
        <v/>
      </c>
      <c r="AL10" s="70"/>
      <c r="AM10" s="22" t="str">
        <f t="shared" si="17"/>
        <v/>
      </c>
    </row>
    <row r="11" spans="1:39" ht="15" customHeight="1" x14ac:dyDescent="0.25">
      <c r="A11" s="10"/>
      <c r="B11" s="13">
        <f t="shared" ca="1" si="0"/>
        <v>59.5</v>
      </c>
      <c r="C11" s="14" t="str">
        <f t="shared" ca="1" si="1"/>
        <v>34</v>
      </c>
      <c r="D11" s="405"/>
      <c r="E11" s="28" t="str">
        <f t="shared" ca="1" si="2"/>
        <v>34</v>
      </c>
      <c r="F11" s="410" t="s">
        <v>956</v>
      </c>
      <c r="G11" s="22" t="str">
        <f t="shared" ca="1" si="3"/>
        <v>34</v>
      </c>
      <c r="I11" s="28" t="str">
        <f t="shared" ca="1" si="4"/>
        <v>34</v>
      </c>
      <c r="J11" s="410" t="s">
        <v>965</v>
      </c>
      <c r="K11" s="22" t="str">
        <f t="shared" ca="1" si="5"/>
        <v>34</v>
      </c>
      <c r="L11" s="405"/>
      <c r="M11" s="28" t="str">
        <f t="shared" si="6"/>
        <v/>
      </c>
      <c r="O11" s="22" t="str">
        <f t="shared" si="7"/>
        <v/>
      </c>
      <c r="P11" s="405"/>
      <c r="Q11" s="28" t="str">
        <f t="shared" si="8"/>
        <v/>
      </c>
      <c r="S11" s="22" t="str">
        <f t="shared" si="9"/>
        <v/>
      </c>
      <c r="T11" s="405"/>
      <c r="U11" s="470"/>
      <c r="V11" s="471"/>
      <c r="W11" s="472"/>
      <c r="X11" s="405"/>
      <c r="Y11" s="28" t="str">
        <f t="shared" si="10"/>
        <v/>
      </c>
      <c r="AA11" s="22" t="str">
        <f t="shared" si="11"/>
        <v/>
      </c>
      <c r="AB11" s="405"/>
      <c r="AC11" s="28" t="str">
        <f t="shared" si="12"/>
        <v/>
      </c>
      <c r="AE11" s="22" t="str">
        <f t="shared" si="13"/>
        <v/>
      </c>
      <c r="AG11" s="28" t="str">
        <f t="shared" si="14"/>
        <v/>
      </c>
      <c r="AH11" s="70"/>
      <c r="AI11" s="22" t="str">
        <f t="shared" si="15"/>
        <v/>
      </c>
      <c r="AK11" s="28" t="str">
        <f t="shared" si="16"/>
        <v/>
      </c>
      <c r="AL11" s="70"/>
      <c r="AM11" s="22" t="str">
        <f t="shared" si="17"/>
        <v/>
      </c>
    </row>
    <row r="12" spans="1:39" ht="15" customHeight="1" x14ac:dyDescent="0.25">
      <c r="A12" s="10"/>
      <c r="B12" s="13">
        <f t="shared" ca="1" si="0"/>
        <v>57.75</v>
      </c>
      <c r="C12" s="14" t="str">
        <f t="shared" ca="1" si="1"/>
        <v>33</v>
      </c>
      <c r="D12" s="405"/>
      <c r="E12" s="28" t="str">
        <f t="shared" si="2"/>
        <v/>
      </c>
      <c r="G12" s="22" t="str">
        <f t="shared" si="3"/>
        <v/>
      </c>
      <c r="I12" s="28" t="str">
        <f t="shared" si="4"/>
        <v/>
      </c>
      <c r="K12" s="22" t="str">
        <f t="shared" si="5"/>
        <v/>
      </c>
      <c r="L12" s="405"/>
      <c r="M12" s="28" t="str">
        <f t="shared" ca="1" si="6"/>
        <v>33</v>
      </c>
      <c r="N12" s="409" t="s">
        <v>1032</v>
      </c>
      <c r="O12" s="22" t="str">
        <f t="shared" ca="1" si="7"/>
        <v>33</v>
      </c>
      <c r="P12" s="405"/>
      <c r="Q12" s="28" t="str">
        <f t="shared" ca="1" si="8"/>
        <v>33</v>
      </c>
      <c r="R12" s="409" t="s">
        <v>1057</v>
      </c>
      <c r="S12" s="22" t="str">
        <f t="shared" ca="1" si="9"/>
        <v>33</v>
      </c>
      <c r="T12" s="405"/>
      <c r="U12" s="470"/>
      <c r="V12" s="471"/>
      <c r="W12" s="472"/>
      <c r="X12" s="405"/>
      <c r="Y12" s="28" t="str">
        <f t="shared" ca="1" si="10"/>
        <v>33</v>
      </c>
      <c r="Z12" s="409" t="s">
        <v>995</v>
      </c>
      <c r="AA12" s="22" t="str">
        <f t="shared" ca="1" si="11"/>
        <v>33</v>
      </c>
      <c r="AB12" s="405"/>
      <c r="AC12" s="28" t="str">
        <f t="shared" ca="1" si="12"/>
        <v>33</v>
      </c>
      <c r="AD12" s="409" t="s">
        <v>996</v>
      </c>
      <c r="AE12" s="22" t="str">
        <f t="shared" ca="1" si="13"/>
        <v>33</v>
      </c>
      <c r="AG12" s="28" t="str">
        <f t="shared" si="14"/>
        <v/>
      </c>
      <c r="AH12" s="70"/>
      <c r="AI12" s="22" t="str">
        <f t="shared" si="15"/>
        <v/>
      </c>
      <c r="AK12" s="28" t="str">
        <f t="shared" si="16"/>
        <v/>
      </c>
      <c r="AL12" s="70"/>
      <c r="AM12" s="22" t="str">
        <f t="shared" si="17"/>
        <v/>
      </c>
    </row>
    <row r="13" spans="1:39" ht="15" customHeight="1" x14ac:dyDescent="0.25">
      <c r="A13" s="10"/>
      <c r="B13" s="13">
        <f t="shared" ca="1" si="0"/>
        <v>56</v>
      </c>
      <c r="C13" s="14" t="str">
        <f t="shared" ca="1" si="1"/>
        <v>32</v>
      </c>
      <c r="D13" s="405"/>
      <c r="E13" s="28" t="str">
        <f t="shared" ca="1" si="2"/>
        <v>32</v>
      </c>
      <c r="F13" s="410" t="s">
        <v>957</v>
      </c>
      <c r="G13" s="22" t="str">
        <f t="shared" ca="1" si="3"/>
        <v>32</v>
      </c>
      <c r="I13" s="28" t="str">
        <f t="shared" ca="1" si="4"/>
        <v>32</v>
      </c>
      <c r="J13" s="410" t="s">
        <v>966</v>
      </c>
      <c r="K13" s="22" t="str">
        <f t="shared" ca="1" si="5"/>
        <v>32</v>
      </c>
      <c r="L13" s="405"/>
      <c r="M13" s="28" t="str">
        <f t="shared" ca="1" si="6"/>
        <v>32</v>
      </c>
      <c r="N13" s="408" t="s">
        <v>1033</v>
      </c>
      <c r="O13" s="22" t="str">
        <f t="shared" ca="1" si="7"/>
        <v>32</v>
      </c>
      <c r="P13" s="405"/>
      <c r="Q13" s="28" t="str">
        <f t="shared" ca="1" si="8"/>
        <v>32</v>
      </c>
      <c r="R13" s="408" t="s">
        <v>1058</v>
      </c>
      <c r="S13" s="22" t="str">
        <f t="shared" ca="1" si="9"/>
        <v>32</v>
      </c>
      <c r="T13" s="405"/>
      <c r="U13" s="470"/>
      <c r="V13" s="471"/>
      <c r="W13" s="472"/>
      <c r="X13" s="405"/>
      <c r="Y13" s="28" t="str">
        <f t="shared" ca="1" si="10"/>
        <v>32</v>
      </c>
      <c r="Z13" s="408" t="s">
        <v>997</v>
      </c>
      <c r="AA13" s="22" t="str">
        <f t="shared" ca="1" si="11"/>
        <v>32</v>
      </c>
      <c r="AB13" s="405"/>
      <c r="AC13" s="28" t="str">
        <f t="shared" ca="1" si="12"/>
        <v>32</v>
      </c>
      <c r="AD13" s="408" t="s">
        <v>998</v>
      </c>
      <c r="AE13" s="22" t="str">
        <f t="shared" ca="1" si="13"/>
        <v>32</v>
      </c>
      <c r="AG13" s="28" t="str">
        <f t="shared" si="14"/>
        <v/>
      </c>
      <c r="AH13" s="70"/>
      <c r="AI13" s="22" t="str">
        <f t="shared" si="15"/>
        <v/>
      </c>
      <c r="AK13" s="28" t="str">
        <f t="shared" si="16"/>
        <v/>
      </c>
      <c r="AL13" s="70"/>
      <c r="AM13" s="22" t="str">
        <f t="shared" si="17"/>
        <v/>
      </c>
    </row>
    <row r="14" spans="1:39" ht="15" customHeight="1" x14ac:dyDescent="0.25">
      <c r="A14" s="10"/>
      <c r="B14" s="13">
        <f t="shared" ca="1" si="0"/>
        <v>54.25</v>
      </c>
      <c r="C14" s="14" t="str">
        <f t="shared" ca="1" si="1"/>
        <v>31</v>
      </c>
      <c r="D14" s="405"/>
      <c r="E14" s="28" t="str">
        <f t="shared" si="2"/>
        <v/>
      </c>
      <c r="G14" s="22" t="str">
        <f t="shared" si="3"/>
        <v/>
      </c>
      <c r="I14" s="28" t="str">
        <f t="shared" si="4"/>
        <v/>
      </c>
      <c r="K14" s="22" t="str">
        <f t="shared" si="5"/>
        <v/>
      </c>
      <c r="L14" s="405"/>
      <c r="M14" s="28" t="str">
        <f t="shared" si="6"/>
        <v/>
      </c>
      <c r="O14" s="22" t="str">
        <f t="shared" si="7"/>
        <v/>
      </c>
      <c r="P14" s="405"/>
      <c r="Q14" s="28" t="str">
        <f t="shared" si="8"/>
        <v/>
      </c>
      <c r="S14" s="22" t="str">
        <f t="shared" si="9"/>
        <v/>
      </c>
      <c r="T14" s="405"/>
      <c r="U14" s="470"/>
      <c r="V14" s="471"/>
      <c r="W14" s="472"/>
      <c r="X14" s="405"/>
      <c r="Y14" s="28" t="str">
        <f t="shared" si="10"/>
        <v/>
      </c>
      <c r="AA14" s="22" t="str">
        <f t="shared" si="11"/>
        <v/>
      </c>
      <c r="AB14" s="405"/>
      <c r="AC14" s="28" t="str">
        <f t="shared" si="12"/>
        <v/>
      </c>
      <c r="AE14" s="22" t="str">
        <f t="shared" si="13"/>
        <v/>
      </c>
      <c r="AG14" s="28" t="str">
        <f t="shared" ca="1" si="14"/>
        <v>31</v>
      </c>
      <c r="AH14" s="401" t="s">
        <v>1104</v>
      </c>
      <c r="AI14" s="22" t="str">
        <f t="shared" ca="1" si="15"/>
        <v>31</v>
      </c>
      <c r="AK14" s="28" t="str">
        <f t="shared" si="16"/>
        <v/>
      </c>
      <c r="AL14" s="70"/>
      <c r="AM14" s="22" t="str">
        <f t="shared" si="17"/>
        <v/>
      </c>
    </row>
    <row r="15" spans="1:39" ht="15" customHeight="1" x14ac:dyDescent="0.25">
      <c r="A15" s="10"/>
      <c r="B15" s="13">
        <f t="shared" ca="1" si="0"/>
        <v>52.5</v>
      </c>
      <c r="C15" s="14" t="str">
        <f t="shared" ca="1" si="1"/>
        <v>30</v>
      </c>
      <c r="D15" s="405"/>
      <c r="E15" s="28" t="str">
        <f t="shared" ca="1" si="2"/>
        <v>30</v>
      </c>
      <c r="F15" s="410" t="s">
        <v>958</v>
      </c>
      <c r="G15" s="22" t="str">
        <f t="shared" ca="1" si="3"/>
        <v>30</v>
      </c>
      <c r="I15" s="28" t="str">
        <f t="shared" ca="1" si="4"/>
        <v>30</v>
      </c>
      <c r="J15" s="410" t="s">
        <v>967</v>
      </c>
      <c r="K15" s="22" t="str">
        <f t="shared" ca="1" si="5"/>
        <v>30</v>
      </c>
      <c r="L15" s="405"/>
      <c r="M15" s="28" t="str">
        <f t="shared" ca="1" si="6"/>
        <v>30</v>
      </c>
      <c r="N15" s="409" t="s">
        <v>1034</v>
      </c>
      <c r="O15" s="22" t="str">
        <f t="shared" ca="1" si="7"/>
        <v>30</v>
      </c>
      <c r="P15" s="405"/>
      <c r="Q15" s="28" t="str">
        <f t="shared" ca="1" si="8"/>
        <v>30</v>
      </c>
      <c r="R15" s="409" t="s">
        <v>1059</v>
      </c>
      <c r="S15" s="22" t="str">
        <f t="shared" ca="1" si="9"/>
        <v>30</v>
      </c>
      <c r="T15" s="405"/>
      <c r="U15" s="470"/>
      <c r="V15" s="471"/>
      <c r="W15" s="472"/>
      <c r="X15" s="405"/>
      <c r="Y15" s="28" t="str">
        <f t="shared" ca="1" si="10"/>
        <v>30</v>
      </c>
      <c r="Z15" s="409" t="s">
        <v>999</v>
      </c>
      <c r="AA15" s="22" t="str">
        <f t="shared" ca="1" si="11"/>
        <v>30</v>
      </c>
      <c r="AB15" s="405"/>
      <c r="AC15" s="28" t="str">
        <f t="shared" ca="1" si="12"/>
        <v>30</v>
      </c>
      <c r="AD15" s="409" t="s">
        <v>1000</v>
      </c>
      <c r="AE15" s="22" t="str">
        <f t="shared" ca="1" si="13"/>
        <v>30</v>
      </c>
      <c r="AG15" s="28" t="str">
        <f t="shared" si="14"/>
        <v/>
      </c>
      <c r="AH15" s="70"/>
      <c r="AI15" s="22" t="str">
        <f t="shared" si="15"/>
        <v/>
      </c>
      <c r="AK15" s="28" t="str">
        <f t="shared" si="16"/>
        <v/>
      </c>
      <c r="AL15" s="70"/>
      <c r="AM15" s="22" t="str">
        <f t="shared" si="17"/>
        <v/>
      </c>
    </row>
    <row r="16" spans="1:39" ht="15" customHeight="1" x14ac:dyDescent="0.25">
      <c r="A16" s="10"/>
      <c r="B16" s="13">
        <f t="shared" ca="1" si="0"/>
        <v>50.75</v>
      </c>
      <c r="C16" s="14" t="str">
        <f t="shared" ca="1" si="1"/>
        <v>29</v>
      </c>
      <c r="D16" s="405"/>
      <c r="E16" s="28" t="str">
        <f t="shared" si="2"/>
        <v/>
      </c>
      <c r="G16" s="22" t="str">
        <f t="shared" si="3"/>
        <v/>
      </c>
      <c r="I16" s="28" t="str">
        <f t="shared" si="4"/>
        <v/>
      </c>
      <c r="K16" s="22" t="str">
        <f t="shared" si="5"/>
        <v/>
      </c>
      <c r="L16" s="405"/>
      <c r="M16" s="28" t="str">
        <f t="shared" ca="1" si="6"/>
        <v>29</v>
      </c>
      <c r="N16" s="408" t="s">
        <v>1035</v>
      </c>
      <c r="O16" s="22" t="str">
        <f t="shared" ca="1" si="7"/>
        <v>29</v>
      </c>
      <c r="P16" s="405"/>
      <c r="Q16" s="28" t="str">
        <f t="shared" ca="1" si="8"/>
        <v>29</v>
      </c>
      <c r="R16" s="408" t="s">
        <v>1060</v>
      </c>
      <c r="S16" s="22" t="str">
        <f t="shared" ca="1" si="9"/>
        <v>29</v>
      </c>
      <c r="T16" s="405"/>
      <c r="U16" s="470"/>
      <c r="V16" s="471"/>
      <c r="W16" s="472"/>
      <c r="X16" s="405"/>
      <c r="Y16" s="28" t="str">
        <f t="shared" ca="1" si="10"/>
        <v>29</v>
      </c>
      <c r="Z16" s="408" t="s">
        <v>1001</v>
      </c>
      <c r="AA16" s="22" t="str">
        <f t="shared" ca="1" si="11"/>
        <v>29</v>
      </c>
      <c r="AB16" s="405"/>
      <c r="AC16" s="28" t="str">
        <f t="shared" ca="1" si="12"/>
        <v>29</v>
      </c>
      <c r="AD16" s="408" t="s">
        <v>1002</v>
      </c>
      <c r="AE16" s="22" t="str">
        <f t="shared" ca="1" si="13"/>
        <v>29</v>
      </c>
      <c r="AG16" s="28" t="str">
        <f t="shared" ca="1" si="14"/>
        <v>29</v>
      </c>
      <c r="AH16" s="401" t="s">
        <v>1105</v>
      </c>
      <c r="AI16" s="22" t="str">
        <f t="shared" ca="1" si="15"/>
        <v>29</v>
      </c>
      <c r="AK16" s="28" t="str">
        <f t="shared" si="16"/>
        <v/>
      </c>
      <c r="AL16" s="70"/>
      <c r="AM16" s="22" t="str">
        <f t="shared" si="17"/>
        <v/>
      </c>
    </row>
    <row r="17" spans="1:39" ht="15" customHeight="1" x14ac:dyDescent="0.25">
      <c r="A17" s="10"/>
      <c r="B17" s="13">
        <f t="shared" ca="1" si="0"/>
        <v>49</v>
      </c>
      <c r="C17" s="14" t="str">
        <f t="shared" ca="1" si="1"/>
        <v>28</v>
      </c>
      <c r="D17" s="405"/>
      <c r="E17" s="28" t="str">
        <f t="shared" ca="1" si="2"/>
        <v>28</v>
      </c>
      <c r="F17" s="410" t="s">
        <v>959</v>
      </c>
      <c r="G17" s="22" t="str">
        <f t="shared" ca="1" si="3"/>
        <v>28</v>
      </c>
      <c r="I17" s="28" t="str">
        <f t="shared" ca="1" si="4"/>
        <v>28</v>
      </c>
      <c r="J17" s="410" t="s">
        <v>968</v>
      </c>
      <c r="K17" s="22" t="str">
        <f t="shared" ca="1" si="5"/>
        <v>28</v>
      </c>
      <c r="L17" s="405"/>
      <c r="M17" s="28" t="str">
        <f t="shared" si="6"/>
        <v/>
      </c>
      <c r="O17" s="22" t="str">
        <f t="shared" si="7"/>
        <v/>
      </c>
      <c r="P17" s="405"/>
      <c r="Q17" s="28" t="str">
        <f t="shared" si="8"/>
        <v/>
      </c>
      <c r="S17" s="22" t="str">
        <f t="shared" si="9"/>
        <v/>
      </c>
      <c r="T17" s="405"/>
      <c r="U17" s="470"/>
      <c r="V17" s="471"/>
      <c r="W17" s="472"/>
      <c r="X17" s="405"/>
      <c r="Y17" s="28" t="str">
        <f t="shared" si="10"/>
        <v/>
      </c>
      <c r="AA17" s="22" t="str">
        <f t="shared" si="11"/>
        <v/>
      </c>
      <c r="AB17" s="405"/>
      <c r="AC17" s="28" t="str">
        <f t="shared" si="12"/>
        <v/>
      </c>
      <c r="AE17" s="22" t="str">
        <f t="shared" si="13"/>
        <v/>
      </c>
      <c r="AG17" s="28" t="str">
        <f t="shared" si="14"/>
        <v/>
      </c>
      <c r="AI17" s="22" t="str">
        <f t="shared" si="15"/>
        <v/>
      </c>
      <c r="AK17" s="28" t="str">
        <f t="shared" si="16"/>
        <v/>
      </c>
      <c r="AL17" s="70"/>
      <c r="AM17" s="22" t="str">
        <f t="shared" si="17"/>
        <v/>
      </c>
    </row>
    <row r="18" spans="1:39" ht="15" customHeight="1" x14ac:dyDescent="0.25">
      <c r="A18" s="10"/>
      <c r="B18" s="13">
        <f t="shared" ca="1" si="0"/>
        <v>47.25</v>
      </c>
      <c r="C18" s="14" t="str">
        <f t="shared" ca="1" si="1"/>
        <v>27</v>
      </c>
      <c r="D18" s="405"/>
      <c r="E18" s="28" t="str">
        <f t="shared" si="2"/>
        <v/>
      </c>
      <c r="G18" s="22" t="str">
        <f t="shared" si="3"/>
        <v/>
      </c>
      <c r="I18" s="28" t="str">
        <f t="shared" si="4"/>
        <v/>
      </c>
      <c r="J18" s="70"/>
      <c r="K18" s="22" t="str">
        <f t="shared" si="5"/>
        <v/>
      </c>
      <c r="L18" s="405"/>
      <c r="M18" s="28" t="str">
        <f t="shared" ca="1" si="6"/>
        <v>27</v>
      </c>
      <c r="N18" s="409" t="s">
        <v>1036</v>
      </c>
      <c r="O18" s="22" t="str">
        <f t="shared" ca="1" si="7"/>
        <v>27</v>
      </c>
      <c r="P18" s="405"/>
      <c r="Q18" s="28" t="str">
        <f t="shared" ca="1" si="8"/>
        <v>27</v>
      </c>
      <c r="R18" s="409" t="s">
        <v>1061</v>
      </c>
      <c r="S18" s="22" t="str">
        <f t="shared" ca="1" si="9"/>
        <v>27</v>
      </c>
      <c r="T18" s="405"/>
      <c r="U18" s="470"/>
      <c r="V18" s="471"/>
      <c r="W18" s="472"/>
      <c r="X18" s="405"/>
      <c r="Y18" s="28" t="str">
        <f t="shared" ca="1" si="10"/>
        <v>27</v>
      </c>
      <c r="Z18" s="409" t="s">
        <v>1003</v>
      </c>
      <c r="AA18" s="22" t="str">
        <f t="shared" ca="1" si="11"/>
        <v>27</v>
      </c>
      <c r="AB18" s="405"/>
      <c r="AC18" s="28" t="str">
        <f t="shared" ca="1" si="12"/>
        <v>27</v>
      </c>
      <c r="AD18" s="409" t="s">
        <v>1004</v>
      </c>
      <c r="AE18" s="22" t="str">
        <f t="shared" ca="1" si="13"/>
        <v>27</v>
      </c>
      <c r="AG18" s="28" t="str">
        <f t="shared" ca="1" si="14"/>
        <v>27</v>
      </c>
      <c r="AH18" s="401" t="s">
        <v>1107</v>
      </c>
      <c r="AI18" s="22" t="str">
        <f t="shared" ca="1" si="15"/>
        <v>27</v>
      </c>
      <c r="AK18" s="28" t="str">
        <f t="shared" si="16"/>
        <v/>
      </c>
      <c r="AL18" s="70"/>
      <c r="AM18" s="22" t="str">
        <f t="shared" si="17"/>
        <v/>
      </c>
    </row>
    <row r="19" spans="1:39" ht="15" customHeight="1" x14ac:dyDescent="0.25">
      <c r="A19" s="10"/>
      <c r="B19" s="13">
        <f t="shared" ca="1" si="0"/>
        <v>45.5</v>
      </c>
      <c r="C19" s="14" t="str">
        <f t="shared" ca="1" si="1"/>
        <v>26</v>
      </c>
      <c r="D19" s="405"/>
      <c r="E19" s="28" t="str">
        <f t="shared" ca="1" si="2"/>
        <v>26</v>
      </c>
      <c r="F19" s="410" t="s">
        <v>960</v>
      </c>
      <c r="G19" s="22" t="str">
        <f t="shared" ca="1" si="3"/>
        <v>26</v>
      </c>
      <c r="I19" s="28" t="str">
        <f t="shared" si="4"/>
        <v/>
      </c>
      <c r="J19" s="70"/>
      <c r="K19" s="22" t="str">
        <f t="shared" si="5"/>
        <v/>
      </c>
      <c r="L19" s="405"/>
      <c r="M19" s="28" t="str">
        <f t="shared" ca="1" si="6"/>
        <v>26</v>
      </c>
      <c r="N19" s="408" t="s">
        <v>1037</v>
      </c>
      <c r="O19" s="22" t="str">
        <f t="shared" ca="1" si="7"/>
        <v>26</v>
      </c>
      <c r="P19" s="405"/>
      <c r="Q19" s="28" t="str">
        <f t="shared" ca="1" si="8"/>
        <v>26</v>
      </c>
      <c r="R19" s="408" t="s">
        <v>1062</v>
      </c>
      <c r="S19" s="22" t="str">
        <f t="shared" ca="1" si="9"/>
        <v>26</v>
      </c>
      <c r="T19" s="405"/>
      <c r="U19" s="470"/>
      <c r="V19" s="471"/>
      <c r="W19" s="472"/>
      <c r="X19" s="405"/>
      <c r="Y19" s="28" t="str">
        <f t="shared" ca="1" si="10"/>
        <v>26</v>
      </c>
      <c r="Z19" s="408" t="s">
        <v>1005</v>
      </c>
      <c r="AA19" s="22" t="str">
        <f t="shared" ca="1" si="11"/>
        <v>26</v>
      </c>
      <c r="AB19" s="405"/>
      <c r="AC19" s="28" t="str">
        <f t="shared" ca="1" si="12"/>
        <v>26</v>
      </c>
      <c r="AD19" s="408" t="s">
        <v>1006</v>
      </c>
      <c r="AE19" s="22" t="str">
        <f t="shared" ca="1" si="13"/>
        <v>26</v>
      </c>
      <c r="AG19" s="28" t="str">
        <f t="shared" si="14"/>
        <v/>
      </c>
      <c r="AI19" s="22" t="str">
        <f t="shared" si="15"/>
        <v/>
      </c>
      <c r="AK19" s="28" t="str">
        <f t="shared" si="16"/>
        <v/>
      </c>
      <c r="AL19" s="70"/>
      <c r="AM19" s="22" t="str">
        <f t="shared" si="17"/>
        <v/>
      </c>
    </row>
    <row r="20" spans="1:39" ht="15" customHeight="1" x14ac:dyDescent="0.25">
      <c r="A20" s="10"/>
      <c r="B20" s="13">
        <f t="shared" ca="1" si="0"/>
        <v>43.75</v>
      </c>
      <c r="C20" s="14" t="str">
        <f t="shared" ca="1" si="1"/>
        <v>25</v>
      </c>
      <c r="D20" s="405"/>
      <c r="E20" s="28" t="str">
        <f t="shared" si="2"/>
        <v/>
      </c>
      <c r="G20" s="22" t="str">
        <f t="shared" si="3"/>
        <v/>
      </c>
      <c r="I20" s="28" t="str">
        <f t="shared" ca="1" si="4"/>
        <v>25</v>
      </c>
      <c r="J20" s="462" t="s">
        <v>1022</v>
      </c>
      <c r="K20" s="22" t="str">
        <f t="shared" ca="1" si="5"/>
        <v>25</v>
      </c>
      <c r="L20" s="405"/>
      <c r="M20" s="28" t="str">
        <f t="shared" si="6"/>
        <v/>
      </c>
      <c r="O20" s="22" t="str">
        <f t="shared" si="7"/>
        <v/>
      </c>
      <c r="P20" s="405"/>
      <c r="Q20" s="28" t="str">
        <f t="shared" si="8"/>
        <v/>
      </c>
      <c r="S20" s="22" t="str">
        <f t="shared" si="9"/>
        <v/>
      </c>
      <c r="T20" s="405"/>
      <c r="U20" s="470"/>
      <c r="V20" s="471"/>
      <c r="W20" s="472"/>
      <c r="X20" s="405"/>
      <c r="Y20" s="28" t="str">
        <f t="shared" si="10"/>
        <v/>
      </c>
      <c r="Z20" s="422"/>
      <c r="AA20" s="22" t="str">
        <f t="shared" si="11"/>
        <v/>
      </c>
      <c r="AB20" s="405"/>
      <c r="AC20" s="28" t="str">
        <f t="shared" si="12"/>
        <v/>
      </c>
      <c r="AE20" s="22" t="str">
        <f t="shared" si="13"/>
        <v/>
      </c>
      <c r="AG20" s="28" t="str">
        <f t="shared" ca="1" si="14"/>
        <v>25</v>
      </c>
      <c r="AH20" s="401" t="s">
        <v>1106</v>
      </c>
      <c r="AI20" s="22" t="str">
        <f t="shared" ca="1" si="15"/>
        <v>25</v>
      </c>
      <c r="AK20" s="28" t="str">
        <f t="shared" si="16"/>
        <v/>
      </c>
      <c r="AL20" s="70"/>
      <c r="AM20" s="22" t="str">
        <f t="shared" si="17"/>
        <v/>
      </c>
    </row>
    <row r="21" spans="1:39" ht="15" customHeight="1" x14ac:dyDescent="0.25">
      <c r="A21" s="10"/>
      <c r="B21" s="13">
        <f t="shared" ca="1" si="0"/>
        <v>42</v>
      </c>
      <c r="C21" s="14" t="str">
        <f t="shared" ca="1" si="1"/>
        <v>24</v>
      </c>
      <c r="D21" s="405"/>
      <c r="E21" s="28" t="str">
        <f t="shared" ca="1" si="2"/>
        <v>24</v>
      </c>
      <c r="F21" s="410" t="s">
        <v>961</v>
      </c>
      <c r="G21" s="22" t="str">
        <f t="shared" ca="1" si="3"/>
        <v>24</v>
      </c>
      <c r="I21" s="28" t="str">
        <f t="shared" si="4"/>
        <v/>
      </c>
      <c r="J21" s="463"/>
      <c r="K21" s="22" t="str">
        <f t="shared" si="5"/>
        <v/>
      </c>
      <c r="L21" s="405"/>
      <c r="M21" s="28" t="str">
        <f t="shared" ca="1" si="6"/>
        <v>24</v>
      </c>
      <c r="N21" s="409" t="s">
        <v>1038</v>
      </c>
      <c r="O21" s="22" t="str">
        <f t="shared" ca="1" si="7"/>
        <v>24</v>
      </c>
      <c r="P21" s="405"/>
      <c r="Q21" s="28" t="str">
        <f t="shared" ca="1" si="8"/>
        <v>24</v>
      </c>
      <c r="R21" s="409" t="s">
        <v>1063</v>
      </c>
      <c r="S21" s="22" t="str">
        <f t="shared" ca="1" si="9"/>
        <v>24</v>
      </c>
      <c r="T21" s="405"/>
      <c r="U21" s="470"/>
      <c r="V21" s="471"/>
      <c r="W21" s="472"/>
      <c r="X21" s="405"/>
      <c r="Y21" s="28" t="str">
        <f t="shared" si="10"/>
        <v/>
      </c>
      <c r="Z21" s="422"/>
      <c r="AA21" s="22" t="str">
        <f t="shared" si="11"/>
        <v/>
      </c>
      <c r="AB21" s="405"/>
      <c r="AC21" s="28" t="str">
        <f t="shared" ca="1" si="12"/>
        <v>24</v>
      </c>
      <c r="AD21" s="409" t="s">
        <v>1007</v>
      </c>
      <c r="AE21" s="22" t="str">
        <f t="shared" ca="1" si="13"/>
        <v>24</v>
      </c>
      <c r="AG21" s="28" t="str">
        <f t="shared" ca="1" si="14"/>
        <v>24</v>
      </c>
      <c r="AH21" s="410" t="s">
        <v>46</v>
      </c>
      <c r="AI21" s="22" t="str">
        <f t="shared" ca="1" si="15"/>
        <v>24</v>
      </c>
      <c r="AK21" s="28" t="str">
        <f t="shared" si="16"/>
        <v/>
      </c>
      <c r="AL21" s="70"/>
      <c r="AM21" s="22" t="str">
        <f t="shared" si="17"/>
        <v/>
      </c>
    </row>
    <row r="22" spans="1:39" ht="15" customHeight="1" x14ac:dyDescent="0.25">
      <c r="A22" s="10"/>
      <c r="B22" s="13">
        <f t="shared" ca="1" si="0"/>
        <v>40.25</v>
      </c>
      <c r="C22" s="14" t="str">
        <f t="shared" ca="1" si="1"/>
        <v>23</v>
      </c>
      <c r="D22" s="405"/>
      <c r="E22" s="28" t="str">
        <f t="shared" si="2"/>
        <v/>
      </c>
      <c r="G22" s="22" t="str">
        <f t="shared" si="3"/>
        <v/>
      </c>
      <c r="I22" s="28" t="str">
        <f t="shared" si="4"/>
        <v/>
      </c>
      <c r="K22" s="22" t="str">
        <f t="shared" si="5"/>
        <v/>
      </c>
      <c r="L22" s="405"/>
      <c r="M22" s="28" t="str">
        <f t="shared" ca="1" si="6"/>
        <v>23</v>
      </c>
      <c r="N22" s="408" t="s">
        <v>1039</v>
      </c>
      <c r="O22" s="22" t="str">
        <f t="shared" ca="1" si="7"/>
        <v>23</v>
      </c>
      <c r="P22" s="405"/>
      <c r="Q22" s="28" t="str">
        <f t="shared" ca="1" si="8"/>
        <v>23</v>
      </c>
      <c r="R22" s="408" t="s">
        <v>1064</v>
      </c>
      <c r="S22" s="22" t="str">
        <f t="shared" ca="1" si="9"/>
        <v>23</v>
      </c>
      <c r="T22" s="405"/>
      <c r="U22" s="470"/>
      <c r="V22" s="471"/>
      <c r="W22" s="472"/>
      <c r="X22" s="405"/>
      <c r="Y22" s="28" t="str">
        <f t="shared" ca="1" si="10"/>
        <v>23</v>
      </c>
      <c r="Z22" s="409" t="s">
        <v>1079</v>
      </c>
      <c r="AA22" s="22" t="str">
        <f t="shared" ca="1" si="11"/>
        <v>23</v>
      </c>
      <c r="AB22" s="405"/>
      <c r="AC22" s="28" t="str">
        <f t="shared" ca="1" si="12"/>
        <v>23</v>
      </c>
      <c r="AD22" s="408" t="s">
        <v>1008</v>
      </c>
      <c r="AE22" s="22" t="str">
        <f t="shared" ca="1" si="13"/>
        <v>23</v>
      </c>
      <c r="AG22" s="28" t="str">
        <f t="shared" si="14"/>
        <v/>
      </c>
      <c r="AH22" s="70"/>
      <c r="AI22" s="22" t="str">
        <f t="shared" si="15"/>
        <v/>
      </c>
      <c r="AK22" s="28" t="str">
        <f t="shared" si="16"/>
        <v/>
      </c>
      <c r="AL22" s="70"/>
      <c r="AM22" s="22" t="str">
        <f t="shared" si="17"/>
        <v/>
      </c>
    </row>
    <row r="23" spans="1:39" ht="15" customHeight="1" x14ac:dyDescent="0.25">
      <c r="A23" s="10"/>
      <c r="B23" s="13">
        <f t="shared" ca="1" si="0"/>
        <v>38.5</v>
      </c>
      <c r="C23" s="14" t="str">
        <f t="shared" ca="1" si="1"/>
        <v>22</v>
      </c>
      <c r="D23" s="405"/>
      <c r="E23" s="28" t="str">
        <f t="shared" ca="1" si="2"/>
        <v>22</v>
      </c>
      <c r="F23" s="410" t="s">
        <v>962</v>
      </c>
      <c r="G23" s="22" t="str">
        <f t="shared" ca="1" si="3"/>
        <v>22</v>
      </c>
      <c r="I23" s="28" t="str">
        <f t="shared" ca="1" si="4"/>
        <v>22</v>
      </c>
      <c r="J23" s="462" t="s">
        <v>1023</v>
      </c>
      <c r="K23" s="22" t="str">
        <f t="shared" ca="1" si="5"/>
        <v>22</v>
      </c>
      <c r="L23" s="405"/>
      <c r="M23" s="28" t="str">
        <f t="shared" si="6"/>
        <v/>
      </c>
      <c r="O23" s="22" t="str">
        <f t="shared" si="7"/>
        <v/>
      </c>
      <c r="P23" s="405"/>
      <c r="Q23" s="28" t="str">
        <f t="shared" si="8"/>
        <v/>
      </c>
      <c r="S23" s="22" t="str">
        <f t="shared" si="9"/>
        <v/>
      </c>
      <c r="T23" s="405"/>
      <c r="U23" s="470"/>
      <c r="V23" s="471"/>
      <c r="W23" s="472"/>
      <c r="X23" s="405"/>
      <c r="Y23" s="28" t="str">
        <f t="shared" ca="1" si="10"/>
        <v>22</v>
      </c>
      <c r="Z23" s="409" t="s">
        <v>1080</v>
      </c>
      <c r="AA23" s="22" t="str">
        <f t="shared" ca="1" si="11"/>
        <v>22</v>
      </c>
      <c r="AB23" s="405"/>
      <c r="AC23" s="28" t="str">
        <f t="shared" si="12"/>
        <v/>
      </c>
      <c r="AE23" s="22" t="str">
        <f t="shared" si="13"/>
        <v/>
      </c>
      <c r="AG23" s="28" t="str">
        <f t="shared" si="14"/>
        <v/>
      </c>
      <c r="AI23" s="22" t="str">
        <f t="shared" si="15"/>
        <v/>
      </c>
      <c r="AK23" s="28" t="str">
        <f t="shared" si="16"/>
        <v/>
      </c>
      <c r="AL23" s="70"/>
      <c r="AM23" s="22" t="str">
        <f t="shared" si="17"/>
        <v/>
      </c>
    </row>
    <row r="24" spans="1:39" ht="15" customHeight="1" x14ac:dyDescent="0.25">
      <c r="A24" s="10"/>
      <c r="B24" s="13">
        <f t="shared" ca="1" si="0"/>
        <v>36.75</v>
      </c>
      <c r="C24" s="14" t="str">
        <f t="shared" ca="1" si="1"/>
        <v>21</v>
      </c>
      <c r="D24" s="405"/>
      <c r="E24" s="28" t="str">
        <f t="shared" si="2"/>
        <v/>
      </c>
      <c r="G24" s="22" t="str">
        <f t="shared" si="3"/>
        <v/>
      </c>
      <c r="I24" s="28" t="str">
        <f t="shared" si="4"/>
        <v/>
      </c>
      <c r="J24" s="463"/>
      <c r="K24" s="22" t="str">
        <f t="shared" si="5"/>
        <v/>
      </c>
      <c r="L24" s="405"/>
      <c r="M24" s="28" t="str">
        <f t="shared" ca="1" si="6"/>
        <v>21</v>
      </c>
      <c r="N24" s="409" t="s">
        <v>1040</v>
      </c>
      <c r="O24" s="22" t="str">
        <f t="shared" ca="1" si="7"/>
        <v>21</v>
      </c>
      <c r="P24" s="405"/>
      <c r="Q24" s="28" t="str">
        <f t="shared" ca="1" si="8"/>
        <v>21</v>
      </c>
      <c r="R24" s="409" t="s">
        <v>1065</v>
      </c>
      <c r="S24" s="22" t="str">
        <f t="shared" ca="1" si="9"/>
        <v>21</v>
      </c>
      <c r="T24" s="405"/>
      <c r="U24" s="470"/>
      <c r="V24" s="471"/>
      <c r="W24" s="472"/>
      <c r="X24" s="405"/>
      <c r="Y24" s="28" t="str">
        <f t="shared" si="10"/>
        <v/>
      </c>
      <c r="Z24" s="422"/>
      <c r="AA24" s="22" t="str">
        <f t="shared" si="11"/>
        <v/>
      </c>
      <c r="AB24" s="405"/>
      <c r="AC24" s="28" t="str">
        <f t="shared" ca="1" si="12"/>
        <v>21</v>
      </c>
      <c r="AD24" s="409" t="s">
        <v>1009</v>
      </c>
      <c r="AE24" s="22" t="str">
        <f t="shared" ca="1" si="13"/>
        <v>21</v>
      </c>
      <c r="AG24" s="28" t="str">
        <f t="shared" ca="1" si="14"/>
        <v>21</v>
      </c>
      <c r="AH24" s="462" t="s">
        <v>976</v>
      </c>
      <c r="AI24" s="22" t="str">
        <f t="shared" ca="1" si="15"/>
        <v>21</v>
      </c>
      <c r="AK24" s="28" t="str">
        <f t="shared" si="16"/>
        <v/>
      </c>
      <c r="AL24" s="70"/>
      <c r="AM24" s="22" t="str">
        <f t="shared" si="17"/>
        <v/>
      </c>
    </row>
    <row r="25" spans="1:39" ht="15" customHeight="1" x14ac:dyDescent="0.25">
      <c r="A25" s="10"/>
      <c r="B25" s="13">
        <f t="shared" ca="1" si="0"/>
        <v>35</v>
      </c>
      <c r="C25" s="14" t="str">
        <f t="shared" ca="1" si="1"/>
        <v>20</v>
      </c>
      <c r="D25" s="405"/>
      <c r="E25" s="28" t="str">
        <f t="shared" ca="1" si="2"/>
        <v>20</v>
      </c>
      <c r="F25" s="410" t="s">
        <v>963</v>
      </c>
      <c r="G25" s="22" t="str">
        <f t="shared" ca="1" si="3"/>
        <v>20</v>
      </c>
      <c r="I25" s="28" t="str">
        <f t="shared" si="4"/>
        <v/>
      </c>
      <c r="K25" s="22" t="str">
        <f t="shared" si="5"/>
        <v/>
      </c>
      <c r="L25" s="405"/>
      <c r="M25" s="28" t="str">
        <f t="shared" ca="1" si="6"/>
        <v>20</v>
      </c>
      <c r="N25" s="408" t="s">
        <v>1041</v>
      </c>
      <c r="O25" s="22" t="str">
        <f t="shared" ca="1" si="7"/>
        <v>20</v>
      </c>
      <c r="P25" s="405"/>
      <c r="Q25" s="28" t="str">
        <f t="shared" ca="1" si="8"/>
        <v>20</v>
      </c>
      <c r="R25" s="408" t="s">
        <v>1066</v>
      </c>
      <c r="S25" s="22" t="str">
        <f t="shared" ca="1" si="9"/>
        <v>20</v>
      </c>
      <c r="T25" s="405"/>
      <c r="U25" s="470"/>
      <c r="V25" s="471"/>
      <c r="W25" s="472"/>
      <c r="X25" s="405"/>
      <c r="Y25" s="28" t="str">
        <f t="shared" ca="1" si="10"/>
        <v>20</v>
      </c>
      <c r="Z25" s="409" t="s">
        <v>1081</v>
      </c>
      <c r="AA25" s="22" t="str">
        <f t="shared" ca="1" si="11"/>
        <v>20</v>
      </c>
      <c r="AB25" s="405"/>
      <c r="AC25" s="28" t="str">
        <f t="shared" ca="1" si="12"/>
        <v>20</v>
      </c>
      <c r="AD25" s="408" t="s">
        <v>1010</v>
      </c>
      <c r="AE25" s="22" t="str">
        <f t="shared" ca="1" si="13"/>
        <v>20</v>
      </c>
      <c r="AG25" s="28" t="str">
        <f t="shared" si="14"/>
        <v/>
      </c>
      <c r="AH25" s="463"/>
      <c r="AI25" s="22" t="str">
        <f t="shared" si="15"/>
        <v/>
      </c>
      <c r="AK25" s="28" t="str">
        <f t="shared" si="16"/>
        <v/>
      </c>
      <c r="AL25" s="70"/>
      <c r="AM25" s="22" t="str">
        <f t="shared" si="17"/>
        <v/>
      </c>
    </row>
    <row r="26" spans="1:39" ht="15" customHeight="1" x14ac:dyDescent="0.25">
      <c r="A26" s="10"/>
      <c r="B26" s="13">
        <f t="shared" ca="1" si="0"/>
        <v>33.25</v>
      </c>
      <c r="C26" s="14" t="str">
        <f t="shared" ca="1" si="1"/>
        <v>19</v>
      </c>
      <c r="D26" s="405"/>
      <c r="E26" s="28" t="str">
        <f t="shared" si="2"/>
        <v/>
      </c>
      <c r="F26" s="422"/>
      <c r="G26" s="22" t="str">
        <f t="shared" si="3"/>
        <v/>
      </c>
      <c r="I26" s="28" t="str">
        <f t="shared" ca="1" si="4"/>
        <v>19</v>
      </c>
      <c r="J26" s="462" t="s">
        <v>1024</v>
      </c>
      <c r="K26" s="22" t="str">
        <f t="shared" ca="1" si="5"/>
        <v>19</v>
      </c>
      <c r="L26" s="405"/>
      <c r="M26" s="28" t="str">
        <f t="shared" si="6"/>
        <v/>
      </c>
      <c r="O26" s="22" t="str">
        <f t="shared" si="7"/>
        <v/>
      </c>
      <c r="P26" s="405"/>
      <c r="Q26" s="28" t="str">
        <f t="shared" si="8"/>
        <v/>
      </c>
      <c r="S26" s="22" t="str">
        <f t="shared" si="9"/>
        <v/>
      </c>
      <c r="T26" s="405"/>
      <c r="U26" s="470"/>
      <c r="V26" s="471"/>
      <c r="W26" s="472"/>
      <c r="X26" s="405"/>
      <c r="Y26" s="28" t="str">
        <f t="shared" ca="1" si="10"/>
        <v>19</v>
      </c>
      <c r="Z26" s="409" t="s">
        <v>1082</v>
      </c>
      <c r="AA26" s="22" t="str">
        <f t="shared" ca="1" si="11"/>
        <v>19</v>
      </c>
      <c r="AB26" s="405"/>
      <c r="AC26" s="28" t="str">
        <f t="shared" si="12"/>
        <v/>
      </c>
      <c r="AE26" s="22" t="str">
        <f t="shared" si="13"/>
        <v/>
      </c>
      <c r="AG26" s="28" t="str">
        <f t="shared" ca="1" si="14"/>
        <v>19</v>
      </c>
      <c r="AH26" s="462" t="s">
        <v>977</v>
      </c>
      <c r="AI26" s="22" t="str">
        <f t="shared" ca="1" si="15"/>
        <v>19</v>
      </c>
      <c r="AK26" s="28" t="str">
        <f t="shared" si="16"/>
        <v/>
      </c>
      <c r="AL26" s="70"/>
      <c r="AM26" s="22" t="str">
        <f t="shared" si="17"/>
        <v/>
      </c>
    </row>
    <row r="27" spans="1:39" ht="15" customHeight="1" x14ac:dyDescent="0.25">
      <c r="A27" s="10"/>
      <c r="B27" s="13">
        <f t="shared" ca="1" si="0"/>
        <v>31.5</v>
      </c>
      <c r="C27" s="14" t="str">
        <f t="shared" ca="1" si="1"/>
        <v>18</v>
      </c>
      <c r="D27" s="405"/>
      <c r="E27" s="28" t="str">
        <f t="shared" si="2"/>
        <v/>
      </c>
      <c r="F27" s="422"/>
      <c r="G27" s="22" t="str">
        <f t="shared" si="3"/>
        <v/>
      </c>
      <c r="I27" s="28" t="str">
        <f t="shared" si="4"/>
        <v/>
      </c>
      <c r="J27" s="463"/>
      <c r="K27" s="22" t="str">
        <f t="shared" si="5"/>
        <v/>
      </c>
      <c r="L27" s="405"/>
      <c r="M27" s="28" t="str">
        <f t="shared" ca="1" si="6"/>
        <v>18</v>
      </c>
      <c r="N27" s="409" t="s">
        <v>1042</v>
      </c>
      <c r="O27" s="22" t="str">
        <f t="shared" ca="1" si="7"/>
        <v>18</v>
      </c>
      <c r="P27" s="405"/>
      <c r="Q27" s="28" t="str">
        <f t="shared" ca="1" si="8"/>
        <v>18</v>
      </c>
      <c r="R27" s="409" t="s">
        <v>1067</v>
      </c>
      <c r="S27" s="22" t="str">
        <f t="shared" ca="1" si="9"/>
        <v>18</v>
      </c>
      <c r="T27" s="405"/>
      <c r="U27" s="470"/>
      <c r="V27" s="471"/>
      <c r="W27" s="472"/>
      <c r="X27" s="405"/>
      <c r="Y27" s="28" t="str">
        <f t="shared" si="10"/>
        <v/>
      </c>
      <c r="Z27" s="422"/>
      <c r="AA27" s="22" t="str">
        <f t="shared" si="11"/>
        <v/>
      </c>
      <c r="AB27" s="405"/>
      <c r="AC27" s="28" t="str">
        <f t="shared" ca="1" si="12"/>
        <v>18</v>
      </c>
      <c r="AD27" s="409" t="s">
        <v>1011</v>
      </c>
      <c r="AE27" s="22" t="str">
        <f t="shared" ca="1" si="13"/>
        <v>18</v>
      </c>
      <c r="AG27" s="28" t="str">
        <f t="shared" si="14"/>
        <v/>
      </c>
      <c r="AH27" s="463"/>
      <c r="AI27" s="22" t="str">
        <f t="shared" si="15"/>
        <v/>
      </c>
      <c r="AK27" s="28" t="str">
        <f t="shared" si="16"/>
        <v/>
      </c>
      <c r="AL27" s="70"/>
      <c r="AM27" s="22" t="str">
        <f t="shared" si="17"/>
        <v/>
      </c>
    </row>
    <row r="28" spans="1:39" ht="15" customHeight="1" x14ac:dyDescent="0.25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2"/>
        <v/>
      </c>
      <c r="F28" s="422"/>
      <c r="G28" s="22" t="str">
        <f t="shared" si="3"/>
        <v/>
      </c>
      <c r="I28" s="28" t="str">
        <f t="shared" si="4"/>
        <v/>
      </c>
      <c r="K28" s="22" t="str">
        <f t="shared" si="5"/>
        <v/>
      </c>
      <c r="M28" s="28" t="str">
        <f t="shared" ca="1" si="6"/>
        <v>17</v>
      </c>
      <c r="N28" s="408" t="s">
        <v>1043</v>
      </c>
      <c r="O28" s="22" t="str">
        <f t="shared" ca="1" si="7"/>
        <v>17</v>
      </c>
      <c r="Q28" s="28" t="str">
        <f t="shared" ca="1" si="8"/>
        <v>17</v>
      </c>
      <c r="R28" s="408" t="s">
        <v>1068</v>
      </c>
      <c r="S28" s="22" t="str">
        <f t="shared" ca="1" si="9"/>
        <v>17</v>
      </c>
      <c r="U28" s="470"/>
      <c r="V28" s="471"/>
      <c r="W28" s="472"/>
      <c r="Y28" s="28" t="str">
        <f t="shared" ca="1" si="10"/>
        <v>17</v>
      </c>
      <c r="Z28" s="409" t="s">
        <v>1083</v>
      </c>
      <c r="AA28" s="22" t="str">
        <f t="shared" ca="1" si="11"/>
        <v>17</v>
      </c>
      <c r="AC28" s="28" t="str">
        <f t="shared" ca="1" si="12"/>
        <v>17</v>
      </c>
      <c r="AD28" s="408" t="s">
        <v>1012</v>
      </c>
      <c r="AE28" s="22" t="str">
        <f t="shared" ca="1" si="13"/>
        <v>17</v>
      </c>
      <c r="AG28" s="28" t="str">
        <f t="shared" ca="1" si="14"/>
        <v>17</v>
      </c>
      <c r="AH28" s="462" t="s">
        <v>978</v>
      </c>
      <c r="AI28" s="22" t="str">
        <f t="shared" ca="1" si="15"/>
        <v>17</v>
      </c>
      <c r="AK28" s="28" t="str">
        <f t="shared" si="16"/>
        <v/>
      </c>
      <c r="AL28" s="70"/>
      <c r="AM28" s="22" t="str">
        <f t="shared" si="17"/>
        <v/>
      </c>
    </row>
    <row r="29" spans="1:39" ht="15" customHeight="1" x14ac:dyDescent="0.25">
      <c r="A29" s="10"/>
      <c r="B29" s="13">
        <f t="shared" ca="1" si="0"/>
        <v>28</v>
      </c>
      <c r="C29" s="14" t="str">
        <f t="shared" ca="1" si="1"/>
        <v>16</v>
      </c>
      <c r="D29" s="406"/>
      <c r="E29" s="28" t="str">
        <f t="shared" si="2"/>
        <v/>
      </c>
      <c r="G29" s="22" t="str">
        <f t="shared" si="3"/>
        <v/>
      </c>
      <c r="I29" s="28" t="str">
        <f t="shared" ca="1" si="4"/>
        <v>16</v>
      </c>
      <c r="J29" s="462" t="s">
        <v>1025</v>
      </c>
      <c r="K29" s="22" t="str">
        <f t="shared" ca="1" si="5"/>
        <v>16</v>
      </c>
      <c r="L29" s="406"/>
      <c r="M29" s="28" t="str">
        <f t="shared" si="6"/>
        <v/>
      </c>
      <c r="O29" s="22" t="str">
        <f t="shared" si="7"/>
        <v/>
      </c>
      <c r="P29" s="406"/>
      <c r="Q29" s="28" t="str">
        <f t="shared" si="8"/>
        <v/>
      </c>
      <c r="S29" s="22" t="str">
        <f t="shared" si="9"/>
        <v/>
      </c>
      <c r="T29" s="406"/>
      <c r="U29" s="470"/>
      <c r="V29" s="471"/>
      <c r="W29" s="472"/>
      <c r="X29" s="406"/>
      <c r="Y29" s="28" t="str">
        <f t="shared" ca="1" si="10"/>
        <v>16</v>
      </c>
      <c r="Z29" s="409" t="s">
        <v>1084</v>
      </c>
      <c r="AA29" s="22" t="str">
        <f t="shared" ca="1" si="11"/>
        <v>16</v>
      </c>
      <c r="AB29" s="406"/>
      <c r="AC29" s="28" t="str">
        <f t="shared" si="12"/>
        <v/>
      </c>
      <c r="AE29" s="22" t="str">
        <f t="shared" si="13"/>
        <v/>
      </c>
      <c r="AG29" s="28" t="str">
        <f t="shared" si="14"/>
        <v/>
      </c>
      <c r="AH29" s="463"/>
      <c r="AI29" s="22" t="str">
        <f t="shared" si="15"/>
        <v/>
      </c>
      <c r="AK29" s="28" t="str">
        <f t="shared" si="16"/>
        <v/>
      </c>
      <c r="AL29" s="70"/>
      <c r="AM29" s="22" t="str">
        <f t="shared" si="17"/>
        <v/>
      </c>
    </row>
    <row r="30" spans="1:39" ht="15" customHeight="1" x14ac:dyDescent="0.25">
      <c r="A30" s="10"/>
      <c r="B30" s="13">
        <f t="shared" ca="1" si="0"/>
        <v>26.25</v>
      </c>
      <c r="C30" s="14" t="str">
        <f t="shared" ca="1" si="1"/>
        <v>15</v>
      </c>
      <c r="D30" s="406"/>
      <c r="E30" s="28" t="str">
        <f t="shared" ca="1" si="2"/>
        <v>15</v>
      </c>
      <c r="F30" s="462" t="s">
        <v>970</v>
      </c>
      <c r="G30" s="22" t="str">
        <f t="shared" ca="1" si="3"/>
        <v>15</v>
      </c>
      <c r="I30" s="28" t="str">
        <f t="shared" si="4"/>
        <v/>
      </c>
      <c r="J30" s="463"/>
      <c r="K30" s="22" t="str">
        <f t="shared" si="5"/>
        <v/>
      </c>
      <c r="L30" s="406"/>
      <c r="M30" s="28" t="str">
        <f t="shared" ca="1" si="6"/>
        <v>15</v>
      </c>
      <c r="N30" s="409" t="s">
        <v>1044</v>
      </c>
      <c r="O30" s="22" t="str">
        <f t="shared" ca="1" si="7"/>
        <v>15</v>
      </c>
      <c r="P30" s="406"/>
      <c r="Q30" s="28" t="str">
        <f t="shared" ca="1" si="8"/>
        <v>15</v>
      </c>
      <c r="R30" s="409" t="s">
        <v>1069</v>
      </c>
      <c r="S30" s="22" t="str">
        <f t="shared" ca="1" si="9"/>
        <v>15</v>
      </c>
      <c r="T30" s="406"/>
      <c r="U30" s="470"/>
      <c r="V30" s="471"/>
      <c r="W30" s="472"/>
      <c r="X30" s="406"/>
      <c r="Y30" s="28" t="str">
        <f t="shared" si="10"/>
        <v/>
      </c>
      <c r="Z30" s="422"/>
      <c r="AA30" s="22" t="str">
        <f t="shared" si="11"/>
        <v/>
      </c>
      <c r="AB30" s="406"/>
      <c r="AC30" s="28" t="str">
        <f t="shared" ca="1" si="12"/>
        <v>15</v>
      </c>
      <c r="AD30" s="409" t="s">
        <v>1013</v>
      </c>
      <c r="AE30" s="22" t="str">
        <f t="shared" ca="1" si="13"/>
        <v>15</v>
      </c>
      <c r="AG30" s="28" t="str">
        <f t="shared" ca="1" si="14"/>
        <v>15</v>
      </c>
      <c r="AH30" s="462" t="s">
        <v>981</v>
      </c>
      <c r="AI30" s="22" t="str">
        <f t="shared" ca="1" si="15"/>
        <v>15</v>
      </c>
      <c r="AK30" s="28" t="str">
        <f t="shared" si="16"/>
        <v/>
      </c>
      <c r="AL30" s="70"/>
      <c r="AM30" s="22" t="str">
        <f t="shared" si="17"/>
        <v/>
      </c>
    </row>
    <row r="31" spans="1:39" ht="15" customHeight="1" x14ac:dyDescent="0.25">
      <c r="A31" s="10"/>
      <c r="B31" s="13">
        <f t="shared" ca="1" si="0"/>
        <v>24.5</v>
      </c>
      <c r="C31" s="14" t="str">
        <f t="shared" ca="1" si="1"/>
        <v>14</v>
      </c>
      <c r="D31" s="406"/>
      <c r="E31" s="28" t="str">
        <f t="shared" si="2"/>
        <v/>
      </c>
      <c r="F31" s="463"/>
      <c r="G31" s="22" t="str">
        <f t="shared" si="3"/>
        <v/>
      </c>
      <c r="I31" s="28" t="str">
        <f t="shared" si="4"/>
        <v/>
      </c>
      <c r="J31" s="70"/>
      <c r="K31" s="22" t="str">
        <f t="shared" si="5"/>
        <v/>
      </c>
      <c r="L31" s="406"/>
      <c r="M31" s="28" t="str">
        <f t="shared" ca="1" si="6"/>
        <v>14</v>
      </c>
      <c r="N31" s="408" t="s">
        <v>1045</v>
      </c>
      <c r="O31" s="22" t="str">
        <f t="shared" ca="1" si="7"/>
        <v>14</v>
      </c>
      <c r="P31" s="406"/>
      <c r="Q31" s="28" t="str">
        <f t="shared" ca="1" si="8"/>
        <v>14</v>
      </c>
      <c r="R31" s="408" t="s">
        <v>1070</v>
      </c>
      <c r="S31" s="22" t="str">
        <f t="shared" ca="1" si="9"/>
        <v>14</v>
      </c>
      <c r="T31" s="406"/>
      <c r="U31" s="470"/>
      <c r="V31" s="471"/>
      <c r="W31" s="472"/>
      <c r="X31" s="406"/>
      <c r="Y31" s="28" t="str">
        <f t="shared" ca="1" si="10"/>
        <v>14</v>
      </c>
      <c r="Z31" s="409" t="s">
        <v>1085</v>
      </c>
      <c r="AA31" s="22" t="str">
        <f t="shared" ca="1" si="11"/>
        <v>14</v>
      </c>
      <c r="AB31" s="406"/>
      <c r="AC31" s="28" t="str">
        <f t="shared" ca="1" si="12"/>
        <v>14</v>
      </c>
      <c r="AD31" s="408" t="s">
        <v>1014</v>
      </c>
      <c r="AE31" s="22" t="str">
        <f t="shared" ca="1" si="13"/>
        <v>14</v>
      </c>
      <c r="AG31" s="28" t="str">
        <f t="shared" si="14"/>
        <v/>
      </c>
      <c r="AH31" s="463"/>
      <c r="AI31" s="22" t="str">
        <f t="shared" si="15"/>
        <v/>
      </c>
      <c r="AK31" s="28" t="str">
        <f t="shared" si="16"/>
        <v/>
      </c>
      <c r="AL31" s="70"/>
      <c r="AM31" s="22" t="str">
        <f t="shared" si="17"/>
        <v/>
      </c>
    </row>
    <row r="32" spans="1:39" ht="15" customHeight="1" x14ac:dyDescent="0.25">
      <c r="A32" s="10"/>
      <c r="B32" s="13">
        <f t="shared" ca="1" si="0"/>
        <v>22.75</v>
      </c>
      <c r="C32" s="14" t="str">
        <f t="shared" ca="1" si="1"/>
        <v>13</v>
      </c>
      <c r="D32" s="406"/>
      <c r="E32" s="28" t="str">
        <f t="shared" ca="1" si="2"/>
        <v>13</v>
      </c>
      <c r="F32" s="462" t="s">
        <v>971</v>
      </c>
      <c r="G32" s="22" t="str">
        <f t="shared" ca="1" si="3"/>
        <v>13</v>
      </c>
      <c r="I32" s="28" t="str">
        <f t="shared" ca="1" si="4"/>
        <v>13</v>
      </c>
      <c r="J32" s="462" t="s">
        <v>1026</v>
      </c>
      <c r="K32" s="22" t="str">
        <f t="shared" ca="1" si="5"/>
        <v>13</v>
      </c>
      <c r="L32" s="406"/>
      <c r="M32" s="28" t="str">
        <f t="shared" si="6"/>
        <v/>
      </c>
      <c r="O32" s="22" t="str">
        <f t="shared" si="7"/>
        <v/>
      </c>
      <c r="P32" s="406"/>
      <c r="Q32" s="28" t="str">
        <f t="shared" si="8"/>
        <v/>
      </c>
      <c r="S32" s="22" t="str">
        <f t="shared" si="9"/>
        <v/>
      </c>
      <c r="T32" s="406"/>
      <c r="U32" s="470"/>
      <c r="V32" s="471"/>
      <c r="W32" s="472"/>
      <c r="X32" s="406"/>
      <c r="Y32" s="28" t="str">
        <f t="shared" ca="1" si="10"/>
        <v>13</v>
      </c>
      <c r="Z32" s="409" t="s">
        <v>1086</v>
      </c>
      <c r="AA32" s="22" t="str">
        <f t="shared" ca="1" si="11"/>
        <v>13</v>
      </c>
      <c r="AB32" s="406"/>
      <c r="AC32" s="28" t="str">
        <f t="shared" si="12"/>
        <v/>
      </c>
      <c r="AE32" s="22" t="str">
        <f t="shared" si="13"/>
        <v/>
      </c>
      <c r="AG32" s="28" t="str">
        <f t="shared" ca="1" si="14"/>
        <v>13</v>
      </c>
      <c r="AH32" s="462" t="s">
        <v>979</v>
      </c>
      <c r="AI32" s="22" t="str">
        <f t="shared" ca="1" si="15"/>
        <v>13</v>
      </c>
      <c r="AK32" s="28" t="str">
        <f t="shared" si="16"/>
        <v/>
      </c>
      <c r="AL32" s="70"/>
      <c r="AM32" s="22" t="str">
        <f t="shared" si="17"/>
        <v/>
      </c>
    </row>
    <row r="33" spans="1:39" ht="15" customHeight="1" x14ac:dyDescent="0.25">
      <c r="A33" s="10"/>
      <c r="B33" s="13">
        <f t="shared" ca="1" si="0"/>
        <v>21</v>
      </c>
      <c r="C33" s="14" t="str">
        <f t="shared" ca="1" si="1"/>
        <v>12</v>
      </c>
      <c r="D33" s="406"/>
      <c r="E33" s="28" t="str">
        <f t="shared" si="2"/>
        <v/>
      </c>
      <c r="F33" s="463"/>
      <c r="G33" s="22" t="str">
        <f t="shared" si="3"/>
        <v/>
      </c>
      <c r="I33" s="28" t="str">
        <f t="shared" si="4"/>
        <v/>
      </c>
      <c r="J33" s="463"/>
      <c r="K33" s="22" t="str">
        <f t="shared" si="5"/>
        <v/>
      </c>
      <c r="L33" s="406"/>
      <c r="M33" s="28" t="str">
        <f t="shared" ca="1" si="6"/>
        <v>12</v>
      </c>
      <c r="N33" s="409" t="s">
        <v>1046</v>
      </c>
      <c r="O33" s="22" t="str">
        <f t="shared" ca="1" si="7"/>
        <v>12</v>
      </c>
      <c r="P33" s="406"/>
      <c r="Q33" s="28" t="str">
        <f t="shared" ca="1" si="8"/>
        <v>12</v>
      </c>
      <c r="R33" s="409" t="s">
        <v>1071</v>
      </c>
      <c r="S33" s="22" t="str">
        <f t="shared" ca="1" si="9"/>
        <v>12</v>
      </c>
      <c r="T33" s="406"/>
      <c r="U33" s="470"/>
      <c r="V33" s="471"/>
      <c r="W33" s="472"/>
      <c r="X33" s="406"/>
      <c r="Y33" s="28" t="str">
        <f t="shared" si="10"/>
        <v/>
      </c>
      <c r="Z33" s="422"/>
      <c r="AA33" s="22" t="str">
        <f t="shared" si="11"/>
        <v/>
      </c>
      <c r="AB33" s="406"/>
      <c r="AC33" s="28" t="str">
        <f t="shared" ca="1" si="12"/>
        <v>12</v>
      </c>
      <c r="AD33" s="409" t="s">
        <v>1015</v>
      </c>
      <c r="AE33" s="22" t="str">
        <f t="shared" ca="1" si="13"/>
        <v>12</v>
      </c>
      <c r="AG33" s="28" t="str">
        <f t="shared" si="14"/>
        <v/>
      </c>
      <c r="AH33" s="463"/>
      <c r="AI33" s="22" t="str">
        <f t="shared" si="15"/>
        <v/>
      </c>
      <c r="AK33" s="28" t="str">
        <f t="shared" si="16"/>
        <v/>
      </c>
      <c r="AL33" s="70"/>
      <c r="AM33" s="22" t="str">
        <f t="shared" si="17"/>
        <v/>
      </c>
    </row>
    <row r="34" spans="1:39" ht="15" customHeight="1" x14ac:dyDescent="0.25">
      <c r="A34" s="10"/>
      <c r="B34" s="13">
        <f t="shared" ca="1" si="0"/>
        <v>19.25</v>
      </c>
      <c r="C34" s="14" t="str">
        <f t="shared" ca="1" si="1"/>
        <v>11</v>
      </c>
      <c r="D34" s="406"/>
      <c r="E34" s="28" t="str">
        <f t="shared" ca="1" si="2"/>
        <v>11</v>
      </c>
      <c r="F34" s="462" t="s">
        <v>972</v>
      </c>
      <c r="G34" s="22" t="str">
        <f t="shared" ca="1" si="3"/>
        <v>11</v>
      </c>
      <c r="I34" s="28" t="str">
        <f t="shared" si="4"/>
        <v/>
      </c>
      <c r="J34" s="70"/>
      <c r="K34" s="22" t="str">
        <f t="shared" si="5"/>
        <v/>
      </c>
      <c r="L34" s="406"/>
      <c r="M34" s="28" t="str">
        <f t="shared" ca="1" si="6"/>
        <v>11</v>
      </c>
      <c r="N34" s="408" t="s">
        <v>1047</v>
      </c>
      <c r="O34" s="22" t="str">
        <f t="shared" ca="1" si="7"/>
        <v>11</v>
      </c>
      <c r="P34" s="406"/>
      <c r="Q34" s="28" t="str">
        <f t="shared" ca="1" si="8"/>
        <v>11</v>
      </c>
      <c r="R34" s="408" t="s">
        <v>1072</v>
      </c>
      <c r="S34" s="22" t="str">
        <f t="shared" ca="1" si="9"/>
        <v>11</v>
      </c>
      <c r="T34" s="406"/>
      <c r="U34" s="470"/>
      <c r="V34" s="471"/>
      <c r="W34" s="472"/>
      <c r="X34" s="406"/>
      <c r="Y34" s="28" t="str">
        <f t="shared" ca="1" si="10"/>
        <v>11</v>
      </c>
      <c r="Z34" s="409" t="s">
        <v>1087</v>
      </c>
      <c r="AA34" s="22" t="str">
        <f t="shared" ca="1" si="11"/>
        <v>11</v>
      </c>
      <c r="AB34" s="406"/>
      <c r="AC34" s="28" t="str">
        <f t="shared" ca="1" si="12"/>
        <v>11</v>
      </c>
      <c r="AD34" s="408" t="s">
        <v>1016</v>
      </c>
      <c r="AE34" s="22" t="str">
        <f t="shared" ca="1" si="13"/>
        <v>11</v>
      </c>
      <c r="AG34" s="28" t="str">
        <f t="shared" ca="1" si="14"/>
        <v>11</v>
      </c>
      <c r="AH34" s="462" t="s">
        <v>1100</v>
      </c>
      <c r="AI34" s="22" t="str">
        <f t="shared" ca="1" si="15"/>
        <v>11</v>
      </c>
      <c r="AK34" s="28" t="str">
        <f t="shared" si="16"/>
        <v/>
      </c>
      <c r="AL34" s="70"/>
      <c r="AM34" s="22" t="str">
        <f t="shared" si="17"/>
        <v/>
      </c>
    </row>
    <row r="35" spans="1:39" ht="15" customHeight="1" x14ac:dyDescent="0.25">
      <c r="A35" s="10"/>
      <c r="B35" s="13">
        <f t="shared" ca="1" si="0"/>
        <v>17.5</v>
      </c>
      <c r="C35" s="14" t="str">
        <f t="shared" ca="1" si="1"/>
        <v>10</v>
      </c>
      <c r="D35" s="406"/>
      <c r="E35" s="28" t="str">
        <f t="shared" si="2"/>
        <v/>
      </c>
      <c r="F35" s="463"/>
      <c r="G35" s="22" t="str">
        <f t="shared" si="3"/>
        <v/>
      </c>
      <c r="I35" s="28" t="str">
        <f t="shared" si="4"/>
        <v/>
      </c>
      <c r="J35" s="70"/>
      <c r="K35" s="22" t="str">
        <f t="shared" si="5"/>
        <v/>
      </c>
      <c r="L35" s="406"/>
      <c r="M35" s="28" t="str">
        <f t="shared" si="6"/>
        <v/>
      </c>
      <c r="O35" s="22" t="str">
        <f t="shared" si="7"/>
        <v/>
      </c>
      <c r="P35" s="406"/>
      <c r="Q35" s="28" t="str">
        <f t="shared" si="8"/>
        <v/>
      </c>
      <c r="S35" s="22" t="str">
        <f t="shared" si="9"/>
        <v/>
      </c>
      <c r="T35" s="406"/>
      <c r="U35" s="470"/>
      <c r="V35" s="471"/>
      <c r="W35" s="472"/>
      <c r="X35" s="406"/>
      <c r="Y35" s="28" t="str">
        <f t="shared" ca="1" si="10"/>
        <v>10</v>
      </c>
      <c r="Z35" s="409" t="s">
        <v>1088</v>
      </c>
      <c r="AA35" s="22" t="str">
        <f t="shared" ca="1" si="11"/>
        <v>10</v>
      </c>
      <c r="AB35" s="406"/>
      <c r="AC35" s="28" t="str">
        <f t="shared" si="12"/>
        <v/>
      </c>
      <c r="AE35" s="22" t="str">
        <f t="shared" si="13"/>
        <v/>
      </c>
      <c r="AG35" s="28" t="str">
        <f t="shared" si="14"/>
        <v/>
      </c>
      <c r="AH35" s="463"/>
      <c r="AI35" s="22" t="str">
        <f t="shared" si="15"/>
        <v/>
      </c>
      <c r="AK35" s="28" t="str">
        <f t="shared" si="16"/>
        <v/>
      </c>
      <c r="AL35" s="70"/>
      <c r="AM35" s="22" t="str">
        <f t="shared" si="17"/>
        <v/>
      </c>
    </row>
    <row r="36" spans="1:39" ht="15" customHeight="1" x14ac:dyDescent="0.25">
      <c r="A36" s="10"/>
      <c r="B36" s="13">
        <f t="shared" ca="1" si="0"/>
        <v>15.75</v>
      </c>
      <c r="C36" s="14" t="str">
        <f t="shared" ca="1" si="1"/>
        <v>09</v>
      </c>
      <c r="D36" s="406"/>
      <c r="E36" s="28" t="str">
        <f t="shared" ca="1" si="2"/>
        <v>09</v>
      </c>
      <c r="F36" s="462" t="s">
        <v>980</v>
      </c>
      <c r="G36" s="22" t="str">
        <f t="shared" ca="1" si="3"/>
        <v>09</v>
      </c>
      <c r="I36" s="28" t="str">
        <f t="shared" si="4"/>
        <v/>
      </c>
      <c r="J36" s="70"/>
      <c r="K36" s="22" t="str">
        <f t="shared" si="5"/>
        <v/>
      </c>
      <c r="L36" s="406"/>
      <c r="M36" s="28" t="str">
        <f t="shared" ca="1" si="6"/>
        <v>09</v>
      </c>
      <c r="N36" s="409" t="s">
        <v>1048</v>
      </c>
      <c r="O36" s="22" t="str">
        <f t="shared" ca="1" si="7"/>
        <v>09</v>
      </c>
      <c r="P36" s="406"/>
      <c r="Q36" s="28" t="str">
        <f t="shared" ca="1" si="8"/>
        <v>09</v>
      </c>
      <c r="R36" s="409" t="s">
        <v>1073</v>
      </c>
      <c r="S36" s="22" t="str">
        <f t="shared" ca="1" si="9"/>
        <v>09</v>
      </c>
      <c r="T36" s="406"/>
      <c r="U36" s="470"/>
      <c r="V36" s="471"/>
      <c r="W36" s="472"/>
      <c r="X36" s="406"/>
      <c r="Y36" s="28" t="str">
        <f t="shared" si="10"/>
        <v/>
      </c>
      <c r="AA36" s="22" t="str">
        <f t="shared" si="11"/>
        <v/>
      </c>
      <c r="AB36" s="406"/>
      <c r="AC36" s="28" t="str">
        <f t="shared" ca="1" si="12"/>
        <v>09</v>
      </c>
      <c r="AD36" s="409" t="s">
        <v>1017</v>
      </c>
      <c r="AE36" s="22" t="str">
        <f t="shared" ca="1" si="13"/>
        <v>09</v>
      </c>
      <c r="AG36" s="28" t="str">
        <f t="shared" ca="1" si="14"/>
        <v>09</v>
      </c>
      <c r="AH36" s="462" t="s">
        <v>1101</v>
      </c>
      <c r="AI36" s="22" t="str">
        <f t="shared" ca="1" si="15"/>
        <v>09</v>
      </c>
      <c r="AK36" s="28" t="str">
        <f t="shared" si="16"/>
        <v/>
      </c>
      <c r="AL36" s="70"/>
      <c r="AM36" s="22" t="str">
        <f t="shared" si="17"/>
        <v/>
      </c>
    </row>
    <row r="37" spans="1:39" ht="15" customHeight="1" x14ac:dyDescent="0.25">
      <c r="A37" s="10"/>
      <c r="B37" s="13">
        <f t="shared" ca="1" si="0"/>
        <v>14</v>
      </c>
      <c r="C37" s="14" t="str">
        <f t="shared" ca="1" si="1"/>
        <v>08</v>
      </c>
      <c r="D37" s="406"/>
      <c r="E37" s="28" t="str">
        <f t="shared" si="2"/>
        <v/>
      </c>
      <c r="F37" s="463"/>
      <c r="G37" s="22" t="str">
        <f t="shared" si="3"/>
        <v/>
      </c>
      <c r="I37" s="28" t="str">
        <f t="shared" si="4"/>
        <v/>
      </c>
      <c r="J37" s="70"/>
      <c r="K37" s="22" t="str">
        <f t="shared" si="5"/>
        <v/>
      </c>
      <c r="L37" s="406"/>
      <c r="M37" s="28" t="str">
        <f t="shared" ca="1" si="6"/>
        <v>08</v>
      </c>
      <c r="N37" s="408" t="s">
        <v>1049</v>
      </c>
      <c r="O37" s="22" t="str">
        <f t="shared" ca="1" si="7"/>
        <v>08</v>
      </c>
      <c r="P37" s="406"/>
      <c r="Q37" s="28" t="str">
        <f t="shared" ca="1" si="8"/>
        <v>08</v>
      </c>
      <c r="R37" s="408" t="s">
        <v>1074</v>
      </c>
      <c r="S37" s="22" t="str">
        <f t="shared" ca="1" si="9"/>
        <v>08</v>
      </c>
      <c r="T37" s="406"/>
      <c r="U37" s="470"/>
      <c r="V37" s="471"/>
      <c r="W37" s="472"/>
      <c r="X37" s="406"/>
      <c r="Y37" s="28" t="str">
        <f t="shared" ca="1" si="10"/>
        <v>08</v>
      </c>
      <c r="Z37" s="409" t="s">
        <v>1089</v>
      </c>
      <c r="AA37" s="22" t="str">
        <f t="shared" ca="1" si="11"/>
        <v>08</v>
      </c>
      <c r="AB37" s="406"/>
      <c r="AC37" s="28" t="str">
        <f t="shared" ca="1" si="12"/>
        <v>08</v>
      </c>
      <c r="AD37" s="408" t="s">
        <v>1018</v>
      </c>
      <c r="AE37" s="22" t="str">
        <f t="shared" ca="1" si="13"/>
        <v>08</v>
      </c>
      <c r="AG37" s="28" t="str">
        <f t="shared" si="14"/>
        <v/>
      </c>
      <c r="AH37" s="463"/>
      <c r="AI37" s="22" t="str">
        <f t="shared" si="15"/>
        <v/>
      </c>
      <c r="AK37" s="28" t="str">
        <f t="shared" si="16"/>
        <v/>
      </c>
      <c r="AL37" s="70"/>
      <c r="AM37" s="22" t="str">
        <f t="shared" si="17"/>
        <v/>
      </c>
    </row>
    <row r="38" spans="1:39" ht="15" customHeight="1" x14ac:dyDescent="0.25">
      <c r="A38" s="10"/>
      <c r="B38" s="13">
        <f t="shared" ca="1" si="0"/>
        <v>12.25</v>
      </c>
      <c r="C38" s="14" t="str">
        <f t="shared" ca="1" si="1"/>
        <v>07</v>
      </c>
      <c r="D38" s="406"/>
      <c r="E38" s="28" t="str">
        <f t="shared" ca="1" si="2"/>
        <v>07</v>
      </c>
      <c r="F38" s="462" t="s">
        <v>973</v>
      </c>
      <c r="G38" s="22" t="str">
        <f t="shared" ca="1" si="3"/>
        <v>07</v>
      </c>
      <c r="I38" s="28" t="str">
        <f t="shared" si="4"/>
        <v/>
      </c>
      <c r="J38" s="70"/>
      <c r="K38" s="22" t="str">
        <f t="shared" si="5"/>
        <v/>
      </c>
      <c r="L38" s="406"/>
      <c r="M38" s="28" t="str">
        <f t="shared" si="6"/>
        <v/>
      </c>
      <c r="O38" s="22" t="str">
        <f t="shared" si="7"/>
        <v/>
      </c>
      <c r="P38" s="406"/>
      <c r="Q38" s="28" t="str">
        <f t="shared" si="8"/>
        <v/>
      </c>
      <c r="R38" s="422"/>
      <c r="S38" s="22" t="str">
        <f t="shared" si="9"/>
        <v/>
      </c>
      <c r="T38" s="406"/>
      <c r="U38" s="470"/>
      <c r="V38" s="471"/>
      <c r="W38" s="472"/>
      <c r="X38" s="406"/>
      <c r="Y38" s="28" t="str">
        <f t="shared" ca="1" si="10"/>
        <v>07</v>
      </c>
      <c r="Z38" s="409" t="s">
        <v>1090</v>
      </c>
      <c r="AA38" s="22" t="str">
        <f t="shared" ca="1" si="11"/>
        <v>07</v>
      </c>
      <c r="AB38" s="406"/>
      <c r="AC38" s="28" t="str">
        <f t="shared" si="12"/>
        <v/>
      </c>
      <c r="AE38" s="22" t="str">
        <f t="shared" si="13"/>
        <v/>
      </c>
      <c r="AG38" s="28" t="str">
        <f t="shared" si="14"/>
        <v/>
      </c>
      <c r="AH38" s="70"/>
      <c r="AI38" s="22" t="str">
        <f t="shared" si="15"/>
        <v/>
      </c>
      <c r="AK38" s="28" t="str">
        <f t="shared" si="16"/>
        <v/>
      </c>
      <c r="AL38" s="70"/>
      <c r="AM38" s="22" t="str">
        <f t="shared" si="17"/>
        <v/>
      </c>
    </row>
    <row r="39" spans="1:39" ht="15" customHeight="1" x14ac:dyDescent="0.25">
      <c r="A39" s="10"/>
      <c r="B39" s="13">
        <f t="shared" ca="1" si="0"/>
        <v>10.5</v>
      </c>
      <c r="C39" s="14" t="str">
        <f t="shared" ca="1" si="1"/>
        <v>06</v>
      </c>
      <c r="D39" s="406"/>
      <c r="E39" s="28" t="str">
        <f t="shared" si="2"/>
        <v/>
      </c>
      <c r="F39" s="463"/>
      <c r="G39" s="22" t="str">
        <f t="shared" si="3"/>
        <v/>
      </c>
      <c r="I39" s="28" t="str">
        <f t="shared" si="4"/>
        <v/>
      </c>
      <c r="J39" s="70"/>
      <c r="K39" s="22" t="str">
        <f t="shared" si="5"/>
        <v/>
      </c>
      <c r="L39" s="406"/>
      <c r="M39" s="28" t="str">
        <f t="shared" ca="1" si="6"/>
        <v>06</v>
      </c>
      <c r="N39" s="409" t="s">
        <v>1050</v>
      </c>
      <c r="O39" s="22" t="str">
        <f t="shared" ca="1" si="7"/>
        <v>06</v>
      </c>
      <c r="P39" s="406"/>
      <c r="Q39" s="28" t="str">
        <f t="shared" ca="1" si="8"/>
        <v>06</v>
      </c>
      <c r="R39" s="409" t="s">
        <v>1075</v>
      </c>
      <c r="S39" s="22" t="str">
        <f t="shared" ca="1" si="9"/>
        <v>06</v>
      </c>
      <c r="T39" s="406"/>
      <c r="U39" s="470"/>
      <c r="V39" s="471"/>
      <c r="W39" s="472"/>
      <c r="X39" s="406"/>
      <c r="Y39" s="28" t="str">
        <f t="shared" si="10"/>
        <v/>
      </c>
      <c r="Z39" s="422"/>
      <c r="AA39" s="22" t="str">
        <f t="shared" si="11"/>
        <v/>
      </c>
      <c r="AB39" s="406"/>
      <c r="AC39" s="28" t="str">
        <f t="shared" ca="1" si="12"/>
        <v>06</v>
      </c>
      <c r="AD39" s="409" t="s">
        <v>1019</v>
      </c>
      <c r="AE39" s="22" t="str">
        <f t="shared" ca="1" si="13"/>
        <v>06</v>
      </c>
      <c r="AG39" s="28" t="str">
        <f t="shared" ca="1" si="14"/>
        <v>06</v>
      </c>
      <c r="AH39" s="462" t="s">
        <v>953</v>
      </c>
      <c r="AI39" s="22" t="str">
        <f t="shared" ca="1" si="15"/>
        <v>06</v>
      </c>
      <c r="AK39" s="28" t="str">
        <f t="shared" ca="1" si="16"/>
        <v>06</v>
      </c>
      <c r="AL39" s="410" t="s">
        <v>1108</v>
      </c>
      <c r="AM39" s="22" t="str">
        <f t="shared" ca="1" si="17"/>
        <v>06</v>
      </c>
    </row>
    <row r="40" spans="1:39" ht="15" customHeight="1" x14ac:dyDescent="0.25">
      <c r="A40" s="10"/>
      <c r="B40" s="13">
        <f t="shared" ca="1" si="0"/>
        <v>8.75</v>
      </c>
      <c r="C40" s="14" t="str">
        <f t="shared" ca="1" si="1"/>
        <v>05</v>
      </c>
      <c r="D40" s="406"/>
      <c r="E40" s="28" t="str">
        <f t="shared" ca="1" si="2"/>
        <v>05</v>
      </c>
      <c r="F40" s="462" t="s">
        <v>974</v>
      </c>
      <c r="G40" s="22" t="str">
        <f t="shared" ca="1" si="3"/>
        <v>05</v>
      </c>
      <c r="I40" s="28" t="str">
        <f t="shared" si="4"/>
        <v/>
      </c>
      <c r="J40" s="70"/>
      <c r="K40" s="22" t="str">
        <f t="shared" si="5"/>
        <v/>
      </c>
      <c r="L40" s="406"/>
      <c r="M40" s="28" t="str">
        <f t="shared" si="6"/>
        <v/>
      </c>
      <c r="N40" s="422"/>
      <c r="O40" s="22" t="str">
        <f t="shared" si="7"/>
        <v/>
      </c>
      <c r="P40" s="406"/>
      <c r="Q40" s="28" t="str">
        <f t="shared" ca="1" si="8"/>
        <v>05</v>
      </c>
      <c r="R40" s="409" t="s">
        <v>1076</v>
      </c>
      <c r="S40" s="22" t="str">
        <f t="shared" ca="1" si="9"/>
        <v>05</v>
      </c>
      <c r="T40" s="406"/>
      <c r="U40" s="470"/>
      <c r="V40" s="471"/>
      <c r="W40" s="472"/>
      <c r="X40" s="406"/>
      <c r="Y40" s="28" t="str">
        <f t="shared" ca="1" si="10"/>
        <v>05</v>
      </c>
      <c r="Z40" s="409" t="s">
        <v>1091</v>
      </c>
      <c r="AA40" s="22" t="str">
        <f t="shared" ca="1" si="11"/>
        <v>05</v>
      </c>
      <c r="AB40" s="406"/>
      <c r="AC40" s="28" t="str">
        <f t="shared" ca="1" si="12"/>
        <v>05</v>
      </c>
      <c r="AD40" s="408" t="s">
        <v>1020</v>
      </c>
      <c r="AE40" s="22" t="str">
        <f t="shared" ca="1" si="13"/>
        <v>05</v>
      </c>
      <c r="AG40" s="28" t="str">
        <f t="shared" si="14"/>
        <v/>
      </c>
      <c r="AH40" s="463"/>
      <c r="AI40" s="22" t="str">
        <f t="shared" si="15"/>
        <v/>
      </c>
      <c r="AK40" s="28" t="str">
        <f t="shared" si="16"/>
        <v/>
      </c>
      <c r="AM40" s="22" t="str">
        <f t="shared" si="17"/>
        <v/>
      </c>
    </row>
    <row r="41" spans="1:39" ht="15" customHeight="1" x14ac:dyDescent="0.25">
      <c r="A41" s="10"/>
      <c r="B41" s="13">
        <f t="shared" ca="1" si="0"/>
        <v>7</v>
      </c>
      <c r="C41" s="14" t="str">
        <f t="shared" ca="1" si="1"/>
        <v>04</v>
      </c>
      <c r="D41" s="406"/>
      <c r="E41" s="28" t="str">
        <f t="shared" si="2"/>
        <v/>
      </c>
      <c r="F41" s="463"/>
      <c r="G41" s="22" t="str">
        <f t="shared" si="3"/>
        <v/>
      </c>
      <c r="I41" s="28" t="str">
        <f t="shared" si="4"/>
        <v/>
      </c>
      <c r="J41" s="70"/>
      <c r="K41" s="22" t="str">
        <f t="shared" si="5"/>
        <v/>
      </c>
      <c r="L41" s="406"/>
      <c r="M41" s="28" t="str">
        <f t="shared" si="6"/>
        <v/>
      </c>
      <c r="N41" s="422"/>
      <c r="O41" s="22" t="str">
        <f t="shared" si="7"/>
        <v/>
      </c>
      <c r="P41" s="406"/>
      <c r="Q41" s="28" t="str">
        <f t="shared" si="8"/>
        <v/>
      </c>
      <c r="R41" s="422"/>
      <c r="S41" s="22" t="str">
        <f t="shared" si="9"/>
        <v/>
      </c>
      <c r="T41" s="406"/>
      <c r="U41" s="470"/>
      <c r="V41" s="471"/>
      <c r="W41" s="472"/>
      <c r="X41" s="406"/>
      <c r="Y41" s="28" t="str">
        <f t="shared" ca="1" si="10"/>
        <v>04</v>
      </c>
      <c r="Z41" s="409" t="s">
        <v>1092</v>
      </c>
      <c r="AA41" s="22" t="str">
        <f t="shared" ca="1" si="11"/>
        <v>04</v>
      </c>
      <c r="AB41" s="406"/>
      <c r="AC41" s="28" t="str">
        <f t="shared" si="12"/>
        <v/>
      </c>
      <c r="AD41" s="422"/>
      <c r="AE41" s="22" t="str">
        <f t="shared" si="13"/>
        <v/>
      </c>
      <c r="AG41" s="28" t="str">
        <f t="shared" si="14"/>
        <v/>
      </c>
      <c r="AH41" s="70"/>
      <c r="AI41" s="22" t="str">
        <f t="shared" si="15"/>
        <v/>
      </c>
      <c r="AK41" s="28" t="str">
        <f t="shared" ca="1" si="16"/>
        <v>04</v>
      </c>
      <c r="AL41" s="410" t="s">
        <v>1109</v>
      </c>
      <c r="AM41" s="22" t="str">
        <f t="shared" ca="1" si="17"/>
        <v>04</v>
      </c>
    </row>
    <row r="42" spans="1:39" ht="15" customHeight="1" x14ac:dyDescent="0.25">
      <c r="A42" s="10"/>
      <c r="B42" s="13">
        <f t="shared" ca="1" si="0"/>
        <v>5.25</v>
      </c>
      <c r="C42" s="14" t="str">
        <f t="shared" ca="1" si="1"/>
        <v>03</v>
      </c>
      <c r="D42" s="406"/>
      <c r="E42" s="28" t="str">
        <f t="shared" ca="1" si="2"/>
        <v>03</v>
      </c>
      <c r="F42" s="462" t="s">
        <v>975</v>
      </c>
      <c r="G42" s="22" t="str">
        <f t="shared" ca="1" si="3"/>
        <v>03</v>
      </c>
      <c r="I42" s="28" t="str">
        <f t="shared" ca="1" si="4"/>
        <v>03</v>
      </c>
      <c r="J42" s="410" t="s">
        <v>1027</v>
      </c>
      <c r="K42" s="22" t="str">
        <f t="shared" ca="1" si="5"/>
        <v>03</v>
      </c>
      <c r="L42" s="406"/>
      <c r="M42" s="28" t="str">
        <f t="shared" ca="1" si="6"/>
        <v>03</v>
      </c>
      <c r="N42" s="409" t="s">
        <v>1051</v>
      </c>
      <c r="O42" s="22" t="str">
        <f t="shared" ca="1" si="7"/>
        <v>03</v>
      </c>
      <c r="P42" s="406"/>
      <c r="Q42" s="28" t="str">
        <f t="shared" ca="1" si="8"/>
        <v>03</v>
      </c>
      <c r="R42" s="409" t="s">
        <v>1077</v>
      </c>
      <c r="S42" s="22" t="str">
        <f t="shared" ca="1" si="9"/>
        <v>03</v>
      </c>
      <c r="T42" s="406"/>
      <c r="U42" s="470"/>
      <c r="V42" s="471"/>
      <c r="W42" s="472"/>
      <c r="X42" s="406"/>
      <c r="Y42" s="28" t="str">
        <f t="shared" si="10"/>
        <v/>
      </c>
      <c r="AA42" s="22" t="str">
        <f t="shared" si="11"/>
        <v/>
      </c>
      <c r="AB42" s="406"/>
      <c r="AC42" s="28" t="str">
        <f t="shared" ca="1" si="12"/>
        <v>03</v>
      </c>
      <c r="AD42" s="410" t="s">
        <v>1098</v>
      </c>
      <c r="AE42" s="22" t="str">
        <f t="shared" ca="1" si="13"/>
        <v>03</v>
      </c>
      <c r="AG42" s="28" t="str">
        <f t="shared" ca="1" si="14"/>
        <v>03</v>
      </c>
      <c r="AH42" s="465" t="s">
        <v>954</v>
      </c>
      <c r="AI42" s="22" t="str">
        <f t="shared" ca="1" si="15"/>
        <v>03</v>
      </c>
      <c r="AK42" s="28" t="str">
        <f t="shared" si="16"/>
        <v/>
      </c>
      <c r="AL42" s="70"/>
      <c r="AM42" s="22" t="str">
        <f t="shared" si="17"/>
        <v/>
      </c>
    </row>
    <row r="43" spans="1:39" ht="15" customHeight="1" x14ac:dyDescent="0.25">
      <c r="A43" s="10"/>
      <c r="B43" s="13">
        <f t="shared" ca="1" si="0"/>
        <v>3.5</v>
      </c>
      <c r="C43" s="14" t="str">
        <f t="shared" ca="1" si="1"/>
        <v>02</v>
      </c>
      <c r="D43" s="406"/>
      <c r="E43" s="28" t="str">
        <f t="shared" si="2"/>
        <v/>
      </c>
      <c r="F43" s="463"/>
      <c r="G43" s="22" t="str">
        <f t="shared" si="3"/>
        <v/>
      </c>
      <c r="I43" s="28" t="str">
        <f t="shared" si="4"/>
        <v/>
      </c>
      <c r="J43" s="70"/>
      <c r="K43" s="22" t="str">
        <f t="shared" si="5"/>
        <v/>
      </c>
      <c r="L43" s="406"/>
      <c r="M43" s="28" t="str">
        <f t="shared" ca="1" si="6"/>
        <v>02</v>
      </c>
      <c r="N43" s="409" t="s">
        <v>1052</v>
      </c>
      <c r="O43" s="22" t="str">
        <f t="shared" ca="1" si="7"/>
        <v>02</v>
      </c>
      <c r="P43" s="406"/>
      <c r="Q43" s="28" t="str">
        <f t="shared" ca="1" si="8"/>
        <v>02</v>
      </c>
      <c r="R43" s="409" t="s">
        <v>1078</v>
      </c>
      <c r="S43" s="22" t="str">
        <f t="shared" ca="1" si="9"/>
        <v>02</v>
      </c>
      <c r="T43" s="406"/>
      <c r="U43" s="470"/>
      <c r="V43" s="471"/>
      <c r="W43" s="472"/>
      <c r="X43" s="406"/>
      <c r="Y43" s="28" t="str">
        <f t="shared" si="10"/>
        <v/>
      </c>
      <c r="Z43" s="70"/>
      <c r="AA43" s="22" t="str">
        <f t="shared" si="11"/>
        <v/>
      </c>
      <c r="AB43" s="406"/>
      <c r="AC43" s="28" t="str">
        <f t="shared" si="12"/>
        <v/>
      </c>
      <c r="AD43" s="422"/>
      <c r="AE43" s="22" t="str">
        <f t="shared" si="13"/>
        <v/>
      </c>
      <c r="AG43" s="28" t="str">
        <f t="shared" si="14"/>
        <v/>
      </c>
      <c r="AH43" s="476"/>
      <c r="AI43" s="22" t="str">
        <f t="shared" si="15"/>
        <v/>
      </c>
      <c r="AK43" s="28" t="str">
        <f t="shared" ca="1" si="16"/>
        <v>02</v>
      </c>
      <c r="AL43" s="465" t="s">
        <v>954</v>
      </c>
      <c r="AM43" s="22" t="str">
        <f t="shared" ca="1" si="17"/>
        <v>02</v>
      </c>
    </row>
    <row r="44" spans="1:39" ht="15" customHeight="1" thickBot="1" x14ac:dyDescent="0.3">
      <c r="A44" s="10"/>
      <c r="B44" s="15">
        <v>1.75</v>
      </c>
      <c r="C44" s="20" t="str">
        <f ca="1">TEXT((INDIRECT("C[-1]",FALSE))/1.75,"00")</f>
        <v>01</v>
      </c>
      <c r="D44" s="406"/>
      <c r="E44" s="28" t="str">
        <f t="shared" si="2"/>
        <v/>
      </c>
      <c r="G44" s="22" t="str">
        <f t="shared" ref="G44" si="18">IF(LEN(F43)=0,"",$C44)</f>
        <v/>
      </c>
      <c r="I44" s="28" t="str">
        <f t="shared" ref="I44" si="19">IF(LEN(J43)=0,"",$C44)</f>
        <v/>
      </c>
      <c r="J44" s="410" t="s">
        <v>969</v>
      </c>
      <c r="K44" s="22" t="str">
        <f t="shared" ref="K44" si="20">IF(LEN(J43)=0,"",$C44)</f>
        <v/>
      </c>
      <c r="L44" s="406"/>
      <c r="M44" s="28" t="str">
        <f t="shared" ref="M44" ca="1" si="21">IF(LEN(N43)=0,"",$C44)</f>
        <v>01</v>
      </c>
      <c r="N44" s="422"/>
      <c r="O44" s="22" t="str">
        <f t="shared" ref="O44" ca="1" si="22">IF(LEN(N43)=0,"",$C44)</f>
        <v>01</v>
      </c>
      <c r="P44" s="406"/>
      <c r="Q44" s="28" t="str">
        <f t="shared" ref="Q44" ca="1" si="23">IF(LEN(R43)=0,"",$C44)</f>
        <v>01</v>
      </c>
      <c r="S44" s="22" t="str">
        <f t="shared" ref="S44" ca="1" si="24">IF(LEN(R43)=0,"",$C44)</f>
        <v>01</v>
      </c>
      <c r="T44" s="406"/>
      <c r="U44" s="470"/>
      <c r="V44" s="471"/>
      <c r="W44" s="472"/>
      <c r="X44" s="406"/>
      <c r="Y44" s="28" t="str">
        <f t="shared" ref="Y44" si="25">IF(LEN(Z43)=0,"",$C44)</f>
        <v/>
      </c>
      <c r="Z44" s="410" t="s">
        <v>1097</v>
      </c>
      <c r="AA44" s="22" t="str">
        <f t="shared" ref="AA44" si="26">IF(LEN(Z43)=0,"",$C44)</f>
        <v/>
      </c>
      <c r="AB44" s="406"/>
      <c r="AC44" s="28" t="str">
        <f t="shared" ref="AC44" si="27">IF(LEN(AD43)=0,"",$C44)</f>
        <v/>
      </c>
      <c r="AD44" s="410" t="s">
        <v>1099</v>
      </c>
      <c r="AE44" s="22" t="str">
        <f t="shared" ref="AE44" si="28">IF(LEN(AD43)=0,"",$C44)</f>
        <v/>
      </c>
      <c r="AG44" s="28" t="str">
        <f t="shared" ref="AG44" si="29">IF(LEN(AH43)=0,"",$C44)</f>
        <v/>
      </c>
      <c r="AH44" s="466"/>
      <c r="AI44" s="22" t="str">
        <f t="shared" ref="AI44" si="30">IF(LEN(AH43)=0,"",$C44)</f>
        <v/>
      </c>
      <c r="AK44" s="28" t="str">
        <f t="shared" ref="AK44" ca="1" si="31">IF(LEN(AL43)=0,"",$C44)</f>
        <v>01</v>
      </c>
      <c r="AL44" s="466"/>
      <c r="AM44" s="22" t="str">
        <f t="shared" ref="AM44" ca="1" si="32">IF(LEN(AL43)=0,"",$C44)</f>
        <v>01</v>
      </c>
    </row>
    <row r="45" spans="1:39" ht="15" customHeight="1" thickBot="1" x14ac:dyDescent="0.3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19"/>
      <c r="S45" s="28"/>
      <c r="U45" s="473"/>
      <c r="V45" s="474"/>
      <c r="W45" s="475"/>
      <c r="Y45" s="28"/>
      <c r="Z45" s="19"/>
      <c r="AA45" s="28"/>
      <c r="AC45" s="28"/>
      <c r="AD45" s="19"/>
      <c r="AE45" s="28"/>
      <c r="AG45" s="28"/>
      <c r="AH45" s="19"/>
      <c r="AI45" s="28"/>
      <c r="AK45" s="28"/>
      <c r="AL45" s="19"/>
      <c r="AM45" s="28"/>
    </row>
    <row r="47" spans="1:39" ht="17.399999999999999" x14ac:dyDescent="0.25">
      <c r="C47" s="423"/>
      <c r="F47" s="424" t="s">
        <v>1021</v>
      </c>
      <c r="O47" s="404"/>
      <c r="P47" s="404"/>
      <c r="Q47" s="404"/>
      <c r="AA47" s="404"/>
      <c r="AB47" s="404"/>
      <c r="AC47" s="404"/>
    </row>
    <row r="49" spans="4:38" x14ac:dyDescent="0.25">
      <c r="D49" s="421"/>
      <c r="F49" s="421"/>
      <c r="H49" s="421"/>
      <c r="J49" s="421"/>
      <c r="L49" s="421"/>
      <c r="N49" s="421"/>
      <c r="P49" s="421"/>
      <c r="R49" s="421"/>
      <c r="T49" s="421"/>
      <c r="V49" s="421"/>
      <c r="X49" s="421"/>
      <c r="Z49" s="421"/>
      <c r="AB49" s="421"/>
      <c r="AD49" s="421"/>
      <c r="AH49" s="421"/>
      <c r="AL49" s="421"/>
    </row>
    <row r="51" spans="4:38" x14ac:dyDescent="0.25">
      <c r="D51" s="421"/>
      <c r="F51" s="421"/>
      <c r="H51" s="421"/>
      <c r="J51" s="421"/>
      <c r="L51" s="421"/>
      <c r="N51" s="421"/>
      <c r="P51" s="421"/>
      <c r="R51" s="421"/>
      <c r="T51" s="421"/>
      <c r="V51" s="421"/>
      <c r="X51" s="421"/>
      <c r="Z51" s="421"/>
      <c r="AB51" s="421"/>
      <c r="AD51" s="421"/>
      <c r="AH51" s="421"/>
      <c r="AL51" s="421"/>
    </row>
    <row r="52" spans="4:38" x14ac:dyDescent="0.25">
      <c r="D52" s="421"/>
      <c r="F52" s="421"/>
      <c r="H52" s="421"/>
      <c r="J52" s="421"/>
      <c r="L52" s="421"/>
      <c r="N52" s="421"/>
      <c r="P52" s="421"/>
      <c r="R52" s="421"/>
      <c r="T52" s="421"/>
      <c r="V52" s="421"/>
      <c r="X52" s="421"/>
      <c r="Z52" s="421"/>
      <c r="AB52" s="421"/>
      <c r="AD52" s="421"/>
      <c r="AH52" s="421"/>
      <c r="AL52" s="421"/>
    </row>
  </sheetData>
  <dataConsolidate/>
  <mergeCells count="35">
    <mergeCell ref="F40:F41"/>
    <mergeCell ref="F42:F43"/>
    <mergeCell ref="J6:J7"/>
    <mergeCell ref="Z3:Z4"/>
    <mergeCell ref="AH39:AH40"/>
    <mergeCell ref="AH42:AH44"/>
    <mergeCell ref="AD6:AD7"/>
    <mergeCell ref="Z6:Z7"/>
    <mergeCell ref="AD3:AD4"/>
    <mergeCell ref="AH24:AH25"/>
    <mergeCell ref="AH26:AH27"/>
    <mergeCell ref="AH28:AH29"/>
    <mergeCell ref="AH30:AH31"/>
    <mergeCell ref="AH32:AH33"/>
    <mergeCell ref="AH34:AH35"/>
    <mergeCell ref="AH36:AH37"/>
    <mergeCell ref="F32:F33"/>
    <mergeCell ref="J32:J33"/>
    <mergeCell ref="F34:F35"/>
    <mergeCell ref="F36:F37"/>
    <mergeCell ref="F38:F39"/>
    <mergeCell ref="F3:F4"/>
    <mergeCell ref="J3:J4"/>
    <mergeCell ref="N3:N4"/>
    <mergeCell ref="R3:R4"/>
    <mergeCell ref="J29:J30"/>
    <mergeCell ref="F30:F31"/>
    <mergeCell ref="F6:F7"/>
    <mergeCell ref="AL43:AL44"/>
    <mergeCell ref="AL5:AL6"/>
    <mergeCell ref="AL8:AL9"/>
    <mergeCell ref="J20:J21"/>
    <mergeCell ref="J23:J24"/>
    <mergeCell ref="J26:J27"/>
    <mergeCell ref="U2:W45"/>
  </mergeCells>
  <phoneticPr fontId="27" type="noConversion"/>
  <conditionalFormatting sqref="B3:C44">
    <cfRule type="expression" dxfId="0" priority="1">
      <formula>MOD(ROW(),2)=0</formula>
    </cfRule>
  </conditionalFormatting>
  <dataValidations count="1">
    <dataValidation type="list" allowBlank="1" showInputMessage="1" sqref="J9 AL39 AH18 F11 F13 F15 F17 F19 F21 F23 F25 J11 F44 AD42 F36 J13:J15 J17 J23 AL5 J20 Z44 J26 AL8 J29 J32 J44 N38 AD44 J42 Z30 AH30 AH39 AH14:AH16 J40 N41 Z33 Z27 AL41 AL33 AL24 AH20:AH21 F9">
      <formula1>_ValidDevices_</formula1>
    </dataValidation>
  </dataValidations>
  <printOptions horizontalCentered="1" verticalCentered="1"/>
  <pageMargins left="0.25" right="0.25" top="0.75" bottom="0.75" header="0.3" footer="0.3"/>
  <pageSetup paperSize="9" scale="28" orientation="landscape" horizontalDpi="4294967294" verticalDpi="4294967294" r:id="rId1"/>
  <headerFoot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Button 4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182880</xdr:colOff>
                    <xdr:row>0</xdr:row>
                    <xdr:rowOff>76200</xdr:rowOff>
                  </from>
                  <to>
                    <xdr:col>17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Button 6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Button 7">
              <controlPr defaultSize="0" print="0" autoFill="0" autoPict="0">
                <anchor moveWithCells="1" sizeWithCells="1">
                  <from>
                    <xdr:col>16</xdr:col>
                    <xdr:colOff>182880</xdr:colOff>
                    <xdr:row>0</xdr:row>
                    <xdr:rowOff>0</xdr:rowOff>
                  </from>
                  <to>
                    <xdr:col>17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E1:P45"/>
  <sheetViews>
    <sheetView topLeftCell="C1" workbookViewId="0">
      <selection activeCell="O44" sqref="O3:O44"/>
    </sheetView>
  </sheetViews>
  <sheetFormatPr defaultRowHeight="13.2" x14ac:dyDescent="0.25"/>
  <cols>
    <col min="5" max="5" width="2.5546875" style="403" customWidth="1"/>
    <col min="6" max="6" width="2.6640625" style="421" customWidth="1"/>
    <col min="7" max="7" width="42.6640625" style="404" customWidth="1"/>
    <col min="8" max="8" width="2.6640625" style="421" customWidth="1"/>
    <col min="9" max="9" width="2.5546875" style="403" customWidth="1"/>
    <col min="10" max="10" width="2.6640625" style="421" customWidth="1"/>
    <col min="11" max="11" width="42.6640625" style="404" customWidth="1"/>
    <col min="12" max="12" width="2.6640625" style="421" customWidth="1"/>
    <col min="14" max="14" width="2.6640625" style="421" customWidth="1"/>
    <col min="15" max="15" width="42.6640625" style="404" customWidth="1"/>
    <col min="16" max="16" width="2.6640625" style="421" customWidth="1"/>
  </cols>
  <sheetData>
    <row r="1" spans="5:16" ht="15.6" x14ac:dyDescent="0.25">
      <c r="E1" s="418"/>
      <c r="F1" s="415"/>
      <c r="G1" s="425" t="s">
        <v>1132</v>
      </c>
      <c r="H1" s="418"/>
      <c r="I1" s="414"/>
      <c r="J1" s="415"/>
      <c r="K1" s="425" t="s">
        <v>1132</v>
      </c>
      <c r="L1" s="418"/>
      <c r="N1" s="415"/>
      <c r="O1" s="425" t="s">
        <v>1132</v>
      </c>
      <c r="P1" s="418"/>
    </row>
    <row r="2" spans="5:16" x14ac:dyDescent="0.25">
      <c r="F2" s="27"/>
      <c r="G2" s="30" t="s">
        <v>982</v>
      </c>
      <c r="H2" s="27"/>
      <c r="J2" s="27"/>
      <c r="K2" s="30" t="s">
        <v>982</v>
      </c>
      <c r="L2" s="27"/>
      <c r="N2" s="27"/>
      <c r="O2" s="30" t="s">
        <v>982</v>
      </c>
      <c r="P2" s="27"/>
    </row>
    <row r="3" spans="5:16" x14ac:dyDescent="0.25">
      <c r="F3" s="28" t="str">
        <f>IF(LEN(G3)=0,"",$C3)</f>
        <v/>
      </c>
      <c r="G3" s="426"/>
      <c r="H3" s="22" t="str">
        <f>IF(LEN(G3)=0,"",$C3)</f>
        <v/>
      </c>
      <c r="J3" s="28" t="str">
        <f>IF(LEN(K3)=0,"",$C3)</f>
        <v/>
      </c>
      <c r="K3" s="426"/>
      <c r="L3" s="22" t="str">
        <f>IF(LEN(K3)=0,"",$C3)</f>
        <v/>
      </c>
      <c r="N3" s="28" t="str">
        <f>IF(LEN(O3)=0,"",$C3)</f>
        <v/>
      </c>
      <c r="O3" s="426"/>
      <c r="P3" s="22" t="str">
        <f>IF(LEN(O3)=0,"",$C3)</f>
        <v/>
      </c>
    </row>
    <row r="4" spans="5:16" x14ac:dyDescent="0.25">
      <c r="F4" s="28">
        <f t="shared" ref="F4:F20" si="0">IF(LEN(G4)=0,"",$C4)</f>
        <v>0</v>
      </c>
      <c r="G4" s="401" t="s">
        <v>1148</v>
      </c>
      <c r="H4" s="22">
        <f t="shared" ref="H4:H20" si="1">IF(LEN(G4)=0,"",$C4)</f>
        <v>0</v>
      </c>
      <c r="J4" s="28">
        <f t="shared" ref="J4:J8" si="2">IF(LEN(K4)=0,"",$C4)</f>
        <v>0</v>
      </c>
      <c r="K4" s="401" t="s">
        <v>1094</v>
      </c>
      <c r="L4" s="22">
        <f t="shared" ref="L4:L8" si="3">IF(LEN(K4)=0,"",$C4)</f>
        <v>0</v>
      </c>
      <c r="N4" s="28">
        <f t="shared" ref="N4:N8" si="4">IF(LEN(O4)=0,"",$C4)</f>
        <v>0</v>
      </c>
      <c r="O4" s="401" t="s">
        <v>1148</v>
      </c>
      <c r="P4" s="22">
        <f t="shared" ref="P4:P8" si="5">IF(LEN(O4)=0,"",$C4)</f>
        <v>0</v>
      </c>
    </row>
    <row r="5" spans="5:16" x14ac:dyDescent="0.25">
      <c r="F5" s="28">
        <f t="shared" si="0"/>
        <v>0</v>
      </c>
      <c r="G5" s="401" t="s">
        <v>1149</v>
      </c>
      <c r="H5" s="22">
        <f t="shared" si="1"/>
        <v>0</v>
      </c>
      <c r="J5" s="28" t="str">
        <f t="shared" si="2"/>
        <v/>
      </c>
      <c r="K5" s="426"/>
      <c r="L5" s="22" t="str">
        <f t="shared" si="3"/>
        <v/>
      </c>
      <c r="N5" s="28">
        <f t="shared" si="4"/>
        <v>0</v>
      </c>
      <c r="O5" s="401" t="s">
        <v>1149</v>
      </c>
      <c r="P5" s="22">
        <f t="shared" si="5"/>
        <v>0</v>
      </c>
    </row>
    <row r="6" spans="5:16" x14ac:dyDescent="0.25">
      <c r="E6" s="405"/>
      <c r="F6" s="28" t="str">
        <f t="shared" si="0"/>
        <v/>
      </c>
      <c r="G6" s="426"/>
      <c r="H6" s="22" t="str">
        <f t="shared" si="1"/>
        <v/>
      </c>
      <c r="J6" s="28" t="str">
        <f t="shared" si="2"/>
        <v/>
      </c>
      <c r="K6" s="426"/>
      <c r="L6" s="22" t="str">
        <f t="shared" si="3"/>
        <v/>
      </c>
      <c r="N6" s="28" t="str">
        <f t="shared" si="4"/>
        <v/>
      </c>
      <c r="O6" s="426"/>
      <c r="P6" s="22" t="str">
        <f t="shared" si="5"/>
        <v/>
      </c>
    </row>
    <row r="7" spans="5:16" x14ac:dyDescent="0.25">
      <c r="E7" s="405"/>
      <c r="F7" s="28">
        <f t="shared" si="0"/>
        <v>0</v>
      </c>
      <c r="G7" s="427" t="s">
        <v>970</v>
      </c>
      <c r="H7" s="22">
        <f t="shared" si="1"/>
        <v>0</v>
      </c>
      <c r="I7" s="405"/>
      <c r="J7" s="28">
        <f t="shared" si="2"/>
        <v>0</v>
      </c>
      <c r="K7" s="401" t="s">
        <v>1148</v>
      </c>
      <c r="L7" s="22">
        <f t="shared" si="3"/>
        <v>0</v>
      </c>
      <c r="N7" s="28">
        <f t="shared" si="4"/>
        <v>0</v>
      </c>
      <c r="O7" s="410" t="s">
        <v>1136</v>
      </c>
      <c r="P7" s="22">
        <f t="shared" si="5"/>
        <v>0</v>
      </c>
    </row>
    <row r="8" spans="5:16" x14ac:dyDescent="0.25">
      <c r="E8" s="405"/>
      <c r="F8" s="28">
        <f t="shared" si="0"/>
        <v>0</v>
      </c>
      <c r="G8" s="401" t="s">
        <v>971</v>
      </c>
      <c r="H8" s="22">
        <f t="shared" si="1"/>
        <v>0</v>
      </c>
      <c r="I8" s="405"/>
      <c r="J8" s="28">
        <f t="shared" si="2"/>
        <v>0</v>
      </c>
      <c r="K8" s="401" t="s">
        <v>1149</v>
      </c>
      <c r="L8" s="22">
        <f t="shared" si="3"/>
        <v>0</v>
      </c>
      <c r="N8" s="28" t="str">
        <f t="shared" si="4"/>
        <v/>
      </c>
      <c r="O8" s="426"/>
      <c r="P8" s="22" t="str">
        <f t="shared" si="5"/>
        <v/>
      </c>
    </row>
    <row r="9" spans="5:16" x14ac:dyDescent="0.25">
      <c r="E9" s="405"/>
      <c r="F9" s="28" t="str">
        <f>IF(LEN(G9)=0,"",$C9)</f>
        <v/>
      </c>
      <c r="G9" s="426"/>
      <c r="H9" s="22" t="str">
        <f>IF(LEN(G9)=0,"",$C9)</f>
        <v/>
      </c>
      <c r="I9" s="405"/>
      <c r="J9" s="28">
        <f>IF(LEN(K9)=0,"",$C9)</f>
        <v>0</v>
      </c>
      <c r="K9" s="401" t="s">
        <v>1149</v>
      </c>
      <c r="L9" s="22">
        <f>IF(LEN(K9)=0,"",$C9)</f>
        <v>0</v>
      </c>
      <c r="N9" s="28">
        <f>IF(LEN(O9)=0,"",$C9)</f>
        <v>0</v>
      </c>
      <c r="O9" s="410" t="s">
        <v>1291</v>
      </c>
      <c r="P9" s="22">
        <f>IF(LEN(O9)=0,"",$C9)</f>
        <v>0</v>
      </c>
    </row>
    <row r="10" spans="5:16" x14ac:dyDescent="0.25">
      <c r="E10" s="405"/>
      <c r="F10" s="28">
        <f>IF(LEN(G10)=0,"",$C10)</f>
        <v>0</v>
      </c>
      <c r="G10" s="462" t="s">
        <v>1147</v>
      </c>
      <c r="H10" s="22">
        <f>IF(LEN(G10)=0,"",$C10)</f>
        <v>0</v>
      </c>
      <c r="I10" s="405"/>
      <c r="J10" s="28" t="str">
        <f>IF(LEN(K10)=0,"",$C10)</f>
        <v/>
      </c>
      <c r="K10" s="426"/>
      <c r="L10" s="22" t="str">
        <f>IF(LEN(K10)=0,"",$C10)</f>
        <v/>
      </c>
      <c r="N10" s="28" t="str">
        <f>IF(LEN(O10)=0,"",$C10)</f>
        <v/>
      </c>
      <c r="O10" s="426"/>
      <c r="P10" s="22" t="str">
        <f>IF(LEN(O10)=0,"",$C10)</f>
        <v/>
      </c>
    </row>
    <row r="11" spans="5:16" x14ac:dyDescent="0.25">
      <c r="E11" s="405"/>
      <c r="F11" s="28" t="str">
        <f t="shared" si="0"/>
        <v/>
      </c>
      <c r="G11" s="464"/>
      <c r="H11" s="22" t="str">
        <f t="shared" si="1"/>
        <v/>
      </c>
      <c r="I11" s="405"/>
      <c r="J11" s="28">
        <f t="shared" ref="J11:J14" si="6">IF(LEN(K11)=0,"",$C11)</f>
        <v>0</v>
      </c>
      <c r="K11" s="410" t="s">
        <v>1136</v>
      </c>
      <c r="L11" s="22">
        <f t="shared" ref="L11:L14" si="7">IF(LEN(K11)=0,"",$C11)</f>
        <v>0</v>
      </c>
      <c r="N11" s="28">
        <f t="shared" ref="N11:N14" si="8">IF(LEN(O11)=0,"",$C11)</f>
        <v>0</v>
      </c>
      <c r="O11" s="462" t="s">
        <v>1102</v>
      </c>
      <c r="P11" s="22">
        <f t="shared" ref="P11:P14" si="9">IF(LEN(O11)=0,"",$C11)</f>
        <v>0</v>
      </c>
    </row>
    <row r="12" spans="5:16" x14ac:dyDescent="0.25">
      <c r="E12" s="405"/>
      <c r="F12" s="28" t="str">
        <f t="shared" si="0"/>
        <v/>
      </c>
      <c r="G12" s="463"/>
      <c r="H12" s="22" t="str">
        <f t="shared" si="1"/>
        <v/>
      </c>
      <c r="I12" s="405"/>
      <c r="J12" s="28" t="str">
        <f t="shared" si="6"/>
        <v/>
      </c>
      <c r="K12" s="426"/>
      <c r="L12" s="22" t="str">
        <f t="shared" si="7"/>
        <v/>
      </c>
      <c r="N12" s="28" t="str">
        <f t="shared" si="8"/>
        <v/>
      </c>
      <c r="O12" s="463"/>
      <c r="P12" s="22" t="str">
        <f t="shared" si="9"/>
        <v/>
      </c>
    </row>
    <row r="13" spans="5:16" x14ac:dyDescent="0.25">
      <c r="E13" s="405"/>
      <c r="F13" s="28" t="str">
        <f t="shared" si="0"/>
        <v/>
      </c>
      <c r="G13" s="426"/>
      <c r="H13" s="22" t="str">
        <f t="shared" si="1"/>
        <v/>
      </c>
      <c r="I13" s="405"/>
      <c r="J13" s="28" t="str">
        <f t="shared" si="6"/>
        <v/>
      </c>
      <c r="K13" s="426"/>
      <c r="L13" s="22" t="str">
        <f t="shared" si="7"/>
        <v/>
      </c>
      <c r="N13" s="28" t="str">
        <f t="shared" si="8"/>
        <v/>
      </c>
      <c r="O13" s="426"/>
      <c r="P13" s="22" t="str">
        <f t="shared" si="9"/>
        <v/>
      </c>
    </row>
    <row r="14" spans="5:16" x14ac:dyDescent="0.25">
      <c r="E14" s="405"/>
      <c r="F14" s="28">
        <f t="shared" si="0"/>
        <v>0</v>
      </c>
      <c r="G14" s="410" t="s">
        <v>1136</v>
      </c>
      <c r="H14" s="22">
        <f t="shared" si="1"/>
        <v>0</v>
      </c>
      <c r="I14" s="405"/>
      <c r="J14" s="28" t="str">
        <f t="shared" si="6"/>
        <v/>
      </c>
      <c r="K14" s="426"/>
      <c r="L14" s="22" t="str">
        <f t="shared" si="7"/>
        <v/>
      </c>
      <c r="N14" s="28">
        <f t="shared" si="8"/>
        <v>0</v>
      </c>
      <c r="O14" s="462" t="s">
        <v>1103</v>
      </c>
      <c r="P14" s="22">
        <f t="shared" si="9"/>
        <v>0</v>
      </c>
    </row>
    <row r="15" spans="5:16" x14ac:dyDescent="0.25">
      <c r="E15" s="405"/>
      <c r="F15" s="28">
        <f>IF(LEN(G15)=0,"",$C15)</f>
        <v>0</v>
      </c>
      <c r="G15" s="410" t="s">
        <v>1291</v>
      </c>
      <c r="H15" s="22">
        <f>IF(LEN(G15)=0,"",$C15)</f>
        <v>0</v>
      </c>
      <c r="I15" s="405"/>
      <c r="J15" s="28" t="str">
        <f>IF(LEN(K15)=0,"",$C15)</f>
        <v/>
      </c>
      <c r="K15" s="426"/>
      <c r="L15" s="22" t="str">
        <f>IF(LEN(K15)=0,"",$C15)</f>
        <v/>
      </c>
      <c r="N15" s="28" t="str">
        <f>IF(LEN(O15)=0,"",$C15)</f>
        <v/>
      </c>
      <c r="O15" s="463"/>
      <c r="P15" s="22" t="str">
        <f>IF(LEN(O15)=0,"",$C15)</f>
        <v/>
      </c>
    </row>
    <row r="16" spans="5:16" x14ac:dyDescent="0.25">
      <c r="E16" s="405"/>
      <c r="F16" s="28" t="str">
        <f>IF(LEN(G16)=0,"",$C16)</f>
        <v/>
      </c>
      <c r="H16" s="22" t="str">
        <f>IF(LEN(G16)=0,"",$C16)</f>
        <v/>
      </c>
      <c r="I16" s="405"/>
      <c r="J16" s="28" t="str">
        <f>IF(LEN(K16)=0,"",$C16)</f>
        <v/>
      </c>
      <c r="K16" s="426"/>
      <c r="L16" s="22" t="str">
        <f>IF(LEN(K16)=0,"",$C16)</f>
        <v/>
      </c>
      <c r="N16" s="28" t="str">
        <f>IF(LEN(O16)=0,"",$C16)</f>
        <v/>
      </c>
      <c r="O16" s="426"/>
      <c r="P16" s="22" t="str">
        <f>IF(LEN(O16)=0,"",$C16)</f>
        <v/>
      </c>
    </row>
    <row r="17" spans="5:16" x14ac:dyDescent="0.25">
      <c r="E17" s="405"/>
      <c r="F17" s="28">
        <f>IF(LEN(G17)=0,"",$C17)</f>
        <v>0</v>
      </c>
      <c r="G17" s="409" t="s">
        <v>1139</v>
      </c>
      <c r="H17" s="22">
        <f>IF(LEN(G17)=0,"",$C17)</f>
        <v>0</v>
      </c>
      <c r="I17" s="405"/>
      <c r="J17" s="28" t="str">
        <f>IF(LEN(K17)=0,"",$C17)</f>
        <v/>
      </c>
      <c r="K17" s="426"/>
      <c r="L17" s="22" t="str">
        <f>IF(LEN(K17)=0,"",$C17)</f>
        <v/>
      </c>
      <c r="N17" s="28">
        <f>IF(LEN(O17)=0,"",$C17)</f>
        <v>0</v>
      </c>
      <c r="O17" s="462" t="s">
        <v>1203</v>
      </c>
      <c r="P17" s="22">
        <f>IF(LEN(O17)=0,"",$C17)</f>
        <v>0</v>
      </c>
    </row>
    <row r="18" spans="5:16" x14ac:dyDescent="0.25">
      <c r="E18" s="405"/>
      <c r="F18" s="28">
        <f>IF(LEN(G18)=0,"",$C18)</f>
        <v>0</v>
      </c>
      <c r="G18" s="409" t="s">
        <v>1142</v>
      </c>
      <c r="H18" s="22">
        <f>IF(LEN(G18)=0,"",$C18)</f>
        <v>0</v>
      </c>
      <c r="I18" s="405"/>
      <c r="J18" s="28" t="str">
        <f>IF(LEN(K18)=0,"",$C18)</f>
        <v/>
      </c>
      <c r="K18" s="426"/>
      <c r="L18" s="22" t="str">
        <f>IF(LEN(K18)=0,"",$C18)</f>
        <v/>
      </c>
      <c r="N18" s="28" t="str">
        <f>IF(LEN(O18)=0,"",$C18)</f>
        <v/>
      </c>
      <c r="O18" s="463"/>
      <c r="P18" s="22" t="str">
        <f>IF(LEN(O18)=0,"",$C18)</f>
        <v/>
      </c>
    </row>
    <row r="19" spans="5:16" x14ac:dyDescent="0.25">
      <c r="E19" s="405"/>
      <c r="F19" s="28" t="str">
        <f>IF(LEN(G19)=0,"",$C19)</f>
        <v/>
      </c>
      <c r="H19" s="22" t="str">
        <f>IF(LEN(G19)=0,"",$C19)</f>
        <v/>
      </c>
      <c r="I19" s="405"/>
      <c r="J19" s="28" t="str">
        <f>IF(LEN(K19)=0,"",$C19)</f>
        <v/>
      </c>
      <c r="K19" s="426"/>
      <c r="L19" s="22" t="str">
        <f>IF(LEN(K19)=0,"",$C19)</f>
        <v/>
      </c>
      <c r="N19" s="28" t="str">
        <f>IF(LEN(O19)=0,"",$C19)</f>
        <v/>
      </c>
      <c r="O19" s="426"/>
      <c r="P19" s="22" t="str">
        <f>IF(LEN(O19)=0,"",$C19)</f>
        <v/>
      </c>
    </row>
    <row r="20" spans="5:16" x14ac:dyDescent="0.25">
      <c r="E20" s="405"/>
      <c r="F20" s="28">
        <f t="shared" si="0"/>
        <v>0</v>
      </c>
      <c r="G20" s="409" t="s">
        <v>1143</v>
      </c>
      <c r="H20" s="22">
        <f t="shared" si="1"/>
        <v>0</v>
      </c>
      <c r="I20" s="405"/>
      <c r="J20" s="28" t="str">
        <f t="shared" ref="J20" si="10">IF(LEN(K20)=0,"",$C20)</f>
        <v/>
      </c>
      <c r="K20" s="426"/>
      <c r="L20" s="22" t="str">
        <f t="shared" ref="L20" si="11">IF(LEN(K20)=0,"",$C20)</f>
        <v/>
      </c>
      <c r="N20" s="28" t="str">
        <f t="shared" ref="N20" si="12">IF(LEN(O20)=0,"",$C20)</f>
        <v/>
      </c>
      <c r="O20" s="462"/>
      <c r="P20" s="22" t="str">
        <f t="shared" ref="P20" si="13">IF(LEN(O20)=0,"",$C20)</f>
        <v/>
      </c>
    </row>
    <row r="21" spans="5:16" x14ac:dyDescent="0.25">
      <c r="E21" s="405"/>
      <c r="F21" s="28">
        <f>IF(LEN(G21)=0,"",$C21)</f>
        <v>0</v>
      </c>
      <c r="G21" s="409" t="s">
        <v>1144</v>
      </c>
      <c r="H21" s="22">
        <f>IF(LEN(G21)=0,"",$C21)</f>
        <v>0</v>
      </c>
      <c r="I21" s="405"/>
      <c r="J21" s="28" t="str">
        <f>IF(LEN(K21)=0,"",$C21)</f>
        <v/>
      </c>
      <c r="K21" s="426"/>
      <c r="L21" s="22" t="str">
        <f>IF(LEN(K21)=0,"",$C21)</f>
        <v/>
      </c>
      <c r="N21" s="28" t="str">
        <f>IF(LEN(O21)=0,"",$C21)</f>
        <v/>
      </c>
      <c r="O21" s="463"/>
      <c r="P21" s="22" t="str">
        <f>IF(LEN(O21)=0,"",$C21)</f>
        <v/>
      </c>
    </row>
    <row r="22" spans="5:16" x14ac:dyDescent="0.25">
      <c r="E22" s="405"/>
      <c r="F22" s="28" t="str">
        <f>IF(LEN(G22)=0,"",$C22)</f>
        <v/>
      </c>
      <c r="H22" s="22" t="str">
        <f>IF(LEN(G22)=0,"",$C22)</f>
        <v/>
      </c>
      <c r="I22" s="405"/>
      <c r="J22" s="28">
        <f>IF(LEN(K22)=0,"",$C22)</f>
        <v>0</v>
      </c>
      <c r="K22" s="409" t="s">
        <v>1140</v>
      </c>
      <c r="L22" s="22">
        <f>IF(LEN(K22)=0,"",$C22)</f>
        <v>0</v>
      </c>
      <c r="N22" s="28" t="str">
        <f>IF(LEN(O22)=0,"",$C22)</f>
        <v/>
      </c>
      <c r="O22" s="426"/>
      <c r="P22" s="22" t="str">
        <f>IF(LEN(O22)=0,"",$C22)</f>
        <v/>
      </c>
    </row>
    <row r="23" spans="5:16" x14ac:dyDescent="0.25">
      <c r="E23" s="405"/>
      <c r="F23" s="28">
        <f>IF(LEN(G23)=0,"",$C23)</f>
        <v>0</v>
      </c>
      <c r="G23" s="409" t="s">
        <v>1145</v>
      </c>
      <c r="H23" s="22">
        <f>IF(LEN(G23)=0,"",$C23)</f>
        <v>0</v>
      </c>
      <c r="I23" s="405"/>
      <c r="J23" s="28" t="str">
        <f>IF(LEN(K23)=0,"",$C23)</f>
        <v/>
      </c>
      <c r="K23" s="426"/>
      <c r="L23" s="22" t="str">
        <f>IF(LEN(K23)=0,"",$C23)</f>
        <v/>
      </c>
      <c r="N23" s="28" t="str">
        <f>IF(LEN(O23)=0,"",$C23)</f>
        <v/>
      </c>
      <c r="O23" s="426"/>
      <c r="P23" s="22" t="str">
        <f>IF(LEN(O23)=0,"",$C23)</f>
        <v/>
      </c>
    </row>
    <row r="24" spans="5:16" x14ac:dyDescent="0.25">
      <c r="E24" s="405"/>
      <c r="F24" s="28">
        <f t="shared" ref="F24:F40" si="14">IF(LEN(G24)=0,"",$C24)</f>
        <v>0</v>
      </c>
      <c r="G24" s="409" t="s">
        <v>1146</v>
      </c>
      <c r="H24" s="22">
        <f t="shared" ref="H24:H40" si="15">IF(LEN(G24)=0,"",$C24)</f>
        <v>0</v>
      </c>
      <c r="I24" s="405"/>
      <c r="J24" s="28">
        <f t="shared" ref="J24:J40" si="16">IF(LEN(K24)=0,"",$C24)</f>
        <v>0</v>
      </c>
      <c r="K24" s="427" t="s">
        <v>970</v>
      </c>
      <c r="L24" s="22">
        <f t="shared" ref="L24:L40" si="17">IF(LEN(K24)=0,"",$C24)</f>
        <v>0</v>
      </c>
      <c r="N24" s="28">
        <f t="shared" ref="N24:N40" si="18">IF(LEN(O24)=0,"",$C24)</f>
        <v>0</v>
      </c>
      <c r="O24" s="427" t="s">
        <v>970</v>
      </c>
      <c r="P24" s="22">
        <f t="shared" ref="P24:P40" si="19">IF(LEN(O24)=0,"",$C24)</f>
        <v>0</v>
      </c>
    </row>
    <row r="25" spans="5:16" x14ac:dyDescent="0.25">
      <c r="E25" s="405"/>
      <c r="F25" s="28" t="str">
        <f t="shared" si="14"/>
        <v/>
      </c>
      <c r="G25" s="426"/>
      <c r="H25" s="22" t="str">
        <f t="shared" si="15"/>
        <v/>
      </c>
      <c r="I25" s="405"/>
      <c r="J25" s="28">
        <f t="shared" si="16"/>
        <v>0</v>
      </c>
      <c r="K25" s="401" t="s">
        <v>971</v>
      </c>
      <c r="L25" s="22">
        <f t="shared" si="17"/>
        <v>0</v>
      </c>
      <c r="N25" s="28">
        <f t="shared" si="18"/>
        <v>0</v>
      </c>
      <c r="O25" s="401" t="s">
        <v>971</v>
      </c>
      <c r="P25" s="22">
        <f t="shared" si="19"/>
        <v>0</v>
      </c>
    </row>
    <row r="26" spans="5:16" x14ac:dyDescent="0.25">
      <c r="E26" s="405"/>
      <c r="F26" s="28">
        <f t="shared" si="14"/>
        <v>0</v>
      </c>
      <c r="G26" s="409" t="s">
        <v>1141</v>
      </c>
      <c r="H26" s="22">
        <f t="shared" si="15"/>
        <v>0</v>
      </c>
      <c r="I26" s="405"/>
      <c r="J26" s="28" t="str">
        <f t="shared" si="16"/>
        <v/>
      </c>
      <c r="K26" s="426"/>
      <c r="L26" s="22" t="str">
        <f t="shared" si="17"/>
        <v/>
      </c>
      <c r="N26" s="28" t="str">
        <f t="shared" si="18"/>
        <v/>
      </c>
      <c r="O26" s="426"/>
      <c r="P26" s="22" t="str">
        <f t="shared" si="19"/>
        <v/>
      </c>
    </row>
    <row r="27" spans="5:16" x14ac:dyDescent="0.25">
      <c r="E27" s="405"/>
      <c r="F27" s="28">
        <f t="shared" si="14"/>
        <v>0</v>
      </c>
      <c r="G27" s="409" t="s">
        <v>1140</v>
      </c>
      <c r="H27" s="22">
        <f t="shared" si="15"/>
        <v>0</v>
      </c>
      <c r="I27" s="405"/>
      <c r="J27" s="28">
        <f t="shared" si="16"/>
        <v>0</v>
      </c>
      <c r="K27" s="462" t="s">
        <v>1147</v>
      </c>
      <c r="L27" s="22">
        <f t="shared" si="17"/>
        <v>0</v>
      </c>
      <c r="N27" s="28">
        <f t="shared" si="18"/>
        <v>0</v>
      </c>
      <c r="O27" s="462" t="s">
        <v>1147</v>
      </c>
      <c r="P27" s="22">
        <f t="shared" si="19"/>
        <v>0</v>
      </c>
    </row>
    <row r="28" spans="5:16" x14ac:dyDescent="0.25">
      <c r="F28" s="28" t="str">
        <f t="shared" si="14"/>
        <v/>
      </c>
      <c r="G28" s="426"/>
      <c r="H28" s="22" t="str">
        <f t="shared" si="15"/>
        <v/>
      </c>
      <c r="J28" s="28" t="str">
        <f t="shared" si="16"/>
        <v/>
      </c>
      <c r="K28" s="464"/>
      <c r="L28" s="22" t="str">
        <f t="shared" si="17"/>
        <v/>
      </c>
      <c r="N28" s="28" t="str">
        <f t="shared" si="18"/>
        <v/>
      </c>
      <c r="O28" s="464"/>
      <c r="P28" s="22" t="str">
        <f t="shared" si="19"/>
        <v/>
      </c>
    </row>
    <row r="29" spans="5:16" x14ac:dyDescent="0.25">
      <c r="E29" s="406"/>
      <c r="F29" s="28">
        <f t="shared" si="14"/>
        <v>0</v>
      </c>
      <c r="G29" s="462" t="s">
        <v>1102</v>
      </c>
      <c r="H29" s="22">
        <f t="shared" si="15"/>
        <v>0</v>
      </c>
      <c r="I29" s="406"/>
      <c r="J29" s="28" t="str">
        <f t="shared" si="16"/>
        <v/>
      </c>
      <c r="K29" s="463"/>
      <c r="L29" s="22" t="str">
        <f t="shared" si="17"/>
        <v/>
      </c>
      <c r="N29" s="28" t="str">
        <f t="shared" si="18"/>
        <v/>
      </c>
      <c r="O29" s="463"/>
      <c r="P29" s="22" t="str">
        <f t="shared" si="19"/>
        <v/>
      </c>
    </row>
    <row r="30" spans="5:16" x14ac:dyDescent="0.25">
      <c r="E30" s="406"/>
      <c r="F30" s="28" t="str">
        <f t="shared" si="14"/>
        <v/>
      </c>
      <c r="G30" s="463"/>
      <c r="H30" s="22" t="str">
        <f t="shared" si="15"/>
        <v/>
      </c>
      <c r="I30" s="406"/>
      <c r="J30" s="28" t="str">
        <f t="shared" si="16"/>
        <v/>
      </c>
      <c r="K30" s="426"/>
      <c r="L30" s="22" t="str">
        <f t="shared" si="17"/>
        <v/>
      </c>
      <c r="N30" s="28" t="str">
        <f t="shared" si="18"/>
        <v/>
      </c>
      <c r="O30" s="426"/>
      <c r="P30" s="22" t="str">
        <f t="shared" si="19"/>
        <v/>
      </c>
    </row>
    <row r="31" spans="5:16" x14ac:dyDescent="0.25">
      <c r="E31" s="406"/>
      <c r="F31" s="28" t="str">
        <f t="shared" si="14"/>
        <v/>
      </c>
      <c r="G31" s="426"/>
      <c r="H31" s="22" t="str">
        <f t="shared" si="15"/>
        <v/>
      </c>
      <c r="I31" s="406"/>
      <c r="J31" s="28">
        <f t="shared" si="16"/>
        <v>0</v>
      </c>
      <c r="K31" s="409" t="s">
        <v>1139</v>
      </c>
      <c r="L31" s="22">
        <f t="shared" si="17"/>
        <v>0</v>
      </c>
      <c r="N31" s="28">
        <f t="shared" si="18"/>
        <v>0</v>
      </c>
      <c r="O31" s="409" t="s">
        <v>1139</v>
      </c>
      <c r="P31" s="22">
        <f t="shared" si="19"/>
        <v>0</v>
      </c>
    </row>
    <row r="32" spans="5:16" x14ac:dyDescent="0.25">
      <c r="E32" s="406"/>
      <c r="F32" s="28">
        <f t="shared" si="14"/>
        <v>0</v>
      </c>
      <c r="G32" s="462" t="s">
        <v>1103</v>
      </c>
      <c r="H32" s="22">
        <f t="shared" si="15"/>
        <v>0</v>
      </c>
      <c r="I32" s="406"/>
      <c r="J32" s="28">
        <f t="shared" si="16"/>
        <v>0</v>
      </c>
      <c r="K32" s="409" t="s">
        <v>1142</v>
      </c>
      <c r="L32" s="22">
        <f t="shared" si="17"/>
        <v>0</v>
      </c>
      <c r="N32" s="28">
        <f t="shared" si="18"/>
        <v>0</v>
      </c>
      <c r="O32" s="409" t="s">
        <v>1142</v>
      </c>
      <c r="P32" s="22">
        <f t="shared" si="19"/>
        <v>0</v>
      </c>
    </row>
    <row r="33" spans="5:16" x14ac:dyDescent="0.25">
      <c r="E33" s="406"/>
      <c r="F33" s="28" t="str">
        <f t="shared" si="14"/>
        <v/>
      </c>
      <c r="G33" s="463"/>
      <c r="H33" s="22" t="str">
        <f t="shared" si="15"/>
        <v/>
      </c>
      <c r="I33" s="406"/>
      <c r="J33" s="28" t="str">
        <f t="shared" si="16"/>
        <v/>
      </c>
      <c r="L33" s="22" t="str">
        <f t="shared" si="17"/>
        <v/>
      </c>
      <c r="N33" s="28" t="str">
        <f t="shared" si="18"/>
        <v/>
      </c>
      <c r="P33" s="22" t="str">
        <f t="shared" si="19"/>
        <v/>
      </c>
    </row>
    <row r="34" spans="5:16" x14ac:dyDescent="0.25">
      <c r="E34" s="406"/>
      <c r="F34" s="28" t="str">
        <f t="shared" si="14"/>
        <v/>
      </c>
      <c r="G34" s="426"/>
      <c r="H34" s="22" t="str">
        <f t="shared" si="15"/>
        <v/>
      </c>
      <c r="I34" s="406"/>
      <c r="J34" s="28">
        <f t="shared" si="16"/>
        <v>0</v>
      </c>
      <c r="K34" s="409" t="s">
        <v>1143</v>
      </c>
      <c r="L34" s="22">
        <f t="shared" si="17"/>
        <v>0</v>
      </c>
      <c r="N34" s="28">
        <f t="shared" si="18"/>
        <v>0</v>
      </c>
      <c r="O34" s="409" t="s">
        <v>1143</v>
      </c>
      <c r="P34" s="22">
        <f t="shared" si="19"/>
        <v>0</v>
      </c>
    </row>
    <row r="35" spans="5:16" x14ac:dyDescent="0.25">
      <c r="E35" s="406"/>
      <c r="F35" s="28">
        <f t="shared" si="14"/>
        <v>0</v>
      </c>
      <c r="G35" s="462" t="s">
        <v>1203</v>
      </c>
      <c r="H35" s="22">
        <f t="shared" si="15"/>
        <v>0</v>
      </c>
      <c r="I35" s="406"/>
      <c r="J35" s="28">
        <f t="shared" si="16"/>
        <v>0</v>
      </c>
      <c r="K35" s="409" t="s">
        <v>1144</v>
      </c>
      <c r="L35" s="22">
        <f t="shared" si="17"/>
        <v>0</v>
      </c>
      <c r="N35" s="28">
        <f t="shared" si="18"/>
        <v>0</v>
      </c>
      <c r="O35" s="409" t="s">
        <v>1144</v>
      </c>
      <c r="P35" s="22">
        <f t="shared" si="19"/>
        <v>0</v>
      </c>
    </row>
    <row r="36" spans="5:16" x14ac:dyDescent="0.25">
      <c r="E36" s="406"/>
      <c r="F36" s="28" t="str">
        <f t="shared" si="14"/>
        <v/>
      </c>
      <c r="G36" s="463"/>
      <c r="H36" s="22" t="str">
        <f t="shared" si="15"/>
        <v/>
      </c>
      <c r="I36" s="406"/>
      <c r="J36" s="28" t="str">
        <f t="shared" si="16"/>
        <v/>
      </c>
      <c r="L36" s="22" t="str">
        <f t="shared" si="17"/>
        <v/>
      </c>
      <c r="N36" s="28" t="str">
        <f t="shared" si="18"/>
        <v/>
      </c>
      <c r="P36" s="22" t="str">
        <f t="shared" si="19"/>
        <v/>
      </c>
    </row>
    <row r="37" spans="5:16" x14ac:dyDescent="0.25">
      <c r="E37" s="406"/>
      <c r="F37" s="28" t="str">
        <f t="shared" si="14"/>
        <v/>
      </c>
      <c r="G37" s="426"/>
      <c r="H37" s="22" t="str">
        <f t="shared" si="15"/>
        <v/>
      </c>
      <c r="I37" s="406"/>
      <c r="J37" s="28">
        <f t="shared" si="16"/>
        <v>0</v>
      </c>
      <c r="K37" s="409" t="s">
        <v>1145</v>
      </c>
      <c r="L37" s="22">
        <f t="shared" si="17"/>
        <v>0</v>
      </c>
      <c r="N37" s="28">
        <f t="shared" si="18"/>
        <v>0</v>
      </c>
      <c r="O37" s="409" t="s">
        <v>1145</v>
      </c>
      <c r="P37" s="22">
        <f t="shared" si="19"/>
        <v>0</v>
      </c>
    </row>
    <row r="38" spans="5:16" x14ac:dyDescent="0.25">
      <c r="E38" s="406"/>
      <c r="F38" s="28" t="str">
        <f t="shared" si="14"/>
        <v/>
      </c>
      <c r="G38" s="426"/>
      <c r="H38" s="22" t="str">
        <f t="shared" si="15"/>
        <v/>
      </c>
      <c r="I38" s="406"/>
      <c r="J38" s="28">
        <f t="shared" si="16"/>
        <v>0</v>
      </c>
      <c r="K38" s="409" t="s">
        <v>1146</v>
      </c>
      <c r="L38" s="22">
        <f t="shared" si="17"/>
        <v>0</v>
      </c>
      <c r="N38" s="28">
        <f t="shared" si="18"/>
        <v>0</v>
      </c>
      <c r="O38" s="409" t="s">
        <v>1146</v>
      </c>
      <c r="P38" s="22">
        <f t="shared" si="19"/>
        <v>0</v>
      </c>
    </row>
    <row r="39" spans="5:16" x14ac:dyDescent="0.25">
      <c r="E39" s="406"/>
      <c r="F39" s="28" t="str">
        <f t="shared" si="14"/>
        <v/>
      </c>
      <c r="G39" s="426"/>
      <c r="H39" s="22" t="str">
        <f t="shared" si="15"/>
        <v/>
      </c>
      <c r="I39" s="406"/>
      <c r="J39" s="28" t="str">
        <f t="shared" si="16"/>
        <v/>
      </c>
      <c r="K39" s="426"/>
      <c r="L39" s="22" t="str">
        <f t="shared" si="17"/>
        <v/>
      </c>
      <c r="N39" s="28" t="str">
        <f t="shared" si="18"/>
        <v/>
      </c>
      <c r="O39" s="426"/>
      <c r="P39" s="22" t="str">
        <f t="shared" si="19"/>
        <v/>
      </c>
    </row>
    <row r="40" spans="5:16" x14ac:dyDescent="0.25">
      <c r="E40" s="406"/>
      <c r="F40" s="28">
        <f t="shared" si="14"/>
        <v>0</v>
      </c>
      <c r="G40" s="401" t="s">
        <v>1094</v>
      </c>
      <c r="H40" s="22">
        <f t="shared" si="15"/>
        <v>0</v>
      </c>
      <c r="I40" s="406"/>
      <c r="J40" s="28">
        <f t="shared" si="16"/>
        <v>0</v>
      </c>
      <c r="K40" s="409" t="s">
        <v>1141</v>
      </c>
      <c r="L40" s="22">
        <f t="shared" si="17"/>
        <v>0</v>
      </c>
      <c r="N40" s="28">
        <f t="shared" si="18"/>
        <v>0</v>
      </c>
      <c r="O40" s="409" t="s">
        <v>1141</v>
      </c>
      <c r="P40" s="22">
        <f t="shared" si="19"/>
        <v>0</v>
      </c>
    </row>
    <row r="41" spans="5:16" x14ac:dyDescent="0.25">
      <c r="E41" s="406"/>
      <c r="F41" s="28">
        <f>IF(LEN(G41)=0,"",$C41)</f>
        <v>0</v>
      </c>
      <c r="G41" s="401" t="s">
        <v>1094</v>
      </c>
      <c r="H41" s="22">
        <f>IF(LEN(G41)=0,"",$C41)</f>
        <v>0</v>
      </c>
      <c r="I41" s="406"/>
      <c r="J41" s="28" t="str">
        <f>IF(LEN(K41)=0,"",$C41)</f>
        <v/>
      </c>
      <c r="K41" s="426"/>
      <c r="L41" s="22" t="str">
        <f>IF(LEN(K41)=0,"",$C41)</f>
        <v/>
      </c>
      <c r="N41" s="28">
        <f>IF(LEN(O41)=0,"",$C41)</f>
        <v>0</v>
      </c>
      <c r="O41" s="409" t="s">
        <v>1140</v>
      </c>
      <c r="P41" s="22">
        <f>IF(LEN(O41)=0,"",$C41)</f>
        <v>0</v>
      </c>
    </row>
    <row r="42" spans="5:16" x14ac:dyDescent="0.25">
      <c r="E42" s="406"/>
      <c r="F42" s="28" t="str">
        <f t="shared" ref="F42:F43" si="20">IF(LEN(G42)=0,"",$C42)</f>
        <v/>
      </c>
      <c r="G42" s="422"/>
      <c r="H42" s="22" t="str">
        <f t="shared" ref="H42:H43" si="21">IF(LEN(G42)=0,"",$C42)</f>
        <v/>
      </c>
      <c r="I42" s="406"/>
      <c r="J42" s="28" t="str">
        <f t="shared" ref="J42:J43" si="22">IF(LEN(K42)=0,"",$C42)</f>
        <v/>
      </c>
      <c r="K42" s="422"/>
      <c r="L42" s="22" t="str">
        <f t="shared" ref="L42:L43" si="23">IF(LEN(K42)=0,"",$C42)</f>
        <v/>
      </c>
      <c r="N42" s="28" t="str">
        <f t="shared" ref="N42:N43" si="24">IF(LEN(O42)=0,"",$C42)</f>
        <v/>
      </c>
      <c r="O42" s="422"/>
      <c r="P42" s="22" t="str">
        <f t="shared" ref="P42:P43" si="25">IF(LEN(O42)=0,"",$C42)</f>
        <v/>
      </c>
    </row>
    <row r="43" spans="5:16" x14ac:dyDescent="0.25">
      <c r="E43" s="406"/>
      <c r="F43" s="28">
        <f t="shared" si="20"/>
        <v>0</v>
      </c>
      <c r="G43" s="401" t="s">
        <v>1094</v>
      </c>
      <c r="H43" s="22">
        <f t="shared" si="21"/>
        <v>0</v>
      </c>
      <c r="I43" s="406"/>
      <c r="J43" s="28">
        <f t="shared" si="22"/>
        <v>0</v>
      </c>
      <c r="K43" s="401" t="s">
        <v>1094</v>
      </c>
      <c r="L43" s="22">
        <f t="shared" si="23"/>
        <v>0</v>
      </c>
      <c r="N43" s="28">
        <f t="shared" si="24"/>
        <v>0</v>
      </c>
      <c r="O43" s="401" t="s">
        <v>1292</v>
      </c>
      <c r="P43" s="22">
        <f t="shared" si="25"/>
        <v>0</v>
      </c>
    </row>
    <row r="44" spans="5:16" x14ac:dyDescent="0.25">
      <c r="E44" s="406"/>
      <c r="F44" s="28">
        <f t="shared" ref="F44" si="26">IF(LEN(G43)=0,"",$C44)</f>
        <v>0</v>
      </c>
      <c r="G44" s="401" t="s">
        <v>1094</v>
      </c>
      <c r="H44" s="22">
        <f t="shared" ref="H44" si="27">IF(LEN(G43)=0,"",$C44)</f>
        <v>0</v>
      </c>
      <c r="I44" s="406"/>
      <c r="J44" s="28">
        <f t="shared" ref="J44" si="28">IF(LEN(K43)=0,"",$C44)</f>
        <v>0</v>
      </c>
      <c r="K44" s="401" t="s">
        <v>1094</v>
      </c>
      <c r="L44" s="22">
        <f t="shared" ref="L44" si="29">IF(LEN(K43)=0,"",$C44)</f>
        <v>0</v>
      </c>
      <c r="N44" s="28">
        <f t="shared" ref="N44" si="30">IF(LEN(O43)=0,"",$C44)</f>
        <v>0</v>
      </c>
      <c r="O44" s="401" t="s">
        <v>1293</v>
      </c>
      <c r="P44" s="22">
        <f t="shared" ref="P44" si="31">IF(LEN(O43)=0,"",$C44)</f>
        <v>0</v>
      </c>
    </row>
    <row r="45" spans="5:16" x14ac:dyDescent="0.25">
      <c r="F45" s="28"/>
      <c r="G45" s="19"/>
      <c r="H45" s="28"/>
      <c r="J45" s="28"/>
      <c r="K45" s="19"/>
      <c r="L45" s="28"/>
      <c r="N45" s="28"/>
      <c r="O45" s="19"/>
      <c r="P45" s="28"/>
    </row>
  </sheetData>
  <mergeCells count="10">
    <mergeCell ref="O27:O29"/>
    <mergeCell ref="O11:O12"/>
    <mergeCell ref="O14:O15"/>
    <mergeCell ref="O17:O18"/>
    <mergeCell ref="O20:O21"/>
    <mergeCell ref="G10:G12"/>
    <mergeCell ref="G29:G30"/>
    <mergeCell ref="G32:G33"/>
    <mergeCell ref="G35:G36"/>
    <mergeCell ref="K27:K29"/>
  </mergeCells>
  <dataValidations count="1">
    <dataValidation type="list" allowBlank="1" showInputMessage="1" sqref="G10 G35 G29 G32 G14:G15 K27 K11 O27 O7 O9 O17 O11 O14 O20">
      <formula1>_ValidDevices_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177" r:id="rId3" name="Button 1">
              <controlPr defaultSize="0" print="0" autoFill="0" autoPict="0" macro="[0]!Sheet03.BuildConfigSheets">
                <anchor moveWithCells="1" sizeWithCells="1">
                  <from>
                    <xdr:col>5</xdr:col>
                    <xdr:colOff>182880</xdr:colOff>
                    <xdr:row>0</xdr:row>
                    <xdr:rowOff>76200</xdr:rowOff>
                  </from>
                  <to>
                    <xdr:col>6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8" r:id="rId4" name="Button 2">
              <controlPr defaultSize="0" print="0" autoFill="0" autoPict="0">
                <anchor moveWithCells="1" sizeWithCells="1">
                  <from>
                    <xdr:col>5</xdr:col>
                    <xdr:colOff>182880</xdr:colOff>
                    <xdr:row>0</xdr:row>
                    <xdr:rowOff>0</xdr:rowOff>
                  </from>
                  <to>
                    <xdr:col>6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9" r:id="rId5" name="Button 3">
              <controlPr defaultSize="0" print="0" autoFill="0" autoPict="0" macro="[0]!Sheet03.BuildConfigSheets">
                <anchor moveWithCells="1" sizeWithCells="1">
                  <from>
                    <xdr:col>5</xdr:col>
                    <xdr:colOff>182880</xdr:colOff>
                    <xdr:row>0</xdr:row>
                    <xdr:rowOff>76200</xdr:rowOff>
                  </from>
                  <to>
                    <xdr:col>6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0" r:id="rId6" name="Button 4">
              <controlPr defaultSize="0" print="0" autoFill="0" autoPict="0">
                <anchor moveWithCells="1" sizeWithCells="1">
                  <from>
                    <xdr:col>5</xdr:col>
                    <xdr:colOff>182880</xdr:colOff>
                    <xdr:row>0</xdr:row>
                    <xdr:rowOff>0</xdr:rowOff>
                  </from>
                  <to>
                    <xdr:col>6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1" r:id="rId7" name="Button 5">
              <controlPr defaultSize="0" print="0" autoFill="0" autoPict="0" macro="[0]!Sheet03.BuildConfigSheets">
                <anchor moveWithCells="1" sizeWithCells="1">
                  <from>
                    <xdr:col>9</xdr:col>
                    <xdr:colOff>182880</xdr:colOff>
                    <xdr:row>0</xdr:row>
                    <xdr:rowOff>76200</xdr:rowOff>
                  </from>
                  <to>
                    <xdr:col>10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2" r:id="rId8" name="Button 6">
              <controlPr defaultSize="0" print="0" autoFill="0" autoPict="0">
                <anchor moveWithCells="1" sizeWithCells="1">
                  <from>
                    <xdr:col>9</xdr:col>
                    <xdr:colOff>182880</xdr:colOff>
                    <xdr:row>0</xdr:row>
                    <xdr:rowOff>0</xdr:rowOff>
                  </from>
                  <to>
                    <xdr:col>10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3" r:id="rId9" name="Button 7">
              <controlPr defaultSize="0" print="0" autoFill="0" autoPict="0" macro="[0]!Sheet03.BuildConfigSheets">
                <anchor moveWithCells="1" sizeWithCells="1">
                  <from>
                    <xdr:col>9</xdr:col>
                    <xdr:colOff>182880</xdr:colOff>
                    <xdr:row>0</xdr:row>
                    <xdr:rowOff>76200</xdr:rowOff>
                  </from>
                  <to>
                    <xdr:col>10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4" r:id="rId10" name="Button 8">
              <controlPr defaultSize="0" print="0" autoFill="0" autoPict="0">
                <anchor moveWithCells="1" sizeWithCells="1">
                  <from>
                    <xdr:col>9</xdr:col>
                    <xdr:colOff>182880</xdr:colOff>
                    <xdr:row>0</xdr:row>
                    <xdr:rowOff>0</xdr:rowOff>
                  </from>
                  <to>
                    <xdr:col>10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7" r:id="rId11" name="Button 11">
              <controlPr defaultSize="0" print="0" autoFill="0" autoPict="0" macro="[0]!Sheet03.BuildConfigSheets">
                <anchor moveWithCells="1" sizeWithCells="1">
                  <from>
                    <xdr:col>13</xdr:col>
                    <xdr:colOff>182880</xdr:colOff>
                    <xdr:row>0</xdr:row>
                    <xdr:rowOff>76200</xdr:rowOff>
                  </from>
                  <to>
                    <xdr:col>14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8" r:id="rId12" name="Button 12">
              <controlPr defaultSize="0" print="0" autoFill="0" autoPict="0">
                <anchor moveWithCells="1" sizeWithCells="1">
                  <from>
                    <xdr:col>13</xdr:col>
                    <xdr:colOff>182880</xdr:colOff>
                    <xdr:row>0</xdr:row>
                    <xdr:rowOff>0</xdr:rowOff>
                  </from>
                  <to>
                    <xdr:col>14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9" r:id="rId13" name="Button 13">
              <controlPr defaultSize="0" print="0" autoFill="0" autoPict="0" macro="[0]!Sheet03.BuildConfigSheets">
                <anchor moveWithCells="1" sizeWithCells="1">
                  <from>
                    <xdr:col>13</xdr:col>
                    <xdr:colOff>182880</xdr:colOff>
                    <xdr:row>0</xdr:row>
                    <xdr:rowOff>76200</xdr:rowOff>
                  </from>
                  <to>
                    <xdr:col>14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90" r:id="rId14" name="Button 14">
              <controlPr defaultSize="0" print="0" autoFill="0" autoPict="0">
                <anchor moveWithCells="1" sizeWithCells="1">
                  <from>
                    <xdr:col>13</xdr:col>
                    <xdr:colOff>182880</xdr:colOff>
                    <xdr:row>0</xdr:row>
                    <xdr:rowOff>0</xdr:rowOff>
                  </from>
                  <to>
                    <xdr:col>14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6">
    <pageSetUpPr fitToPage="1"/>
  </sheetPr>
  <dimension ref="A1:BX8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9" sqref="A19"/>
    </sheetView>
  </sheetViews>
  <sheetFormatPr defaultColWidth="9.33203125" defaultRowHeight="13.2" x14ac:dyDescent="0.25"/>
  <cols>
    <col min="1" max="1" width="66.44140625" style="6" bestFit="1" customWidth="1"/>
    <col min="2" max="2" width="5.6640625" style="5" bestFit="1" customWidth="1"/>
    <col min="3" max="3" width="5.44140625" style="6" bestFit="1" customWidth="1"/>
    <col min="4" max="4" width="3.44140625" style="6" bestFit="1" customWidth="1"/>
    <col min="5" max="5" width="4.33203125" style="6" bestFit="1" customWidth="1"/>
    <col min="6" max="6" width="5.44140625" style="6" bestFit="1" customWidth="1"/>
    <col min="7" max="7" width="3.33203125" style="6" bestFit="1" customWidth="1"/>
    <col min="8" max="8" width="4.33203125" style="6" bestFit="1" customWidth="1"/>
    <col min="9" max="9" width="5.44140625" style="6" customWidth="1"/>
    <col min="10" max="10" width="3.33203125" style="6" customWidth="1"/>
    <col min="11" max="11" width="4.33203125" style="6" customWidth="1"/>
    <col min="12" max="12" width="5.44140625" style="6" customWidth="1"/>
    <col min="13" max="13" width="3.33203125" style="6" customWidth="1"/>
    <col min="14" max="14" width="4.33203125" style="6" customWidth="1"/>
    <col min="15" max="15" width="5.44140625" style="6" bestFit="1" customWidth="1"/>
    <col min="16" max="16" width="3.33203125" style="6" bestFit="1" customWidth="1"/>
    <col min="17" max="17" width="4.33203125" style="6" bestFit="1" customWidth="1"/>
    <col min="18" max="18" width="5.44140625" style="6" bestFit="1" customWidth="1"/>
    <col min="19" max="19" width="3.33203125" style="6" bestFit="1" customWidth="1"/>
    <col min="20" max="20" width="4.33203125" style="6" bestFit="1" customWidth="1"/>
    <col min="21" max="21" width="5.44140625" style="6" bestFit="1" customWidth="1"/>
    <col min="22" max="22" width="3.33203125" style="6" bestFit="1" customWidth="1"/>
    <col min="23" max="23" width="4.33203125" style="6" bestFit="1" customWidth="1"/>
    <col min="24" max="24" width="5.44140625" style="6" bestFit="1" customWidth="1"/>
    <col min="25" max="25" width="3.33203125" style="6" bestFit="1" customWidth="1"/>
    <col min="26" max="26" width="4.33203125" style="6" bestFit="1" customWidth="1"/>
    <col min="27" max="27" width="5.44140625" style="6" bestFit="1" customWidth="1"/>
    <col min="28" max="28" width="3.33203125" style="6" bestFit="1" customWidth="1"/>
    <col min="29" max="29" width="4.33203125" style="6" bestFit="1" customWidth="1"/>
    <col min="30" max="30" width="5.44140625" style="6" bestFit="1" customWidth="1"/>
    <col min="31" max="31" width="3.33203125" style="6" bestFit="1" customWidth="1"/>
    <col min="32" max="32" width="4.33203125" style="6" bestFit="1" customWidth="1"/>
    <col min="33" max="33" width="9.33203125" style="6" hidden="1" customWidth="1"/>
    <col min="34" max="34" width="5.44140625" style="363" hidden="1" customWidth="1"/>
    <col min="35" max="35" width="3.33203125" style="363" hidden="1" customWidth="1"/>
    <col min="36" max="36" width="4.33203125" style="363" hidden="1" customWidth="1"/>
    <col min="37" max="37" width="5.44140625" style="363" hidden="1" customWidth="1"/>
    <col min="38" max="38" width="3.33203125" style="363" hidden="1" customWidth="1"/>
    <col min="39" max="39" width="4.33203125" style="363" hidden="1" customWidth="1"/>
    <col min="40" max="40" width="5.44140625" style="363" hidden="1" customWidth="1"/>
    <col min="41" max="41" width="3.33203125" style="363" hidden="1" customWidth="1"/>
    <col min="42" max="42" width="4.33203125" style="363" hidden="1" customWidth="1"/>
    <col min="43" max="43" width="5.44140625" style="363" hidden="1" customWidth="1"/>
    <col min="44" max="44" width="3.33203125" style="363" hidden="1" customWidth="1"/>
    <col min="45" max="45" width="4.33203125" style="363" hidden="1" customWidth="1"/>
    <col min="46" max="46" width="5.44140625" style="363" hidden="1" customWidth="1"/>
    <col min="47" max="47" width="3.33203125" style="363" hidden="1" customWidth="1"/>
    <col min="48" max="48" width="4.33203125" style="363" hidden="1" customWidth="1"/>
    <col min="49" max="49" width="5.44140625" style="363" hidden="1" customWidth="1"/>
    <col min="50" max="50" width="3.33203125" style="363" hidden="1" customWidth="1"/>
    <col min="51" max="51" width="4.33203125" style="363" hidden="1" customWidth="1"/>
    <col min="52" max="52" width="5.44140625" style="363" hidden="1" customWidth="1"/>
    <col min="53" max="53" width="3.33203125" style="363" hidden="1" customWidth="1"/>
    <col min="54" max="54" width="4.33203125" style="363" hidden="1" customWidth="1"/>
    <col min="55" max="55" width="5.44140625" style="363" hidden="1" customWidth="1"/>
    <col min="56" max="56" width="3.33203125" style="363" hidden="1" customWidth="1"/>
    <col min="57" max="57" width="4.33203125" style="363" hidden="1" customWidth="1"/>
    <col min="58" max="58" width="5.44140625" style="363" hidden="1" customWidth="1"/>
    <col min="59" max="59" width="3.33203125" style="363" hidden="1" customWidth="1"/>
    <col min="60" max="60" width="4.33203125" style="363" hidden="1" customWidth="1"/>
    <col min="61" max="61" width="5.44140625" style="363" hidden="1" customWidth="1"/>
    <col min="62" max="62" width="3.33203125" style="363" hidden="1" customWidth="1"/>
    <col min="63" max="63" width="4.33203125" style="363" hidden="1" customWidth="1"/>
    <col min="64" max="87" width="9.33203125" style="6" customWidth="1"/>
    <col min="88" max="16384" width="9.33203125" style="6"/>
  </cols>
  <sheetData>
    <row r="1" spans="1:63" ht="23.25" customHeight="1" thickBot="1" x14ac:dyDescent="0.3">
      <c r="A1" s="70"/>
      <c r="B1" s="369" t="s">
        <v>949</v>
      </c>
      <c r="C1" s="366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8"/>
      <c r="AH1" s="487" t="s">
        <v>950</v>
      </c>
      <c r="AI1" s="488"/>
      <c r="AJ1" s="488"/>
      <c r="AK1" s="488"/>
      <c r="AL1" s="488"/>
      <c r="AM1" s="488"/>
      <c r="AN1" s="488"/>
      <c r="AO1" s="488"/>
      <c r="AP1" s="488"/>
      <c r="AQ1" s="488"/>
      <c r="AR1" s="488"/>
      <c r="AS1" s="488"/>
      <c r="AT1" s="488"/>
      <c r="AU1" s="488"/>
      <c r="AV1" s="488"/>
      <c r="AW1" s="488"/>
      <c r="AX1" s="488"/>
      <c r="AY1" s="488"/>
      <c r="AZ1" s="488"/>
      <c r="BA1" s="488"/>
      <c r="BB1" s="488"/>
      <c r="BC1" s="488"/>
      <c r="BD1" s="488"/>
      <c r="BE1" s="488"/>
      <c r="BF1" s="488"/>
      <c r="BG1" s="488"/>
      <c r="BH1" s="488"/>
      <c r="BI1" s="488"/>
      <c r="BJ1" s="488"/>
      <c r="BK1" s="489"/>
    </row>
    <row r="2" spans="1:63" s="7" customFormat="1" ht="27" customHeight="1" thickTop="1" thickBot="1" x14ac:dyDescent="0.3">
      <c r="A2" s="195" t="e">
        <f ca="1">_PROJECTNAME_&amp;" - v"&amp;#REF!&amp;" - "&amp;MID(CELL("filename",A1),FIND("]",CELL("filename",A1))+1,255)</f>
        <v>#REF!</v>
      </c>
      <c r="B2" s="365"/>
      <c r="C2" s="480" t="s">
        <v>939</v>
      </c>
      <c r="D2" s="481"/>
      <c r="E2" s="482"/>
      <c r="F2" s="480" t="s">
        <v>126</v>
      </c>
      <c r="G2" s="481"/>
      <c r="H2" s="481"/>
      <c r="I2" s="480" t="s">
        <v>127</v>
      </c>
      <c r="J2" s="481"/>
      <c r="K2" s="482"/>
      <c r="L2" s="480" t="s">
        <v>942</v>
      </c>
      <c r="M2" s="481"/>
      <c r="N2" s="481"/>
      <c r="O2" s="480" t="s">
        <v>943</v>
      </c>
      <c r="P2" s="481"/>
      <c r="Q2" s="482"/>
      <c r="R2" s="480" t="s">
        <v>944</v>
      </c>
      <c r="S2" s="481"/>
      <c r="T2" s="482"/>
      <c r="U2" s="480" t="s">
        <v>945</v>
      </c>
      <c r="V2" s="481"/>
      <c r="W2" s="482"/>
      <c r="X2" s="480" t="s">
        <v>946</v>
      </c>
      <c r="Y2" s="481"/>
      <c r="Z2" s="482"/>
      <c r="AA2" s="480" t="s">
        <v>947</v>
      </c>
      <c r="AB2" s="481"/>
      <c r="AC2" s="482"/>
      <c r="AD2" s="480" t="s">
        <v>948</v>
      </c>
      <c r="AE2" s="481"/>
      <c r="AF2" s="482"/>
      <c r="AH2" s="483" t="s">
        <v>939</v>
      </c>
      <c r="AI2" s="484"/>
      <c r="AJ2" s="485"/>
      <c r="AK2" s="486" t="s">
        <v>126</v>
      </c>
      <c r="AL2" s="484"/>
      <c r="AM2" s="485"/>
      <c r="AN2" s="486" t="s">
        <v>127</v>
      </c>
      <c r="AO2" s="484"/>
      <c r="AP2" s="485"/>
      <c r="AQ2" s="486" t="s">
        <v>942</v>
      </c>
      <c r="AR2" s="484"/>
      <c r="AS2" s="485"/>
      <c r="AT2" s="491" t="s">
        <v>943</v>
      </c>
      <c r="AU2" s="491"/>
      <c r="AV2" s="491"/>
      <c r="AW2" s="486" t="s">
        <v>944</v>
      </c>
      <c r="AX2" s="484"/>
      <c r="AY2" s="485"/>
      <c r="AZ2" s="486" t="s">
        <v>945</v>
      </c>
      <c r="BA2" s="484"/>
      <c r="BB2" s="485"/>
      <c r="BC2" s="486" t="s">
        <v>946</v>
      </c>
      <c r="BD2" s="484"/>
      <c r="BE2" s="485"/>
      <c r="BF2" s="486" t="s">
        <v>947</v>
      </c>
      <c r="BG2" s="484"/>
      <c r="BH2" s="485"/>
      <c r="BI2" s="486" t="s">
        <v>948</v>
      </c>
      <c r="BJ2" s="484"/>
      <c r="BK2" s="490"/>
    </row>
    <row r="3" spans="1:63" s="66" customFormat="1" ht="14.25" customHeight="1" thickTop="1" thickBot="1" x14ac:dyDescent="0.3">
      <c r="A3" s="196" t="s">
        <v>952</v>
      </c>
      <c r="B3" s="65" t="s">
        <v>0</v>
      </c>
      <c r="C3" s="341" t="s">
        <v>904</v>
      </c>
      <c r="D3" s="64" t="s">
        <v>853</v>
      </c>
      <c r="E3" s="342" t="s">
        <v>852</v>
      </c>
      <c r="F3" s="341" t="s">
        <v>904</v>
      </c>
      <c r="G3" s="64" t="s">
        <v>853</v>
      </c>
      <c r="H3" s="377" t="s">
        <v>852</v>
      </c>
      <c r="I3" s="341" t="s">
        <v>904</v>
      </c>
      <c r="J3" s="64" t="s">
        <v>853</v>
      </c>
      <c r="K3" s="342" t="s">
        <v>852</v>
      </c>
      <c r="L3" s="341" t="s">
        <v>904</v>
      </c>
      <c r="M3" s="64" t="s">
        <v>853</v>
      </c>
      <c r="N3" s="377" t="s">
        <v>852</v>
      </c>
      <c r="O3" s="341" t="s">
        <v>904</v>
      </c>
      <c r="P3" s="64" t="s">
        <v>853</v>
      </c>
      <c r="Q3" s="342" t="s">
        <v>852</v>
      </c>
      <c r="R3" s="341" t="s">
        <v>904</v>
      </c>
      <c r="S3" s="64" t="s">
        <v>853</v>
      </c>
      <c r="T3" s="342" t="s">
        <v>852</v>
      </c>
      <c r="U3" s="341" t="s">
        <v>904</v>
      </c>
      <c r="V3" s="64" t="s">
        <v>853</v>
      </c>
      <c r="W3" s="342" t="s">
        <v>852</v>
      </c>
      <c r="X3" s="341" t="s">
        <v>904</v>
      </c>
      <c r="Y3" s="64" t="s">
        <v>853</v>
      </c>
      <c r="Z3" s="342" t="s">
        <v>852</v>
      </c>
      <c r="AA3" s="341" t="s">
        <v>904</v>
      </c>
      <c r="AB3" s="64" t="s">
        <v>853</v>
      </c>
      <c r="AC3" s="342" t="s">
        <v>852</v>
      </c>
      <c r="AD3" s="341" t="s">
        <v>904</v>
      </c>
      <c r="AE3" s="64" t="s">
        <v>853</v>
      </c>
      <c r="AF3" s="342" t="s">
        <v>852</v>
      </c>
      <c r="AH3" s="344" t="s">
        <v>904</v>
      </c>
      <c r="AI3" s="345" t="s">
        <v>853</v>
      </c>
      <c r="AJ3" s="345" t="s">
        <v>852</v>
      </c>
      <c r="AK3" s="345" t="s">
        <v>904</v>
      </c>
      <c r="AL3" s="345" t="s">
        <v>853</v>
      </c>
      <c r="AM3" s="345" t="s">
        <v>852</v>
      </c>
      <c r="AN3" s="345" t="s">
        <v>904</v>
      </c>
      <c r="AO3" s="345" t="s">
        <v>853</v>
      </c>
      <c r="AP3" s="345" t="s">
        <v>852</v>
      </c>
      <c r="AQ3" s="345" t="s">
        <v>904</v>
      </c>
      <c r="AR3" s="345" t="s">
        <v>853</v>
      </c>
      <c r="AS3" s="345" t="s">
        <v>852</v>
      </c>
      <c r="AT3" s="345" t="s">
        <v>904</v>
      </c>
      <c r="AU3" s="345" t="s">
        <v>853</v>
      </c>
      <c r="AV3" s="345" t="s">
        <v>852</v>
      </c>
      <c r="AW3" s="345" t="s">
        <v>904</v>
      </c>
      <c r="AX3" s="345" t="s">
        <v>853</v>
      </c>
      <c r="AY3" s="345" t="s">
        <v>852</v>
      </c>
      <c r="AZ3" s="345" t="s">
        <v>904</v>
      </c>
      <c r="BA3" s="345" t="s">
        <v>853</v>
      </c>
      <c r="BB3" s="345" t="s">
        <v>852</v>
      </c>
      <c r="BC3" s="345" t="s">
        <v>904</v>
      </c>
      <c r="BD3" s="345" t="s">
        <v>853</v>
      </c>
      <c r="BE3" s="345" t="s">
        <v>852</v>
      </c>
      <c r="BF3" s="345" t="s">
        <v>904</v>
      </c>
      <c r="BG3" s="345" t="s">
        <v>853</v>
      </c>
      <c r="BH3" s="345" t="s">
        <v>852</v>
      </c>
      <c r="BI3" s="345" t="s">
        <v>904</v>
      </c>
      <c r="BJ3" s="345" t="s">
        <v>853</v>
      </c>
      <c r="BK3" s="346" t="s">
        <v>852</v>
      </c>
    </row>
    <row r="4" spans="1:63" s="71" customFormat="1" x14ac:dyDescent="0.25">
      <c r="A4" s="197" t="s">
        <v>32</v>
      </c>
      <c r="B4" s="55" t="str">
        <f t="shared" ref="B4:B35" si="0">IF(LEFT($A4,3)&lt;&gt;"---",COUNTIF(_RACK01_,"*"&amp;LEFT($A4,IFERROR((FIND("~",$A4))-1,LEN($A4))))+COUNTIF(_RACK02_,"*"&amp;LEFT($A4,IFERROR((FIND("~",$A4))-1,LEN($A4))))+COUNTIF(_RACK03_,"*"&amp;LEFT($A4,IFERROR((FIND("~",$A4))-1,LEN($A4))))+COUNTIF(_RACK04_,"*"&amp;LEFT($A4,IFERROR((FIND("~",$A4))-1,LEN($A4))))+COUNTIF(_RACK05_,"*"&amp;LEFT($A4,IFERROR((FIND("~",$A4))-1,LEN($A4))))+COUNTIF(_RACK06_,"*"&amp;LEFT($A4,IFERROR((FIND("~",$A4))-1,LEN($A4))))+COUNTIF(_RACK07_,"*"&amp;LEFT($A4,IFERROR((FIND("~",$A4))-1,LEN($A4))))+COUNTIF(_RACK08_,"*"&amp;LEFT($A4,IFERROR((FIND("~",$A4))-1,LEN($A4))))+COUNTIF(_RACK09_,"*"&amp;LEFT($A4,IFERROR((FIND("~",$A4))-1,LEN($A4))))+COUNTIF(_RACK10_,"*"&amp;LEFT($A4,IFERROR((FIND("~",$A4))-1,LEN($A4)))),"")</f>
        <v/>
      </c>
      <c r="C4" s="378" t="str">
        <f t="shared" ref="C4:C35" si="1">IF(AND($B4&gt;0,AH4&gt;0),$B4*AH4,"")</f>
        <v/>
      </c>
      <c r="D4" s="379" t="str">
        <f t="shared" ref="D4:D35" si="2">IF(AND($B4&gt;0,AI4&gt;0),$B4*AI4,"")</f>
        <v/>
      </c>
      <c r="E4" s="380" t="str">
        <f t="shared" ref="E4:E35" si="3">IF(AND($B4&gt;0,AJ4&gt;0),$B4*AJ4,"")</f>
        <v/>
      </c>
      <c r="F4" s="378" t="str">
        <f t="shared" ref="F4:F35" si="4">IF(AND($B4&gt;0,AK4&gt;0),$B4*AK4,"")</f>
        <v/>
      </c>
      <c r="G4" s="379" t="str">
        <f t="shared" ref="G4:G35" si="5">IF(AND($B4&gt;0,AL4&gt;0),$B4*AL4,"")</f>
        <v/>
      </c>
      <c r="H4" s="381" t="str">
        <f t="shared" ref="H4:H35" si="6">IF(AND($B4&gt;0,AM4&gt;0),$B4*AM4,"")</f>
        <v/>
      </c>
      <c r="I4" s="378" t="str">
        <f t="shared" ref="I4:I35" si="7">IF(AND($B4&gt;0,AN4&gt;0),$B4*AN4,"")</f>
        <v/>
      </c>
      <c r="J4" s="379" t="str">
        <f t="shared" ref="J4:J35" si="8">IF(AND($B4&gt;0,AO4&gt;0),$B4*AO4,"")</f>
        <v/>
      </c>
      <c r="K4" s="380" t="str">
        <f t="shared" ref="K4:K35" si="9">IF(AND($B4&gt;0,AP4&gt;0),$B4*AP4,"")</f>
        <v/>
      </c>
      <c r="L4" s="378" t="str">
        <f t="shared" ref="L4:L35" si="10">IF(AND($B4&gt;0,AQ4&gt;0),$B4*AQ4,"")</f>
        <v/>
      </c>
      <c r="M4" s="379" t="str">
        <f t="shared" ref="M4:M35" si="11">IF(AND($B4&gt;0,AR4&gt;0),$B4*AR4,"")</f>
        <v/>
      </c>
      <c r="N4" s="381" t="str">
        <f t="shared" ref="N4:N35" si="12">IF(AND($B4&gt;0,AS4&gt;0),$B4*AS4,"")</f>
        <v/>
      </c>
      <c r="O4" s="378" t="str">
        <f t="shared" ref="O4:O35" si="13">IF(AND($B4&gt;0,AT4&gt;0),$B4*AT4,"")</f>
        <v/>
      </c>
      <c r="P4" s="379" t="str">
        <f t="shared" ref="P4:P35" si="14">IF(AND($B4&gt;0,AU4&gt;0),$B4*AU4,"")</f>
        <v/>
      </c>
      <c r="Q4" s="380" t="str">
        <f t="shared" ref="Q4:Q35" si="15">IF(AND($B4&gt;0,AV4&gt;0),$B4*AV4,"")</f>
        <v/>
      </c>
      <c r="R4" s="378" t="str">
        <f t="shared" ref="R4:R35" si="16">IF(AND($B4&gt;0,AW4&gt;0),$B4*AW4,"")</f>
        <v/>
      </c>
      <c r="S4" s="379" t="str">
        <f t="shared" ref="S4:S35" si="17">IF(AND($B4&gt;0,AX4&gt;0),$B4*AX4,"")</f>
        <v/>
      </c>
      <c r="T4" s="380" t="str">
        <f t="shared" ref="T4:T35" si="18">IF(AND($B4&gt;0,AY4&gt;0),$B4*AY4,"")</f>
        <v/>
      </c>
      <c r="U4" s="378" t="str">
        <f t="shared" ref="U4:U35" si="19">IF(AND($B4&gt;0,AZ4&gt;0),$B4*AZ4,"")</f>
        <v/>
      </c>
      <c r="V4" s="379" t="str">
        <f t="shared" ref="V4:V35" si="20">IF(AND($B4&gt;0,BA4&gt;0),$B4*BA4,"")</f>
        <v/>
      </c>
      <c r="W4" s="380" t="str">
        <f t="shared" ref="W4:W35" si="21">IF(AND($B4&gt;0,BB4&gt;0),$B4*BB4,"")</f>
        <v/>
      </c>
      <c r="X4" s="378" t="str">
        <f t="shared" ref="X4:X35" si="22">IF(AND($B4&gt;0,BC4&gt;0),$B4*BC4,"")</f>
        <v/>
      </c>
      <c r="Y4" s="379" t="str">
        <f t="shared" ref="Y4:Y35" si="23">IF(AND($B4&gt;0,BD4&gt;0),$B4*BD4,"")</f>
        <v/>
      </c>
      <c r="Z4" s="380" t="str">
        <f t="shared" ref="Z4:Z35" si="24">IF(AND($B4&gt;0,BE4&gt;0),$B4*BE4,"")</f>
        <v/>
      </c>
      <c r="AA4" s="378" t="str">
        <f t="shared" ref="AA4:AA35" si="25">IF(AND($B4&gt;0,BF4&gt;0),$B4*BF4,"")</f>
        <v/>
      </c>
      <c r="AB4" s="379" t="str">
        <f t="shared" ref="AB4:AB35" si="26">IF(AND($B4&gt;0,BG4&gt;0),$B4*BG4,"")</f>
        <v/>
      </c>
      <c r="AC4" s="380" t="str">
        <f t="shared" ref="AC4:AC35" si="27">IF(AND($B4&gt;0,BH4&gt;0),$B4*BH4,"")</f>
        <v/>
      </c>
      <c r="AD4" s="378" t="str">
        <f t="shared" ref="AD4:AD35" si="28">IF(AND($B4&gt;0,BI4&gt;0),$B4*BI4,"")</f>
        <v/>
      </c>
      <c r="AE4" s="379" t="str">
        <f t="shared" ref="AE4:AE35" si="29">IF(AND($B4&gt;0,BJ4&gt;0),$B4*BJ4,"")</f>
        <v/>
      </c>
      <c r="AF4" s="380" t="str">
        <f t="shared" ref="AF4:AF35" si="30">IF(AND($B4&gt;0,BK4&gt;0),$B4*BK4,"")</f>
        <v/>
      </c>
      <c r="AH4" s="347"/>
      <c r="AI4" s="348"/>
      <c r="AJ4" s="348"/>
      <c r="AK4" s="348"/>
      <c r="AL4" s="348"/>
      <c r="AM4" s="348"/>
      <c r="AN4" s="348"/>
      <c r="AO4" s="348"/>
      <c r="AP4" s="348"/>
      <c r="AQ4" s="348"/>
      <c r="AR4" s="348"/>
      <c r="AS4" s="348"/>
      <c r="AT4" s="348"/>
      <c r="AU4" s="348"/>
      <c r="AV4" s="348"/>
      <c r="AW4" s="348"/>
      <c r="AX4" s="348"/>
      <c r="AY4" s="348"/>
      <c r="AZ4" s="348"/>
      <c r="BA4" s="348"/>
      <c r="BB4" s="348"/>
      <c r="BC4" s="348"/>
      <c r="BD4" s="348"/>
      <c r="BE4" s="348"/>
      <c r="BF4" s="348"/>
      <c r="BG4" s="348"/>
      <c r="BH4" s="348"/>
      <c r="BI4" s="348"/>
      <c r="BJ4" s="348"/>
      <c r="BK4" s="349"/>
    </row>
    <row r="5" spans="1:63" s="71" customFormat="1" x14ac:dyDescent="0.25">
      <c r="A5" s="198" t="s">
        <v>33</v>
      </c>
      <c r="B5" s="397" t="e">
        <f t="shared" si="0"/>
        <v>#REF!</v>
      </c>
      <c r="C5" s="382" t="e">
        <f t="shared" si="1"/>
        <v>#REF!</v>
      </c>
      <c r="D5" s="68" t="e">
        <f t="shared" si="2"/>
        <v>#REF!</v>
      </c>
      <c r="E5" s="383" t="e">
        <f t="shared" si="3"/>
        <v>#REF!</v>
      </c>
      <c r="F5" s="382" t="e">
        <f t="shared" si="4"/>
        <v>#REF!</v>
      </c>
      <c r="G5" s="68" t="e">
        <f t="shared" si="5"/>
        <v>#REF!</v>
      </c>
      <c r="H5" s="384" t="e">
        <f t="shared" si="6"/>
        <v>#REF!</v>
      </c>
      <c r="I5" s="382" t="e">
        <f t="shared" si="7"/>
        <v>#REF!</v>
      </c>
      <c r="J5" s="68" t="e">
        <f t="shared" si="8"/>
        <v>#REF!</v>
      </c>
      <c r="K5" s="383" t="e">
        <f t="shared" si="9"/>
        <v>#REF!</v>
      </c>
      <c r="L5" s="382" t="e">
        <f t="shared" si="10"/>
        <v>#REF!</v>
      </c>
      <c r="M5" s="68" t="e">
        <f t="shared" si="11"/>
        <v>#REF!</v>
      </c>
      <c r="N5" s="384" t="e">
        <f t="shared" si="12"/>
        <v>#REF!</v>
      </c>
      <c r="O5" s="382" t="e">
        <f t="shared" si="13"/>
        <v>#REF!</v>
      </c>
      <c r="P5" s="68" t="e">
        <f t="shared" si="14"/>
        <v>#REF!</v>
      </c>
      <c r="Q5" s="383" t="e">
        <f t="shared" si="15"/>
        <v>#REF!</v>
      </c>
      <c r="R5" s="382" t="e">
        <f t="shared" si="16"/>
        <v>#REF!</v>
      </c>
      <c r="S5" s="68" t="e">
        <f t="shared" si="17"/>
        <v>#REF!</v>
      </c>
      <c r="T5" s="383" t="e">
        <f t="shared" si="18"/>
        <v>#REF!</v>
      </c>
      <c r="U5" s="382" t="e">
        <f t="shared" si="19"/>
        <v>#REF!</v>
      </c>
      <c r="V5" s="68" t="e">
        <f t="shared" si="20"/>
        <v>#REF!</v>
      </c>
      <c r="W5" s="383" t="e">
        <f t="shared" si="21"/>
        <v>#REF!</v>
      </c>
      <c r="X5" s="382" t="e">
        <f t="shared" si="22"/>
        <v>#REF!</v>
      </c>
      <c r="Y5" s="68" t="e">
        <f t="shared" si="23"/>
        <v>#REF!</v>
      </c>
      <c r="Z5" s="383" t="e">
        <f t="shared" si="24"/>
        <v>#REF!</v>
      </c>
      <c r="AA5" s="382" t="e">
        <f t="shared" si="25"/>
        <v>#REF!</v>
      </c>
      <c r="AB5" s="68" t="e">
        <f t="shared" si="26"/>
        <v>#REF!</v>
      </c>
      <c r="AC5" s="383" t="e">
        <f t="shared" si="27"/>
        <v>#REF!</v>
      </c>
      <c r="AD5" s="382" t="e">
        <f t="shared" si="28"/>
        <v>#REF!</v>
      </c>
      <c r="AE5" s="68" t="e">
        <f t="shared" si="29"/>
        <v>#REF!</v>
      </c>
      <c r="AF5" s="383" t="e">
        <f t="shared" si="30"/>
        <v>#REF!</v>
      </c>
      <c r="AH5" s="350"/>
      <c r="AI5" s="351"/>
      <c r="AJ5" s="351"/>
      <c r="AK5" s="351">
        <v>1</v>
      </c>
      <c r="AL5" s="351"/>
      <c r="AM5" s="351"/>
      <c r="AN5" s="351"/>
      <c r="AO5" s="351"/>
      <c r="AP5" s="351"/>
      <c r="AQ5" s="351"/>
      <c r="AR5" s="351"/>
      <c r="AS5" s="351"/>
      <c r="AT5" s="351"/>
      <c r="AU5" s="351"/>
      <c r="AV5" s="351"/>
      <c r="AW5" s="351"/>
      <c r="AX5" s="351"/>
      <c r="AY5" s="351"/>
      <c r="AZ5" s="351"/>
      <c r="BA5" s="351"/>
      <c r="BB5" s="351"/>
      <c r="BC5" s="351"/>
      <c r="BD5" s="351"/>
      <c r="BE5" s="351"/>
      <c r="BF5" s="351"/>
      <c r="BG5" s="351"/>
      <c r="BH5" s="351"/>
      <c r="BI5" s="351"/>
      <c r="BJ5" s="351"/>
      <c r="BK5" s="352"/>
    </row>
    <row r="6" spans="1:63" s="71" customFormat="1" x14ac:dyDescent="0.25">
      <c r="A6" s="198" t="s">
        <v>34</v>
      </c>
      <c r="B6" s="397" t="e">
        <f t="shared" si="0"/>
        <v>#REF!</v>
      </c>
      <c r="C6" s="382" t="e">
        <f t="shared" si="1"/>
        <v>#REF!</v>
      </c>
      <c r="D6" s="68" t="e">
        <f t="shared" si="2"/>
        <v>#REF!</v>
      </c>
      <c r="E6" s="383" t="e">
        <f t="shared" si="3"/>
        <v>#REF!</v>
      </c>
      <c r="F6" s="382" t="e">
        <f t="shared" si="4"/>
        <v>#REF!</v>
      </c>
      <c r="G6" s="68" t="e">
        <f t="shared" si="5"/>
        <v>#REF!</v>
      </c>
      <c r="H6" s="384" t="e">
        <f t="shared" si="6"/>
        <v>#REF!</v>
      </c>
      <c r="I6" s="382" t="e">
        <f t="shared" si="7"/>
        <v>#REF!</v>
      </c>
      <c r="J6" s="68" t="e">
        <f t="shared" si="8"/>
        <v>#REF!</v>
      </c>
      <c r="K6" s="383" t="e">
        <f t="shared" si="9"/>
        <v>#REF!</v>
      </c>
      <c r="L6" s="382" t="e">
        <f t="shared" si="10"/>
        <v>#REF!</v>
      </c>
      <c r="M6" s="68" t="e">
        <f t="shared" si="11"/>
        <v>#REF!</v>
      </c>
      <c r="N6" s="384" t="e">
        <f t="shared" si="12"/>
        <v>#REF!</v>
      </c>
      <c r="O6" s="382" t="e">
        <f t="shared" si="13"/>
        <v>#REF!</v>
      </c>
      <c r="P6" s="68" t="e">
        <f t="shared" si="14"/>
        <v>#REF!</v>
      </c>
      <c r="Q6" s="383" t="e">
        <f t="shared" si="15"/>
        <v>#REF!</v>
      </c>
      <c r="R6" s="382" t="e">
        <f t="shared" si="16"/>
        <v>#REF!</v>
      </c>
      <c r="S6" s="68" t="e">
        <f t="shared" si="17"/>
        <v>#REF!</v>
      </c>
      <c r="T6" s="383" t="e">
        <f t="shared" si="18"/>
        <v>#REF!</v>
      </c>
      <c r="U6" s="382" t="e">
        <f t="shared" si="19"/>
        <v>#REF!</v>
      </c>
      <c r="V6" s="68" t="e">
        <f t="shared" si="20"/>
        <v>#REF!</v>
      </c>
      <c r="W6" s="383" t="e">
        <f t="shared" si="21"/>
        <v>#REF!</v>
      </c>
      <c r="X6" s="382" t="e">
        <f t="shared" si="22"/>
        <v>#REF!</v>
      </c>
      <c r="Y6" s="68" t="e">
        <f t="shared" si="23"/>
        <v>#REF!</v>
      </c>
      <c r="Z6" s="383" t="e">
        <f t="shared" si="24"/>
        <v>#REF!</v>
      </c>
      <c r="AA6" s="382" t="e">
        <f t="shared" si="25"/>
        <v>#REF!</v>
      </c>
      <c r="AB6" s="68" t="e">
        <f t="shared" si="26"/>
        <v>#REF!</v>
      </c>
      <c r="AC6" s="383" t="e">
        <f t="shared" si="27"/>
        <v>#REF!</v>
      </c>
      <c r="AD6" s="382" t="e">
        <f t="shared" si="28"/>
        <v>#REF!</v>
      </c>
      <c r="AE6" s="68" t="e">
        <f t="shared" si="29"/>
        <v>#REF!</v>
      </c>
      <c r="AF6" s="383" t="e">
        <f t="shared" si="30"/>
        <v>#REF!</v>
      </c>
      <c r="AH6" s="350"/>
      <c r="AI6" s="351"/>
      <c r="AJ6" s="351"/>
      <c r="AK6" s="351">
        <v>1</v>
      </c>
      <c r="AL6" s="351"/>
      <c r="AM6" s="351"/>
      <c r="AN6" s="351"/>
      <c r="AO6" s="351"/>
      <c r="AP6" s="351"/>
      <c r="AQ6" s="351"/>
      <c r="AR6" s="351"/>
      <c r="AS6" s="351"/>
      <c r="AT6" s="351"/>
      <c r="AU6" s="351"/>
      <c r="AV6" s="351"/>
      <c r="AW6" s="351"/>
      <c r="AX6" s="351"/>
      <c r="AY6" s="351"/>
      <c r="AZ6" s="351"/>
      <c r="BA6" s="351"/>
      <c r="BB6" s="351"/>
      <c r="BC6" s="351"/>
      <c r="BD6" s="351"/>
      <c r="BE6" s="351"/>
      <c r="BF6" s="351"/>
      <c r="BG6" s="351"/>
      <c r="BH6" s="351"/>
      <c r="BI6" s="351"/>
      <c r="BJ6" s="351"/>
      <c r="BK6" s="352"/>
    </row>
    <row r="7" spans="1:63" s="71" customFormat="1" x14ac:dyDescent="0.25">
      <c r="A7" s="198" t="s">
        <v>167</v>
      </c>
      <c r="B7" s="397" t="e">
        <f t="shared" si="0"/>
        <v>#REF!</v>
      </c>
      <c r="C7" s="382" t="e">
        <f t="shared" si="1"/>
        <v>#REF!</v>
      </c>
      <c r="D7" s="68" t="e">
        <f t="shared" si="2"/>
        <v>#REF!</v>
      </c>
      <c r="E7" s="383" t="e">
        <f t="shared" si="3"/>
        <v>#REF!</v>
      </c>
      <c r="F7" s="382" t="e">
        <f t="shared" si="4"/>
        <v>#REF!</v>
      </c>
      <c r="G7" s="68" t="e">
        <f t="shared" si="5"/>
        <v>#REF!</v>
      </c>
      <c r="H7" s="384" t="e">
        <f t="shared" si="6"/>
        <v>#REF!</v>
      </c>
      <c r="I7" s="382" t="e">
        <f t="shared" si="7"/>
        <v>#REF!</v>
      </c>
      <c r="J7" s="68" t="e">
        <f t="shared" si="8"/>
        <v>#REF!</v>
      </c>
      <c r="K7" s="383" t="e">
        <f t="shared" si="9"/>
        <v>#REF!</v>
      </c>
      <c r="L7" s="382" t="e">
        <f t="shared" si="10"/>
        <v>#REF!</v>
      </c>
      <c r="M7" s="68" t="e">
        <f t="shared" si="11"/>
        <v>#REF!</v>
      </c>
      <c r="N7" s="384" t="e">
        <f t="shared" si="12"/>
        <v>#REF!</v>
      </c>
      <c r="O7" s="382" t="e">
        <f t="shared" si="13"/>
        <v>#REF!</v>
      </c>
      <c r="P7" s="68" t="e">
        <f t="shared" si="14"/>
        <v>#REF!</v>
      </c>
      <c r="Q7" s="383" t="e">
        <f t="shared" si="15"/>
        <v>#REF!</v>
      </c>
      <c r="R7" s="382" t="e">
        <f t="shared" si="16"/>
        <v>#REF!</v>
      </c>
      <c r="S7" s="68" t="e">
        <f t="shared" si="17"/>
        <v>#REF!</v>
      </c>
      <c r="T7" s="383" t="e">
        <f t="shared" si="18"/>
        <v>#REF!</v>
      </c>
      <c r="U7" s="382" t="e">
        <f t="shared" si="19"/>
        <v>#REF!</v>
      </c>
      <c r="V7" s="68" t="e">
        <f t="shared" si="20"/>
        <v>#REF!</v>
      </c>
      <c r="W7" s="383" t="e">
        <f t="shared" si="21"/>
        <v>#REF!</v>
      </c>
      <c r="X7" s="382" t="e">
        <f t="shared" si="22"/>
        <v>#REF!</v>
      </c>
      <c r="Y7" s="68" t="e">
        <f t="shared" si="23"/>
        <v>#REF!</v>
      </c>
      <c r="Z7" s="383" t="e">
        <f t="shared" si="24"/>
        <v>#REF!</v>
      </c>
      <c r="AA7" s="382" t="e">
        <f t="shared" si="25"/>
        <v>#REF!</v>
      </c>
      <c r="AB7" s="68" t="e">
        <f t="shared" si="26"/>
        <v>#REF!</v>
      </c>
      <c r="AC7" s="383" t="e">
        <f t="shared" si="27"/>
        <v>#REF!</v>
      </c>
      <c r="AD7" s="382" t="e">
        <f t="shared" si="28"/>
        <v>#REF!</v>
      </c>
      <c r="AE7" s="68" t="e">
        <f t="shared" si="29"/>
        <v>#REF!</v>
      </c>
      <c r="AF7" s="383" t="e">
        <f t="shared" si="30"/>
        <v>#REF!</v>
      </c>
      <c r="AH7" s="350"/>
      <c r="AI7" s="351"/>
      <c r="AJ7" s="351"/>
      <c r="AK7" s="351">
        <v>1</v>
      </c>
      <c r="AL7" s="351"/>
      <c r="AM7" s="351"/>
      <c r="AN7" s="351"/>
      <c r="AO7" s="351"/>
      <c r="AP7" s="351"/>
      <c r="AQ7" s="351"/>
      <c r="AR7" s="351"/>
      <c r="AS7" s="351"/>
      <c r="AT7" s="351"/>
      <c r="AU7" s="351"/>
      <c r="AV7" s="351"/>
      <c r="AW7" s="351"/>
      <c r="AX7" s="351"/>
      <c r="AY7" s="351"/>
      <c r="AZ7" s="351"/>
      <c r="BA7" s="351"/>
      <c r="BB7" s="351"/>
      <c r="BC7" s="351"/>
      <c r="BD7" s="351"/>
      <c r="BE7" s="351"/>
      <c r="BF7" s="351"/>
      <c r="BG7" s="351"/>
      <c r="BH7" s="351"/>
      <c r="BI7" s="351"/>
      <c r="BJ7" s="351"/>
      <c r="BK7" s="352"/>
    </row>
    <row r="8" spans="1:63" s="71" customFormat="1" x14ac:dyDescent="0.25">
      <c r="A8" s="198" t="s">
        <v>935</v>
      </c>
      <c r="B8" s="397" t="e">
        <f t="shared" si="0"/>
        <v>#REF!</v>
      </c>
      <c r="C8" s="382" t="e">
        <f t="shared" si="1"/>
        <v>#REF!</v>
      </c>
      <c r="D8" s="68" t="e">
        <f t="shared" si="2"/>
        <v>#REF!</v>
      </c>
      <c r="E8" s="383" t="e">
        <f t="shared" si="3"/>
        <v>#REF!</v>
      </c>
      <c r="F8" s="382" t="e">
        <f t="shared" si="4"/>
        <v>#REF!</v>
      </c>
      <c r="G8" s="68" t="e">
        <f t="shared" si="5"/>
        <v>#REF!</v>
      </c>
      <c r="H8" s="384" t="e">
        <f t="shared" si="6"/>
        <v>#REF!</v>
      </c>
      <c r="I8" s="382" t="e">
        <f t="shared" si="7"/>
        <v>#REF!</v>
      </c>
      <c r="J8" s="68" t="e">
        <f t="shared" si="8"/>
        <v>#REF!</v>
      </c>
      <c r="K8" s="383" t="e">
        <f t="shared" si="9"/>
        <v>#REF!</v>
      </c>
      <c r="L8" s="382" t="e">
        <f t="shared" si="10"/>
        <v>#REF!</v>
      </c>
      <c r="M8" s="68" t="e">
        <f t="shared" si="11"/>
        <v>#REF!</v>
      </c>
      <c r="N8" s="384" t="e">
        <f t="shared" si="12"/>
        <v>#REF!</v>
      </c>
      <c r="O8" s="382" t="e">
        <f t="shared" si="13"/>
        <v>#REF!</v>
      </c>
      <c r="P8" s="68" t="e">
        <f t="shared" si="14"/>
        <v>#REF!</v>
      </c>
      <c r="Q8" s="383" t="e">
        <f t="shared" si="15"/>
        <v>#REF!</v>
      </c>
      <c r="R8" s="382" t="e">
        <f t="shared" si="16"/>
        <v>#REF!</v>
      </c>
      <c r="S8" s="68" t="e">
        <f t="shared" si="17"/>
        <v>#REF!</v>
      </c>
      <c r="T8" s="383" t="e">
        <f t="shared" si="18"/>
        <v>#REF!</v>
      </c>
      <c r="U8" s="382" t="e">
        <f t="shared" si="19"/>
        <v>#REF!</v>
      </c>
      <c r="V8" s="68" t="e">
        <f t="shared" si="20"/>
        <v>#REF!</v>
      </c>
      <c r="W8" s="383" t="e">
        <f t="shared" si="21"/>
        <v>#REF!</v>
      </c>
      <c r="X8" s="382" t="e">
        <f t="shared" si="22"/>
        <v>#REF!</v>
      </c>
      <c r="Y8" s="68" t="e">
        <f t="shared" si="23"/>
        <v>#REF!</v>
      </c>
      <c r="Z8" s="383" t="e">
        <f t="shared" si="24"/>
        <v>#REF!</v>
      </c>
      <c r="AA8" s="382" t="e">
        <f t="shared" si="25"/>
        <v>#REF!</v>
      </c>
      <c r="AB8" s="68" t="e">
        <f t="shared" si="26"/>
        <v>#REF!</v>
      </c>
      <c r="AC8" s="383" t="e">
        <f t="shared" si="27"/>
        <v>#REF!</v>
      </c>
      <c r="AD8" s="382" t="e">
        <f t="shared" si="28"/>
        <v>#REF!</v>
      </c>
      <c r="AE8" s="68" t="e">
        <f t="shared" si="29"/>
        <v>#REF!</v>
      </c>
      <c r="AF8" s="383" t="e">
        <f t="shared" si="30"/>
        <v>#REF!</v>
      </c>
      <c r="AH8" s="350"/>
      <c r="AI8" s="351"/>
      <c r="AJ8" s="351"/>
      <c r="AK8" s="351">
        <v>1</v>
      </c>
      <c r="AL8" s="351"/>
      <c r="AM8" s="351"/>
      <c r="AN8" s="351"/>
      <c r="AO8" s="351"/>
      <c r="AP8" s="351"/>
      <c r="AQ8" s="351"/>
      <c r="AR8" s="351"/>
      <c r="AS8" s="351"/>
      <c r="AT8" s="351"/>
      <c r="AU8" s="351"/>
      <c r="AV8" s="351"/>
      <c r="AW8" s="351"/>
      <c r="AX8" s="351"/>
      <c r="AY8" s="351"/>
      <c r="AZ8" s="351"/>
      <c r="BA8" s="351"/>
      <c r="BB8" s="351"/>
      <c r="BC8" s="351"/>
      <c r="BD8" s="351"/>
      <c r="BE8" s="351"/>
      <c r="BF8" s="351"/>
      <c r="BG8" s="351"/>
      <c r="BH8" s="351"/>
      <c r="BI8" s="351"/>
      <c r="BJ8" s="351"/>
      <c r="BK8" s="352"/>
    </row>
    <row r="9" spans="1:63" s="71" customFormat="1" x14ac:dyDescent="0.25">
      <c r="A9" s="199" t="s">
        <v>23</v>
      </c>
      <c r="B9" s="55" t="str">
        <f t="shared" si="0"/>
        <v/>
      </c>
      <c r="C9" s="385" t="str">
        <f t="shared" si="1"/>
        <v/>
      </c>
      <c r="D9" s="386" t="str">
        <f t="shared" si="2"/>
        <v/>
      </c>
      <c r="E9" s="387" t="str">
        <f t="shared" si="3"/>
        <v/>
      </c>
      <c r="F9" s="385" t="str">
        <f t="shared" si="4"/>
        <v/>
      </c>
      <c r="G9" s="386" t="str">
        <f t="shared" si="5"/>
        <v/>
      </c>
      <c r="H9" s="388" t="str">
        <f t="shared" si="6"/>
        <v/>
      </c>
      <c r="I9" s="385" t="str">
        <f t="shared" si="7"/>
        <v/>
      </c>
      <c r="J9" s="386" t="str">
        <f t="shared" si="8"/>
        <v/>
      </c>
      <c r="K9" s="387" t="str">
        <f t="shared" si="9"/>
        <v/>
      </c>
      <c r="L9" s="385" t="str">
        <f t="shared" si="10"/>
        <v/>
      </c>
      <c r="M9" s="386" t="str">
        <f t="shared" si="11"/>
        <v/>
      </c>
      <c r="N9" s="388" t="str">
        <f t="shared" si="12"/>
        <v/>
      </c>
      <c r="O9" s="385" t="str">
        <f t="shared" si="13"/>
        <v/>
      </c>
      <c r="P9" s="386" t="str">
        <f t="shared" si="14"/>
        <v/>
      </c>
      <c r="Q9" s="387" t="str">
        <f t="shared" si="15"/>
        <v/>
      </c>
      <c r="R9" s="385" t="str">
        <f t="shared" si="16"/>
        <v/>
      </c>
      <c r="S9" s="386" t="str">
        <f t="shared" si="17"/>
        <v/>
      </c>
      <c r="T9" s="387" t="str">
        <f t="shared" si="18"/>
        <v/>
      </c>
      <c r="U9" s="385" t="str">
        <f t="shared" si="19"/>
        <v/>
      </c>
      <c r="V9" s="386" t="str">
        <f t="shared" si="20"/>
        <v/>
      </c>
      <c r="W9" s="387" t="str">
        <f t="shared" si="21"/>
        <v/>
      </c>
      <c r="X9" s="385" t="str">
        <f t="shared" si="22"/>
        <v/>
      </c>
      <c r="Y9" s="386" t="str">
        <f t="shared" si="23"/>
        <v/>
      </c>
      <c r="Z9" s="387" t="str">
        <f t="shared" si="24"/>
        <v/>
      </c>
      <c r="AA9" s="385" t="str">
        <f t="shared" si="25"/>
        <v/>
      </c>
      <c r="AB9" s="386" t="str">
        <f t="shared" si="26"/>
        <v/>
      </c>
      <c r="AC9" s="387" t="str">
        <f t="shared" si="27"/>
        <v/>
      </c>
      <c r="AD9" s="385" t="str">
        <f t="shared" si="28"/>
        <v/>
      </c>
      <c r="AE9" s="386" t="str">
        <f t="shared" si="29"/>
        <v/>
      </c>
      <c r="AF9" s="387" t="str">
        <f t="shared" si="30"/>
        <v/>
      </c>
      <c r="AH9" s="353"/>
      <c r="AI9" s="354"/>
      <c r="AJ9" s="354"/>
      <c r="AK9" s="354"/>
      <c r="AL9" s="354"/>
      <c r="AM9" s="354"/>
      <c r="AN9" s="354"/>
      <c r="AO9" s="354"/>
      <c r="AP9" s="354"/>
      <c r="AQ9" s="354"/>
      <c r="AR9" s="354"/>
      <c r="AS9" s="354"/>
      <c r="AT9" s="354"/>
      <c r="AU9" s="354"/>
      <c r="AV9" s="354"/>
      <c r="AW9" s="354"/>
      <c r="AX9" s="354"/>
      <c r="AY9" s="354"/>
      <c r="AZ9" s="354"/>
      <c r="BA9" s="354"/>
      <c r="BB9" s="354"/>
      <c r="BC9" s="354"/>
      <c r="BD9" s="354"/>
      <c r="BE9" s="354"/>
      <c r="BF9" s="354"/>
      <c r="BG9" s="354"/>
      <c r="BH9" s="354"/>
      <c r="BI9" s="354"/>
      <c r="BJ9" s="354"/>
      <c r="BK9" s="355"/>
    </row>
    <row r="10" spans="1:63" s="71" customFormat="1" x14ac:dyDescent="0.25">
      <c r="A10" s="198" t="s">
        <v>840</v>
      </c>
      <c r="B10" s="397" t="e">
        <f t="shared" si="0"/>
        <v>#REF!</v>
      </c>
      <c r="C10" s="382" t="e">
        <f t="shared" si="1"/>
        <v>#REF!</v>
      </c>
      <c r="D10" s="68" t="e">
        <f t="shared" si="2"/>
        <v>#REF!</v>
      </c>
      <c r="E10" s="383" t="e">
        <f t="shared" si="3"/>
        <v>#REF!</v>
      </c>
      <c r="F10" s="382" t="e">
        <f t="shared" si="4"/>
        <v>#REF!</v>
      </c>
      <c r="G10" s="68" t="e">
        <f t="shared" si="5"/>
        <v>#REF!</v>
      </c>
      <c r="H10" s="384" t="e">
        <f t="shared" si="6"/>
        <v>#REF!</v>
      </c>
      <c r="I10" s="382" t="e">
        <f t="shared" si="7"/>
        <v>#REF!</v>
      </c>
      <c r="J10" s="68" t="e">
        <f t="shared" si="8"/>
        <v>#REF!</v>
      </c>
      <c r="K10" s="383" t="e">
        <f t="shared" si="9"/>
        <v>#REF!</v>
      </c>
      <c r="L10" s="382" t="e">
        <f t="shared" si="10"/>
        <v>#REF!</v>
      </c>
      <c r="M10" s="68" t="e">
        <f t="shared" si="11"/>
        <v>#REF!</v>
      </c>
      <c r="N10" s="384" t="e">
        <f t="shared" si="12"/>
        <v>#REF!</v>
      </c>
      <c r="O10" s="382" t="e">
        <f t="shared" si="13"/>
        <v>#REF!</v>
      </c>
      <c r="P10" s="68" t="e">
        <f t="shared" si="14"/>
        <v>#REF!</v>
      </c>
      <c r="Q10" s="383" t="e">
        <f t="shared" si="15"/>
        <v>#REF!</v>
      </c>
      <c r="R10" s="382" t="e">
        <f t="shared" si="16"/>
        <v>#REF!</v>
      </c>
      <c r="S10" s="68" t="e">
        <f t="shared" si="17"/>
        <v>#REF!</v>
      </c>
      <c r="T10" s="383" t="e">
        <f t="shared" si="18"/>
        <v>#REF!</v>
      </c>
      <c r="U10" s="382" t="e">
        <f t="shared" si="19"/>
        <v>#REF!</v>
      </c>
      <c r="V10" s="68" t="e">
        <f t="shared" si="20"/>
        <v>#REF!</v>
      </c>
      <c r="W10" s="383" t="e">
        <f t="shared" si="21"/>
        <v>#REF!</v>
      </c>
      <c r="X10" s="382" t="e">
        <f t="shared" si="22"/>
        <v>#REF!</v>
      </c>
      <c r="Y10" s="68" t="e">
        <f t="shared" si="23"/>
        <v>#REF!</v>
      </c>
      <c r="Z10" s="383" t="e">
        <f t="shared" si="24"/>
        <v>#REF!</v>
      </c>
      <c r="AA10" s="382" t="e">
        <f t="shared" si="25"/>
        <v>#REF!</v>
      </c>
      <c r="AB10" s="68" t="e">
        <f t="shared" si="26"/>
        <v>#REF!</v>
      </c>
      <c r="AC10" s="383" t="e">
        <f t="shared" si="27"/>
        <v>#REF!</v>
      </c>
      <c r="AD10" s="382" t="e">
        <f t="shared" si="28"/>
        <v>#REF!</v>
      </c>
      <c r="AE10" s="68" t="e">
        <f t="shared" si="29"/>
        <v>#REF!</v>
      </c>
      <c r="AF10" s="383" t="e">
        <f t="shared" si="30"/>
        <v>#REF!</v>
      </c>
      <c r="AH10" s="350"/>
      <c r="AI10" s="351"/>
      <c r="AJ10" s="351"/>
      <c r="AK10" s="351"/>
      <c r="AL10" s="351"/>
      <c r="AM10" s="351"/>
      <c r="AN10" s="351"/>
      <c r="AO10" s="351"/>
      <c r="AP10" s="351"/>
      <c r="AQ10" s="351"/>
      <c r="AR10" s="351"/>
      <c r="AS10" s="351"/>
      <c r="AT10" s="351"/>
      <c r="AU10" s="351">
        <v>6</v>
      </c>
      <c r="AV10" s="351"/>
      <c r="AW10" s="351"/>
      <c r="AX10" s="351">
        <v>6</v>
      </c>
      <c r="AY10" s="351"/>
      <c r="AZ10" s="351"/>
      <c r="BA10" s="351"/>
      <c r="BB10" s="351"/>
      <c r="BC10" s="351"/>
      <c r="BD10" s="351"/>
      <c r="BE10" s="351"/>
      <c r="BF10" s="351"/>
      <c r="BG10" s="351"/>
      <c r="BH10" s="351"/>
      <c r="BI10" s="351"/>
      <c r="BJ10" s="351"/>
      <c r="BK10" s="352"/>
    </row>
    <row r="11" spans="1:63" s="71" customFormat="1" x14ac:dyDescent="0.25">
      <c r="A11" s="198" t="s">
        <v>834</v>
      </c>
      <c r="B11" s="397" t="e">
        <f t="shared" si="0"/>
        <v>#REF!</v>
      </c>
      <c r="C11" s="382" t="e">
        <f t="shared" si="1"/>
        <v>#REF!</v>
      </c>
      <c r="D11" s="68" t="e">
        <f t="shared" si="2"/>
        <v>#REF!</v>
      </c>
      <c r="E11" s="383" t="e">
        <f t="shared" si="3"/>
        <v>#REF!</v>
      </c>
      <c r="F11" s="382" t="e">
        <f t="shared" si="4"/>
        <v>#REF!</v>
      </c>
      <c r="G11" s="68" t="e">
        <f t="shared" si="5"/>
        <v>#REF!</v>
      </c>
      <c r="H11" s="384" t="e">
        <f t="shared" si="6"/>
        <v>#REF!</v>
      </c>
      <c r="I11" s="382" t="e">
        <f t="shared" si="7"/>
        <v>#REF!</v>
      </c>
      <c r="J11" s="68" t="e">
        <f t="shared" si="8"/>
        <v>#REF!</v>
      </c>
      <c r="K11" s="383" t="e">
        <f t="shared" si="9"/>
        <v>#REF!</v>
      </c>
      <c r="L11" s="382" t="e">
        <f t="shared" si="10"/>
        <v>#REF!</v>
      </c>
      <c r="M11" s="68" t="e">
        <f t="shared" si="11"/>
        <v>#REF!</v>
      </c>
      <c r="N11" s="384" t="e">
        <f t="shared" si="12"/>
        <v>#REF!</v>
      </c>
      <c r="O11" s="382" t="e">
        <f t="shared" si="13"/>
        <v>#REF!</v>
      </c>
      <c r="P11" s="68" t="e">
        <f t="shared" si="14"/>
        <v>#REF!</v>
      </c>
      <c r="Q11" s="383" t="e">
        <f t="shared" si="15"/>
        <v>#REF!</v>
      </c>
      <c r="R11" s="382" t="e">
        <f t="shared" si="16"/>
        <v>#REF!</v>
      </c>
      <c r="S11" s="68" t="e">
        <f t="shared" si="17"/>
        <v>#REF!</v>
      </c>
      <c r="T11" s="383" t="e">
        <f t="shared" si="18"/>
        <v>#REF!</v>
      </c>
      <c r="U11" s="382" t="e">
        <f t="shared" si="19"/>
        <v>#REF!</v>
      </c>
      <c r="V11" s="68" t="e">
        <f t="shared" si="20"/>
        <v>#REF!</v>
      </c>
      <c r="W11" s="383" t="e">
        <f t="shared" si="21"/>
        <v>#REF!</v>
      </c>
      <c r="X11" s="382" t="e">
        <f t="shared" si="22"/>
        <v>#REF!</v>
      </c>
      <c r="Y11" s="68" t="e">
        <f t="shared" si="23"/>
        <v>#REF!</v>
      </c>
      <c r="Z11" s="383" t="e">
        <f t="shared" si="24"/>
        <v>#REF!</v>
      </c>
      <c r="AA11" s="382" t="e">
        <f t="shared" si="25"/>
        <v>#REF!</v>
      </c>
      <c r="AB11" s="68" t="e">
        <f t="shared" si="26"/>
        <v>#REF!</v>
      </c>
      <c r="AC11" s="383" t="e">
        <f t="shared" si="27"/>
        <v>#REF!</v>
      </c>
      <c r="AD11" s="382" t="e">
        <f t="shared" si="28"/>
        <v>#REF!</v>
      </c>
      <c r="AE11" s="68" t="e">
        <f t="shared" si="29"/>
        <v>#REF!</v>
      </c>
      <c r="AF11" s="383" t="e">
        <f t="shared" si="30"/>
        <v>#REF!</v>
      </c>
      <c r="AH11" s="350"/>
      <c r="AI11" s="351"/>
      <c r="AJ11" s="351"/>
      <c r="AK11" s="351"/>
      <c r="AL11" s="351"/>
      <c r="AM11" s="351"/>
      <c r="AN11" s="351"/>
      <c r="AO11" s="351"/>
      <c r="AP11" s="351"/>
      <c r="AQ11" s="351"/>
      <c r="AR11" s="351"/>
      <c r="AS11" s="351"/>
      <c r="AT11" s="351"/>
      <c r="AU11" s="351">
        <v>2</v>
      </c>
      <c r="AV11" s="351"/>
      <c r="AW11" s="351"/>
      <c r="AX11" s="351">
        <v>2</v>
      </c>
      <c r="AY11" s="351"/>
      <c r="AZ11" s="351"/>
      <c r="BA11" s="351"/>
      <c r="BB11" s="351"/>
      <c r="BC11" s="351"/>
      <c r="BD11" s="351"/>
      <c r="BE11" s="351"/>
      <c r="BF11" s="351"/>
      <c r="BG11" s="351"/>
      <c r="BH11" s="351">
        <v>2</v>
      </c>
      <c r="BI11" s="351"/>
      <c r="BJ11" s="351"/>
      <c r="BK11" s="352">
        <v>2</v>
      </c>
    </row>
    <row r="12" spans="1:63" s="71" customFormat="1" x14ac:dyDescent="0.25">
      <c r="A12" s="198" t="s">
        <v>37</v>
      </c>
      <c r="B12" s="397" t="e">
        <f t="shared" si="0"/>
        <v>#REF!</v>
      </c>
      <c r="C12" s="382" t="e">
        <f t="shared" si="1"/>
        <v>#REF!</v>
      </c>
      <c r="D12" s="68" t="e">
        <f t="shared" si="2"/>
        <v>#REF!</v>
      </c>
      <c r="E12" s="383" t="e">
        <f t="shared" si="3"/>
        <v>#REF!</v>
      </c>
      <c r="F12" s="382" t="e">
        <f t="shared" si="4"/>
        <v>#REF!</v>
      </c>
      <c r="G12" s="68" t="e">
        <f t="shared" si="5"/>
        <v>#REF!</v>
      </c>
      <c r="H12" s="384" t="e">
        <f t="shared" si="6"/>
        <v>#REF!</v>
      </c>
      <c r="I12" s="382" t="e">
        <f t="shared" si="7"/>
        <v>#REF!</v>
      </c>
      <c r="J12" s="68" t="e">
        <f t="shared" si="8"/>
        <v>#REF!</v>
      </c>
      <c r="K12" s="383" t="e">
        <f t="shared" si="9"/>
        <v>#REF!</v>
      </c>
      <c r="L12" s="382" t="e">
        <f t="shared" si="10"/>
        <v>#REF!</v>
      </c>
      <c r="M12" s="68" t="e">
        <f t="shared" si="11"/>
        <v>#REF!</v>
      </c>
      <c r="N12" s="384" t="e">
        <f t="shared" si="12"/>
        <v>#REF!</v>
      </c>
      <c r="O12" s="382" t="e">
        <f t="shared" si="13"/>
        <v>#REF!</v>
      </c>
      <c r="P12" s="68" t="e">
        <f t="shared" si="14"/>
        <v>#REF!</v>
      </c>
      <c r="Q12" s="383" t="e">
        <f t="shared" si="15"/>
        <v>#REF!</v>
      </c>
      <c r="R12" s="382" t="e">
        <f t="shared" si="16"/>
        <v>#REF!</v>
      </c>
      <c r="S12" s="68" t="e">
        <f t="shared" si="17"/>
        <v>#REF!</v>
      </c>
      <c r="T12" s="383" t="e">
        <f t="shared" si="18"/>
        <v>#REF!</v>
      </c>
      <c r="U12" s="382" t="e">
        <f t="shared" si="19"/>
        <v>#REF!</v>
      </c>
      <c r="V12" s="68" t="e">
        <f t="shared" si="20"/>
        <v>#REF!</v>
      </c>
      <c r="W12" s="383" t="e">
        <f t="shared" si="21"/>
        <v>#REF!</v>
      </c>
      <c r="X12" s="382" t="e">
        <f t="shared" si="22"/>
        <v>#REF!</v>
      </c>
      <c r="Y12" s="68" t="e">
        <f t="shared" si="23"/>
        <v>#REF!</v>
      </c>
      <c r="Z12" s="383" t="e">
        <f t="shared" si="24"/>
        <v>#REF!</v>
      </c>
      <c r="AA12" s="382" t="e">
        <f t="shared" si="25"/>
        <v>#REF!</v>
      </c>
      <c r="AB12" s="68" t="e">
        <f t="shared" si="26"/>
        <v>#REF!</v>
      </c>
      <c r="AC12" s="383" t="e">
        <f t="shared" si="27"/>
        <v>#REF!</v>
      </c>
      <c r="AD12" s="382" t="e">
        <f t="shared" si="28"/>
        <v>#REF!</v>
      </c>
      <c r="AE12" s="68" t="e">
        <f t="shared" si="29"/>
        <v>#REF!</v>
      </c>
      <c r="AF12" s="383" t="e">
        <f t="shared" si="30"/>
        <v>#REF!</v>
      </c>
      <c r="AH12" s="350"/>
      <c r="AI12" s="351"/>
      <c r="AJ12" s="351"/>
      <c r="AK12" s="351"/>
      <c r="AL12" s="351"/>
      <c r="AM12" s="351"/>
      <c r="AN12" s="351"/>
      <c r="AO12" s="351"/>
      <c r="AP12" s="351"/>
      <c r="AQ12" s="351"/>
      <c r="AR12" s="351"/>
      <c r="AS12" s="351"/>
      <c r="AT12" s="351"/>
      <c r="AU12" s="351">
        <v>2</v>
      </c>
      <c r="AV12" s="351"/>
      <c r="AW12" s="351"/>
      <c r="AX12" s="351">
        <v>2</v>
      </c>
      <c r="AY12" s="351"/>
      <c r="AZ12" s="351"/>
      <c r="BA12" s="351"/>
      <c r="BB12" s="351"/>
      <c r="BC12" s="351"/>
      <c r="BD12" s="351"/>
      <c r="BE12" s="351"/>
      <c r="BF12" s="351"/>
      <c r="BG12" s="351"/>
      <c r="BH12" s="351"/>
      <c r="BI12" s="351"/>
      <c r="BJ12" s="351"/>
      <c r="BK12" s="352"/>
    </row>
    <row r="13" spans="1:63" s="71" customFormat="1" x14ac:dyDescent="0.25">
      <c r="A13" s="198" t="s">
        <v>38</v>
      </c>
      <c r="B13" s="397" t="e">
        <f t="shared" si="0"/>
        <v>#REF!</v>
      </c>
      <c r="C13" s="382" t="e">
        <f t="shared" si="1"/>
        <v>#REF!</v>
      </c>
      <c r="D13" s="68" t="e">
        <f t="shared" si="2"/>
        <v>#REF!</v>
      </c>
      <c r="E13" s="383" t="e">
        <f t="shared" si="3"/>
        <v>#REF!</v>
      </c>
      <c r="F13" s="382" t="e">
        <f t="shared" si="4"/>
        <v>#REF!</v>
      </c>
      <c r="G13" s="68" t="e">
        <f t="shared" si="5"/>
        <v>#REF!</v>
      </c>
      <c r="H13" s="384" t="e">
        <f t="shared" si="6"/>
        <v>#REF!</v>
      </c>
      <c r="I13" s="382" t="e">
        <f t="shared" si="7"/>
        <v>#REF!</v>
      </c>
      <c r="J13" s="68" t="e">
        <f t="shared" si="8"/>
        <v>#REF!</v>
      </c>
      <c r="K13" s="383" t="e">
        <f t="shared" si="9"/>
        <v>#REF!</v>
      </c>
      <c r="L13" s="382" t="e">
        <f t="shared" si="10"/>
        <v>#REF!</v>
      </c>
      <c r="M13" s="68" t="e">
        <f t="shared" si="11"/>
        <v>#REF!</v>
      </c>
      <c r="N13" s="384" t="e">
        <f t="shared" si="12"/>
        <v>#REF!</v>
      </c>
      <c r="O13" s="382" t="e">
        <f t="shared" si="13"/>
        <v>#REF!</v>
      </c>
      <c r="P13" s="68" t="e">
        <f t="shared" si="14"/>
        <v>#REF!</v>
      </c>
      <c r="Q13" s="383" t="e">
        <f t="shared" si="15"/>
        <v>#REF!</v>
      </c>
      <c r="R13" s="382" t="e">
        <f t="shared" si="16"/>
        <v>#REF!</v>
      </c>
      <c r="S13" s="68" t="e">
        <f t="shared" si="17"/>
        <v>#REF!</v>
      </c>
      <c r="T13" s="383" t="e">
        <f t="shared" si="18"/>
        <v>#REF!</v>
      </c>
      <c r="U13" s="382" t="e">
        <f t="shared" si="19"/>
        <v>#REF!</v>
      </c>
      <c r="V13" s="68" t="e">
        <f t="shared" si="20"/>
        <v>#REF!</v>
      </c>
      <c r="W13" s="383" t="e">
        <f t="shared" si="21"/>
        <v>#REF!</v>
      </c>
      <c r="X13" s="382" t="e">
        <f t="shared" si="22"/>
        <v>#REF!</v>
      </c>
      <c r="Y13" s="68" t="e">
        <f t="shared" si="23"/>
        <v>#REF!</v>
      </c>
      <c r="Z13" s="383" t="e">
        <f t="shared" si="24"/>
        <v>#REF!</v>
      </c>
      <c r="AA13" s="382" t="e">
        <f t="shared" si="25"/>
        <v>#REF!</v>
      </c>
      <c r="AB13" s="68" t="e">
        <f t="shared" si="26"/>
        <v>#REF!</v>
      </c>
      <c r="AC13" s="383" t="e">
        <f t="shared" si="27"/>
        <v>#REF!</v>
      </c>
      <c r="AD13" s="382" t="e">
        <f t="shared" si="28"/>
        <v>#REF!</v>
      </c>
      <c r="AE13" s="68" t="e">
        <f t="shared" si="29"/>
        <v>#REF!</v>
      </c>
      <c r="AF13" s="383" t="e">
        <f t="shared" si="30"/>
        <v>#REF!</v>
      </c>
      <c r="AH13" s="350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51"/>
      <c r="AT13" s="351"/>
      <c r="AU13" s="351"/>
      <c r="AV13" s="351"/>
      <c r="AW13" s="351"/>
      <c r="AX13" s="351"/>
      <c r="AY13" s="351"/>
      <c r="AZ13" s="351"/>
      <c r="BA13" s="351"/>
      <c r="BB13" s="351"/>
      <c r="BC13" s="351"/>
      <c r="BD13" s="351"/>
      <c r="BE13" s="351"/>
      <c r="BF13" s="351"/>
      <c r="BG13" s="351"/>
      <c r="BH13" s="351">
        <v>2</v>
      </c>
      <c r="BI13" s="351"/>
      <c r="BJ13" s="351"/>
      <c r="BK13" s="352">
        <v>2</v>
      </c>
    </row>
    <row r="14" spans="1:63" s="71" customFormat="1" x14ac:dyDescent="0.25">
      <c r="A14" s="198" t="s">
        <v>39</v>
      </c>
      <c r="B14" s="397" t="e">
        <f t="shared" si="0"/>
        <v>#REF!</v>
      </c>
      <c r="C14" s="382" t="e">
        <f t="shared" si="1"/>
        <v>#REF!</v>
      </c>
      <c r="D14" s="68" t="e">
        <f t="shared" si="2"/>
        <v>#REF!</v>
      </c>
      <c r="E14" s="383" t="e">
        <f t="shared" si="3"/>
        <v>#REF!</v>
      </c>
      <c r="F14" s="382" t="e">
        <f t="shared" si="4"/>
        <v>#REF!</v>
      </c>
      <c r="G14" s="68" t="e">
        <f t="shared" si="5"/>
        <v>#REF!</v>
      </c>
      <c r="H14" s="384" t="e">
        <f t="shared" si="6"/>
        <v>#REF!</v>
      </c>
      <c r="I14" s="382" t="e">
        <f t="shared" si="7"/>
        <v>#REF!</v>
      </c>
      <c r="J14" s="68" t="e">
        <f t="shared" si="8"/>
        <v>#REF!</v>
      </c>
      <c r="K14" s="383" t="e">
        <f t="shared" si="9"/>
        <v>#REF!</v>
      </c>
      <c r="L14" s="382" t="e">
        <f t="shared" si="10"/>
        <v>#REF!</v>
      </c>
      <c r="M14" s="68" t="e">
        <f t="shared" si="11"/>
        <v>#REF!</v>
      </c>
      <c r="N14" s="384" t="e">
        <f t="shared" si="12"/>
        <v>#REF!</v>
      </c>
      <c r="O14" s="382" t="e">
        <f t="shared" si="13"/>
        <v>#REF!</v>
      </c>
      <c r="P14" s="68" t="e">
        <f t="shared" si="14"/>
        <v>#REF!</v>
      </c>
      <c r="Q14" s="383" t="e">
        <f t="shared" si="15"/>
        <v>#REF!</v>
      </c>
      <c r="R14" s="382" t="e">
        <f t="shared" si="16"/>
        <v>#REF!</v>
      </c>
      <c r="S14" s="68" t="e">
        <f t="shared" si="17"/>
        <v>#REF!</v>
      </c>
      <c r="T14" s="383" t="e">
        <f t="shared" si="18"/>
        <v>#REF!</v>
      </c>
      <c r="U14" s="382" t="e">
        <f t="shared" si="19"/>
        <v>#REF!</v>
      </c>
      <c r="V14" s="68" t="e">
        <f t="shared" si="20"/>
        <v>#REF!</v>
      </c>
      <c r="W14" s="383" t="e">
        <f t="shared" si="21"/>
        <v>#REF!</v>
      </c>
      <c r="X14" s="382" t="e">
        <f t="shared" si="22"/>
        <v>#REF!</v>
      </c>
      <c r="Y14" s="68" t="e">
        <f t="shared" si="23"/>
        <v>#REF!</v>
      </c>
      <c r="Z14" s="383" t="e">
        <f t="shared" si="24"/>
        <v>#REF!</v>
      </c>
      <c r="AA14" s="382" t="e">
        <f t="shared" si="25"/>
        <v>#REF!</v>
      </c>
      <c r="AB14" s="68" t="e">
        <f t="shared" si="26"/>
        <v>#REF!</v>
      </c>
      <c r="AC14" s="383" t="e">
        <f t="shared" si="27"/>
        <v>#REF!</v>
      </c>
      <c r="AD14" s="382" t="e">
        <f t="shared" si="28"/>
        <v>#REF!</v>
      </c>
      <c r="AE14" s="68" t="e">
        <f t="shared" si="29"/>
        <v>#REF!</v>
      </c>
      <c r="AF14" s="383" t="e">
        <f t="shared" si="30"/>
        <v>#REF!</v>
      </c>
      <c r="AH14" s="350"/>
      <c r="AI14" s="351"/>
      <c r="AJ14" s="351"/>
      <c r="AK14" s="351"/>
      <c r="AL14" s="351"/>
      <c r="AM14" s="351"/>
      <c r="AN14" s="351"/>
      <c r="AO14" s="351"/>
      <c r="AP14" s="351"/>
      <c r="AQ14" s="351"/>
      <c r="AR14" s="351"/>
      <c r="AS14" s="351"/>
      <c r="AT14" s="351"/>
      <c r="AU14" s="351"/>
      <c r="AV14" s="351"/>
      <c r="AW14" s="351"/>
      <c r="AX14" s="351"/>
      <c r="AY14" s="351"/>
      <c r="AZ14" s="351"/>
      <c r="BA14" s="351"/>
      <c r="BB14" s="351"/>
      <c r="BC14" s="351"/>
      <c r="BD14" s="351"/>
      <c r="BE14" s="351"/>
      <c r="BF14" s="351"/>
      <c r="BG14" s="351"/>
      <c r="BH14" s="351">
        <v>2</v>
      </c>
      <c r="BI14" s="351"/>
      <c r="BJ14" s="351"/>
      <c r="BK14" s="352">
        <v>2</v>
      </c>
    </row>
    <row r="15" spans="1:63" s="71" customFormat="1" x14ac:dyDescent="0.25">
      <c r="A15" s="198" t="s">
        <v>40</v>
      </c>
      <c r="B15" s="397" t="e">
        <f t="shared" si="0"/>
        <v>#REF!</v>
      </c>
      <c r="C15" s="382" t="e">
        <f t="shared" si="1"/>
        <v>#REF!</v>
      </c>
      <c r="D15" s="68" t="e">
        <f t="shared" si="2"/>
        <v>#REF!</v>
      </c>
      <c r="E15" s="383" t="e">
        <f t="shared" si="3"/>
        <v>#REF!</v>
      </c>
      <c r="F15" s="382" t="e">
        <f t="shared" si="4"/>
        <v>#REF!</v>
      </c>
      <c r="G15" s="68" t="e">
        <f t="shared" si="5"/>
        <v>#REF!</v>
      </c>
      <c r="H15" s="384" t="e">
        <f t="shared" si="6"/>
        <v>#REF!</v>
      </c>
      <c r="I15" s="382" t="e">
        <f t="shared" si="7"/>
        <v>#REF!</v>
      </c>
      <c r="J15" s="68" t="e">
        <f t="shared" si="8"/>
        <v>#REF!</v>
      </c>
      <c r="K15" s="383" t="e">
        <f t="shared" si="9"/>
        <v>#REF!</v>
      </c>
      <c r="L15" s="382" t="e">
        <f t="shared" si="10"/>
        <v>#REF!</v>
      </c>
      <c r="M15" s="68" t="e">
        <f t="shared" si="11"/>
        <v>#REF!</v>
      </c>
      <c r="N15" s="384" t="e">
        <f t="shared" si="12"/>
        <v>#REF!</v>
      </c>
      <c r="O15" s="382" t="e">
        <f t="shared" si="13"/>
        <v>#REF!</v>
      </c>
      <c r="P15" s="68" t="e">
        <f t="shared" si="14"/>
        <v>#REF!</v>
      </c>
      <c r="Q15" s="383" t="e">
        <f t="shared" si="15"/>
        <v>#REF!</v>
      </c>
      <c r="R15" s="382" t="e">
        <f t="shared" si="16"/>
        <v>#REF!</v>
      </c>
      <c r="S15" s="68" t="e">
        <f t="shared" si="17"/>
        <v>#REF!</v>
      </c>
      <c r="T15" s="383" t="e">
        <f t="shared" si="18"/>
        <v>#REF!</v>
      </c>
      <c r="U15" s="382" t="e">
        <f t="shared" si="19"/>
        <v>#REF!</v>
      </c>
      <c r="V15" s="68" t="e">
        <f t="shared" si="20"/>
        <v>#REF!</v>
      </c>
      <c r="W15" s="383" t="e">
        <f t="shared" si="21"/>
        <v>#REF!</v>
      </c>
      <c r="X15" s="382" t="e">
        <f t="shared" si="22"/>
        <v>#REF!</v>
      </c>
      <c r="Y15" s="68" t="e">
        <f t="shared" si="23"/>
        <v>#REF!</v>
      </c>
      <c r="Z15" s="383" t="e">
        <f t="shared" si="24"/>
        <v>#REF!</v>
      </c>
      <c r="AA15" s="382" t="e">
        <f t="shared" si="25"/>
        <v>#REF!</v>
      </c>
      <c r="AB15" s="68" t="e">
        <f t="shared" si="26"/>
        <v>#REF!</v>
      </c>
      <c r="AC15" s="383" t="e">
        <f t="shared" si="27"/>
        <v>#REF!</v>
      </c>
      <c r="AD15" s="382" t="e">
        <f t="shared" si="28"/>
        <v>#REF!</v>
      </c>
      <c r="AE15" s="68" t="e">
        <f t="shared" si="29"/>
        <v>#REF!</v>
      </c>
      <c r="AF15" s="383" t="e">
        <f t="shared" si="30"/>
        <v>#REF!</v>
      </c>
      <c r="AH15" s="350"/>
      <c r="AI15" s="351"/>
      <c r="AJ15" s="351"/>
      <c r="AK15" s="351"/>
      <c r="AL15" s="351"/>
      <c r="AM15" s="351"/>
      <c r="AN15" s="351"/>
      <c r="AO15" s="351"/>
      <c r="AP15" s="351"/>
      <c r="AQ15" s="351"/>
      <c r="AR15" s="351"/>
      <c r="AS15" s="351"/>
      <c r="AT15" s="351"/>
      <c r="AU15" s="351">
        <v>2</v>
      </c>
      <c r="AV15" s="351"/>
      <c r="AW15" s="351"/>
      <c r="AX15" s="351">
        <v>2</v>
      </c>
      <c r="AY15" s="351"/>
      <c r="AZ15" s="351"/>
      <c r="BA15" s="351"/>
      <c r="BB15" s="351"/>
      <c r="BC15" s="351"/>
      <c r="BD15" s="351"/>
      <c r="BE15" s="351"/>
      <c r="BF15" s="351"/>
      <c r="BG15" s="351"/>
      <c r="BH15" s="351"/>
      <c r="BI15" s="351"/>
      <c r="BJ15" s="351"/>
      <c r="BK15" s="352"/>
    </row>
    <row r="16" spans="1:63" s="71" customFormat="1" x14ac:dyDescent="0.25">
      <c r="A16" s="198" t="s">
        <v>835</v>
      </c>
      <c r="B16" s="397" t="e">
        <f t="shared" si="0"/>
        <v>#REF!</v>
      </c>
      <c r="C16" s="382" t="e">
        <f t="shared" si="1"/>
        <v>#REF!</v>
      </c>
      <c r="D16" s="68" t="e">
        <f t="shared" si="2"/>
        <v>#REF!</v>
      </c>
      <c r="E16" s="383" t="e">
        <f t="shared" si="3"/>
        <v>#REF!</v>
      </c>
      <c r="F16" s="382" t="e">
        <f t="shared" si="4"/>
        <v>#REF!</v>
      </c>
      <c r="G16" s="68" t="e">
        <f t="shared" si="5"/>
        <v>#REF!</v>
      </c>
      <c r="H16" s="384" t="e">
        <f t="shared" si="6"/>
        <v>#REF!</v>
      </c>
      <c r="I16" s="382" t="e">
        <f t="shared" si="7"/>
        <v>#REF!</v>
      </c>
      <c r="J16" s="68" t="e">
        <f t="shared" si="8"/>
        <v>#REF!</v>
      </c>
      <c r="K16" s="383" t="e">
        <f t="shared" si="9"/>
        <v>#REF!</v>
      </c>
      <c r="L16" s="382" t="e">
        <f t="shared" si="10"/>
        <v>#REF!</v>
      </c>
      <c r="M16" s="68" t="e">
        <f t="shared" si="11"/>
        <v>#REF!</v>
      </c>
      <c r="N16" s="384" t="e">
        <f t="shared" si="12"/>
        <v>#REF!</v>
      </c>
      <c r="O16" s="382" t="e">
        <f t="shared" si="13"/>
        <v>#REF!</v>
      </c>
      <c r="P16" s="68" t="e">
        <f t="shared" si="14"/>
        <v>#REF!</v>
      </c>
      <c r="Q16" s="383" t="e">
        <f t="shared" si="15"/>
        <v>#REF!</v>
      </c>
      <c r="R16" s="382" t="e">
        <f t="shared" si="16"/>
        <v>#REF!</v>
      </c>
      <c r="S16" s="68" t="e">
        <f t="shared" si="17"/>
        <v>#REF!</v>
      </c>
      <c r="T16" s="383" t="e">
        <f t="shared" si="18"/>
        <v>#REF!</v>
      </c>
      <c r="U16" s="382" t="e">
        <f t="shared" si="19"/>
        <v>#REF!</v>
      </c>
      <c r="V16" s="68" t="e">
        <f t="shared" si="20"/>
        <v>#REF!</v>
      </c>
      <c r="W16" s="383" t="e">
        <f t="shared" si="21"/>
        <v>#REF!</v>
      </c>
      <c r="X16" s="382" t="e">
        <f t="shared" si="22"/>
        <v>#REF!</v>
      </c>
      <c r="Y16" s="68" t="e">
        <f t="shared" si="23"/>
        <v>#REF!</v>
      </c>
      <c r="Z16" s="383" t="e">
        <f t="shared" si="24"/>
        <v>#REF!</v>
      </c>
      <c r="AA16" s="382" t="e">
        <f t="shared" si="25"/>
        <v>#REF!</v>
      </c>
      <c r="AB16" s="68" t="e">
        <f t="shared" si="26"/>
        <v>#REF!</v>
      </c>
      <c r="AC16" s="383" t="e">
        <f t="shared" si="27"/>
        <v>#REF!</v>
      </c>
      <c r="AD16" s="382" t="e">
        <f t="shared" si="28"/>
        <v>#REF!</v>
      </c>
      <c r="AE16" s="68" t="e">
        <f t="shared" si="29"/>
        <v>#REF!</v>
      </c>
      <c r="AF16" s="383" t="e">
        <f t="shared" si="30"/>
        <v>#REF!</v>
      </c>
      <c r="AH16" s="350"/>
      <c r="AI16" s="351"/>
      <c r="AJ16" s="351"/>
      <c r="AK16" s="351"/>
      <c r="AL16" s="351"/>
      <c r="AM16" s="351"/>
      <c r="AN16" s="351"/>
      <c r="AO16" s="351"/>
      <c r="AP16" s="351"/>
      <c r="AQ16" s="351"/>
      <c r="AR16" s="351"/>
      <c r="AS16" s="351"/>
      <c r="AT16" s="351"/>
      <c r="AU16" s="351">
        <v>2</v>
      </c>
      <c r="AV16" s="351"/>
      <c r="AW16" s="351"/>
      <c r="AX16" s="351">
        <v>2</v>
      </c>
      <c r="AY16" s="351"/>
      <c r="AZ16" s="351"/>
      <c r="BA16" s="351"/>
      <c r="BB16" s="351"/>
      <c r="BC16" s="351"/>
      <c r="BD16" s="351"/>
      <c r="BE16" s="351"/>
      <c r="BF16" s="351"/>
      <c r="BG16" s="351"/>
      <c r="BH16" s="351"/>
      <c r="BI16" s="351"/>
      <c r="BJ16" s="351"/>
      <c r="BK16" s="352"/>
    </row>
    <row r="17" spans="1:76" s="71" customFormat="1" x14ac:dyDescent="0.25">
      <c r="A17" s="198" t="s">
        <v>839</v>
      </c>
      <c r="B17" s="397" t="e">
        <f t="shared" si="0"/>
        <v>#REF!</v>
      </c>
      <c r="C17" s="382" t="e">
        <f t="shared" si="1"/>
        <v>#REF!</v>
      </c>
      <c r="D17" s="68" t="e">
        <f t="shared" si="2"/>
        <v>#REF!</v>
      </c>
      <c r="E17" s="383" t="e">
        <f t="shared" si="3"/>
        <v>#REF!</v>
      </c>
      <c r="F17" s="382" t="e">
        <f t="shared" si="4"/>
        <v>#REF!</v>
      </c>
      <c r="G17" s="68" t="e">
        <f t="shared" si="5"/>
        <v>#REF!</v>
      </c>
      <c r="H17" s="384" t="e">
        <f t="shared" si="6"/>
        <v>#REF!</v>
      </c>
      <c r="I17" s="382" t="e">
        <f t="shared" si="7"/>
        <v>#REF!</v>
      </c>
      <c r="J17" s="68" t="e">
        <f t="shared" si="8"/>
        <v>#REF!</v>
      </c>
      <c r="K17" s="383" t="e">
        <f t="shared" si="9"/>
        <v>#REF!</v>
      </c>
      <c r="L17" s="382" t="e">
        <f t="shared" si="10"/>
        <v>#REF!</v>
      </c>
      <c r="M17" s="68" t="e">
        <f t="shared" si="11"/>
        <v>#REF!</v>
      </c>
      <c r="N17" s="384" t="e">
        <f t="shared" si="12"/>
        <v>#REF!</v>
      </c>
      <c r="O17" s="382" t="e">
        <f t="shared" si="13"/>
        <v>#REF!</v>
      </c>
      <c r="P17" s="68" t="e">
        <f t="shared" si="14"/>
        <v>#REF!</v>
      </c>
      <c r="Q17" s="383" t="e">
        <f t="shared" si="15"/>
        <v>#REF!</v>
      </c>
      <c r="R17" s="382" t="e">
        <f t="shared" si="16"/>
        <v>#REF!</v>
      </c>
      <c r="S17" s="68" t="e">
        <f t="shared" si="17"/>
        <v>#REF!</v>
      </c>
      <c r="T17" s="383" t="e">
        <f t="shared" si="18"/>
        <v>#REF!</v>
      </c>
      <c r="U17" s="382" t="e">
        <f t="shared" si="19"/>
        <v>#REF!</v>
      </c>
      <c r="V17" s="68" t="e">
        <f t="shared" si="20"/>
        <v>#REF!</v>
      </c>
      <c r="W17" s="383" t="e">
        <f t="shared" si="21"/>
        <v>#REF!</v>
      </c>
      <c r="X17" s="382" t="e">
        <f t="shared" si="22"/>
        <v>#REF!</v>
      </c>
      <c r="Y17" s="68" t="e">
        <f t="shared" si="23"/>
        <v>#REF!</v>
      </c>
      <c r="Z17" s="383" t="e">
        <f t="shared" si="24"/>
        <v>#REF!</v>
      </c>
      <c r="AA17" s="382" t="e">
        <f t="shared" si="25"/>
        <v>#REF!</v>
      </c>
      <c r="AB17" s="68" t="e">
        <f t="shared" si="26"/>
        <v>#REF!</v>
      </c>
      <c r="AC17" s="383" t="e">
        <f t="shared" si="27"/>
        <v>#REF!</v>
      </c>
      <c r="AD17" s="382" t="e">
        <f t="shared" si="28"/>
        <v>#REF!</v>
      </c>
      <c r="AE17" s="68" t="e">
        <f t="shared" si="29"/>
        <v>#REF!</v>
      </c>
      <c r="AF17" s="383" t="e">
        <f t="shared" si="30"/>
        <v>#REF!</v>
      </c>
      <c r="AH17" s="350"/>
      <c r="AI17" s="351"/>
      <c r="AJ17" s="351"/>
      <c r="AK17" s="351"/>
      <c r="AL17" s="351"/>
      <c r="AM17" s="351"/>
      <c r="AN17" s="351"/>
      <c r="AO17" s="351"/>
      <c r="AP17" s="351"/>
      <c r="AQ17" s="351"/>
      <c r="AR17" s="351"/>
      <c r="AS17" s="351"/>
      <c r="AT17" s="351"/>
      <c r="AU17" s="351">
        <v>6</v>
      </c>
      <c r="AV17" s="351"/>
      <c r="AW17" s="351"/>
      <c r="AX17" s="351">
        <v>6</v>
      </c>
      <c r="AY17" s="351"/>
      <c r="AZ17" s="351"/>
      <c r="BA17" s="351"/>
      <c r="BB17" s="351"/>
      <c r="BC17" s="351"/>
      <c r="BD17" s="351"/>
      <c r="BE17" s="351"/>
      <c r="BF17" s="351"/>
      <c r="BG17" s="351"/>
      <c r="BH17" s="351"/>
      <c r="BI17" s="351"/>
      <c r="BJ17" s="351"/>
      <c r="BK17" s="352"/>
      <c r="BX17" s="71" t="s">
        <v>528</v>
      </c>
    </row>
    <row r="18" spans="1:76" s="71" customFormat="1" x14ac:dyDescent="0.25">
      <c r="A18" s="198" t="s">
        <v>838</v>
      </c>
      <c r="B18" s="397" t="e">
        <f t="shared" si="0"/>
        <v>#REF!</v>
      </c>
      <c r="C18" s="382" t="e">
        <f t="shared" si="1"/>
        <v>#REF!</v>
      </c>
      <c r="D18" s="68" t="e">
        <f t="shared" si="2"/>
        <v>#REF!</v>
      </c>
      <c r="E18" s="383" t="e">
        <f t="shared" si="3"/>
        <v>#REF!</v>
      </c>
      <c r="F18" s="382" t="e">
        <f t="shared" si="4"/>
        <v>#REF!</v>
      </c>
      <c r="G18" s="68" t="e">
        <f t="shared" si="5"/>
        <v>#REF!</v>
      </c>
      <c r="H18" s="384" t="e">
        <f t="shared" si="6"/>
        <v>#REF!</v>
      </c>
      <c r="I18" s="382" t="e">
        <f t="shared" si="7"/>
        <v>#REF!</v>
      </c>
      <c r="J18" s="68" t="e">
        <f t="shared" si="8"/>
        <v>#REF!</v>
      </c>
      <c r="K18" s="383" t="e">
        <f t="shared" si="9"/>
        <v>#REF!</v>
      </c>
      <c r="L18" s="382" t="e">
        <f t="shared" si="10"/>
        <v>#REF!</v>
      </c>
      <c r="M18" s="68" t="e">
        <f t="shared" si="11"/>
        <v>#REF!</v>
      </c>
      <c r="N18" s="384" t="e">
        <f t="shared" si="12"/>
        <v>#REF!</v>
      </c>
      <c r="O18" s="382" t="e">
        <f t="shared" si="13"/>
        <v>#REF!</v>
      </c>
      <c r="P18" s="68" t="e">
        <f t="shared" si="14"/>
        <v>#REF!</v>
      </c>
      <c r="Q18" s="383" t="e">
        <f t="shared" si="15"/>
        <v>#REF!</v>
      </c>
      <c r="R18" s="382" t="e">
        <f t="shared" si="16"/>
        <v>#REF!</v>
      </c>
      <c r="S18" s="68" t="e">
        <f t="shared" si="17"/>
        <v>#REF!</v>
      </c>
      <c r="T18" s="383" t="e">
        <f t="shared" si="18"/>
        <v>#REF!</v>
      </c>
      <c r="U18" s="382" t="e">
        <f t="shared" si="19"/>
        <v>#REF!</v>
      </c>
      <c r="V18" s="68" t="e">
        <f t="shared" si="20"/>
        <v>#REF!</v>
      </c>
      <c r="W18" s="383" t="e">
        <f t="shared" si="21"/>
        <v>#REF!</v>
      </c>
      <c r="X18" s="382" t="e">
        <f t="shared" si="22"/>
        <v>#REF!</v>
      </c>
      <c r="Y18" s="68" t="e">
        <f t="shared" si="23"/>
        <v>#REF!</v>
      </c>
      <c r="Z18" s="383" t="e">
        <f t="shared" si="24"/>
        <v>#REF!</v>
      </c>
      <c r="AA18" s="382" t="e">
        <f t="shared" si="25"/>
        <v>#REF!</v>
      </c>
      <c r="AB18" s="68" t="e">
        <f t="shared" si="26"/>
        <v>#REF!</v>
      </c>
      <c r="AC18" s="383" t="e">
        <f t="shared" si="27"/>
        <v>#REF!</v>
      </c>
      <c r="AD18" s="382" t="e">
        <f t="shared" si="28"/>
        <v>#REF!</v>
      </c>
      <c r="AE18" s="68" t="e">
        <f t="shared" si="29"/>
        <v>#REF!</v>
      </c>
      <c r="AF18" s="383" t="e">
        <f t="shared" si="30"/>
        <v>#REF!</v>
      </c>
      <c r="AH18" s="350"/>
      <c r="AI18" s="351"/>
      <c r="AJ18" s="351"/>
      <c r="AK18" s="351"/>
      <c r="AL18" s="351"/>
      <c r="AM18" s="351"/>
      <c r="AN18" s="351"/>
      <c r="AO18" s="351"/>
      <c r="AP18" s="351"/>
      <c r="AQ18" s="351"/>
      <c r="AR18" s="351"/>
      <c r="AS18" s="351"/>
      <c r="AT18" s="351"/>
      <c r="AU18" s="351">
        <v>6</v>
      </c>
      <c r="AV18" s="351"/>
      <c r="AW18" s="351"/>
      <c r="AX18" s="351">
        <v>6</v>
      </c>
      <c r="AY18" s="351"/>
      <c r="AZ18" s="351"/>
      <c r="BA18" s="351"/>
      <c r="BB18" s="351"/>
      <c r="BC18" s="351"/>
      <c r="BD18" s="351"/>
      <c r="BE18" s="351"/>
      <c r="BF18" s="351"/>
      <c r="BG18" s="351"/>
      <c r="BH18" s="351"/>
      <c r="BI18" s="351"/>
      <c r="BJ18" s="351"/>
      <c r="BK18" s="352"/>
      <c r="BX18" s="71" t="s">
        <v>528</v>
      </c>
    </row>
    <row r="19" spans="1:76" s="71" customFormat="1" x14ac:dyDescent="0.25">
      <c r="A19" s="198" t="s">
        <v>941</v>
      </c>
      <c r="B19" s="397" t="e">
        <f t="shared" si="0"/>
        <v>#REF!</v>
      </c>
      <c r="C19" s="382" t="e">
        <f t="shared" si="1"/>
        <v>#REF!</v>
      </c>
      <c r="D19" s="68" t="e">
        <f t="shared" si="2"/>
        <v>#REF!</v>
      </c>
      <c r="E19" s="383" t="e">
        <f t="shared" si="3"/>
        <v>#REF!</v>
      </c>
      <c r="F19" s="382" t="e">
        <f t="shared" si="4"/>
        <v>#REF!</v>
      </c>
      <c r="G19" s="68" t="e">
        <f t="shared" si="5"/>
        <v>#REF!</v>
      </c>
      <c r="H19" s="384" t="e">
        <f t="shared" si="6"/>
        <v>#REF!</v>
      </c>
      <c r="I19" s="382" t="e">
        <f t="shared" si="7"/>
        <v>#REF!</v>
      </c>
      <c r="J19" s="68" t="e">
        <f t="shared" si="8"/>
        <v>#REF!</v>
      </c>
      <c r="K19" s="383" t="e">
        <f t="shared" si="9"/>
        <v>#REF!</v>
      </c>
      <c r="L19" s="382" t="e">
        <f t="shared" si="10"/>
        <v>#REF!</v>
      </c>
      <c r="M19" s="68" t="e">
        <f t="shared" si="11"/>
        <v>#REF!</v>
      </c>
      <c r="N19" s="384" t="e">
        <f t="shared" si="12"/>
        <v>#REF!</v>
      </c>
      <c r="O19" s="382" t="e">
        <f t="shared" si="13"/>
        <v>#REF!</v>
      </c>
      <c r="P19" s="68" t="e">
        <f t="shared" si="14"/>
        <v>#REF!</v>
      </c>
      <c r="Q19" s="383" t="e">
        <f t="shared" si="15"/>
        <v>#REF!</v>
      </c>
      <c r="R19" s="382" t="e">
        <f t="shared" si="16"/>
        <v>#REF!</v>
      </c>
      <c r="S19" s="68" t="e">
        <f t="shared" si="17"/>
        <v>#REF!</v>
      </c>
      <c r="T19" s="383" t="e">
        <f t="shared" si="18"/>
        <v>#REF!</v>
      </c>
      <c r="U19" s="382" t="e">
        <f t="shared" si="19"/>
        <v>#REF!</v>
      </c>
      <c r="V19" s="68" t="e">
        <f t="shared" si="20"/>
        <v>#REF!</v>
      </c>
      <c r="W19" s="383" t="e">
        <f t="shared" si="21"/>
        <v>#REF!</v>
      </c>
      <c r="X19" s="382" t="e">
        <f t="shared" si="22"/>
        <v>#REF!</v>
      </c>
      <c r="Y19" s="68" t="e">
        <f t="shared" si="23"/>
        <v>#REF!</v>
      </c>
      <c r="Z19" s="383" t="e">
        <f t="shared" si="24"/>
        <v>#REF!</v>
      </c>
      <c r="AA19" s="382" t="e">
        <f t="shared" si="25"/>
        <v>#REF!</v>
      </c>
      <c r="AB19" s="68" t="e">
        <f t="shared" si="26"/>
        <v>#REF!</v>
      </c>
      <c r="AC19" s="383" t="e">
        <f t="shared" si="27"/>
        <v>#REF!</v>
      </c>
      <c r="AD19" s="382" t="e">
        <f t="shared" si="28"/>
        <v>#REF!</v>
      </c>
      <c r="AE19" s="68" t="e">
        <f t="shared" si="29"/>
        <v>#REF!</v>
      </c>
      <c r="AF19" s="383" t="e">
        <f t="shared" si="30"/>
        <v>#REF!</v>
      </c>
      <c r="AH19" s="350"/>
      <c r="AI19" s="351"/>
      <c r="AJ19" s="351"/>
      <c r="AK19" s="351"/>
      <c r="AL19" s="351"/>
      <c r="AM19" s="351"/>
      <c r="AN19" s="351"/>
      <c r="AO19" s="351"/>
      <c r="AP19" s="351"/>
      <c r="AQ19" s="351"/>
      <c r="AR19" s="351"/>
      <c r="AS19" s="351"/>
      <c r="AT19" s="351"/>
      <c r="AU19" s="351">
        <v>2</v>
      </c>
      <c r="AV19" s="351"/>
      <c r="AW19" s="351"/>
      <c r="AX19" s="351">
        <v>2</v>
      </c>
      <c r="AY19" s="351"/>
      <c r="AZ19" s="351"/>
      <c r="BA19" s="351"/>
      <c r="BB19" s="351"/>
      <c r="BC19" s="351"/>
      <c r="BD19" s="351"/>
      <c r="BE19" s="351"/>
      <c r="BF19" s="351"/>
      <c r="BG19" s="351"/>
      <c r="BH19" s="351">
        <v>2</v>
      </c>
      <c r="BI19" s="351"/>
      <c r="BJ19" s="351"/>
      <c r="BK19" s="352">
        <v>2</v>
      </c>
      <c r="BX19" s="71" t="s">
        <v>528</v>
      </c>
    </row>
    <row r="20" spans="1:76" s="71" customFormat="1" x14ac:dyDescent="0.25">
      <c r="A20" s="198" t="s">
        <v>940</v>
      </c>
      <c r="B20" s="397" t="e">
        <f t="shared" si="0"/>
        <v>#REF!</v>
      </c>
      <c r="C20" s="382" t="e">
        <f t="shared" si="1"/>
        <v>#REF!</v>
      </c>
      <c r="D20" s="68" t="e">
        <f t="shared" si="2"/>
        <v>#REF!</v>
      </c>
      <c r="E20" s="383" t="e">
        <f t="shared" si="3"/>
        <v>#REF!</v>
      </c>
      <c r="F20" s="382" t="e">
        <f t="shared" si="4"/>
        <v>#REF!</v>
      </c>
      <c r="G20" s="68" t="e">
        <f t="shared" si="5"/>
        <v>#REF!</v>
      </c>
      <c r="H20" s="384" t="e">
        <f t="shared" si="6"/>
        <v>#REF!</v>
      </c>
      <c r="I20" s="382" t="e">
        <f t="shared" si="7"/>
        <v>#REF!</v>
      </c>
      <c r="J20" s="68" t="e">
        <f t="shared" si="8"/>
        <v>#REF!</v>
      </c>
      <c r="K20" s="383" t="e">
        <f t="shared" si="9"/>
        <v>#REF!</v>
      </c>
      <c r="L20" s="382" t="e">
        <f t="shared" si="10"/>
        <v>#REF!</v>
      </c>
      <c r="M20" s="68" t="e">
        <f t="shared" si="11"/>
        <v>#REF!</v>
      </c>
      <c r="N20" s="384" t="e">
        <f t="shared" si="12"/>
        <v>#REF!</v>
      </c>
      <c r="O20" s="382" t="e">
        <f t="shared" si="13"/>
        <v>#REF!</v>
      </c>
      <c r="P20" s="68" t="e">
        <f t="shared" si="14"/>
        <v>#REF!</v>
      </c>
      <c r="Q20" s="383" t="e">
        <f t="shared" si="15"/>
        <v>#REF!</v>
      </c>
      <c r="R20" s="382" t="e">
        <f t="shared" si="16"/>
        <v>#REF!</v>
      </c>
      <c r="S20" s="68" t="e">
        <f t="shared" si="17"/>
        <v>#REF!</v>
      </c>
      <c r="T20" s="383" t="e">
        <f t="shared" si="18"/>
        <v>#REF!</v>
      </c>
      <c r="U20" s="382" t="e">
        <f t="shared" si="19"/>
        <v>#REF!</v>
      </c>
      <c r="V20" s="68" t="e">
        <f t="shared" si="20"/>
        <v>#REF!</v>
      </c>
      <c r="W20" s="383" t="e">
        <f t="shared" si="21"/>
        <v>#REF!</v>
      </c>
      <c r="X20" s="382" t="e">
        <f t="shared" si="22"/>
        <v>#REF!</v>
      </c>
      <c r="Y20" s="68" t="e">
        <f t="shared" si="23"/>
        <v>#REF!</v>
      </c>
      <c r="Z20" s="383" t="e">
        <f t="shared" si="24"/>
        <v>#REF!</v>
      </c>
      <c r="AA20" s="382" t="e">
        <f t="shared" si="25"/>
        <v>#REF!</v>
      </c>
      <c r="AB20" s="68" t="e">
        <f t="shared" si="26"/>
        <v>#REF!</v>
      </c>
      <c r="AC20" s="383" t="e">
        <f t="shared" si="27"/>
        <v>#REF!</v>
      </c>
      <c r="AD20" s="382" t="e">
        <f t="shared" si="28"/>
        <v>#REF!</v>
      </c>
      <c r="AE20" s="68" t="e">
        <f t="shared" si="29"/>
        <v>#REF!</v>
      </c>
      <c r="AF20" s="383" t="e">
        <f t="shared" si="30"/>
        <v>#REF!</v>
      </c>
      <c r="AH20" s="350"/>
      <c r="AI20" s="351"/>
      <c r="AJ20" s="351"/>
      <c r="AK20" s="351"/>
      <c r="AL20" s="351"/>
      <c r="AM20" s="351"/>
      <c r="AN20" s="351"/>
      <c r="AO20" s="351"/>
      <c r="AP20" s="351"/>
      <c r="AQ20" s="351"/>
      <c r="AR20" s="351"/>
      <c r="AS20" s="351"/>
      <c r="AT20" s="351"/>
      <c r="AU20" s="351">
        <v>2</v>
      </c>
      <c r="AV20" s="351"/>
      <c r="AW20" s="351"/>
      <c r="AX20" s="351">
        <v>2</v>
      </c>
      <c r="AY20" s="351"/>
      <c r="AZ20" s="351"/>
      <c r="BA20" s="351"/>
      <c r="BB20" s="351"/>
      <c r="BC20" s="351"/>
      <c r="BD20" s="351"/>
      <c r="BE20" s="351"/>
      <c r="BF20" s="351"/>
      <c r="BG20" s="351"/>
      <c r="BH20" s="351">
        <v>2</v>
      </c>
      <c r="BI20" s="351"/>
      <c r="BJ20" s="351"/>
      <c r="BK20" s="352">
        <v>2</v>
      </c>
      <c r="BX20" s="71" t="s">
        <v>528</v>
      </c>
    </row>
    <row r="21" spans="1:76" s="71" customFormat="1" x14ac:dyDescent="0.25">
      <c r="A21" s="198" t="s">
        <v>41</v>
      </c>
      <c r="B21" s="397" t="e">
        <f t="shared" si="0"/>
        <v>#REF!</v>
      </c>
      <c r="C21" s="382" t="e">
        <f t="shared" si="1"/>
        <v>#REF!</v>
      </c>
      <c r="D21" s="68" t="e">
        <f t="shared" si="2"/>
        <v>#REF!</v>
      </c>
      <c r="E21" s="383" t="e">
        <f t="shared" si="3"/>
        <v>#REF!</v>
      </c>
      <c r="F21" s="382" t="e">
        <f t="shared" si="4"/>
        <v>#REF!</v>
      </c>
      <c r="G21" s="68" t="e">
        <f t="shared" si="5"/>
        <v>#REF!</v>
      </c>
      <c r="H21" s="384" t="e">
        <f t="shared" si="6"/>
        <v>#REF!</v>
      </c>
      <c r="I21" s="382" t="e">
        <f t="shared" si="7"/>
        <v>#REF!</v>
      </c>
      <c r="J21" s="68" t="e">
        <f t="shared" si="8"/>
        <v>#REF!</v>
      </c>
      <c r="K21" s="383" t="e">
        <f t="shared" si="9"/>
        <v>#REF!</v>
      </c>
      <c r="L21" s="382" t="e">
        <f t="shared" si="10"/>
        <v>#REF!</v>
      </c>
      <c r="M21" s="68" t="e">
        <f t="shared" si="11"/>
        <v>#REF!</v>
      </c>
      <c r="N21" s="384" t="e">
        <f t="shared" si="12"/>
        <v>#REF!</v>
      </c>
      <c r="O21" s="382" t="e">
        <f t="shared" si="13"/>
        <v>#REF!</v>
      </c>
      <c r="P21" s="68" t="e">
        <f t="shared" si="14"/>
        <v>#REF!</v>
      </c>
      <c r="Q21" s="383" t="e">
        <f t="shared" si="15"/>
        <v>#REF!</v>
      </c>
      <c r="R21" s="382" t="e">
        <f t="shared" si="16"/>
        <v>#REF!</v>
      </c>
      <c r="S21" s="68" t="e">
        <f t="shared" si="17"/>
        <v>#REF!</v>
      </c>
      <c r="T21" s="383" t="e">
        <f t="shared" si="18"/>
        <v>#REF!</v>
      </c>
      <c r="U21" s="382" t="e">
        <f t="shared" si="19"/>
        <v>#REF!</v>
      </c>
      <c r="V21" s="68" t="e">
        <f t="shared" si="20"/>
        <v>#REF!</v>
      </c>
      <c r="W21" s="383" t="e">
        <f t="shared" si="21"/>
        <v>#REF!</v>
      </c>
      <c r="X21" s="382" t="e">
        <f t="shared" si="22"/>
        <v>#REF!</v>
      </c>
      <c r="Y21" s="68" t="e">
        <f t="shared" si="23"/>
        <v>#REF!</v>
      </c>
      <c r="Z21" s="383" t="e">
        <f t="shared" si="24"/>
        <v>#REF!</v>
      </c>
      <c r="AA21" s="382" t="e">
        <f t="shared" si="25"/>
        <v>#REF!</v>
      </c>
      <c r="AB21" s="68" t="e">
        <f t="shared" si="26"/>
        <v>#REF!</v>
      </c>
      <c r="AC21" s="383" t="e">
        <f t="shared" si="27"/>
        <v>#REF!</v>
      </c>
      <c r="AD21" s="382" t="e">
        <f t="shared" si="28"/>
        <v>#REF!</v>
      </c>
      <c r="AE21" s="68" t="e">
        <f t="shared" si="29"/>
        <v>#REF!</v>
      </c>
      <c r="AF21" s="383" t="e">
        <f t="shared" si="30"/>
        <v>#REF!</v>
      </c>
      <c r="AH21" s="350"/>
      <c r="AI21" s="351"/>
      <c r="AJ21" s="351"/>
      <c r="AK21" s="351"/>
      <c r="AL21" s="351"/>
      <c r="AM21" s="351"/>
      <c r="AN21" s="351"/>
      <c r="AO21" s="351"/>
      <c r="AP21" s="351"/>
      <c r="AQ21" s="351"/>
      <c r="AR21" s="351"/>
      <c r="AS21" s="351"/>
      <c r="AT21" s="351"/>
      <c r="AU21" s="351"/>
      <c r="AV21" s="351"/>
      <c r="AW21" s="351"/>
      <c r="AX21" s="351"/>
      <c r="AY21" s="351"/>
      <c r="AZ21" s="351"/>
      <c r="BA21" s="351"/>
      <c r="BB21" s="351"/>
      <c r="BC21" s="351"/>
      <c r="BD21" s="351"/>
      <c r="BE21" s="351"/>
      <c r="BF21" s="351"/>
      <c r="BG21" s="351"/>
      <c r="BH21" s="351"/>
      <c r="BI21" s="351"/>
      <c r="BJ21" s="351"/>
      <c r="BK21" s="352"/>
    </row>
    <row r="22" spans="1:76" s="71" customFormat="1" x14ac:dyDescent="0.25">
      <c r="A22" s="198" t="s">
        <v>42</v>
      </c>
      <c r="B22" s="397" t="e">
        <f t="shared" si="0"/>
        <v>#REF!</v>
      </c>
      <c r="C22" s="382" t="e">
        <f t="shared" si="1"/>
        <v>#REF!</v>
      </c>
      <c r="D22" s="68" t="e">
        <f t="shared" si="2"/>
        <v>#REF!</v>
      </c>
      <c r="E22" s="383" t="e">
        <f t="shared" si="3"/>
        <v>#REF!</v>
      </c>
      <c r="F22" s="382" t="e">
        <f t="shared" si="4"/>
        <v>#REF!</v>
      </c>
      <c r="G22" s="68" t="e">
        <f t="shared" si="5"/>
        <v>#REF!</v>
      </c>
      <c r="H22" s="384" t="e">
        <f t="shared" si="6"/>
        <v>#REF!</v>
      </c>
      <c r="I22" s="382" t="e">
        <f t="shared" si="7"/>
        <v>#REF!</v>
      </c>
      <c r="J22" s="68" t="e">
        <f t="shared" si="8"/>
        <v>#REF!</v>
      </c>
      <c r="K22" s="383" t="e">
        <f t="shared" si="9"/>
        <v>#REF!</v>
      </c>
      <c r="L22" s="382" t="e">
        <f t="shared" si="10"/>
        <v>#REF!</v>
      </c>
      <c r="M22" s="68" t="e">
        <f t="shared" si="11"/>
        <v>#REF!</v>
      </c>
      <c r="N22" s="384" t="e">
        <f t="shared" si="12"/>
        <v>#REF!</v>
      </c>
      <c r="O22" s="382" t="e">
        <f t="shared" si="13"/>
        <v>#REF!</v>
      </c>
      <c r="P22" s="68" t="e">
        <f t="shared" si="14"/>
        <v>#REF!</v>
      </c>
      <c r="Q22" s="383" t="e">
        <f t="shared" si="15"/>
        <v>#REF!</v>
      </c>
      <c r="R22" s="382" t="e">
        <f t="shared" si="16"/>
        <v>#REF!</v>
      </c>
      <c r="S22" s="68" t="e">
        <f t="shared" si="17"/>
        <v>#REF!</v>
      </c>
      <c r="T22" s="383" t="e">
        <f t="shared" si="18"/>
        <v>#REF!</v>
      </c>
      <c r="U22" s="382" t="e">
        <f t="shared" si="19"/>
        <v>#REF!</v>
      </c>
      <c r="V22" s="68" t="e">
        <f t="shared" si="20"/>
        <v>#REF!</v>
      </c>
      <c r="W22" s="383" t="e">
        <f t="shared" si="21"/>
        <v>#REF!</v>
      </c>
      <c r="X22" s="382" t="e">
        <f t="shared" si="22"/>
        <v>#REF!</v>
      </c>
      <c r="Y22" s="68" t="e">
        <f t="shared" si="23"/>
        <v>#REF!</v>
      </c>
      <c r="Z22" s="383" t="e">
        <f t="shared" si="24"/>
        <v>#REF!</v>
      </c>
      <c r="AA22" s="382" t="e">
        <f t="shared" si="25"/>
        <v>#REF!</v>
      </c>
      <c r="AB22" s="68" t="e">
        <f t="shared" si="26"/>
        <v>#REF!</v>
      </c>
      <c r="AC22" s="383" t="e">
        <f t="shared" si="27"/>
        <v>#REF!</v>
      </c>
      <c r="AD22" s="382" t="e">
        <f t="shared" si="28"/>
        <v>#REF!</v>
      </c>
      <c r="AE22" s="68" t="e">
        <f t="shared" si="29"/>
        <v>#REF!</v>
      </c>
      <c r="AF22" s="383" t="e">
        <f t="shared" si="30"/>
        <v>#REF!</v>
      </c>
      <c r="AH22" s="350"/>
      <c r="AI22" s="351"/>
      <c r="AJ22" s="351"/>
      <c r="AK22" s="351"/>
      <c r="AL22" s="351"/>
      <c r="AM22" s="351"/>
      <c r="AN22" s="351"/>
      <c r="AO22" s="351"/>
      <c r="AP22" s="351"/>
      <c r="AQ22" s="351"/>
      <c r="AR22" s="351"/>
      <c r="AS22" s="351"/>
      <c r="AT22" s="351"/>
      <c r="AU22" s="351"/>
      <c r="AV22" s="351"/>
      <c r="AW22" s="351"/>
      <c r="AX22" s="351"/>
      <c r="AY22" s="351"/>
      <c r="AZ22" s="351"/>
      <c r="BA22" s="351"/>
      <c r="BB22" s="351"/>
      <c r="BC22" s="351"/>
      <c r="BD22" s="351"/>
      <c r="BE22" s="351"/>
      <c r="BF22" s="351"/>
      <c r="BG22" s="351"/>
      <c r="BH22" s="351"/>
      <c r="BI22" s="351"/>
      <c r="BJ22" s="351"/>
      <c r="BK22" s="352"/>
    </row>
    <row r="23" spans="1:76" s="71" customFormat="1" x14ac:dyDescent="0.25">
      <c r="A23" s="198" t="s">
        <v>316</v>
      </c>
      <c r="B23" s="397" t="e">
        <f t="shared" si="0"/>
        <v>#REF!</v>
      </c>
      <c r="C23" s="382" t="e">
        <f t="shared" si="1"/>
        <v>#REF!</v>
      </c>
      <c r="D23" s="68" t="e">
        <f t="shared" si="2"/>
        <v>#REF!</v>
      </c>
      <c r="E23" s="383" t="e">
        <f t="shared" si="3"/>
        <v>#REF!</v>
      </c>
      <c r="F23" s="382" t="e">
        <f t="shared" si="4"/>
        <v>#REF!</v>
      </c>
      <c r="G23" s="68" t="e">
        <f t="shared" si="5"/>
        <v>#REF!</v>
      </c>
      <c r="H23" s="384" t="e">
        <f t="shared" si="6"/>
        <v>#REF!</v>
      </c>
      <c r="I23" s="382" t="e">
        <f t="shared" si="7"/>
        <v>#REF!</v>
      </c>
      <c r="J23" s="68" t="e">
        <f t="shared" si="8"/>
        <v>#REF!</v>
      </c>
      <c r="K23" s="383" t="e">
        <f t="shared" si="9"/>
        <v>#REF!</v>
      </c>
      <c r="L23" s="382" t="e">
        <f t="shared" si="10"/>
        <v>#REF!</v>
      </c>
      <c r="M23" s="68" t="e">
        <f t="shared" si="11"/>
        <v>#REF!</v>
      </c>
      <c r="N23" s="384" t="e">
        <f t="shared" si="12"/>
        <v>#REF!</v>
      </c>
      <c r="O23" s="382" t="e">
        <f t="shared" si="13"/>
        <v>#REF!</v>
      </c>
      <c r="P23" s="68" t="e">
        <f t="shared" si="14"/>
        <v>#REF!</v>
      </c>
      <c r="Q23" s="383" t="e">
        <f t="shared" si="15"/>
        <v>#REF!</v>
      </c>
      <c r="R23" s="382" t="e">
        <f t="shared" si="16"/>
        <v>#REF!</v>
      </c>
      <c r="S23" s="68" t="e">
        <f t="shared" si="17"/>
        <v>#REF!</v>
      </c>
      <c r="T23" s="383" t="e">
        <f t="shared" si="18"/>
        <v>#REF!</v>
      </c>
      <c r="U23" s="382" t="e">
        <f t="shared" si="19"/>
        <v>#REF!</v>
      </c>
      <c r="V23" s="68" t="e">
        <f t="shared" si="20"/>
        <v>#REF!</v>
      </c>
      <c r="W23" s="383" t="e">
        <f t="shared" si="21"/>
        <v>#REF!</v>
      </c>
      <c r="X23" s="382" t="e">
        <f t="shared" si="22"/>
        <v>#REF!</v>
      </c>
      <c r="Y23" s="68" t="e">
        <f t="shared" si="23"/>
        <v>#REF!</v>
      </c>
      <c r="Z23" s="383" t="e">
        <f t="shared" si="24"/>
        <v>#REF!</v>
      </c>
      <c r="AA23" s="382" t="e">
        <f t="shared" si="25"/>
        <v>#REF!</v>
      </c>
      <c r="AB23" s="68" t="e">
        <f t="shared" si="26"/>
        <v>#REF!</v>
      </c>
      <c r="AC23" s="383" t="e">
        <f t="shared" si="27"/>
        <v>#REF!</v>
      </c>
      <c r="AD23" s="382" t="e">
        <f t="shared" si="28"/>
        <v>#REF!</v>
      </c>
      <c r="AE23" s="68" t="e">
        <f t="shared" si="29"/>
        <v>#REF!</v>
      </c>
      <c r="AF23" s="383" t="e">
        <f t="shared" si="30"/>
        <v>#REF!</v>
      </c>
      <c r="AH23" s="350"/>
      <c r="AI23" s="351"/>
      <c r="AJ23" s="351"/>
      <c r="AK23" s="351"/>
      <c r="AL23" s="351"/>
      <c r="AM23" s="351"/>
      <c r="AN23" s="351"/>
      <c r="AO23" s="351"/>
      <c r="AP23" s="351"/>
      <c r="AQ23" s="351"/>
      <c r="AR23" s="351"/>
      <c r="AS23" s="351"/>
      <c r="AT23" s="351"/>
      <c r="AU23" s="351"/>
      <c r="AV23" s="351"/>
      <c r="AW23" s="351"/>
      <c r="AX23" s="351"/>
      <c r="AY23" s="351"/>
      <c r="AZ23" s="351"/>
      <c r="BA23" s="351"/>
      <c r="BB23" s="351"/>
      <c r="BC23" s="351"/>
      <c r="BD23" s="351"/>
      <c r="BE23" s="351"/>
      <c r="BF23" s="351"/>
      <c r="BG23" s="351"/>
      <c r="BH23" s="351"/>
      <c r="BI23" s="351"/>
      <c r="BJ23" s="351"/>
      <c r="BK23" s="352"/>
    </row>
    <row r="24" spans="1:76" s="71" customFormat="1" x14ac:dyDescent="0.25">
      <c r="A24" s="198" t="s">
        <v>837</v>
      </c>
      <c r="B24" s="397" t="e">
        <f t="shared" si="0"/>
        <v>#REF!</v>
      </c>
      <c r="C24" s="382" t="e">
        <f t="shared" si="1"/>
        <v>#REF!</v>
      </c>
      <c r="D24" s="68" t="e">
        <f t="shared" si="2"/>
        <v>#REF!</v>
      </c>
      <c r="E24" s="383" t="e">
        <f t="shared" si="3"/>
        <v>#REF!</v>
      </c>
      <c r="F24" s="382" t="e">
        <f t="shared" si="4"/>
        <v>#REF!</v>
      </c>
      <c r="G24" s="68" t="e">
        <f t="shared" si="5"/>
        <v>#REF!</v>
      </c>
      <c r="H24" s="384" t="e">
        <f t="shared" si="6"/>
        <v>#REF!</v>
      </c>
      <c r="I24" s="382" t="e">
        <f t="shared" si="7"/>
        <v>#REF!</v>
      </c>
      <c r="J24" s="68" t="e">
        <f t="shared" si="8"/>
        <v>#REF!</v>
      </c>
      <c r="K24" s="383" t="e">
        <f t="shared" si="9"/>
        <v>#REF!</v>
      </c>
      <c r="L24" s="382" t="e">
        <f t="shared" si="10"/>
        <v>#REF!</v>
      </c>
      <c r="M24" s="68" t="e">
        <f t="shared" si="11"/>
        <v>#REF!</v>
      </c>
      <c r="N24" s="384" t="e">
        <f t="shared" si="12"/>
        <v>#REF!</v>
      </c>
      <c r="O24" s="382" t="e">
        <f t="shared" si="13"/>
        <v>#REF!</v>
      </c>
      <c r="P24" s="68" t="e">
        <f t="shared" si="14"/>
        <v>#REF!</v>
      </c>
      <c r="Q24" s="383" t="e">
        <f t="shared" si="15"/>
        <v>#REF!</v>
      </c>
      <c r="R24" s="382" t="e">
        <f t="shared" si="16"/>
        <v>#REF!</v>
      </c>
      <c r="S24" s="68" t="e">
        <f t="shared" si="17"/>
        <v>#REF!</v>
      </c>
      <c r="T24" s="383" t="e">
        <f t="shared" si="18"/>
        <v>#REF!</v>
      </c>
      <c r="U24" s="382" t="e">
        <f t="shared" si="19"/>
        <v>#REF!</v>
      </c>
      <c r="V24" s="68" t="e">
        <f t="shared" si="20"/>
        <v>#REF!</v>
      </c>
      <c r="W24" s="383" t="e">
        <f t="shared" si="21"/>
        <v>#REF!</v>
      </c>
      <c r="X24" s="382" t="e">
        <f t="shared" si="22"/>
        <v>#REF!</v>
      </c>
      <c r="Y24" s="68" t="e">
        <f t="shared" si="23"/>
        <v>#REF!</v>
      </c>
      <c r="Z24" s="383" t="e">
        <f t="shared" si="24"/>
        <v>#REF!</v>
      </c>
      <c r="AA24" s="382" t="e">
        <f t="shared" si="25"/>
        <v>#REF!</v>
      </c>
      <c r="AB24" s="68" t="e">
        <f t="shared" si="26"/>
        <v>#REF!</v>
      </c>
      <c r="AC24" s="383" t="e">
        <f t="shared" si="27"/>
        <v>#REF!</v>
      </c>
      <c r="AD24" s="382" t="e">
        <f t="shared" si="28"/>
        <v>#REF!</v>
      </c>
      <c r="AE24" s="68" t="e">
        <f t="shared" si="29"/>
        <v>#REF!</v>
      </c>
      <c r="AF24" s="383" t="e">
        <f t="shared" si="30"/>
        <v>#REF!</v>
      </c>
      <c r="AH24" s="350"/>
      <c r="AI24" s="351"/>
      <c r="AJ24" s="351"/>
      <c r="AK24" s="351"/>
      <c r="AL24" s="351"/>
      <c r="AM24" s="351"/>
      <c r="AN24" s="351"/>
      <c r="AO24" s="351"/>
      <c r="AP24" s="351"/>
      <c r="AQ24" s="351"/>
      <c r="AR24" s="351"/>
      <c r="AS24" s="351"/>
      <c r="AT24" s="351"/>
      <c r="AU24" s="351"/>
      <c r="AV24" s="351"/>
      <c r="AW24" s="351"/>
      <c r="AX24" s="351"/>
      <c r="AY24" s="351"/>
      <c r="AZ24" s="351"/>
      <c r="BA24" s="351"/>
      <c r="BB24" s="351"/>
      <c r="BC24" s="351"/>
      <c r="BD24" s="351"/>
      <c r="BE24" s="351"/>
      <c r="BF24" s="351"/>
      <c r="BG24" s="351"/>
      <c r="BH24" s="351"/>
      <c r="BI24" s="351"/>
      <c r="BJ24" s="351"/>
      <c r="BK24" s="352"/>
    </row>
    <row r="25" spans="1:76" s="71" customFormat="1" x14ac:dyDescent="0.25">
      <c r="A25" s="198" t="s">
        <v>319</v>
      </c>
      <c r="B25" s="397" t="e">
        <f t="shared" si="0"/>
        <v>#REF!</v>
      </c>
      <c r="C25" s="382" t="e">
        <f t="shared" si="1"/>
        <v>#REF!</v>
      </c>
      <c r="D25" s="68" t="e">
        <f t="shared" si="2"/>
        <v>#REF!</v>
      </c>
      <c r="E25" s="383" t="e">
        <f t="shared" si="3"/>
        <v>#REF!</v>
      </c>
      <c r="F25" s="382" t="e">
        <f t="shared" si="4"/>
        <v>#REF!</v>
      </c>
      <c r="G25" s="68" t="e">
        <f t="shared" si="5"/>
        <v>#REF!</v>
      </c>
      <c r="H25" s="384" t="e">
        <f t="shared" si="6"/>
        <v>#REF!</v>
      </c>
      <c r="I25" s="382" t="e">
        <f t="shared" si="7"/>
        <v>#REF!</v>
      </c>
      <c r="J25" s="68" t="e">
        <f t="shared" si="8"/>
        <v>#REF!</v>
      </c>
      <c r="K25" s="383" t="e">
        <f t="shared" si="9"/>
        <v>#REF!</v>
      </c>
      <c r="L25" s="382" t="e">
        <f t="shared" si="10"/>
        <v>#REF!</v>
      </c>
      <c r="M25" s="68" t="e">
        <f t="shared" si="11"/>
        <v>#REF!</v>
      </c>
      <c r="N25" s="384" t="e">
        <f t="shared" si="12"/>
        <v>#REF!</v>
      </c>
      <c r="O25" s="382" t="e">
        <f t="shared" si="13"/>
        <v>#REF!</v>
      </c>
      <c r="P25" s="68" t="e">
        <f t="shared" si="14"/>
        <v>#REF!</v>
      </c>
      <c r="Q25" s="383" t="e">
        <f t="shared" si="15"/>
        <v>#REF!</v>
      </c>
      <c r="R25" s="382" t="e">
        <f t="shared" si="16"/>
        <v>#REF!</v>
      </c>
      <c r="S25" s="68" t="e">
        <f t="shared" si="17"/>
        <v>#REF!</v>
      </c>
      <c r="T25" s="383" t="e">
        <f t="shared" si="18"/>
        <v>#REF!</v>
      </c>
      <c r="U25" s="382" t="e">
        <f t="shared" si="19"/>
        <v>#REF!</v>
      </c>
      <c r="V25" s="68" t="e">
        <f t="shared" si="20"/>
        <v>#REF!</v>
      </c>
      <c r="W25" s="383" t="e">
        <f t="shared" si="21"/>
        <v>#REF!</v>
      </c>
      <c r="X25" s="382" t="e">
        <f t="shared" si="22"/>
        <v>#REF!</v>
      </c>
      <c r="Y25" s="68" t="e">
        <f t="shared" si="23"/>
        <v>#REF!</v>
      </c>
      <c r="Z25" s="383" t="e">
        <f t="shared" si="24"/>
        <v>#REF!</v>
      </c>
      <c r="AA25" s="382" t="e">
        <f t="shared" si="25"/>
        <v>#REF!</v>
      </c>
      <c r="AB25" s="68" t="e">
        <f t="shared" si="26"/>
        <v>#REF!</v>
      </c>
      <c r="AC25" s="383" t="e">
        <f t="shared" si="27"/>
        <v>#REF!</v>
      </c>
      <c r="AD25" s="382" t="e">
        <f t="shared" si="28"/>
        <v>#REF!</v>
      </c>
      <c r="AE25" s="68" t="e">
        <f t="shared" si="29"/>
        <v>#REF!</v>
      </c>
      <c r="AF25" s="383" t="e">
        <f t="shared" si="30"/>
        <v>#REF!</v>
      </c>
      <c r="AH25" s="350"/>
      <c r="AI25" s="351"/>
      <c r="AJ25" s="351"/>
      <c r="AK25" s="351"/>
      <c r="AL25" s="351">
        <v>2</v>
      </c>
      <c r="AM25" s="351"/>
      <c r="AN25" s="351"/>
      <c r="AO25" s="351"/>
      <c r="AP25" s="351"/>
      <c r="AQ25" s="351"/>
      <c r="AR25" s="351"/>
      <c r="AS25" s="351"/>
      <c r="AT25" s="351"/>
      <c r="AU25" s="351"/>
      <c r="AV25" s="351"/>
      <c r="AW25" s="351"/>
      <c r="AX25" s="351"/>
      <c r="AY25" s="351"/>
      <c r="AZ25" s="351"/>
      <c r="BA25" s="351"/>
      <c r="BB25" s="351"/>
      <c r="BC25" s="351"/>
      <c r="BD25" s="351"/>
      <c r="BE25" s="351"/>
      <c r="BF25" s="351"/>
      <c r="BG25" s="351"/>
      <c r="BH25" s="351"/>
      <c r="BI25" s="351"/>
      <c r="BJ25" s="351"/>
      <c r="BK25" s="352"/>
    </row>
    <row r="26" spans="1:76" s="71" customFormat="1" x14ac:dyDescent="0.25">
      <c r="A26" s="200" t="s">
        <v>24</v>
      </c>
      <c r="B26" s="53" t="str">
        <f t="shared" si="0"/>
        <v/>
      </c>
      <c r="C26" s="389" t="str">
        <f t="shared" si="1"/>
        <v/>
      </c>
      <c r="D26" s="390" t="str">
        <f t="shared" si="2"/>
        <v/>
      </c>
      <c r="E26" s="391" t="str">
        <f t="shared" si="3"/>
        <v/>
      </c>
      <c r="F26" s="389" t="str">
        <f t="shared" si="4"/>
        <v/>
      </c>
      <c r="G26" s="390" t="str">
        <f t="shared" si="5"/>
        <v/>
      </c>
      <c r="H26" s="392" t="str">
        <f t="shared" si="6"/>
        <v/>
      </c>
      <c r="I26" s="389" t="str">
        <f t="shared" si="7"/>
        <v/>
      </c>
      <c r="J26" s="390" t="str">
        <f t="shared" si="8"/>
        <v/>
      </c>
      <c r="K26" s="391" t="str">
        <f t="shared" si="9"/>
        <v/>
      </c>
      <c r="L26" s="389" t="str">
        <f t="shared" si="10"/>
        <v/>
      </c>
      <c r="M26" s="390" t="str">
        <f t="shared" si="11"/>
        <v/>
      </c>
      <c r="N26" s="392" t="str">
        <f t="shared" si="12"/>
        <v/>
      </c>
      <c r="O26" s="389" t="str">
        <f t="shared" si="13"/>
        <v/>
      </c>
      <c r="P26" s="390" t="str">
        <f t="shared" si="14"/>
        <v/>
      </c>
      <c r="Q26" s="391" t="str">
        <f t="shared" si="15"/>
        <v/>
      </c>
      <c r="R26" s="389" t="str">
        <f t="shared" si="16"/>
        <v/>
      </c>
      <c r="S26" s="390" t="str">
        <f t="shared" si="17"/>
        <v/>
      </c>
      <c r="T26" s="391" t="str">
        <f t="shared" si="18"/>
        <v/>
      </c>
      <c r="U26" s="389" t="str">
        <f t="shared" si="19"/>
        <v/>
      </c>
      <c r="V26" s="390" t="str">
        <f t="shared" si="20"/>
        <v/>
      </c>
      <c r="W26" s="391" t="str">
        <f t="shared" si="21"/>
        <v/>
      </c>
      <c r="X26" s="389" t="str">
        <f t="shared" si="22"/>
        <v/>
      </c>
      <c r="Y26" s="390" t="str">
        <f t="shared" si="23"/>
        <v/>
      </c>
      <c r="Z26" s="391" t="str">
        <f t="shared" si="24"/>
        <v/>
      </c>
      <c r="AA26" s="389" t="str">
        <f t="shared" si="25"/>
        <v/>
      </c>
      <c r="AB26" s="390" t="str">
        <f t="shared" si="26"/>
        <v/>
      </c>
      <c r="AC26" s="391" t="str">
        <f t="shared" si="27"/>
        <v/>
      </c>
      <c r="AD26" s="389" t="str">
        <f t="shared" si="28"/>
        <v/>
      </c>
      <c r="AE26" s="390" t="str">
        <f t="shared" si="29"/>
        <v/>
      </c>
      <c r="AF26" s="391" t="str">
        <f t="shared" si="30"/>
        <v/>
      </c>
      <c r="AH26" s="356"/>
      <c r="AI26" s="357"/>
      <c r="AJ26" s="357"/>
      <c r="AK26" s="357"/>
      <c r="AL26" s="357"/>
      <c r="AM26" s="357"/>
      <c r="AN26" s="357"/>
      <c r="AO26" s="357"/>
      <c r="AP26" s="357"/>
      <c r="AQ26" s="357"/>
      <c r="AR26" s="357"/>
      <c r="AS26" s="357"/>
      <c r="AT26" s="357"/>
      <c r="AU26" s="357"/>
      <c r="AV26" s="357"/>
      <c r="AW26" s="357"/>
      <c r="AX26" s="357"/>
      <c r="AY26" s="357"/>
      <c r="AZ26" s="357"/>
      <c r="BA26" s="357"/>
      <c r="BB26" s="357"/>
      <c r="BC26" s="357"/>
      <c r="BD26" s="357"/>
      <c r="BE26" s="357"/>
      <c r="BF26" s="357"/>
      <c r="BG26" s="357"/>
      <c r="BH26" s="357"/>
      <c r="BI26" s="357"/>
      <c r="BJ26" s="357"/>
      <c r="BK26" s="358"/>
    </row>
    <row r="27" spans="1:76" s="71" customFormat="1" x14ac:dyDescent="0.25">
      <c r="A27" s="198" t="s">
        <v>48</v>
      </c>
      <c r="B27" s="397" t="e">
        <f t="shared" si="0"/>
        <v>#REF!</v>
      </c>
      <c r="C27" s="382" t="e">
        <f t="shared" si="1"/>
        <v>#REF!</v>
      </c>
      <c r="D27" s="68" t="e">
        <f t="shared" si="2"/>
        <v>#REF!</v>
      </c>
      <c r="E27" s="383" t="e">
        <f t="shared" si="3"/>
        <v>#REF!</v>
      </c>
      <c r="F27" s="382" t="e">
        <f t="shared" si="4"/>
        <v>#REF!</v>
      </c>
      <c r="G27" s="68" t="e">
        <f t="shared" si="5"/>
        <v>#REF!</v>
      </c>
      <c r="H27" s="384" t="e">
        <f t="shared" si="6"/>
        <v>#REF!</v>
      </c>
      <c r="I27" s="382" t="e">
        <f t="shared" si="7"/>
        <v>#REF!</v>
      </c>
      <c r="J27" s="68" t="e">
        <f t="shared" si="8"/>
        <v>#REF!</v>
      </c>
      <c r="K27" s="383" t="e">
        <f t="shared" si="9"/>
        <v>#REF!</v>
      </c>
      <c r="L27" s="382" t="e">
        <f t="shared" si="10"/>
        <v>#REF!</v>
      </c>
      <c r="M27" s="68" t="e">
        <f t="shared" si="11"/>
        <v>#REF!</v>
      </c>
      <c r="N27" s="384" t="e">
        <f t="shared" si="12"/>
        <v>#REF!</v>
      </c>
      <c r="O27" s="382" t="e">
        <f t="shared" si="13"/>
        <v>#REF!</v>
      </c>
      <c r="P27" s="68" t="e">
        <f t="shared" si="14"/>
        <v>#REF!</v>
      </c>
      <c r="Q27" s="383" t="e">
        <f t="shared" si="15"/>
        <v>#REF!</v>
      </c>
      <c r="R27" s="382" t="e">
        <f t="shared" si="16"/>
        <v>#REF!</v>
      </c>
      <c r="S27" s="68" t="e">
        <f t="shared" si="17"/>
        <v>#REF!</v>
      </c>
      <c r="T27" s="383" t="e">
        <f t="shared" si="18"/>
        <v>#REF!</v>
      </c>
      <c r="U27" s="382" t="e">
        <f t="shared" si="19"/>
        <v>#REF!</v>
      </c>
      <c r="V27" s="68" t="e">
        <f t="shared" si="20"/>
        <v>#REF!</v>
      </c>
      <c r="W27" s="383" t="e">
        <f t="shared" si="21"/>
        <v>#REF!</v>
      </c>
      <c r="X27" s="382" t="e">
        <f t="shared" si="22"/>
        <v>#REF!</v>
      </c>
      <c r="Y27" s="68" t="e">
        <f t="shared" si="23"/>
        <v>#REF!</v>
      </c>
      <c r="Z27" s="383" t="e">
        <f t="shared" si="24"/>
        <v>#REF!</v>
      </c>
      <c r="AA27" s="382" t="e">
        <f t="shared" si="25"/>
        <v>#REF!</v>
      </c>
      <c r="AB27" s="68" t="e">
        <f t="shared" si="26"/>
        <v>#REF!</v>
      </c>
      <c r="AC27" s="383" t="e">
        <f t="shared" si="27"/>
        <v>#REF!</v>
      </c>
      <c r="AD27" s="382" t="e">
        <f t="shared" si="28"/>
        <v>#REF!</v>
      </c>
      <c r="AE27" s="68" t="e">
        <f t="shared" si="29"/>
        <v>#REF!</v>
      </c>
      <c r="AF27" s="383" t="e">
        <f t="shared" si="30"/>
        <v>#REF!</v>
      </c>
      <c r="AH27" s="350"/>
      <c r="AI27" s="351"/>
      <c r="AJ27" s="351"/>
      <c r="AK27" s="351"/>
      <c r="AL27" s="351"/>
      <c r="AM27" s="351"/>
      <c r="AN27" s="351"/>
      <c r="AO27" s="351"/>
      <c r="AP27" s="351"/>
      <c r="AQ27" s="351"/>
      <c r="AR27" s="351"/>
      <c r="AS27" s="351"/>
      <c r="AT27" s="351"/>
      <c r="AU27" s="351"/>
      <c r="AV27" s="351"/>
      <c r="AW27" s="351"/>
      <c r="AX27" s="351"/>
      <c r="AY27" s="351"/>
      <c r="AZ27" s="351"/>
      <c r="BA27" s="351"/>
      <c r="BB27" s="351"/>
      <c r="BC27" s="351"/>
      <c r="BD27" s="351"/>
      <c r="BE27" s="351"/>
      <c r="BF27" s="351"/>
      <c r="BG27" s="351"/>
      <c r="BH27" s="351"/>
      <c r="BI27" s="351"/>
      <c r="BJ27" s="351"/>
      <c r="BK27" s="352"/>
    </row>
    <row r="28" spans="1:76" s="71" customFormat="1" x14ac:dyDescent="0.25">
      <c r="A28" s="198" t="s">
        <v>266</v>
      </c>
      <c r="B28" s="397" t="e">
        <f t="shared" si="0"/>
        <v>#REF!</v>
      </c>
      <c r="C28" s="382" t="e">
        <f t="shared" si="1"/>
        <v>#REF!</v>
      </c>
      <c r="D28" s="68" t="e">
        <f t="shared" si="2"/>
        <v>#REF!</v>
      </c>
      <c r="E28" s="383" t="e">
        <f t="shared" si="3"/>
        <v>#REF!</v>
      </c>
      <c r="F28" s="382" t="e">
        <f t="shared" si="4"/>
        <v>#REF!</v>
      </c>
      <c r="G28" s="68" t="e">
        <f t="shared" si="5"/>
        <v>#REF!</v>
      </c>
      <c r="H28" s="384" t="e">
        <f t="shared" si="6"/>
        <v>#REF!</v>
      </c>
      <c r="I28" s="382" t="e">
        <f t="shared" si="7"/>
        <v>#REF!</v>
      </c>
      <c r="J28" s="68" t="e">
        <f t="shared" si="8"/>
        <v>#REF!</v>
      </c>
      <c r="K28" s="383" t="e">
        <f t="shared" si="9"/>
        <v>#REF!</v>
      </c>
      <c r="L28" s="382" t="e">
        <f t="shared" si="10"/>
        <v>#REF!</v>
      </c>
      <c r="M28" s="68" t="e">
        <f t="shared" si="11"/>
        <v>#REF!</v>
      </c>
      <c r="N28" s="384" t="e">
        <f t="shared" si="12"/>
        <v>#REF!</v>
      </c>
      <c r="O28" s="382" t="e">
        <f t="shared" si="13"/>
        <v>#REF!</v>
      </c>
      <c r="P28" s="68" t="e">
        <f t="shared" si="14"/>
        <v>#REF!</v>
      </c>
      <c r="Q28" s="383" t="e">
        <f t="shared" si="15"/>
        <v>#REF!</v>
      </c>
      <c r="R28" s="382" t="e">
        <f t="shared" si="16"/>
        <v>#REF!</v>
      </c>
      <c r="S28" s="68" t="e">
        <f t="shared" si="17"/>
        <v>#REF!</v>
      </c>
      <c r="T28" s="383" t="e">
        <f t="shared" si="18"/>
        <v>#REF!</v>
      </c>
      <c r="U28" s="382" t="e">
        <f t="shared" si="19"/>
        <v>#REF!</v>
      </c>
      <c r="V28" s="68" t="e">
        <f t="shared" si="20"/>
        <v>#REF!</v>
      </c>
      <c r="W28" s="383" t="e">
        <f t="shared" si="21"/>
        <v>#REF!</v>
      </c>
      <c r="X28" s="382" t="e">
        <f t="shared" si="22"/>
        <v>#REF!</v>
      </c>
      <c r="Y28" s="68" t="e">
        <f t="shared" si="23"/>
        <v>#REF!</v>
      </c>
      <c r="Z28" s="383" t="e">
        <f t="shared" si="24"/>
        <v>#REF!</v>
      </c>
      <c r="AA28" s="382" t="e">
        <f t="shared" si="25"/>
        <v>#REF!</v>
      </c>
      <c r="AB28" s="68" t="e">
        <f t="shared" si="26"/>
        <v>#REF!</v>
      </c>
      <c r="AC28" s="383" t="e">
        <f t="shared" si="27"/>
        <v>#REF!</v>
      </c>
      <c r="AD28" s="382" t="e">
        <f t="shared" si="28"/>
        <v>#REF!</v>
      </c>
      <c r="AE28" s="68" t="e">
        <f t="shared" si="29"/>
        <v>#REF!</v>
      </c>
      <c r="AF28" s="383" t="e">
        <f t="shared" si="30"/>
        <v>#REF!</v>
      </c>
      <c r="AH28" s="350"/>
      <c r="AI28" s="351"/>
      <c r="AJ28" s="351"/>
      <c r="AK28" s="351"/>
      <c r="AL28" s="351"/>
      <c r="AM28" s="351"/>
      <c r="AN28" s="351"/>
      <c r="AO28" s="351"/>
      <c r="AP28" s="351"/>
      <c r="AQ28" s="351"/>
      <c r="AR28" s="351"/>
      <c r="AS28" s="351"/>
      <c r="AT28" s="351"/>
      <c r="AU28" s="351"/>
      <c r="AV28" s="351"/>
      <c r="AW28" s="351"/>
      <c r="AX28" s="351"/>
      <c r="AY28" s="351"/>
      <c r="AZ28" s="351"/>
      <c r="BA28" s="351"/>
      <c r="BB28" s="351"/>
      <c r="BC28" s="351"/>
      <c r="BD28" s="351"/>
      <c r="BE28" s="351"/>
      <c r="BF28" s="351"/>
      <c r="BG28" s="351"/>
      <c r="BH28" s="351"/>
      <c r="BI28" s="351"/>
      <c r="BJ28" s="351"/>
      <c r="BK28" s="352"/>
    </row>
    <row r="29" spans="1:76" s="71" customFormat="1" x14ac:dyDescent="0.25">
      <c r="A29" s="198" t="s">
        <v>873</v>
      </c>
      <c r="B29" s="397" t="e">
        <f t="shared" si="0"/>
        <v>#REF!</v>
      </c>
      <c r="C29" s="382" t="e">
        <f t="shared" si="1"/>
        <v>#REF!</v>
      </c>
      <c r="D29" s="68" t="e">
        <f t="shared" si="2"/>
        <v>#REF!</v>
      </c>
      <c r="E29" s="383" t="e">
        <f t="shared" si="3"/>
        <v>#REF!</v>
      </c>
      <c r="F29" s="382" t="e">
        <f t="shared" si="4"/>
        <v>#REF!</v>
      </c>
      <c r="G29" s="68" t="e">
        <f t="shared" si="5"/>
        <v>#REF!</v>
      </c>
      <c r="H29" s="384" t="e">
        <f t="shared" si="6"/>
        <v>#REF!</v>
      </c>
      <c r="I29" s="382" t="e">
        <f t="shared" si="7"/>
        <v>#REF!</v>
      </c>
      <c r="J29" s="68" t="e">
        <f t="shared" si="8"/>
        <v>#REF!</v>
      </c>
      <c r="K29" s="383" t="e">
        <f t="shared" si="9"/>
        <v>#REF!</v>
      </c>
      <c r="L29" s="382" t="e">
        <f t="shared" si="10"/>
        <v>#REF!</v>
      </c>
      <c r="M29" s="68" t="e">
        <f t="shared" si="11"/>
        <v>#REF!</v>
      </c>
      <c r="N29" s="384" t="e">
        <f t="shared" si="12"/>
        <v>#REF!</v>
      </c>
      <c r="O29" s="382" t="e">
        <f t="shared" si="13"/>
        <v>#REF!</v>
      </c>
      <c r="P29" s="68" t="e">
        <f t="shared" si="14"/>
        <v>#REF!</v>
      </c>
      <c r="Q29" s="383" t="e">
        <f t="shared" si="15"/>
        <v>#REF!</v>
      </c>
      <c r="R29" s="382" t="e">
        <f t="shared" si="16"/>
        <v>#REF!</v>
      </c>
      <c r="S29" s="68" t="e">
        <f t="shared" si="17"/>
        <v>#REF!</v>
      </c>
      <c r="T29" s="383" t="e">
        <f t="shared" si="18"/>
        <v>#REF!</v>
      </c>
      <c r="U29" s="382" t="e">
        <f t="shared" si="19"/>
        <v>#REF!</v>
      </c>
      <c r="V29" s="68" t="e">
        <f t="shared" si="20"/>
        <v>#REF!</v>
      </c>
      <c r="W29" s="383" t="e">
        <f t="shared" si="21"/>
        <v>#REF!</v>
      </c>
      <c r="X29" s="382" t="e">
        <f t="shared" si="22"/>
        <v>#REF!</v>
      </c>
      <c r="Y29" s="68" t="e">
        <f t="shared" si="23"/>
        <v>#REF!</v>
      </c>
      <c r="Z29" s="383" t="e">
        <f t="shared" si="24"/>
        <v>#REF!</v>
      </c>
      <c r="AA29" s="382" t="e">
        <f t="shared" si="25"/>
        <v>#REF!</v>
      </c>
      <c r="AB29" s="68" t="e">
        <f t="shared" si="26"/>
        <v>#REF!</v>
      </c>
      <c r="AC29" s="383" t="e">
        <f t="shared" si="27"/>
        <v>#REF!</v>
      </c>
      <c r="AD29" s="382" t="e">
        <f t="shared" si="28"/>
        <v>#REF!</v>
      </c>
      <c r="AE29" s="68" t="e">
        <f t="shared" si="29"/>
        <v>#REF!</v>
      </c>
      <c r="AF29" s="383" t="e">
        <f t="shared" si="30"/>
        <v>#REF!</v>
      </c>
      <c r="AH29" s="350"/>
      <c r="AI29" s="351"/>
      <c r="AJ29" s="351"/>
      <c r="AK29" s="351"/>
      <c r="AL29" s="351"/>
      <c r="AM29" s="351"/>
      <c r="AN29" s="351"/>
      <c r="AO29" s="351"/>
      <c r="AP29" s="351"/>
      <c r="AQ29" s="351"/>
      <c r="AR29" s="351"/>
      <c r="AS29" s="351"/>
      <c r="AT29" s="351"/>
      <c r="AU29" s="351"/>
      <c r="AV29" s="351"/>
      <c r="AW29" s="351"/>
      <c r="AX29" s="351"/>
      <c r="AY29" s="351"/>
      <c r="AZ29" s="351"/>
      <c r="BA29" s="351"/>
      <c r="BB29" s="351"/>
      <c r="BC29" s="351"/>
      <c r="BD29" s="351"/>
      <c r="BE29" s="351"/>
      <c r="BF29" s="351"/>
      <c r="BG29" s="351"/>
      <c r="BH29" s="351"/>
      <c r="BI29" s="351"/>
      <c r="BJ29" s="351"/>
      <c r="BK29" s="352"/>
    </row>
    <row r="30" spans="1:76" s="71" customFormat="1" x14ac:dyDescent="0.25">
      <c r="A30" s="198" t="s">
        <v>265</v>
      </c>
      <c r="B30" s="397" t="e">
        <f t="shared" si="0"/>
        <v>#REF!</v>
      </c>
      <c r="C30" s="382" t="e">
        <f t="shared" si="1"/>
        <v>#REF!</v>
      </c>
      <c r="D30" s="68" t="e">
        <f t="shared" si="2"/>
        <v>#REF!</v>
      </c>
      <c r="E30" s="383" t="e">
        <f t="shared" si="3"/>
        <v>#REF!</v>
      </c>
      <c r="F30" s="382" t="e">
        <f t="shared" si="4"/>
        <v>#REF!</v>
      </c>
      <c r="G30" s="68" t="e">
        <f t="shared" si="5"/>
        <v>#REF!</v>
      </c>
      <c r="H30" s="384" t="e">
        <f t="shared" si="6"/>
        <v>#REF!</v>
      </c>
      <c r="I30" s="382" t="e">
        <f t="shared" si="7"/>
        <v>#REF!</v>
      </c>
      <c r="J30" s="68" t="e">
        <f t="shared" si="8"/>
        <v>#REF!</v>
      </c>
      <c r="K30" s="383" t="e">
        <f t="shared" si="9"/>
        <v>#REF!</v>
      </c>
      <c r="L30" s="382" t="e">
        <f t="shared" si="10"/>
        <v>#REF!</v>
      </c>
      <c r="M30" s="68" t="e">
        <f t="shared" si="11"/>
        <v>#REF!</v>
      </c>
      <c r="N30" s="384" t="e">
        <f t="shared" si="12"/>
        <v>#REF!</v>
      </c>
      <c r="O30" s="382" t="e">
        <f t="shared" si="13"/>
        <v>#REF!</v>
      </c>
      <c r="P30" s="68" t="e">
        <f t="shared" si="14"/>
        <v>#REF!</v>
      </c>
      <c r="Q30" s="383" t="e">
        <f t="shared" si="15"/>
        <v>#REF!</v>
      </c>
      <c r="R30" s="382" t="e">
        <f t="shared" si="16"/>
        <v>#REF!</v>
      </c>
      <c r="S30" s="68" t="e">
        <f t="shared" si="17"/>
        <v>#REF!</v>
      </c>
      <c r="T30" s="383" t="e">
        <f t="shared" si="18"/>
        <v>#REF!</v>
      </c>
      <c r="U30" s="382" t="e">
        <f t="shared" si="19"/>
        <v>#REF!</v>
      </c>
      <c r="V30" s="68" t="e">
        <f t="shared" si="20"/>
        <v>#REF!</v>
      </c>
      <c r="W30" s="383" t="e">
        <f t="shared" si="21"/>
        <v>#REF!</v>
      </c>
      <c r="X30" s="382" t="e">
        <f t="shared" si="22"/>
        <v>#REF!</v>
      </c>
      <c r="Y30" s="68" t="e">
        <f t="shared" si="23"/>
        <v>#REF!</v>
      </c>
      <c r="Z30" s="383" t="e">
        <f t="shared" si="24"/>
        <v>#REF!</v>
      </c>
      <c r="AA30" s="382" t="e">
        <f t="shared" si="25"/>
        <v>#REF!</v>
      </c>
      <c r="AB30" s="68" t="e">
        <f t="shared" si="26"/>
        <v>#REF!</v>
      </c>
      <c r="AC30" s="383" t="e">
        <f t="shared" si="27"/>
        <v>#REF!</v>
      </c>
      <c r="AD30" s="382" t="e">
        <f t="shared" si="28"/>
        <v>#REF!</v>
      </c>
      <c r="AE30" s="68" t="e">
        <f t="shared" si="29"/>
        <v>#REF!</v>
      </c>
      <c r="AF30" s="383" t="e">
        <f t="shared" si="30"/>
        <v>#REF!</v>
      </c>
      <c r="AH30" s="350"/>
      <c r="AI30" s="351"/>
      <c r="AJ30" s="351"/>
      <c r="AK30" s="351"/>
      <c r="AL30" s="351"/>
      <c r="AM30" s="351"/>
      <c r="AN30" s="351"/>
      <c r="AO30" s="351"/>
      <c r="AP30" s="351"/>
      <c r="AQ30" s="351"/>
      <c r="AR30" s="351"/>
      <c r="AS30" s="351"/>
      <c r="AT30" s="351"/>
      <c r="AU30" s="351"/>
      <c r="AV30" s="351"/>
      <c r="AW30" s="351"/>
      <c r="AX30" s="351"/>
      <c r="AY30" s="351"/>
      <c r="AZ30" s="351"/>
      <c r="BA30" s="351"/>
      <c r="BB30" s="351"/>
      <c r="BC30" s="351"/>
      <c r="BD30" s="351"/>
      <c r="BE30" s="351"/>
      <c r="BF30" s="351"/>
      <c r="BG30" s="351"/>
      <c r="BH30" s="351"/>
      <c r="BI30" s="351"/>
      <c r="BJ30" s="351"/>
      <c r="BK30" s="352"/>
    </row>
    <row r="31" spans="1:76" s="71" customFormat="1" x14ac:dyDescent="0.25">
      <c r="A31" s="198" t="s">
        <v>264</v>
      </c>
      <c r="B31" s="397" t="e">
        <f t="shared" si="0"/>
        <v>#REF!</v>
      </c>
      <c r="C31" s="382" t="e">
        <f t="shared" si="1"/>
        <v>#REF!</v>
      </c>
      <c r="D31" s="68" t="e">
        <f t="shared" si="2"/>
        <v>#REF!</v>
      </c>
      <c r="E31" s="383" t="e">
        <f t="shared" si="3"/>
        <v>#REF!</v>
      </c>
      <c r="F31" s="382" t="e">
        <f t="shared" si="4"/>
        <v>#REF!</v>
      </c>
      <c r="G31" s="68" t="e">
        <f t="shared" si="5"/>
        <v>#REF!</v>
      </c>
      <c r="H31" s="384" t="e">
        <f t="shared" si="6"/>
        <v>#REF!</v>
      </c>
      <c r="I31" s="382" t="e">
        <f t="shared" si="7"/>
        <v>#REF!</v>
      </c>
      <c r="J31" s="68" t="e">
        <f t="shared" si="8"/>
        <v>#REF!</v>
      </c>
      <c r="K31" s="383" t="e">
        <f t="shared" si="9"/>
        <v>#REF!</v>
      </c>
      <c r="L31" s="382" t="e">
        <f t="shared" si="10"/>
        <v>#REF!</v>
      </c>
      <c r="M31" s="68" t="e">
        <f t="shared" si="11"/>
        <v>#REF!</v>
      </c>
      <c r="N31" s="384" t="e">
        <f t="shared" si="12"/>
        <v>#REF!</v>
      </c>
      <c r="O31" s="382" t="e">
        <f t="shared" si="13"/>
        <v>#REF!</v>
      </c>
      <c r="P31" s="68" t="e">
        <f t="shared" si="14"/>
        <v>#REF!</v>
      </c>
      <c r="Q31" s="383" t="e">
        <f t="shared" si="15"/>
        <v>#REF!</v>
      </c>
      <c r="R31" s="382" t="e">
        <f t="shared" si="16"/>
        <v>#REF!</v>
      </c>
      <c r="S31" s="68" t="e">
        <f t="shared" si="17"/>
        <v>#REF!</v>
      </c>
      <c r="T31" s="383" t="e">
        <f t="shared" si="18"/>
        <v>#REF!</v>
      </c>
      <c r="U31" s="382" t="e">
        <f t="shared" si="19"/>
        <v>#REF!</v>
      </c>
      <c r="V31" s="68" t="e">
        <f t="shared" si="20"/>
        <v>#REF!</v>
      </c>
      <c r="W31" s="383" t="e">
        <f t="shared" si="21"/>
        <v>#REF!</v>
      </c>
      <c r="X31" s="382" t="e">
        <f t="shared" si="22"/>
        <v>#REF!</v>
      </c>
      <c r="Y31" s="68" t="e">
        <f t="shared" si="23"/>
        <v>#REF!</v>
      </c>
      <c r="Z31" s="383" t="e">
        <f t="shared" si="24"/>
        <v>#REF!</v>
      </c>
      <c r="AA31" s="382" t="e">
        <f t="shared" si="25"/>
        <v>#REF!</v>
      </c>
      <c r="AB31" s="68" t="e">
        <f t="shared" si="26"/>
        <v>#REF!</v>
      </c>
      <c r="AC31" s="383" t="e">
        <f t="shared" si="27"/>
        <v>#REF!</v>
      </c>
      <c r="AD31" s="382" t="e">
        <f t="shared" si="28"/>
        <v>#REF!</v>
      </c>
      <c r="AE31" s="68" t="e">
        <f t="shared" si="29"/>
        <v>#REF!</v>
      </c>
      <c r="AF31" s="383" t="e">
        <f t="shared" si="30"/>
        <v>#REF!</v>
      </c>
      <c r="AH31" s="350"/>
      <c r="AI31" s="351"/>
      <c r="AJ31" s="351"/>
      <c r="AK31" s="351"/>
      <c r="AL31" s="351"/>
      <c r="AM31" s="351"/>
      <c r="AN31" s="351"/>
      <c r="AO31" s="351"/>
      <c r="AP31" s="351"/>
      <c r="AQ31" s="351"/>
      <c r="AR31" s="351"/>
      <c r="AS31" s="351"/>
      <c r="AT31" s="351"/>
      <c r="AU31" s="351"/>
      <c r="AV31" s="351"/>
      <c r="AW31" s="351"/>
      <c r="AX31" s="351"/>
      <c r="AY31" s="351"/>
      <c r="AZ31" s="351"/>
      <c r="BA31" s="351"/>
      <c r="BB31" s="351"/>
      <c r="BC31" s="351"/>
      <c r="BD31" s="351"/>
      <c r="BE31" s="351"/>
      <c r="BF31" s="351"/>
      <c r="BG31" s="351"/>
      <c r="BH31" s="351"/>
      <c r="BI31" s="351"/>
      <c r="BJ31" s="351"/>
      <c r="BK31" s="352"/>
    </row>
    <row r="32" spans="1:76" s="71" customFormat="1" x14ac:dyDescent="0.25">
      <c r="A32" s="198" t="s">
        <v>262</v>
      </c>
      <c r="B32" s="397" t="e">
        <f t="shared" si="0"/>
        <v>#REF!</v>
      </c>
      <c r="C32" s="382" t="e">
        <f t="shared" si="1"/>
        <v>#REF!</v>
      </c>
      <c r="D32" s="68" t="e">
        <f t="shared" si="2"/>
        <v>#REF!</v>
      </c>
      <c r="E32" s="383" t="e">
        <f t="shared" si="3"/>
        <v>#REF!</v>
      </c>
      <c r="F32" s="382" t="e">
        <f t="shared" si="4"/>
        <v>#REF!</v>
      </c>
      <c r="G32" s="68" t="e">
        <f t="shared" si="5"/>
        <v>#REF!</v>
      </c>
      <c r="H32" s="384" t="e">
        <f t="shared" si="6"/>
        <v>#REF!</v>
      </c>
      <c r="I32" s="382" t="e">
        <f t="shared" si="7"/>
        <v>#REF!</v>
      </c>
      <c r="J32" s="68" t="e">
        <f t="shared" si="8"/>
        <v>#REF!</v>
      </c>
      <c r="K32" s="383" t="e">
        <f t="shared" si="9"/>
        <v>#REF!</v>
      </c>
      <c r="L32" s="382" t="e">
        <f t="shared" si="10"/>
        <v>#REF!</v>
      </c>
      <c r="M32" s="68" t="e">
        <f t="shared" si="11"/>
        <v>#REF!</v>
      </c>
      <c r="N32" s="384" t="e">
        <f t="shared" si="12"/>
        <v>#REF!</v>
      </c>
      <c r="O32" s="382" t="e">
        <f t="shared" si="13"/>
        <v>#REF!</v>
      </c>
      <c r="P32" s="68" t="e">
        <f t="shared" si="14"/>
        <v>#REF!</v>
      </c>
      <c r="Q32" s="383" t="e">
        <f t="shared" si="15"/>
        <v>#REF!</v>
      </c>
      <c r="R32" s="382" t="e">
        <f t="shared" si="16"/>
        <v>#REF!</v>
      </c>
      <c r="S32" s="68" t="e">
        <f t="shared" si="17"/>
        <v>#REF!</v>
      </c>
      <c r="T32" s="383" t="e">
        <f t="shared" si="18"/>
        <v>#REF!</v>
      </c>
      <c r="U32" s="382" t="e">
        <f t="shared" si="19"/>
        <v>#REF!</v>
      </c>
      <c r="V32" s="68" t="e">
        <f t="shared" si="20"/>
        <v>#REF!</v>
      </c>
      <c r="W32" s="383" t="e">
        <f t="shared" si="21"/>
        <v>#REF!</v>
      </c>
      <c r="X32" s="382" t="e">
        <f t="shared" si="22"/>
        <v>#REF!</v>
      </c>
      <c r="Y32" s="68" t="e">
        <f t="shared" si="23"/>
        <v>#REF!</v>
      </c>
      <c r="Z32" s="383" t="e">
        <f t="shared" si="24"/>
        <v>#REF!</v>
      </c>
      <c r="AA32" s="382" t="e">
        <f t="shared" si="25"/>
        <v>#REF!</v>
      </c>
      <c r="AB32" s="68" t="e">
        <f t="shared" si="26"/>
        <v>#REF!</v>
      </c>
      <c r="AC32" s="383" t="e">
        <f t="shared" si="27"/>
        <v>#REF!</v>
      </c>
      <c r="AD32" s="382" t="e">
        <f t="shared" si="28"/>
        <v>#REF!</v>
      </c>
      <c r="AE32" s="68" t="e">
        <f t="shared" si="29"/>
        <v>#REF!</v>
      </c>
      <c r="AF32" s="383" t="e">
        <f t="shared" si="30"/>
        <v>#REF!</v>
      </c>
      <c r="AH32" s="350"/>
      <c r="AI32" s="351"/>
      <c r="AJ32" s="351"/>
      <c r="AK32" s="351"/>
      <c r="AL32" s="351"/>
      <c r="AM32" s="351"/>
      <c r="AN32" s="351"/>
      <c r="AO32" s="351"/>
      <c r="AP32" s="351"/>
      <c r="AQ32" s="351"/>
      <c r="AR32" s="351"/>
      <c r="AS32" s="351"/>
      <c r="AT32" s="351"/>
      <c r="AU32" s="351"/>
      <c r="AV32" s="351"/>
      <c r="AW32" s="351"/>
      <c r="AX32" s="351"/>
      <c r="AY32" s="351"/>
      <c r="AZ32" s="351"/>
      <c r="BA32" s="351"/>
      <c r="BB32" s="351"/>
      <c r="BC32" s="351"/>
      <c r="BD32" s="351"/>
      <c r="BE32" s="351"/>
      <c r="BF32" s="351"/>
      <c r="BG32" s="351"/>
      <c r="BH32" s="351"/>
      <c r="BI32" s="351"/>
      <c r="BJ32" s="351"/>
      <c r="BK32" s="352"/>
    </row>
    <row r="33" spans="1:63" s="71" customFormat="1" x14ac:dyDescent="0.25">
      <c r="A33" s="198" t="s">
        <v>842</v>
      </c>
      <c r="B33" s="397" t="e">
        <f t="shared" si="0"/>
        <v>#REF!</v>
      </c>
      <c r="C33" s="382" t="e">
        <f t="shared" si="1"/>
        <v>#REF!</v>
      </c>
      <c r="D33" s="68" t="e">
        <f t="shared" si="2"/>
        <v>#REF!</v>
      </c>
      <c r="E33" s="383" t="e">
        <f t="shared" si="3"/>
        <v>#REF!</v>
      </c>
      <c r="F33" s="382" t="e">
        <f t="shared" si="4"/>
        <v>#REF!</v>
      </c>
      <c r="G33" s="68" t="e">
        <f t="shared" si="5"/>
        <v>#REF!</v>
      </c>
      <c r="H33" s="384" t="e">
        <f t="shared" si="6"/>
        <v>#REF!</v>
      </c>
      <c r="I33" s="382" t="e">
        <f t="shared" si="7"/>
        <v>#REF!</v>
      </c>
      <c r="J33" s="68" t="e">
        <f t="shared" si="8"/>
        <v>#REF!</v>
      </c>
      <c r="K33" s="383" t="e">
        <f t="shared" si="9"/>
        <v>#REF!</v>
      </c>
      <c r="L33" s="382" t="e">
        <f t="shared" si="10"/>
        <v>#REF!</v>
      </c>
      <c r="M33" s="68" t="e">
        <f t="shared" si="11"/>
        <v>#REF!</v>
      </c>
      <c r="N33" s="384" t="e">
        <f t="shared" si="12"/>
        <v>#REF!</v>
      </c>
      <c r="O33" s="382" t="e">
        <f t="shared" si="13"/>
        <v>#REF!</v>
      </c>
      <c r="P33" s="68" t="e">
        <f t="shared" si="14"/>
        <v>#REF!</v>
      </c>
      <c r="Q33" s="383" t="e">
        <f t="shared" si="15"/>
        <v>#REF!</v>
      </c>
      <c r="R33" s="382" t="e">
        <f t="shared" si="16"/>
        <v>#REF!</v>
      </c>
      <c r="S33" s="68" t="e">
        <f t="shared" si="17"/>
        <v>#REF!</v>
      </c>
      <c r="T33" s="383" t="e">
        <f t="shared" si="18"/>
        <v>#REF!</v>
      </c>
      <c r="U33" s="382" t="e">
        <f t="shared" si="19"/>
        <v>#REF!</v>
      </c>
      <c r="V33" s="68" t="e">
        <f t="shared" si="20"/>
        <v>#REF!</v>
      </c>
      <c r="W33" s="383" t="e">
        <f t="shared" si="21"/>
        <v>#REF!</v>
      </c>
      <c r="X33" s="382" t="e">
        <f t="shared" si="22"/>
        <v>#REF!</v>
      </c>
      <c r="Y33" s="68" t="e">
        <f t="shared" si="23"/>
        <v>#REF!</v>
      </c>
      <c r="Z33" s="383" t="e">
        <f t="shared" si="24"/>
        <v>#REF!</v>
      </c>
      <c r="AA33" s="382" t="e">
        <f t="shared" si="25"/>
        <v>#REF!</v>
      </c>
      <c r="AB33" s="68" t="e">
        <f t="shared" si="26"/>
        <v>#REF!</v>
      </c>
      <c r="AC33" s="383" t="e">
        <f t="shared" si="27"/>
        <v>#REF!</v>
      </c>
      <c r="AD33" s="382" t="e">
        <f t="shared" si="28"/>
        <v>#REF!</v>
      </c>
      <c r="AE33" s="68" t="e">
        <f t="shared" si="29"/>
        <v>#REF!</v>
      </c>
      <c r="AF33" s="383" t="e">
        <f t="shared" si="30"/>
        <v>#REF!</v>
      </c>
      <c r="AH33" s="350"/>
      <c r="AI33" s="351"/>
      <c r="AJ33" s="351"/>
      <c r="AK33" s="351"/>
      <c r="AL33" s="351"/>
      <c r="AM33" s="351"/>
      <c r="AN33" s="351"/>
      <c r="AO33" s="351"/>
      <c r="AP33" s="351"/>
      <c r="AQ33" s="351"/>
      <c r="AR33" s="351"/>
      <c r="AS33" s="351"/>
      <c r="AT33" s="351"/>
      <c r="AU33" s="351"/>
      <c r="AV33" s="351"/>
      <c r="AW33" s="351"/>
      <c r="AX33" s="351"/>
      <c r="AY33" s="351"/>
      <c r="AZ33" s="351"/>
      <c r="BA33" s="351"/>
      <c r="BB33" s="351"/>
      <c r="BC33" s="351"/>
      <c r="BD33" s="351"/>
      <c r="BE33" s="351"/>
      <c r="BF33" s="351"/>
      <c r="BG33" s="351"/>
      <c r="BH33" s="351"/>
      <c r="BI33" s="351"/>
      <c r="BJ33" s="351"/>
      <c r="BK33" s="352"/>
    </row>
    <row r="34" spans="1:63" s="71" customFormat="1" x14ac:dyDescent="0.25">
      <c r="A34" s="198" t="s">
        <v>263</v>
      </c>
      <c r="B34" s="397" t="e">
        <f t="shared" si="0"/>
        <v>#REF!</v>
      </c>
      <c r="C34" s="382" t="e">
        <f t="shared" si="1"/>
        <v>#REF!</v>
      </c>
      <c r="D34" s="68" t="e">
        <f t="shared" si="2"/>
        <v>#REF!</v>
      </c>
      <c r="E34" s="383" t="e">
        <f t="shared" si="3"/>
        <v>#REF!</v>
      </c>
      <c r="F34" s="382" t="e">
        <f t="shared" si="4"/>
        <v>#REF!</v>
      </c>
      <c r="G34" s="68" t="e">
        <f t="shared" si="5"/>
        <v>#REF!</v>
      </c>
      <c r="H34" s="384" t="e">
        <f t="shared" si="6"/>
        <v>#REF!</v>
      </c>
      <c r="I34" s="382" t="e">
        <f t="shared" si="7"/>
        <v>#REF!</v>
      </c>
      <c r="J34" s="68" t="e">
        <f t="shared" si="8"/>
        <v>#REF!</v>
      </c>
      <c r="K34" s="383" t="e">
        <f t="shared" si="9"/>
        <v>#REF!</v>
      </c>
      <c r="L34" s="382" t="e">
        <f t="shared" si="10"/>
        <v>#REF!</v>
      </c>
      <c r="M34" s="68" t="e">
        <f t="shared" si="11"/>
        <v>#REF!</v>
      </c>
      <c r="N34" s="384" t="e">
        <f t="shared" si="12"/>
        <v>#REF!</v>
      </c>
      <c r="O34" s="382" t="e">
        <f t="shared" si="13"/>
        <v>#REF!</v>
      </c>
      <c r="P34" s="68" t="e">
        <f t="shared" si="14"/>
        <v>#REF!</v>
      </c>
      <c r="Q34" s="383" t="e">
        <f t="shared" si="15"/>
        <v>#REF!</v>
      </c>
      <c r="R34" s="382" t="e">
        <f t="shared" si="16"/>
        <v>#REF!</v>
      </c>
      <c r="S34" s="68" t="e">
        <f t="shared" si="17"/>
        <v>#REF!</v>
      </c>
      <c r="T34" s="383" t="e">
        <f t="shared" si="18"/>
        <v>#REF!</v>
      </c>
      <c r="U34" s="382" t="e">
        <f t="shared" si="19"/>
        <v>#REF!</v>
      </c>
      <c r="V34" s="68" t="e">
        <f t="shared" si="20"/>
        <v>#REF!</v>
      </c>
      <c r="W34" s="383" t="e">
        <f t="shared" si="21"/>
        <v>#REF!</v>
      </c>
      <c r="X34" s="382" t="e">
        <f t="shared" si="22"/>
        <v>#REF!</v>
      </c>
      <c r="Y34" s="68" t="e">
        <f t="shared" si="23"/>
        <v>#REF!</v>
      </c>
      <c r="Z34" s="383" t="e">
        <f t="shared" si="24"/>
        <v>#REF!</v>
      </c>
      <c r="AA34" s="382" t="e">
        <f t="shared" si="25"/>
        <v>#REF!</v>
      </c>
      <c r="AB34" s="68" t="e">
        <f t="shared" si="26"/>
        <v>#REF!</v>
      </c>
      <c r="AC34" s="383" t="e">
        <f t="shared" si="27"/>
        <v>#REF!</v>
      </c>
      <c r="AD34" s="382" t="e">
        <f t="shared" si="28"/>
        <v>#REF!</v>
      </c>
      <c r="AE34" s="68" t="e">
        <f t="shared" si="29"/>
        <v>#REF!</v>
      </c>
      <c r="AF34" s="383" t="e">
        <f t="shared" si="30"/>
        <v>#REF!</v>
      </c>
      <c r="AH34" s="350"/>
      <c r="AI34" s="351"/>
      <c r="AJ34" s="351"/>
      <c r="AK34" s="351"/>
      <c r="AL34" s="351"/>
      <c r="AM34" s="351"/>
      <c r="AN34" s="351"/>
      <c r="AO34" s="351"/>
      <c r="AP34" s="351"/>
      <c r="AQ34" s="351"/>
      <c r="AR34" s="351"/>
      <c r="AS34" s="351"/>
      <c r="AT34" s="351"/>
      <c r="AU34" s="351"/>
      <c r="AV34" s="351"/>
      <c r="AW34" s="351"/>
      <c r="AX34" s="351"/>
      <c r="AY34" s="351"/>
      <c r="AZ34" s="351"/>
      <c r="BA34" s="351"/>
      <c r="BB34" s="351"/>
      <c r="BC34" s="351"/>
      <c r="BD34" s="351"/>
      <c r="BE34" s="351"/>
      <c r="BF34" s="351"/>
      <c r="BG34" s="351"/>
      <c r="BH34" s="351"/>
      <c r="BI34" s="351"/>
      <c r="BJ34" s="351"/>
      <c r="BK34" s="352"/>
    </row>
    <row r="35" spans="1:63" s="71" customFormat="1" x14ac:dyDescent="0.25">
      <c r="A35" s="198" t="s">
        <v>846</v>
      </c>
      <c r="B35" s="397" t="e">
        <f t="shared" si="0"/>
        <v>#REF!</v>
      </c>
      <c r="C35" s="382" t="e">
        <f t="shared" si="1"/>
        <v>#REF!</v>
      </c>
      <c r="D35" s="68" t="e">
        <f t="shared" si="2"/>
        <v>#REF!</v>
      </c>
      <c r="E35" s="383" t="e">
        <f t="shared" si="3"/>
        <v>#REF!</v>
      </c>
      <c r="F35" s="382" t="e">
        <f t="shared" si="4"/>
        <v>#REF!</v>
      </c>
      <c r="G35" s="68" t="e">
        <f t="shared" si="5"/>
        <v>#REF!</v>
      </c>
      <c r="H35" s="384" t="e">
        <f t="shared" si="6"/>
        <v>#REF!</v>
      </c>
      <c r="I35" s="382" t="e">
        <f t="shared" si="7"/>
        <v>#REF!</v>
      </c>
      <c r="J35" s="68" t="e">
        <f t="shared" si="8"/>
        <v>#REF!</v>
      </c>
      <c r="K35" s="383" t="e">
        <f t="shared" si="9"/>
        <v>#REF!</v>
      </c>
      <c r="L35" s="382" t="e">
        <f t="shared" si="10"/>
        <v>#REF!</v>
      </c>
      <c r="M35" s="68" t="e">
        <f t="shared" si="11"/>
        <v>#REF!</v>
      </c>
      <c r="N35" s="384" t="e">
        <f t="shared" si="12"/>
        <v>#REF!</v>
      </c>
      <c r="O35" s="382" t="e">
        <f t="shared" si="13"/>
        <v>#REF!</v>
      </c>
      <c r="P35" s="68" t="e">
        <f t="shared" si="14"/>
        <v>#REF!</v>
      </c>
      <c r="Q35" s="383" t="e">
        <f t="shared" si="15"/>
        <v>#REF!</v>
      </c>
      <c r="R35" s="382" t="e">
        <f t="shared" si="16"/>
        <v>#REF!</v>
      </c>
      <c r="S35" s="68" t="e">
        <f t="shared" si="17"/>
        <v>#REF!</v>
      </c>
      <c r="T35" s="383" t="e">
        <f t="shared" si="18"/>
        <v>#REF!</v>
      </c>
      <c r="U35" s="382" t="e">
        <f t="shared" si="19"/>
        <v>#REF!</v>
      </c>
      <c r="V35" s="68" t="e">
        <f t="shared" si="20"/>
        <v>#REF!</v>
      </c>
      <c r="W35" s="383" t="e">
        <f t="shared" si="21"/>
        <v>#REF!</v>
      </c>
      <c r="X35" s="382" t="e">
        <f t="shared" si="22"/>
        <v>#REF!</v>
      </c>
      <c r="Y35" s="68" t="e">
        <f t="shared" si="23"/>
        <v>#REF!</v>
      </c>
      <c r="Z35" s="383" t="e">
        <f t="shared" si="24"/>
        <v>#REF!</v>
      </c>
      <c r="AA35" s="382" t="e">
        <f t="shared" si="25"/>
        <v>#REF!</v>
      </c>
      <c r="AB35" s="68" t="e">
        <f t="shared" si="26"/>
        <v>#REF!</v>
      </c>
      <c r="AC35" s="383" t="e">
        <f t="shared" si="27"/>
        <v>#REF!</v>
      </c>
      <c r="AD35" s="382" t="e">
        <f t="shared" si="28"/>
        <v>#REF!</v>
      </c>
      <c r="AE35" s="68" t="e">
        <f t="shared" si="29"/>
        <v>#REF!</v>
      </c>
      <c r="AF35" s="383" t="e">
        <f t="shared" si="30"/>
        <v>#REF!</v>
      </c>
      <c r="AH35" s="350"/>
      <c r="AI35" s="351"/>
      <c r="AJ35" s="351"/>
      <c r="AK35" s="351"/>
      <c r="AL35" s="351"/>
      <c r="AM35" s="351"/>
      <c r="AN35" s="351"/>
      <c r="AO35" s="351"/>
      <c r="AP35" s="351"/>
      <c r="AQ35" s="351"/>
      <c r="AR35" s="351"/>
      <c r="AS35" s="351"/>
      <c r="AT35" s="351"/>
      <c r="AU35" s="351"/>
      <c r="AV35" s="351"/>
      <c r="AW35" s="351"/>
      <c r="AX35" s="351"/>
      <c r="AY35" s="351"/>
      <c r="AZ35" s="351"/>
      <c r="BA35" s="351"/>
      <c r="BB35" s="351"/>
      <c r="BC35" s="351"/>
      <c r="BD35" s="351"/>
      <c r="BE35" s="351"/>
      <c r="BF35" s="351"/>
      <c r="BG35" s="351"/>
      <c r="BH35" s="351"/>
      <c r="BI35" s="351"/>
      <c r="BJ35" s="351"/>
      <c r="BK35" s="352"/>
    </row>
    <row r="36" spans="1:63" s="71" customFormat="1" x14ac:dyDescent="0.25">
      <c r="A36" s="198" t="s">
        <v>268</v>
      </c>
      <c r="B36" s="397" t="e">
        <f t="shared" ref="B36:B67" si="31">IF(LEFT($A36,3)&lt;&gt;"---",COUNTIF(_RACK01_,"*"&amp;LEFT($A36,IFERROR((FIND("~",$A36))-1,LEN($A36))))+COUNTIF(_RACK02_,"*"&amp;LEFT($A36,IFERROR((FIND("~",$A36))-1,LEN($A36))))+COUNTIF(_RACK03_,"*"&amp;LEFT($A36,IFERROR((FIND("~",$A36))-1,LEN($A36))))+COUNTIF(_RACK04_,"*"&amp;LEFT($A36,IFERROR((FIND("~",$A36))-1,LEN($A36))))+COUNTIF(_RACK05_,"*"&amp;LEFT($A36,IFERROR((FIND("~",$A36))-1,LEN($A36))))+COUNTIF(_RACK06_,"*"&amp;LEFT($A36,IFERROR((FIND("~",$A36))-1,LEN($A36))))+COUNTIF(_RACK07_,"*"&amp;LEFT($A36,IFERROR((FIND("~",$A36))-1,LEN($A36))))+COUNTIF(_RACK08_,"*"&amp;LEFT($A36,IFERROR((FIND("~",$A36))-1,LEN($A36))))+COUNTIF(_RACK09_,"*"&amp;LEFT($A36,IFERROR((FIND("~",$A36))-1,LEN($A36))))+COUNTIF(_RACK10_,"*"&amp;LEFT($A36,IFERROR((FIND("~",$A36))-1,LEN($A36)))),"")</f>
        <v>#REF!</v>
      </c>
      <c r="C36" s="382" t="e">
        <f t="shared" ref="C36:C67" si="32">IF(AND($B36&gt;0,AH36&gt;0),$B36*AH36,"")</f>
        <v>#REF!</v>
      </c>
      <c r="D36" s="68" t="e">
        <f t="shared" ref="D36:D67" si="33">IF(AND($B36&gt;0,AI36&gt;0),$B36*AI36,"")</f>
        <v>#REF!</v>
      </c>
      <c r="E36" s="383" t="e">
        <f t="shared" ref="E36:E67" si="34">IF(AND($B36&gt;0,AJ36&gt;0),$B36*AJ36,"")</f>
        <v>#REF!</v>
      </c>
      <c r="F36" s="382" t="e">
        <f t="shared" ref="F36:F67" si="35">IF(AND($B36&gt;0,AK36&gt;0),$B36*AK36,"")</f>
        <v>#REF!</v>
      </c>
      <c r="G36" s="68" t="e">
        <f t="shared" ref="G36:G67" si="36">IF(AND($B36&gt;0,AL36&gt;0),$B36*AL36,"")</f>
        <v>#REF!</v>
      </c>
      <c r="H36" s="384" t="e">
        <f t="shared" ref="H36:H67" si="37">IF(AND($B36&gt;0,AM36&gt;0),$B36*AM36,"")</f>
        <v>#REF!</v>
      </c>
      <c r="I36" s="382" t="e">
        <f t="shared" ref="I36:I67" si="38">IF(AND($B36&gt;0,AN36&gt;0),$B36*AN36,"")</f>
        <v>#REF!</v>
      </c>
      <c r="J36" s="68" t="e">
        <f t="shared" ref="J36:J67" si="39">IF(AND($B36&gt;0,AO36&gt;0),$B36*AO36,"")</f>
        <v>#REF!</v>
      </c>
      <c r="K36" s="383" t="e">
        <f t="shared" ref="K36:K67" si="40">IF(AND($B36&gt;0,AP36&gt;0),$B36*AP36,"")</f>
        <v>#REF!</v>
      </c>
      <c r="L36" s="382" t="e">
        <f t="shared" ref="L36:L67" si="41">IF(AND($B36&gt;0,AQ36&gt;0),$B36*AQ36,"")</f>
        <v>#REF!</v>
      </c>
      <c r="M36" s="68" t="e">
        <f t="shared" ref="M36:M67" si="42">IF(AND($B36&gt;0,AR36&gt;0),$B36*AR36,"")</f>
        <v>#REF!</v>
      </c>
      <c r="N36" s="384" t="e">
        <f t="shared" ref="N36:N67" si="43">IF(AND($B36&gt;0,AS36&gt;0),$B36*AS36,"")</f>
        <v>#REF!</v>
      </c>
      <c r="O36" s="382" t="e">
        <f t="shared" ref="O36:O67" si="44">IF(AND($B36&gt;0,AT36&gt;0),$B36*AT36,"")</f>
        <v>#REF!</v>
      </c>
      <c r="P36" s="68" t="e">
        <f t="shared" ref="P36:P67" si="45">IF(AND($B36&gt;0,AU36&gt;0),$B36*AU36,"")</f>
        <v>#REF!</v>
      </c>
      <c r="Q36" s="383" t="e">
        <f t="shared" ref="Q36:Q67" si="46">IF(AND($B36&gt;0,AV36&gt;0),$B36*AV36,"")</f>
        <v>#REF!</v>
      </c>
      <c r="R36" s="382" t="e">
        <f t="shared" ref="R36:R67" si="47">IF(AND($B36&gt;0,AW36&gt;0),$B36*AW36,"")</f>
        <v>#REF!</v>
      </c>
      <c r="S36" s="68" t="e">
        <f t="shared" ref="S36:S67" si="48">IF(AND($B36&gt;0,AX36&gt;0),$B36*AX36,"")</f>
        <v>#REF!</v>
      </c>
      <c r="T36" s="383" t="e">
        <f t="shared" ref="T36:T67" si="49">IF(AND($B36&gt;0,AY36&gt;0),$B36*AY36,"")</f>
        <v>#REF!</v>
      </c>
      <c r="U36" s="382" t="e">
        <f t="shared" ref="U36:U67" si="50">IF(AND($B36&gt;0,AZ36&gt;0),$B36*AZ36,"")</f>
        <v>#REF!</v>
      </c>
      <c r="V36" s="68" t="e">
        <f t="shared" ref="V36:V67" si="51">IF(AND($B36&gt;0,BA36&gt;0),$B36*BA36,"")</f>
        <v>#REF!</v>
      </c>
      <c r="W36" s="383" t="e">
        <f t="shared" ref="W36:W67" si="52">IF(AND($B36&gt;0,BB36&gt;0),$B36*BB36,"")</f>
        <v>#REF!</v>
      </c>
      <c r="X36" s="382" t="e">
        <f t="shared" ref="X36:X67" si="53">IF(AND($B36&gt;0,BC36&gt;0),$B36*BC36,"")</f>
        <v>#REF!</v>
      </c>
      <c r="Y36" s="68" t="e">
        <f t="shared" ref="Y36:Y67" si="54">IF(AND($B36&gt;0,BD36&gt;0),$B36*BD36,"")</f>
        <v>#REF!</v>
      </c>
      <c r="Z36" s="383" t="e">
        <f t="shared" ref="Z36:Z67" si="55">IF(AND($B36&gt;0,BE36&gt;0),$B36*BE36,"")</f>
        <v>#REF!</v>
      </c>
      <c r="AA36" s="382" t="e">
        <f t="shared" ref="AA36:AA67" si="56">IF(AND($B36&gt;0,BF36&gt;0),$B36*BF36,"")</f>
        <v>#REF!</v>
      </c>
      <c r="AB36" s="68" t="e">
        <f t="shared" ref="AB36:AB67" si="57">IF(AND($B36&gt;0,BG36&gt;0),$B36*BG36,"")</f>
        <v>#REF!</v>
      </c>
      <c r="AC36" s="383" t="e">
        <f t="shared" ref="AC36:AC67" si="58">IF(AND($B36&gt;0,BH36&gt;0),$B36*BH36,"")</f>
        <v>#REF!</v>
      </c>
      <c r="AD36" s="382" t="e">
        <f t="shared" ref="AD36:AD67" si="59">IF(AND($B36&gt;0,BI36&gt;0),$B36*BI36,"")</f>
        <v>#REF!</v>
      </c>
      <c r="AE36" s="68" t="e">
        <f t="shared" ref="AE36:AE67" si="60">IF(AND($B36&gt;0,BJ36&gt;0),$B36*BJ36,"")</f>
        <v>#REF!</v>
      </c>
      <c r="AF36" s="383" t="e">
        <f t="shared" ref="AF36:AF67" si="61">IF(AND($B36&gt;0,BK36&gt;0),$B36*BK36,"")</f>
        <v>#REF!</v>
      </c>
      <c r="AH36" s="350"/>
      <c r="AI36" s="351"/>
      <c r="AJ36" s="351"/>
      <c r="AK36" s="351"/>
      <c r="AL36" s="351"/>
      <c r="AM36" s="351"/>
      <c r="AN36" s="351"/>
      <c r="AO36" s="351"/>
      <c r="AP36" s="351"/>
      <c r="AQ36" s="351"/>
      <c r="AR36" s="351"/>
      <c r="AS36" s="351"/>
      <c r="AT36" s="351"/>
      <c r="AU36" s="351"/>
      <c r="AV36" s="351"/>
      <c r="AW36" s="351"/>
      <c r="AX36" s="351"/>
      <c r="AY36" s="351"/>
      <c r="AZ36" s="351"/>
      <c r="BA36" s="351"/>
      <c r="BB36" s="351"/>
      <c r="BC36" s="351"/>
      <c r="BD36" s="351"/>
      <c r="BE36" s="351"/>
      <c r="BF36" s="351"/>
      <c r="BG36" s="351"/>
      <c r="BH36" s="351"/>
      <c r="BI36" s="351"/>
      <c r="BJ36" s="351"/>
      <c r="BK36" s="352"/>
    </row>
    <row r="37" spans="1:63" s="71" customFormat="1" x14ac:dyDescent="0.25">
      <c r="A37" s="198" t="s">
        <v>267</v>
      </c>
      <c r="B37" s="397" t="e">
        <f t="shared" si="31"/>
        <v>#REF!</v>
      </c>
      <c r="C37" s="382" t="e">
        <f t="shared" si="32"/>
        <v>#REF!</v>
      </c>
      <c r="D37" s="68" t="e">
        <f t="shared" si="33"/>
        <v>#REF!</v>
      </c>
      <c r="E37" s="383" t="e">
        <f t="shared" si="34"/>
        <v>#REF!</v>
      </c>
      <c r="F37" s="382" t="e">
        <f t="shared" si="35"/>
        <v>#REF!</v>
      </c>
      <c r="G37" s="68" t="e">
        <f t="shared" si="36"/>
        <v>#REF!</v>
      </c>
      <c r="H37" s="384" t="e">
        <f t="shared" si="37"/>
        <v>#REF!</v>
      </c>
      <c r="I37" s="382" t="e">
        <f t="shared" si="38"/>
        <v>#REF!</v>
      </c>
      <c r="J37" s="68" t="e">
        <f t="shared" si="39"/>
        <v>#REF!</v>
      </c>
      <c r="K37" s="383" t="e">
        <f t="shared" si="40"/>
        <v>#REF!</v>
      </c>
      <c r="L37" s="382" t="e">
        <f t="shared" si="41"/>
        <v>#REF!</v>
      </c>
      <c r="M37" s="68" t="e">
        <f t="shared" si="42"/>
        <v>#REF!</v>
      </c>
      <c r="N37" s="384" t="e">
        <f t="shared" si="43"/>
        <v>#REF!</v>
      </c>
      <c r="O37" s="382" t="e">
        <f t="shared" si="44"/>
        <v>#REF!</v>
      </c>
      <c r="P37" s="68" t="e">
        <f t="shared" si="45"/>
        <v>#REF!</v>
      </c>
      <c r="Q37" s="383" t="e">
        <f t="shared" si="46"/>
        <v>#REF!</v>
      </c>
      <c r="R37" s="382" t="e">
        <f t="shared" si="47"/>
        <v>#REF!</v>
      </c>
      <c r="S37" s="68" t="e">
        <f t="shared" si="48"/>
        <v>#REF!</v>
      </c>
      <c r="T37" s="383" t="e">
        <f t="shared" si="49"/>
        <v>#REF!</v>
      </c>
      <c r="U37" s="382" t="e">
        <f t="shared" si="50"/>
        <v>#REF!</v>
      </c>
      <c r="V37" s="68" t="e">
        <f t="shared" si="51"/>
        <v>#REF!</v>
      </c>
      <c r="W37" s="383" t="e">
        <f t="shared" si="52"/>
        <v>#REF!</v>
      </c>
      <c r="X37" s="382" t="e">
        <f t="shared" si="53"/>
        <v>#REF!</v>
      </c>
      <c r="Y37" s="68" t="e">
        <f t="shared" si="54"/>
        <v>#REF!</v>
      </c>
      <c r="Z37" s="383" t="e">
        <f t="shared" si="55"/>
        <v>#REF!</v>
      </c>
      <c r="AA37" s="382" t="e">
        <f t="shared" si="56"/>
        <v>#REF!</v>
      </c>
      <c r="AB37" s="68" t="e">
        <f t="shared" si="57"/>
        <v>#REF!</v>
      </c>
      <c r="AC37" s="383" t="e">
        <f t="shared" si="58"/>
        <v>#REF!</v>
      </c>
      <c r="AD37" s="382" t="e">
        <f t="shared" si="59"/>
        <v>#REF!</v>
      </c>
      <c r="AE37" s="68" t="e">
        <f t="shared" si="60"/>
        <v>#REF!</v>
      </c>
      <c r="AF37" s="383" t="e">
        <f t="shared" si="61"/>
        <v>#REF!</v>
      </c>
      <c r="AH37" s="350"/>
      <c r="AI37" s="351"/>
      <c r="AJ37" s="351"/>
      <c r="AK37" s="351"/>
      <c r="AL37" s="351"/>
      <c r="AM37" s="351"/>
      <c r="AN37" s="351"/>
      <c r="AO37" s="351"/>
      <c r="AP37" s="351"/>
      <c r="AQ37" s="351"/>
      <c r="AR37" s="351"/>
      <c r="AS37" s="351"/>
      <c r="AT37" s="351"/>
      <c r="AU37" s="351"/>
      <c r="AV37" s="351"/>
      <c r="AW37" s="351"/>
      <c r="AX37" s="351"/>
      <c r="AY37" s="351"/>
      <c r="AZ37" s="351"/>
      <c r="BA37" s="351"/>
      <c r="BB37" s="351"/>
      <c r="BC37" s="351"/>
      <c r="BD37" s="351"/>
      <c r="BE37" s="351"/>
      <c r="BF37" s="351"/>
      <c r="BG37" s="351"/>
      <c r="BH37" s="351"/>
      <c r="BI37" s="351"/>
      <c r="BJ37" s="351"/>
      <c r="BK37" s="352"/>
    </row>
    <row r="38" spans="1:63" s="71" customFormat="1" x14ac:dyDescent="0.25">
      <c r="A38" s="200" t="s">
        <v>25</v>
      </c>
      <c r="B38" s="53" t="str">
        <f t="shared" si="31"/>
        <v/>
      </c>
      <c r="C38" s="389" t="str">
        <f t="shared" si="32"/>
        <v/>
      </c>
      <c r="D38" s="390" t="str">
        <f t="shared" si="33"/>
        <v/>
      </c>
      <c r="E38" s="391" t="str">
        <f t="shared" si="34"/>
        <v/>
      </c>
      <c r="F38" s="389" t="str">
        <f t="shared" si="35"/>
        <v/>
      </c>
      <c r="G38" s="390" t="str">
        <f t="shared" si="36"/>
        <v/>
      </c>
      <c r="H38" s="392" t="str">
        <f t="shared" si="37"/>
        <v/>
      </c>
      <c r="I38" s="389" t="str">
        <f t="shared" si="38"/>
        <v/>
      </c>
      <c r="J38" s="390" t="str">
        <f t="shared" si="39"/>
        <v/>
      </c>
      <c r="K38" s="391" t="str">
        <f t="shared" si="40"/>
        <v/>
      </c>
      <c r="L38" s="389" t="str">
        <f t="shared" si="41"/>
        <v/>
      </c>
      <c r="M38" s="390" t="str">
        <f t="shared" si="42"/>
        <v/>
      </c>
      <c r="N38" s="392" t="str">
        <f t="shared" si="43"/>
        <v/>
      </c>
      <c r="O38" s="389" t="str">
        <f t="shared" si="44"/>
        <v/>
      </c>
      <c r="P38" s="390" t="str">
        <f t="shared" si="45"/>
        <v/>
      </c>
      <c r="Q38" s="391" t="str">
        <f t="shared" si="46"/>
        <v/>
      </c>
      <c r="R38" s="389" t="str">
        <f t="shared" si="47"/>
        <v/>
      </c>
      <c r="S38" s="390" t="str">
        <f t="shared" si="48"/>
        <v/>
      </c>
      <c r="T38" s="391" t="str">
        <f t="shared" si="49"/>
        <v/>
      </c>
      <c r="U38" s="389" t="str">
        <f t="shared" si="50"/>
        <v/>
      </c>
      <c r="V38" s="390" t="str">
        <f t="shared" si="51"/>
        <v/>
      </c>
      <c r="W38" s="391" t="str">
        <f t="shared" si="52"/>
        <v/>
      </c>
      <c r="X38" s="389" t="str">
        <f t="shared" si="53"/>
        <v/>
      </c>
      <c r="Y38" s="390" t="str">
        <f t="shared" si="54"/>
        <v/>
      </c>
      <c r="Z38" s="391" t="str">
        <f t="shared" si="55"/>
        <v/>
      </c>
      <c r="AA38" s="389" t="str">
        <f t="shared" si="56"/>
        <v/>
      </c>
      <c r="AB38" s="390" t="str">
        <f t="shared" si="57"/>
        <v/>
      </c>
      <c r="AC38" s="391" t="str">
        <f t="shared" si="58"/>
        <v/>
      </c>
      <c r="AD38" s="389" t="str">
        <f t="shared" si="59"/>
        <v/>
      </c>
      <c r="AE38" s="390" t="str">
        <f t="shared" si="60"/>
        <v/>
      </c>
      <c r="AF38" s="391" t="str">
        <f t="shared" si="61"/>
        <v/>
      </c>
      <c r="AH38" s="356"/>
      <c r="AI38" s="357"/>
      <c r="AJ38" s="357"/>
      <c r="AK38" s="357"/>
      <c r="AL38" s="357"/>
      <c r="AM38" s="357"/>
      <c r="AN38" s="357"/>
      <c r="AO38" s="357"/>
      <c r="AP38" s="357"/>
      <c r="AQ38" s="357"/>
      <c r="AR38" s="357"/>
      <c r="AS38" s="357"/>
      <c r="AT38" s="357"/>
      <c r="AU38" s="357"/>
      <c r="AV38" s="357"/>
      <c r="AW38" s="357"/>
      <c r="AX38" s="357"/>
      <c r="AY38" s="357"/>
      <c r="AZ38" s="357"/>
      <c r="BA38" s="357"/>
      <c r="BB38" s="357"/>
      <c r="BC38" s="357"/>
      <c r="BD38" s="357"/>
      <c r="BE38" s="357"/>
      <c r="BF38" s="357"/>
      <c r="BG38" s="357"/>
      <c r="BH38" s="357"/>
      <c r="BI38" s="357"/>
      <c r="BJ38" s="357"/>
      <c r="BK38" s="358"/>
    </row>
    <row r="39" spans="1:63" s="71" customFormat="1" x14ac:dyDescent="0.25">
      <c r="A39" s="198" t="s">
        <v>318</v>
      </c>
      <c r="B39" s="397" t="e">
        <f t="shared" si="31"/>
        <v>#REF!</v>
      </c>
      <c r="C39" s="382" t="e">
        <f t="shared" si="32"/>
        <v>#REF!</v>
      </c>
      <c r="D39" s="68" t="e">
        <f t="shared" si="33"/>
        <v>#REF!</v>
      </c>
      <c r="E39" s="383" t="e">
        <f t="shared" si="34"/>
        <v>#REF!</v>
      </c>
      <c r="F39" s="382" t="e">
        <f t="shared" si="35"/>
        <v>#REF!</v>
      </c>
      <c r="G39" s="68" t="e">
        <f t="shared" si="36"/>
        <v>#REF!</v>
      </c>
      <c r="H39" s="384" t="e">
        <f t="shared" si="37"/>
        <v>#REF!</v>
      </c>
      <c r="I39" s="382" t="e">
        <f t="shared" si="38"/>
        <v>#REF!</v>
      </c>
      <c r="J39" s="68" t="e">
        <f t="shared" si="39"/>
        <v>#REF!</v>
      </c>
      <c r="K39" s="383" t="e">
        <f t="shared" si="40"/>
        <v>#REF!</v>
      </c>
      <c r="L39" s="382" t="e">
        <f t="shared" si="41"/>
        <v>#REF!</v>
      </c>
      <c r="M39" s="68" t="e">
        <f t="shared" si="42"/>
        <v>#REF!</v>
      </c>
      <c r="N39" s="384" t="e">
        <f t="shared" si="43"/>
        <v>#REF!</v>
      </c>
      <c r="O39" s="382" t="e">
        <f t="shared" si="44"/>
        <v>#REF!</v>
      </c>
      <c r="P39" s="68" t="e">
        <f t="shared" si="45"/>
        <v>#REF!</v>
      </c>
      <c r="Q39" s="383" t="e">
        <f t="shared" si="46"/>
        <v>#REF!</v>
      </c>
      <c r="R39" s="382" t="e">
        <f t="shared" si="47"/>
        <v>#REF!</v>
      </c>
      <c r="S39" s="68" t="e">
        <f t="shared" si="48"/>
        <v>#REF!</v>
      </c>
      <c r="T39" s="383" t="e">
        <f t="shared" si="49"/>
        <v>#REF!</v>
      </c>
      <c r="U39" s="382" t="e">
        <f t="shared" si="50"/>
        <v>#REF!</v>
      </c>
      <c r="V39" s="68" t="e">
        <f t="shared" si="51"/>
        <v>#REF!</v>
      </c>
      <c r="W39" s="383" t="e">
        <f t="shared" si="52"/>
        <v>#REF!</v>
      </c>
      <c r="X39" s="382" t="e">
        <f t="shared" si="53"/>
        <v>#REF!</v>
      </c>
      <c r="Y39" s="68" t="e">
        <f t="shared" si="54"/>
        <v>#REF!</v>
      </c>
      <c r="Z39" s="383" t="e">
        <f t="shared" si="55"/>
        <v>#REF!</v>
      </c>
      <c r="AA39" s="382" t="e">
        <f t="shared" si="56"/>
        <v>#REF!</v>
      </c>
      <c r="AB39" s="68" t="e">
        <f t="shared" si="57"/>
        <v>#REF!</v>
      </c>
      <c r="AC39" s="383" t="e">
        <f t="shared" si="58"/>
        <v>#REF!</v>
      </c>
      <c r="AD39" s="382" t="e">
        <f t="shared" si="59"/>
        <v>#REF!</v>
      </c>
      <c r="AE39" s="68" t="e">
        <f t="shared" si="60"/>
        <v>#REF!</v>
      </c>
      <c r="AF39" s="383" t="e">
        <f t="shared" si="61"/>
        <v>#REF!</v>
      </c>
      <c r="AH39" s="350"/>
      <c r="AI39" s="351">
        <v>1</v>
      </c>
      <c r="AJ39" s="351"/>
      <c r="AK39" s="351"/>
      <c r="AL39" s="351">
        <v>1</v>
      </c>
      <c r="AM39" s="351"/>
      <c r="AN39" s="351"/>
      <c r="AO39" s="351"/>
      <c r="AP39" s="351"/>
      <c r="AQ39" s="351"/>
      <c r="AR39" s="351"/>
      <c r="AS39" s="351"/>
      <c r="AT39" s="351"/>
      <c r="AU39" s="351"/>
      <c r="AV39" s="351"/>
      <c r="AW39" s="351"/>
      <c r="AX39" s="351"/>
      <c r="AY39" s="351"/>
      <c r="AZ39" s="351"/>
      <c r="BA39" s="351"/>
      <c r="BB39" s="351"/>
      <c r="BC39" s="351"/>
      <c r="BD39" s="351"/>
      <c r="BE39" s="351"/>
      <c r="BF39" s="351"/>
      <c r="BG39" s="351"/>
      <c r="BH39" s="351"/>
      <c r="BI39" s="351"/>
      <c r="BJ39" s="351"/>
      <c r="BK39" s="352"/>
    </row>
    <row r="40" spans="1:63" s="71" customFormat="1" x14ac:dyDescent="0.25">
      <c r="A40" s="198" t="s">
        <v>317</v>
      </c>
      <c r="B40" s="397" t="e">
        <f t="shared" si="31"/>
        <v>#REF!</v>
      </c>
      <c r="C40" s="382" t="e">
        <f t="shared" si="32"/>
        <v>#REF!</v>
      </c>
      <c r="D40" s="68" t="e">
        <f t="shared" si="33"/>
        <v>#REF!</v>
      </c>
      <c r="E40" s="383" t="e">
        <f t="shared" si="34"/>
        <v>#REF!</v>
      </c>
      <c r="F40" s="382" t="e">
        <f t="shared" si="35"/>
        <v>#REF!</v>
      </c>
      <c r="G40" s="68" t="e">
        <f t="shared" si="36"/>
        <v>#REF!</v>
      </c>
      <c r="H40" s="384" t="e">
        <f t="shared" si="37"/>
        <v>#REF!</v>
      </c>
      <c r="I40" s="382" t="e">
        <f t="shared" si="38"/>
        <v>#REF!</v>
      </c>
      <c r="J40" s="68" t="e">
        <f t="shared" si="39"/>
        <v>#REF!</v>
      </c>
      <c r="K40" s="383" t="e">
        <f t="shared" si="40"/>
        <v>#REF!</v>
      </c>
      <c r="L40" s="382" t="e">
        <f t="shared" si="41"/>
        <v>#REF!</v>
      </c>
      <c r="M40" s="68" t="e">
        <f t="shared" si="42"/>
        <v>#REF!</v>
      </c>
      <c r="N40" s="384" t="e">
        <f t="shared" si="43"/>
        <v>#REF!</v>
      </c>
      <c r="O40" s="382" t="e">
        <f t="shared" si="44"/>
        <v>#REF!</v>
      </c>
      <c r="P40" s="68" t="e">
        <f t="shared" si="45"/>
        <v>#REF!</v>
      </c>
      <c r="Q40" s="383" t="e">
        <f t="shared" si="46"/>
        <v>#REF!</v>
      </c>
      <c r="R40" s="382" t="e">
        <f t="shared" si="47"/>
        <v>#REF!</v>
      </c>
      <c r="S40" s="68" t="e">
        <f t="shared" si="48"/>
        <v>#REF!</v>
      </c>
      <c r="T40" s="383" t="e">
        <f t="shared" si="49"/>
        <v>#REF!</v>
      </c>
      <c r="U40" s="382" t="e">
        <f t="shared" si="50"/>
        <v>#REF!</v>
      </c>
      <c r="V40" s="68" t="e">
        <f t="shared" si="51"/>
        <v>#REF!</v>
      </c>
      <c r="W40" s="383" t="e">
        <f t="shared" si="52"/>
        <v>#REF!</v>
      </c>
      <c r="X40" s="382" t="e">
        <f t="shared" si="53"/>
        <v>#REF!</v>
      </c>
      <c r="Y40" s="68" t="e">
        <f t="shared" si="54"/>
        <v>#REF!</v>
      </c>
      <c r="Z40" s="383" t="e">
        <f t="shared" si="55"/>
        <v>#REF!</v>
      </c>
      <c r="AA40" s="382" t="e">
        <f t="shared" si="56"/>
        <v>#REF!</v>
      </c>
      <c r="AB40" s="68" t="e">
        <f t="shared" si="57"/>
        <v>#REF!</v>
      </c>
      <c r="AC40" s="383" t="e">
        <f t="shared" si="58"/>
        <v>#REF!</v>
      </c>
      <c r="AD40" s="382" t="e">
        <f t="shared" si="59"/>
        <v>#REF!</v>
      </c>
      <c r="AE40" s="68" t="e">
        <f t="shared" si="60"/>
        <v>#REF!</v>
      </c>
      <c r="AF40" s="383" t="e">
        <f t="shared" si="61"/>
        <v>#REF!</v>
      </c>
      <c r="AH40" s="350"/>
      <c r="AI40" s="351">
        <v>1</v>
      </c>
      <c r="AJ40" s="351"/>
      <c r="AK40" s="351"/>
      <c r="AL40" s="351">
        <v>1</v>
      </c>
      <c r="AM40" s="351"/>
      <c r="AN40" s="351"/>
      <c r="AO40" s="351"/>
      <c r="AP40" s="351"/>
      <c r="AQ40" s="351"/>
      <c r="AR40" s="351"/>
      <c r="AS40" s="351"/>
      <c r="AT40" s="351"/>
      <c r="AU40" s="351"/>
      <c r="AV40" s="351"/>
      <c r="AW40" s="351"/>
      <c r="AX40" s="351"/>
      <c r="AY40" s="351"/>
      <c r="AZ40" s="351"/>
      <c r="BA40" s="351"/>
      <c r="BB40" s="351"/>
      <c r="BC40" s="351"/>
      <c r="BD40" s="351"/>
      <c r="BE40" s="351"/>
      <c r="BF40" s="351"/>
      <c r="BG40" s="351"/>
      <c r="BH40" s="351"/>
      <c r="BI40" s="351"/>
      <c r="BJ40" s="351"/>
      <c r="BK40" s="352"/>
    </row>
    <row r="41" spans="1:63" s="71" customFormat="1" x14ac:dyDescent="0.25">
      <c r="A41" s="198" t="s">
        <v>288</v>
      </c>
      <c r="B41" s="397" t="e">
        <f t="shared" si="31"/>
        <v>#REF!</v>
      </c>
      <c r="C41" s="382" t="e">
        <f t="shared" si="32"/>
        <v>#REF!</v>
      </c>
      <c r="D41" s="68" t="e">
        <f t="shared" si="33"/>
        <v>#REF!</v>
      </c>
      <c r="E41" s="383" t="e">
        <f t="shared" si="34"/>
        <v>#REF!</v>
      </c>
      <c r="F41" s="382" t="e">
        <f t="shared" si="35"/>
        <v>#REF!</v>
      </c>
      <c r="G41" s="68" t="e">
        <f t="shared" si="36"/>
        <v>#REF!</v>
      </c>
      <c r="H41" s="384" t="e">
        <f t="shared" si="37"/>
        <v>#REF!</v>
      </c>
      <c r="I41" s="382" t="e">
        <f t="shared" si="38"/>
        <v>#REF!</v>
      </c>
      <c r="J41" s="68" t="e">
        <f t="shared" si="39"/>
        <v>#REF!</v>
      </c>
      <c r="K41" s="383" t="e">
        <f t="shared" si="40"/>
        <v>#REF!</v>
      </c>
      <c r="L41" s="382" t="e">
        <f t="shared" si="41"/>
        <v>#REF!</v>
      </c>
      <c r="M41" s="68" t="e">
        <f t="shared" si="42"/>
        <v>#REF!</v>
      </c>
      <c r="N41" s="384" t="e">
        <f t="shared" si="43"/>
        <v>#REF!</v>
      </c>
      <c r="O41" s="382" t="e">
        <f t="shared" si="44"/>
        <v>#REF!</v>
      </c>
      <c r="P41" s="68" t="e">
        <f t="shared" si="45"/>
        <v>#REF!</v>
      </c>
      <c r="Q41" s="383" t="e">
        <f t="shared" si="46"/>
        <v>#REF!</v>
      </c>
      <c r="R41" s="382" t="e">
        <f t="shared" si="47"/>
        <v>#REF!</v>
      </c>
      <c r="S41" s="68" t="e">
        <f t="shared" si="48"/>
        <v>#REF!</v>
      </c>
      <c r="T41" s="383" t="e">
        <f t="shared" si="49"/>
        <v>#REF!</v>
      </c>
      <c r="U41" s="382" t="e">
        <f t="shared" si="50"/>
        <v>#REF!</v>
      </c>
      <c r="V41" s="68" t="e">
        <f t="shared" si="51"/>
        <v>#REF!</v>
      </c>
      <c r="W41" s="383" t="e">
        <f t="shared" si="52"/>
        <v>#REF!</v>
      </c>
      <c r="X41" s="382" t="e">
        <f t="shared" si="53"/>
        <v>#REF!</v>
      </c>
      <c r="Y41" s="68" t="e">
        <f t="shared" si="54"/>
        <v>#REF!</v>
      </c>
      <c r="Z41" s="383" t="e">
        <f t="shared" si="55"/>
        <v>#REF!</v>
      </c>
      <c r="AA41" s="382" t="e">
        <f t="shared" si="56"/>
        <v>#REF!</v>
      </c>
      <c r="AB41" s="68" t="e">
        <f t="shared" si="57"/>
        <v>#REF!</v>
      </c>
      <c r="AC41" s="383" t="e">
        <f t="shared" si="58"/>
        <v>#REF!</v>
      </c>
      <c r="AD41" s="382" t="e">
        <f t="shared" si="59"/>
        <v>#REF!</v>
      </c>
      <c r="AE41" s="68" t="e">
        <f t="shared" si="60"/>
        <v>#REF!</v>
      </c>
      <c r="AF41" s="383" t="e">
        <f t="shared" si="61"/>
        <v>#REF!</v>
      </c>
      <c r="AH41" s="350"/>
      <c r="AI41" s="351">
        <v>1</v>
      </c>
      <c r="AJ41" s="351"/>
      <c r="AK41" s="351"/>
      <c r="AL41" s="351">
        <v>1</v>
      </c>
      <c r="AM41" s="351"/>
      <c r="AN41" s="351"/>
      <c r="AO41" s="351"/>
      <c r="AP41" s="351"/>
      <c r="AQ41" s="351"/>
      <c r="AR41" s="351"/>
      <c r="AS41" s="351"/>
      <c r="AT41" s="351"/>
      <c r="AU41" s="351"/>
      <c r="AV41" s="351"/>
      <c r="AW41" s="351"/>
      <c r="AX41" s="351"/>
      <c r="AY41" s="351"/>
      <c r="AZ41" s="351"/>
      <c r="BA41" s="351"/>
      <c r="BB41" s="351"/>
      <c r="BC41" s="351"/>
      <c r="BD41" s="351"/>
      <c r="BE41" s="351"/>
      <c r="BF41" s="351"/>
      <c r="BG41" s="351"/>
      <c r="BH41" s="351"/>
      <c r="BI41" s="351"/>
      <c r="BJ41" s="351"/>
      <c r="BK41" s="352"/>
    </row>
    <row r="42" spans="1:63" s="71" customFormat="1" x14ac:dyDescent="0.25">
      <c r="A42" s="198" t="s">
        <v>287</v>
      </c>
      <c r="B42" s="397" t="e">
        <f t="shared" si="31"/>
        <v>#REF!</v>
      </c>
      <c r="C42" s="382" t="e">
        <f t="shared" si="32"/>
        <v>#REF!</v>
      </c>
      <c r="D42" s="68" t="e">
        <f t="shared" si="33"/>
        <v>#REF!</v>
      </c>
      <c r="E42" s="383" t="e">
        <f t="shared" si="34"/>
        <v>#REF!</v>
      </c>
      <c r="F42" s="382" t="e">
        <f t="shared" si="35"/>
        <v>#REF!</v>
      </c>
      <c r="G42" s="68" t="e">
        <f t="shared" si="36"/>
        <v>#REF!</v>
      </c>
      <c r="H42" s="384" t="e">
        <f t="shared" si="37"/>
        <v>#REF!</v>
      </c>
      <c r="I42" s="382" t="e">
        <f t="shared" si="38"/>
        <v>#REF!</v>
      </c>
      <c r="J42" s="68" t="e">
        <f t="shared" si="39"/>
        <v>#REF!</v>
      </c>
      <c r="K42" s="383" t="e">
        <f t="shared" si="40"/>
        <v>#REF!</v>
      </c>
      <c r="L42" s="382" t="e">
        <f t="shared" si="41"/>
        <v>#REF!</v>
      </c>
      <c r="M42" s="68" t="e">
        <f t="shared" si="42"/>
        <v>#REF!</v>
      </c>
      <c r="N42" s="384" t="e">
        <f t="shared" si="43"/>
        <v>#REF!</v>
      </c>
      <c r="O42" s="382" t="e">
        <f t="shared" si="44"/>
        <v>#REF!</v>
      </c>
      <c r="P42" s="68" t="e">
        <f t="shared" si="45"/>
        <v>#REF!</v>
      </c>
      <c r="Q42" s="383" t="e">
        <f t="shared" si="46"/>
        <v>#REF!</v>
      </c>
      <c r="R42" s="382" t="e">
        <f t="shared" si="47"/>
        <v>#REF!</v>
      </c>
      <c r="S42" s="68" t="e">
        <f t="shared" si="48"/>
        <v>#REF!</v>
      </c>
      <c r="T42" s="383" t="e">
        <f t="shared" si="49"/>
        <v>#REF!</v>
      </c>
      <c r="U42" s="382" t="e">
        <f t="shared" si="50"/>
        <v>#REF!</v>
      </c>
      <c r="V42" s="68" t="e">
        <f t="shared" si="51"/>
        <v>#REF!</v>
      </c>
      <c r="W42" s="383" t="e">
        <f t="shared" si="52"/>
        <v>#REF!</v>
      </c>
      <c r="X42" s="382" t="e">
        <f t="shared" si="53"/>
        <v>#REF!</v>
      </c>
      <c r="Y42" s="68" t="e">
        <f t="shared" si="54"/>
        <v>#REF!</v>
      </c>
      <c r="Z42" s="383" t="e">
        <f t="shared" si="55"/>
        <v>#REF!</v>
      </c>
      <c r="AA42" s="382" t="e">
        <f t="shared" si="56"/>
        <v>#REF!</v>
      </c>
      <c r="AB42" s="68" t="e">
        <f t="shared" si="57"/>
        <v>#REF!</v>
      </c>
      <c r="AC42" s="383" t="e">
        <f t="shared" si="58"/>
        <v>#REF!</v>
      </c>
      <c r="AD42" s="382" t="e">
        <f t="shared" si="59"/>
        <v>#REF!</v>
      </c>
      <c r="AE42" s="68" t="e">
        <f t="shared" si="60"/>
        <v>#REF!</v>
      </c>
      <c r="AF42" s="383" t="e">
        <f t="shared" si="61"/>
        <v>#REF!</v>
      </c>
      <c r="AH42" s="350"/>
      <c r="AI42" s="351">
        <v>1</v>
      </c>
      <c r="AJ42" s="351"/>
      <c r="AK42" s="351"/>
      <c r="AL42" s="351">
        <v>1</v>
      </c>
      <c r="AM42" s="351"/>
      <c r="AN42" s="351"/>
      <c r="AO42" s="351"/>
      <c r="AP42" s="351"/>
      <c r="AQ42" s="351"/>
      <c r="AR42" s="351"/>
      <c r="AS42" s="351"/>
      <c r="AT42" s="351"/>
      <c r="AU42" s="351"/>
      <c r="AV42" s="351"/>
      <c r="AW42" s="351"/>
      <c r="AX42" s="351"/>
      <c r="AY42" s="351"/>
      <c r="AZ42" s="351"/>
      <c r="BA42" s="351"/>
      <c r="BB42" s="351"/>
      <c r="BC42" s="351"/>
      <c r="BD42" s="351"/>
      <c r="BE42" s="351"/>
      <c r="BF42" s="351"/>
      <c r="BG42" s="351"/>
      <c r="BH42" s="351"/>
      <c r="BI42" s="351"/>
      <c r="BJ42" s="351"/>
      <c r="BK42" s="352"/>
    </row>
    <row r="43" spans="1:63" s="71" customFormat="1" x14ac:dyDescent="0.25">
      <c r="A43" s="200" t="s">
        <v>26</v>
      </c>
      <c r="B43" s="53" t="str">
        <f t="shared" si="31"/>
        <v/>
      </c>
      <c r="C43" s="389" t="str">
        <f t="shared" si="32"/>
        <v/>
      </c>
      <c r="D43" s="390" t="str">
        <f t="shared" si="33"/>
        <v/>
      </c>
      <c r="E43" s="391" t="str">
        <f t="shared" si="34"/>
        <v/>
      </c>
      <c r="F43" s="389" t="str">
        <f t="shared" si="35"/>
        <v/>
      </c>
      <c r="G43" s="390" t="str">
        <f t="shared" si="36"/>
        <v/>
      </c>
      <c r="H43" s="392" t="str">
        <f t="shared" si="37"/>
        <v/>
      </c>
      <c r="I43" s="389" t="str">
        <f t="shared" si="38"/>
        <v/>
      </c>
      <c r="J43" s="390" t="str">
        <f t="shared" si="39"/>
        <v/>
      </c>
      <c r="K43" s="391" t="str">
        <f t="shared" si="40"/>
        <v/>
      </c>
      <c r="L43" s="389" t="str">
        <f t="shared" si="41"/>
        <v/>
      </c>
      <c r="M43" s="390" t="str">
        <f t="shared" si="42"/>
        <v/>
      </c>
      <c r="N43" s="392" t="str">
        <f t="shared" si="43"/>
        <v/>
      </c>
      <c r="O43" s="389" t="str">
        <f t="shared" si="44"/>
        <v/>
      </c>
      <c r="P43" s="390" t="str">
        <f t="shared" si="45"/>
        <v/>
      </c>
      <c r="Q43" s="391" t="str">
        <f t="shared" si="46"/>
        <v/>
      </c>
      <c r="R43" s="389" t="str">
        <f t="shared" si="47"/>
        <v/>
      </c>
      <c r="S43" s="390" t="str">
        <f t="shared" si="48"/>
        <v/>
      </c>
      <c r="T43" s="391" t="str">
        <f t="shared" si="49"/>
        <v/>
      </c>
      <c r="U43" s="389" t="str">
        <f t="shared" si="50"/>
        <v/>
      </c>
      <c r="V43" s="390" t="str">
        <f t="shared" si="51"/>
        <v/>
      </c>
      <c r="W43" s="391" t="str">
        <f t="shared" si="52"/>
        <v/>
      </c>
      <c r="X43" s="389" t="str">
        <f t="shared" si="53"/>
        <v/>
      </c>
      <c r="Y43" s="390" t="str">
        <f t="shared" si="54"/>
        <v/>
      </c>
      <c r="Z43" s="391" t="str">
        <f t="shared" si="55"/>
        <v/>
      </c>
      <c r="AA43" s="389" t="str">
        <f t="shared" si="56"/>
        <v/>
      </c>
      <c r="AB43" s="390" t="str">
        <f t="shared" si="57"/>
        <v/>
      </c>
      <c r="AC43" s="391" t="str">
        <f t="shared" si="58"/>
        <v/>
      </c>
      <c r="AD43" s="389" t="str">
        <f t="shared" si="59"/>
        <v/>
      </c>
      <c r="AE43" s="390" t="str">
        <f t="shared" si="60"/>
        <v/>
      </c>
      <c r="AF43" s="391" t="str">
        <f t="shared" si="61"/>
        <v/>
      </c>
      <c r="AH43" s="356"/>
      <c r="AI43" s="357"/>
      <c r="AJ43" s="357"/>
      <c r="AK43" s="357"/>
      <c r="AL43" s="357"/>
      <c r="AM43" s="357"/>
      <c r="AN43" s="357"/>
      <c r="AO43" s="357"/>
      <c r="AP43" s="357"/>
      <c r="AQ43" s="357"/>
      <c r="AR43" s="357"/>
      <c r="AS43" s="357"/>
      <c r="AT43" s="357"/>
      <c r="AU43" s="357"/>
      <c r="AV43" s="357"/>
      <c r="AW43" s="357"/>
      <c r="AX43" s="357"/>
      <c r="AY43" s="357"/>
      <c r="AZ43" s="357"/>
      <c r="BA43" s="357"/>
      <c r="BB43" s="357"/>
      <c r="BC43" s="357"/>
      <c r="BD43" s="357"/>
      <c r="BE43" s="357"/>
      <c r="BF43" s="357"/>
      <c r="BG43" s="357"/>
      <c r="BH43" s="357"/>
      <c r="BI43" s="357"/>
      <c r="BJ43" s="357"/>
      <c r="BK43" s="358"/>
    </row>
    <row r="44" spans="1:63" s="71" customFormat="1" x14ac:dyDescent="0.25">
      <c r="A44" s="198" t="s">
        <v>284</v>
      </c>
      <c r="B44" s="397" t="e">
        <f t="shared" si="31"/>
        <v>#REF!</v>
      </c>
      <c r="C44" s="382" t="e">
        <f t="shared" si="32"/>
        <v>#REF!</v>
      </c>
      <c r="D44" s="68" t="e">
        <f t="shared" si="33"/>
        <v>#REF!</v>
      </c>
      <c r="E44" s="383" t="e">
        <f t="shared" si="34"/>
        <v>#REF!</v>
      </c>
      <c r="F44" s="382" t="e">
        <f t="shared" si="35"/>
        <v>#REF!</v>
      </c>
      <c r="G44" s="68" t="e">
        <f t="shared" si="36"/>
        <v>#REF!</v>
      </c>
      <c r="H44" s="384" t="e">
        <f t="shared" si="37"/>
        <v>#REF!</v>
      </c>
      <c r="I44" s="382" t="e">
        <f t="shared" si="38"/>
        <v>#REF!</v>
      </c>
      <c r="J44" s="68" t="e">
        <f t="shared" si="39"/>
        <v>#REF!</v>
      </c>
      <c r="K44" s="383" t="e">
        <f t="shared" si="40"/>
        <v>#REF!</v>
      </c>
      <c r="L44" s="382" t="e">
        <f t="shared" si="41"/>
        <v>#REF!</v>
      </c>
      <c r="M44" s="68" t="e">
        <f t="shared" si="42"/>
        <v>#REF!</v>
      </c>
      <c r="N44" s="384" t="e">
        <f t="shared" si="43"/>
        <v>#REF!</v>
      </c>
      <c r="O44" s="382" t="e">
        <f t="shared" si="44"/>
        <v>#REF!</v>
      </c>
      <c r="P44" s="68" t="e">
        <f t="shared" si="45"/>
        <v>#REF!</v>
      </c>
      <c r="Q44" s="383" t="e">
        <f t="shared" si="46"/>
        <v>#REF!</v>
      </c>
      <c r="R44" s="382" t="e">
        <f t="shared" si="47"/>
        <v>#REF!</v>
      </c>
      <c r="S44" s="68" t="e">
        <f t="shared" si="48"/>
        <v>#REF!</v>
      </c>
      <c r="T44" s="383" t="e">
        <f t="shared" si="49"/>
        <v>#REF!</v>
      </c>
      <c r="U44" s="382" t="e">
        <f t="shared" si="50"/>
        <v>#REF!</v>
      </c>
      <c r="V44" s="68" t="e">
        <f t="shared" si="51"/>
        <v>#REF!</v>
      </c>
      <c r="W44" s="383" t="e">
        <f t="shared" si="52"/>
        <v>#REF!</v>
      </c>
      <c r="X44" s="382" t="e">
        <f t="shared" si="53"/>
        <v>#REF!</v>
      </c>
      <c r="Y44" s="68" t="e">
        <f t="shared" si="54"/>
        <v>#REF!</v>
      </c>
      <c r="Z44" s="383" t="e">
        <f t="shared" si="55"/>
        <v>#REF!</v>
      </c>
      <c r="AA44" s="382" t="e">
        <f t="shared" si="56"/>
        <v>#REF!</v>
      </c>
      <c r="AB44" s="68" t="e">
        <f t="shared" si="57"/>
        <v>#REF!</v>
      </c>
      <c r="AC44" s="383" t="e">
        <f t="shared" si="58"/>
        <v>#REF!</v>
      </c>
      <c r="AD44" s="382" t="e">
        <f t="shared" si="59"/>
        <v>#REF!</v>
      </c>
      <c r="AE44" s="68" t="e">
        <f t="shared" si="60"/>
        <v>#REF!</v>
      </c>
      <c r="AF44" s="383" t="e">
        <f t="shared" si="61"/>
        <v>#REF!</v>
      </c>
      <c r="AH44" s="350"/>
      <c r="AI44" s="351">
        <v>1</v>
      </c>
      <c r="AJ44" s="351"/>
      <c r="AK44" s="351"/>
      <c r="AL44" s="351">
        <v>1</v>
      </c>
      <c r="AM44" s="351"/>
      <c r="AN44" s="351"/>
      <c r="AO44" s="351"/>
      <c r="AP44" s="351"/>
      <c r="AQ44" s="351"/>
      <c r="AR44" s="351"/>
      <c r="AS44" s="351"/>
      <c r="AT44" s="351"/>
      <c r="AU44" s="351">
        <v>1</v>
      </c>
      <c r="AV44" s="351"/>
      <c r="AW44" s="351"/>
      <c r="AX44" s="351">
        <v>1</v>
      </c>
      <c r="AY44" s="351"/>
      <c r="AZ44" s="351"/>
      <c r="BA44" s="351">
        <v>1</v>
      </c>
      <c r="BB44" s="351"/>
      <c r="BC44" s="351"/>
      <c r="BD44" s="351">
        <v>1</v>
      </c>
      <c r="BE44" s="351"/>
      <c r="BF44" s="351"/>
      <c r="BG44" s="351"/>
      <c r="BH44" s="351"/>
      <c r="BI44" s="351"/>
      <c r="BJ44" s="351"/>
      <c r="BK44" s="352"/>
    </row>
    <row r="45" spans="1:63" s="71" customFormat="1" x14ac:dyDescent="0.25">
      <c r="A45" s="198" t="s">
        <v>283</v>
      </c>
      <c r="B45" s="397" t="e">
        <f t="shared" si="31"/>
        <v>#REF!</v>
      </c>
      <c r="C45" s="382" t="e">
        <f t="shared" si="32"/>
        <v>#REF!</v>
      </c>
      <c r="D45" s="68" t="e">
        <f t="shared" si="33"/>
        <v>#REF!</v>
      </c>
      <c r="E45" s="383" t="e">
        <f t="shared" si="34"/>
        <v>#REF!</v>
      </c>
      <c r="F45" s="382" t="e">
        <f t="shared" si="35"/>
        <v>#REF!</v>
      </c>
      <c r="G45" s="68" t="e">
        <f t="shared" si="36"/>
        <v>#REF!</v>
      </c>
      <c r="H45" s="384" t="e">
        <f t="shared" si="37"/>
        <v>#REF!</v>
      </c>
      <c r="I45" s="382" t="e">
        <f t="shared" si="38"/>
        <v>#REF!</v>
      </c>
      <c r="J45" s="68" t="e">
        <f t="shared" si="39"/>
        <v>#REF!</v>
      </c>
      <c r="K45" s="383" t="e">
        <f t="shared" si="40"/>
        <v>#REF!</v>
      </c>
      <c r="L45" s="382" t="e">
        <f t="shared" si="41"/>
        <v>#REF!</v>
      </c>
      <c r="M45" s="68" t="e">
        <f t="shared" si="42"/>
        <v>#REF!</v>
      </c>
      <c r="N45" s="384" t="e">
        <f t="shared" si="43"/>
        <v>#REF!</v>
      </c>
      <c r="O45" s="382" t="e">
        <f t="shared" si="44"/>
        <v>#REF!</v>
      </c>
      <c r="P45" s="68" t="e">
        <f t="shared" si="45"/>
        <v>#REF!</v>
      </c>
      <c r="Q45" s="383" t="e">
        <f t="shared" si="46"/>
        <v>#REF!</v>
      </c>
      <c r="R45" s="382" t="e">
        <f t="shared" si="47"/>
        <v>#REF!</v>
      </c>
      <c r="S45" s="68" t="e">
        <f t="shared" si="48"/>
        <v>#REF!</v>
      </c>
      <c r="T45" s="383" t="e">
        <f t="shared" si="49"/>
        <v>#REF!</v>
      </c>
      <c r="U45" s="382" t="e">
        <f t="shared" si="50"/>
        <v>#REF!</v>
      </c>
      <c r="V45" s="68" t="e">
        <f t="shared" si="51"/>
        <v>#REF!</v>
      </c>
      <c r="W45" s="383" t="e">
        <f t="shared" si="52"/>
        <v>#REF!</v>
      </c>
      <c r="X45" s="382" t="e">
        <f t="shared" si="53"/>
        <v>#REF!</v>
      </c>
      <c r="Y45" s="68" t="e">
        <f t="shared" si="54"/>
        <v>#REF!</v>
      </c>
      <c r="Z45" s="383" t="e">
        <f t="shared" si="55"/>
        <v>#REF!</v>
      </c>
      <c r="AA45" s="382" t="e">
        <f t="shared" si="56"/>
        <v>#REF!</v>
      </c>
      <c r="AB45" s="68" t="e">
        <f t="shared" si="57"/>
        <v>#REF!</v>
      </c>
      <c r="AC45" s="383" t="e">
        <f t="shared" si="58"/>
        <v>#REF!</v>
      </c>
      <c r="AD45" s="382" t="e">
        <f t="shared" si="59"/>
        <v>#REF!</v>
      </c>
      <c r="AE45" s="68" t="e">
        <f t="shared" si="60"/>
        <v>#REF!</v>
      </c>
      <c r="AF45" s="383" t="e">
        <f t="shared" si="61"/>
        <v>#REF!</v>
      </c>
      <c r="AH45" s="350"/>
      <c r="AI45" s="351">
        <v>1</v>
      </c>
      <c r="AJ45" s="351"/>
      <c r="AK45" s="351"/>
      <c r="AL45" s="351">
        <v>1</v>
      </c>
      <c r="AM45" s="351"/>
      <c r="AN45" s="351"/>
      <c r="AO45" s="351"/>
      <c r="AP45" s="351"/>
      <c r="AQ45" s="351"/>
      <c r="AR45" s="351"/>
      <c r="AS45" s="351"/>
      <c r="AT45" s="351"/>
      <c r="AU45" s="351">
        <v>1</v>
      </c>
      <c r="AV45" s="351"/>
      <c r="AW45" s="351"/>
      <c r="AX45" s="351">
        <v>1</v>
      </c>
      <c r="AY45" s="351"/>
      <c r="AZ45" s="351"/>
      <c r="BA45" s="351">
        <v>1</v>
      </c>
      <c r="BB45" s="351"/>
      <c r="BC45" s="351"/>
      <c r="BD45" s="351">
        <v>1</v>
      </c>
      <c r="BE45" s="351"/>
      <c r="BF45" s="351"/>
      <c r="BG45" s="351"/>
      <c r="BH45" s="351"/>
      <c r="BI45" s="351"/>
      <c r="BJ45" s="351"/>
      <c r="BK45" s="352"/>
    </row>
    <row r="46" spans="1:63" s="71" customFormat="1" x14ac:dyDescent="0.25">
      <c r="A46" s="198" t="s">
        <v>51</v>
      </c>
      <c r="B46" s="397" t="e">
        <f t="shared" si="31"/>
        <v>#REF!</v>
      </c>
      <c r="C46" s="382" t="e">
        <f t="shared" si="32"/>
        <v>#REF!</v>
      </c>
      <c r="D46" s="68" t="e">
        <f t="shared" si="33"/>
        <v>#REF!</v>
      </c>
      <c r="E46" s="383" t="e">
        <f t="shared" si="34"/>
        <v>#REF!</v>
      </c>
      <c r="F46" s="382" t="e">
        <f t="shared" si="35"/>
        <v>#REF!</v>
      </c>
      <c r="G46" s="68" t="e">
        <f t="shared" si="36"/>
        <v>#REF!</v>
      </c>
      <c r="H46" s="384" t="e">
        <f t="shared" si="37"/>
        <v>#REF!</v>
      </c>
      <c r="I46" s="382" t="e">
        <f t="shared" si="38"/>
        <v>#REF!</v>
      </c>
      <c r="J46" s="68" t="e">
        <f t="shared" si="39"/>
        <v>#REF!</v>
      </c>
      <c r="K46" s="383" t="e">
        <f t="shared" si="40"/>
        <v>#REF!</v>
      </c>
      <c r="L46" s="382" t="e">
        <f t="shared" si="41"/>
        <v>#REF!</v>
      </c>
      <c r="M46" s="68" t="e">
        <f t="shared" si="42"/>
        <v>#REF!</v>
      </c>
      <c r="N46" s="384" t="e">
        <f t="shared" si="43"/>
        <v>#REF!</v>
      </c>
      <c r="O46" s="382" t="e">
        <f t="shared" si="44"/>
        <v>#REF!</v>
      </c>
      <c r="P46" s="68" t="e">
        <f t="shared" si="45"/>
        <v>#REF!</v>
      </c>
      <c r="Q46" s="383" t="e">
        <f t="shared" si="46"/>
        <v>#REF!</v>
      </c>
      <c r="R46" s="382" t="e">
        <f t="shared" si="47"/>
        <v>#REF!</v>
      </c>
      <c r="S46" s="68" t="e">
        <f t="shared" si="48"/>
        <v>#REF!</v>
      </c>
      <c r="T46" s="383" t="e">
        <f t="shared" si="49"/>
        <v>#REF!</v>
      </c>
      <c r="U46" s="382" t="e">
        <f t="shared" si="50"/>
        <v>#REF!</v>
      </c>
      <c r="V46" s="68" t="e">
        <f t="shared" si="51"/>
        <v>#REF!</v>
      </c>
      <c r="W46" s="383" t="e">
        <f t="shared" si="52"/>
        <v>#REF!</v>
      </c>
      <c r="X46" s="382" t="e">
        <f t="shared" si="53"/>
        <v>#REF!</v>
      </c>
      <c r="Y46" s="68" t="e">
        <f t="shared" si="54"/>
        <v>#REF!</v>
      </c>
      <c r="Z46" s="383" t="e">
        <f t="shared" si="55"/>
        <v>#REF!</v>
      </c>
      <c r="AA46" s="382" t="e">
        <f t="shared" si="56"/>
        <v>#REF!</v>
      </c>
      <c r="AB46" s="68" t="e">
        <f t="shared" si="57"/>
        <v>#REF!</v>
      </c>
      <c r="AC46" s="383" t="e">
        <f t="shared" si="58"/>
        <v>#REF!</v>
      </c>
      <c r="AD46" s="382" t="e">
        <f t="shared" si="59"/>
        <v>#REF!</v>
      </c>
      <c r="AE46" s="68" t="e">
        <f t="shared" si="60"/>
        <v>#REF!</v>
      </c>
      <c r="AF46" s="383" t="e">
        <f t="shared" si="61"/>
        <v>#REF!</v>
      </c>
      <c r="AH46" s="350"/>
      <c r="AI46" s="351">
        <v>1</v>
      </c>
      <c r="AJ46" s="351"/>
      <c r="AK46" s="351"/>
      <c r="AL46" s="351">
        <v>1</v>
      </c>
      <c r="AM46" s="351"/>
      <c r="AN46" s="351"/>
      <c r="AO46" s="351"/>
      <c r="AP46" s="351"/>
      <c r="AQ46" s="351"/>
      <c r="AR46" s="351"/>
      <c r="AS46" s="351"/>
      <c r="AT46" s="351"/>
      <c r="AU46" s="351">
        <v>1</v>
      </c>
      <c r="AV46" s="351"/>
      <c r="AW46" s="351"/>
      <c r="AX46" s="351">
        <v>1</v>
      </c>
      <c r="AY46" s="351"/>
      <c r="AZ46" s="351"/>
      <c r="BA46" s="351">
        <v>1</v>
      </c>
      <c r="BB46" s="351"/>
      <c r="BC46" s="351"/>
      <c r="BD46" s="351">
        <v>1</v>
      </c>
      <c r="BE46" s="351"/>
      <c r="BF46" s="351"/>
      <c r="BG46" s="351"/>
      <c r="BH46" s="351"/>
      <c r="BI46" s="351"/>
      <c r="BJ46" s="351"/>
      <c r="BK46" s="352"/>
    </row>
    <row r="47" spans="1:63" s="71" customFormat="1" x14ac:dyDescent="0.25">
      <c r="A47" s="198" t="s">
        <v>285</v>
      </c>
      <c r="B47" s="397" t="e">
        <f t="shared" si="31"/>
        <v>#REF!</v>
      </c>
      <c r="C47" s="382" t="e">
        <f t="shared" si="32"/>
        <v>#REF!</v>
      </c>
      <c r="D47" s="68" t="e">
        <f t="shared" si="33"/>
        <v>#REF!</v>
      </c>
      <c r="E47" s="383" t="e">
        <f t="shared" si="34"/>
        <v>#REF!</v>
      </c>
      <c r="F47" s="382" t="e">
        <f t="shared" si="35"/>
        <v>#REF!</v>
      </c>
      <c r="G47" s="68" t="e">
        <f t="shared" si="36"/>
        <v>#REF!</v>
      </c>
      <c r="H47" s="384" t="e">
        <f t="shared" si="37"/>
        <v>#REF!</v>
      </c>
      <c r="I47" s="382" t="e">
        <f t="shared" si="38"/>
        <v>#REF!</v>
      </c>
      <c r="J47" s="68" t="e">
        <f t="shared" si="39"/>
        <v>#REF!</v>
      </c>
      <c r="K47" s="383" t="e">
        <f t="shared" si="40"/>
        <v>#REF!</v>
      </c>
      <c r="L47" s="382" t="e">
        <f t="shared" si="41"/>
        <v>#REF!</v>
      </c>
      <c r="M47" s="68" t="e">
        <f t="shared" si="42"/>
        <v>#REF!</v>
      </c>
      <c r="N47" s="384" t="e">
        <f t="shared" si="43"/>
        <v>#REF!</v>
      </c>
      <c r="O47" s="382" t="e">
        <f t="shared" si="44"/>
        <v>#REF!</v>
      </c>
      <c r="P47" s="68" t="e">
        <f t="shared" si="45"/>
        <v>#REF!</v>
      </c>
      <c r="Q47" s="383" t="e">
        <f t="shared" si="46"/>
        <v>#REF!</v>
      </c>
      <c r="R47" s="382" t="e">
        <f t="shared" si="47"/>
        <v>#REF!</v>
      </c>
      <c r="S47" s="68" t="e">
        <f t="shared" si="48"/>
        <v>#REF!</v>
      </c>
      <c r="T47" s="383" t="e">
        <f t="shared" si="49"/>
        <v>#REF!</v>
      </c>
      <c r="U47" s="382" t="e">
        <f t="shared" si="50"/>
        <v>#REF!</v>
      </c>
      <c r="V47" s="68" t="e">
        <f t="shared" si="51"/>
        <v>#REF!</v>
      </c>
      <c r="W47" s="383" t="e">
        <f t="shared" si="52"/>
        <v>#REF!</v>
      </c>
      <c r="X47" s="382" t="e">
        <f t="shared" si="53"/>
        <v>#REF!</v>
      </c>
      <c r="Y47" s="68" t="e">
        <f t="shared" si="54"/>
        <v>#REF!</v>
      </c>
      <c r="Z47" s="383" t="e">
        <f t="shared" si="55"/>
        <v>#REF!</v>
      </c>
      <c r="AA47" s="382" t="e">
        <f t="shared" si="56"/>
        <v>#REF!</v>
      </c>
      <c r="AB47" s="68" t="e">
        <f t="shared" si="57"/>
        <v>#REF!</v>
      </c>
      <c r="AC47" s="383" t="e">
        <f t="shared" si="58"/>
        <v>#REF!</v>
      </c>
      <c r="AD47" s="382" t="e">
        <f t="shared" si="59"/>
        <v>#REF!</v>
      </c>
      <c r="AE47" s="68" t="e">
        <f t="shared" si="60"/>
        <v>#REF!</v>
      </c>
      <c r="AF47" s="383" t="e">
        <f t="shared" si="61"/>
        <v>#REF!</v>
      </c>
      <c r="AH47" s="350"/>
      <c r="AI47" s="351">
        <v>1</v>
      </c>
      <c r="AJ47" s="351"/>
      <c r="AK47" s="351"/>
      <c r="AL47" s="351">
        <v>1</v>
      </c>
      <c r="AM47" s="351"/>
      <c r="AN47" s="351"/>
      <c r="AO47" s="351"/>
      <c r="AP47" s="351"/>
      <c r="AQ47" s="351"/>
      <c r="AR47" s="351"/>
      <c r="AS47" s="351"/>
      <c r="AT47" s="351"/>
      <c r="AU47" s="351">
        <v>1</v>
      </c>
      <c r="AV47" s="351"/>
      <c r="AW47" s="351"/>
      <c r="AX47" s="351">
        <v>1</v>
      </c>
      <c r="AY47" s="351"/>
      <c r="AZ47" s="351"/>
      <c r="BA47" s="351">
        <v>1</v>
      </c>
      <c r="BB47" s="351"/>
      <c r="BC47" s="351"/>
      <c r="BD47" s="351">
        <v>1</v>
      </c>
      <c r="BE47" s="351"/>
      <c r="BF47" s="351"/>
      <c r="BG47" s="351"/>
      <c r="BH47" s="351"/>
      <c r="BI47" s="351"/>
      <c r="BJ47" s="351"/>
      <c r="BK47" s="352"/>
    </row>
    <row r="48" spans="1:63" s="71" customFormat="1" x14ac:dyDescent="0.25">
      <c r="A48" s="198" t="s">
        <v>52</v>
      </c>
      <c r="B48" s="397" t="e">
        <f t="shared" si="31"/>
        <v>#REF!</v>
      </c>
      <c r="C48" s="382" t="e">
        <f t="shared" si="32"/>
        <v>#REF!</v>
      </c>
      <c r="D48" s="68" t="e">
        <f t="shared" si="33"/>
        <v>#REF!</v>
      </c>
      <c r="E48" s="383" t="e">
        <f t="shared" si="34"/>
        <v>#REF!</v>
      </c>
      <c r="F48" s="382" t="e">
        <f t="shared" si="35"/>
        <v>#REF!</v>
      </c>
      <c r="G48" s="68" t="e">
        <f t="shared" si="36"/>
        <v>#REF!</v>
      </c>
      <c r="H48" s="384" t="e">
        <f t="shared" si="37"/>
        <v>#REF!</v>
      </c>
      <c r="I48" s="382" t="e">
        <f t="shared" si="38"/>
        <v>#REF!</v>
      </c>
      <c r="J48" s="68" t="e">
        <f t="shared" si="39"/>
        <v>#REF!</v>
      </c>
      <c r="K48" s="383" t="e">
        <f t="shared" si="40"/>
        <v>#REF!</v>
      </c>
      <c r="L48" s="382" t="e">
        <f t="shared" si="41"/>
        <v>#REF!</v>
      </c>
      <c r="M48" s="68" t="e">
        <f t="shared" si="42"/>
        <v>#REF!</v>
      </c>
      <c r="N48" s="384" t="e">
        <f t="shared" si="43"/>
        <v>#REF!</v>
      </c>
      <c r="O48" s="382" t="e">
        <f t="shared" si="44"/>
        <v>#REF!</v>
      </c>
      <c r="P48" s="68" t="e">
        <f t="shared" si="45"/>
        <v>#REF!</v>
      </c>
      <c r="Q48" s="383" t="e">
        <f t="shared" si="46"/>
        <v>#REF!</v>
      </c>
      <c r="R48" s="382" t="e">
        <f t="shared" si="47"/>
        <v>#REF!</v>
      </c>
      <c r="S48" s="68" t="e">
        <f t="shared" si="48"/>
        <v>#REF!</v>
      </c>
      <c r="T48" s="383" t="e">
        <f t="shared" si="49"/>
        <v>#REF!</v>
      </c>
      <c r="U48" s="382" t="e">
        <f t="shared" si="50"/>
        <v>#REF!</v>
      </c>
      <c r="V48" s="68" t="e">
        <f t="shared" si="51"/>
        <v>#REF!</v>
      </c>
      <c r="W48" s="383" t="e">
        <f t="shared" si="52"/>
        <v>#REF!</v>
      </c>
      <c r="X48" s="382" t="e">
        <f t="shared" si="53"/>
        <v>#REF!</v>
      </c>
      <c r="Y48" s="68" t="e">
        <f t="shared" si="54"/>
        <v>#REF!</v>
      </c>
      <c r="Z48" s="383" t="e">
        <f t="shared" si="55"/>
        <v>#REF!</v>
      </c>
      <c r="AA48" s="382" t="e">
        <f t="shared" si="56"/>
        <v>#REF!</v>
      </c>
      <c r="AB48" s="68" t="e">
        <f t="shared" si="57"/>
        <v>#REF!</v>
      </c>
      <c r="AC48" s="383" t="e">
        <f t="shared" si="58"/>
        <v>#REF!</v>
      </c>
      <c r="AD48" s="382" t="e">
        <f t="shared" si="59"/>
        <v>#REF!</v>
      </c>
      <c r="AE48" s="68" t="e">
        <f t="shared" si="60"/>
        <v>#REF!</v>
      </c>
      <c r="AF48" s="383" t="e">
        <f t="shared" si="61"/>
        <v>#REF!</v>
      </c>
      <c r="AH48" s="350"/>
      <c r="AI48" s="351">
        <v>1</v>
      </c>
      <c r="AJ48" s="351"/>
      <c r="AK48" s="351"/>
      <c r="AL48" s="351">
        <v>1</v>
      </c>
      <c r="AM48" s="351"/>
      <c r="AN48" s="351"/>
      <c r="AO48" s="351"/>
      <c r="AP48" s="351"/>
      <c r="AQ48" s="351"/>
      <c r="AR48" s="351"/>
      <c r="AS48" s="351"/>
      <c r="AT48" s="351"/>
      <c r="AU48" s="351">
        <v>1</v>
      </c>
      <c r="AV48" s="351"/>
      <c r="AW48" s="351"/>
      <c r="AX48" s="351">
        <v>1</v>
      </c>
      <c r="AY48" s="351"/>
      <c r="AZ48" s="351"/>
      <c r="BA48" s="351">
        <v>1</v>
      </c>
      <c r="BB48" s="351"/>
      <c r="BC48" s="351"/>
      <c r="BD48" s="351">
        <v>1</v>
      </c>
      <c r="BE48" s="351"/>
      <c r="BF48" s="351"/>
      <c r="BG48" s="351"/>
      <c r="BH48" s="351"/>
      <c r="BI48" s="351"/>
      <c r="BJ48" s="351"/>
      <c r="BK48" s="352"/>
    </row>
    <row r="49" spans="1:63" s="71" customFormat="1" x14ac:dyDescent="0.25">
      <c r="A49" s="198" t="s">
        <v>314</v>
      </c>
      <c r="B49" s="397" t="e">
        <f t="shared" si="31"/>
        <v>#REF!</v>
      </c>
      <c r="C49" s="382" t="e">
        <f t="shared" si="32"/>
        <v>#REF!</v>
      </c>
      <c r="D49" s="68" t="e">
        <f t="shared" si="33"/>
        <v>#REF!</v>
      </c>
      <c r="E49" s="383" t="e">
        <f t="shared" si="34"/>
        <v>#REF!</v>
      </c>
      <c r="F49" s="382" t="e">
        <f t="shared" si="35"/>
        <v>#REF!</v>
      </c>
      <c r="G49" s="68" t="e">
        <f t="shared" si="36"/>
        <v>#REF!</v>
      </c>
      <c r="H49" s="384" t="e">
        <f t="shared" si="37"/>
        <v>#REF!</v>
      </c>
      <c r="I49" s="382" t="e">
        <f t="shared" si="38"/>
        <v>#REF!</v>
      </c>
      <c r="J49" s="68" t="e">
        <f t="shared" si="39"/>
        <v>#REF!</v>
      </c>
      <c r="K49" s="383" t="e">
        <f t="shared" si="40"/>
        <v>#REF!</v>
      </c>
      <c r="L49" s="382" t="e">
        <f t="shared" si="41"/>
        <v>#REF!</v>
      </c>
      <c r="M49" s="68" t="e">
        <f t="shared" si="42"/>
        <v>#REF!</v>
      </c>
      <c r="N49" s="384" t="e">
        <f t="shared" si="43"/>
        <v>#REF!</v>
      </c>
      <c r="O49" s="382" t="e">
        <f t="shared" si="44"/>
        <v>#REF!</v>
      </c>
      <c r="P49" s="68" t="e">
        <f t="shared" si="45"/>
        <v>#REF!</v>
      </c>
      <c r="Q49" s="383" t="e">
        <f t="shared" si="46"/>
        <v>#REF!</v>
      </c>
      <c r="R49" s="382" t="e">
        <f t="shared" si="47"/>
        <v>#REF!</v>
      </c>
      <c r="S49" s="68" t="e">
        <f t="shared" si="48"/>
        <v>#REF!</v>
      </c>
      <c r="T49" s="383" t="e">
        <f t="shared" si="49"/>
        <v>#REF!</v>
      </c>
      <c r="U49" s="382" t="e">
        <f t="shared" si="50"/>
        <v>#REF!</v>
      </c>
      <c r="V49" s="68" t="e">
        <f t="shared" si="51"/>
        <v>#REF!</v>
      </c>
      <c r="W49" s="383" t="e">
        <f t="shared" si="52"/>
        <v>#REF!</v>
      </c>
      <c r="X49" s="382" t="e">
        <f t="shared" si="53"/>
        <v>#REF!</v>
      </c>
      <c r="Y49" s="68" t="e">
        <f t="shared" si="54"/>
        <v>#REF!</v>
      </c>
      <c r="Z49" s="383" t="e">
        <f t="shared" si="55"/>
        <v>#REF!</v>
      </c>
      <c r="AA49" s="382" t="e">
        <f t="shared" si="56"/>
        <v>#REF!</v>
      </c>
      <c r="AB49" s="68" t="e">
        <f t="shared" si="57"/>
        <v>#REF!</v>
      </c>
      <c r="AC49" s="383" t="e">
        <f t="shared" si="58"/>
        <v>#REF!</v>
      </c>
      <c r="AD49" s="382" t="e">
        <f t="shared" si="59"/>
        <v>#REF!</v>
      </c>
      <c r="AE49" s="68" t="e">
        <f t="shared" si="60"/>
        <v>#REF!</v>
      </c>
      <c r="AF49" s="383" t="e">
        <f t="shared" si="61"/>
        <v>#REF!</v>
      </c>
      <c r="AH49" s="350"/>
      <c r="AI49" s="351">
        <v>2</v>
      </c>
      <c r="AJ49" s="351"/>
      <c r="AK49" s="351"/>
      <c r="AL49" s="351">
        <v>2</v>
      </c>
      <c r="AM49" s="351"/>
      <c r="AN49" s="351"/>
      <c r="AO49" s="351"/>
      <c r="AP49" s="351"/>
      <c r="AQ49" s="351"/>
      <c r="AR49" s="351"/>
      <c r="AS49" s="351"/>
      <c r="AT49" s="351"/>
      <c r="AU49" s="351">
        <v>2</v>
      </c>
      <c r="AV49" s="351"/>
      <c r="AW49" s="351"/>
      <c r="AX49" s="351">
        <v>2</v>
      </c>
      <c r="AY49" s="351"/>
      <c r="AZ49" s="351"/>
      <c r="BA49" s="351">
        <v>2</v>
      </c>
      <c r="BB49" s="351"/>
      <c r="BC49" s="351"/>
      <c r="BD49" s="351">
        <v>2</v>
      </c>
      <c r="BE49" s="351"/>
      <c r="BF49" s="351"/>
      <c r="BG49" s="351"/>
      <c r="BH49" s="351"/>
      <c r="BI49" s="351"/>
      <c r="BJ49" s="351"/>
      <c r="BK49" s="352"/>
    </row>
    <row r="50" spans="1:63" s="71" customFormat="1" x14ac:dyDescent="0.25">
      <c r="A50" s="198" t="s">
        <v>315</v>
      </c>
      <c r="B50" s="397" t="e">
        <f t="shared" si="31"/>
        <v>#REF!</v>
      </c>
      <c r="C50" s="382" t="e">
        <f t="shared" si="32"/>
        <v>#REF!</v>
      </c>
      <c r="D50" s="68" t="e">
        <f t="shared" si="33"/>
        <v>#REF!</v>
      </c>
      <c r="E50" s="383" t="e">
        <f t="shared" si="34"/>
        <v>#REF!</v>
      </c>
      <c r="F50" s="382" t="e">
        <f t="shared" si="35"/>
        <v>#REF!</v>
      </c>
      <c r="G50" s="68" t="e">
        <f t="shared" si="36"/>
        <v>#REF!</v>
      </c>
      <c r="H50" s="384" t="e">
        <f t="shared" si="37"/>
        <v>#REF!</v>
      </c>
      <c r="I50" s="382" t="e">
        <f t="shared" si="38"/>
        <v>#REF!</v>
      </c>
      <c r="J50" s="68" t="e">
        <f t="shared" si="39"/>
        <v>#REF!</v>
      </c>
      <c r="K50" s="383" t="e">
        <f t="shared" si="40"/>
        <v>#REF!</v>
      </c>
      <c r="L50" s="382" t="e">
        <f t="shared" si="41"/>
        <v>#REF!</v>
      </c>
      <c r="M50" s="68" t="e">
        <f t="shared" si="42"/>
        <v>#REF!</v>
      </c>
      <c r="N50" s="384" t="e">
        <f t="shared" si="43"/>
        <v>#REF!</v>
      </c>
      <c r="O50" s="382" t="e">
        <f t="shared" si="44"/>
        <v>#REF!</v>
      </c>
      <c r="P50" s="68" t="e">
        <f t="shared" si="45"/>
        <v>#REF!</v>
      </c>
      <c r="Q50" s="383" t="e">
        <f t="shared" si="46"/>
        <v>#REF!</v>
      </c>
      <c r="R50" s="382" t="e">
        <f t="shared" si="47"/>
        <v>#REF!</v>
      </c>
      <c r="S50" s="68" t="e">
        <f t="shared" si="48"/>
        <v>#REF!</v>
      </c>
      <c r="T50" s="383" t="e">
        <f t="shared" si="49"/>
        <v>#REF!</v>
      </c>
      <c r="U50" s="382" t="e">
        <f t="shared" si="50"/>
        <v>#REF!</v>
      </c>
      <c r="V50" s="68" t="e">
        <f t="shared" si="51"/>
        <v>#REF!</v>
      </c>
      <c r="W50" s="383" t="e">
        <f t="shared" si="52"/>
        <v>#REF!</v>
      </c>
      <c r="X50" s="382" t="e">
        <f t="shared" si="53"/>
        <v>#REF!</v>
      </c>
      <c r="Y50" s="68" t="e">
        <f t="shared" si="54"/>
        <v>#REF!</v>
      </c>
      <c r="Z50" s="383" t="e">
        <f t="shared" si="55"/>
        <v>#REF!</v>
      </c>
      <c r="AA50" s="382" t="e">
        <f t="shared" si="56"/>
        <v>#REF!</v>
      </c>
      <c r="AB50" s="68" t="e">
        <f t="shared" si="57"/>
        <v>#REF!</v>
      </c>
      <c r="AC50" s="383" t="e">
        <f t="shared" si="58"/>
        <v>#REF!</v>
      </c>
      <c r="AD50" s="382" t="e">
        <f t="shared" si="59"/>
        <v>#REF!</v>
      </c>
      <c r="AE50" s="68" t="e">
        <f t="shared" si="60"/>
        <v>#REF!</v>
      </c>
      <c r="AF50" s="383" t="e">
        <f t="shared" si="61"/>
        <v>#REF!</v>
      </c>
      <c r="AH50" s="350"/>
      <c r="AI50" s="351">
        <v>2</v>
      </c>
      <c r="AJ50" s="351"/>
      <c r="AK50" s="351"/>
      <c r="AL50" s="351">
        <v>2</v>
      </c>
      <c r="AM50" s="351"/>
      <c r="AN50" s="351"/>
      <c r="AO50" s="351"/>
      <c r="AP50" s="351"/>
      <c r="AQ50" s="351"/>
      <c r="AR50" s="351"/>
      <c r="AS50" s="351"/>
      <c r="AT50" s="351"/>
      <c r="AU50" s="351">
        <v>2</v>
      </c>
      <c r="AV50" s="351"/>
      <c r="AW50" s="351"/>
      <c r="AX50" s="351">
        <v>2</v>
      </c>
      <c r="AY50" s="351"/>
      <c r="AZ50" s="351"/>
      <c r="BA50" s="351">
        <v>2</v>
      </c>
      <c r="BB50" s="351"/>
      <c r="BC50" s="351"/>
      <c r="BD50" s="351">
        <v>2</v>
      </c>
      <c r="BE50" s="351"/>
      <c r="BF50" s="351"/>
      <c r="BG50" s="351"/>
      <c r="BH50" s="351"/>
      <c r="BI50" s="351"/>
      <c r="BJ50" s="351"/>
      <c r="BK50" s="352"/>
    </row>
    <row r="51" spans="1:63" s="71" customFormat="1" x14ac:dyDescent="0.25">
      <c r="A51" s="198" t="s">
        <v>833</v>
      </c>
      <c r="B51" s="397" t="e">
        <f t="shared" si="31"/>
        <v>#REF!</v>
      </c>
      <c r="C51" s="382" t="e">
        <f t="shared" si="32"/>
        <v>#REF!</v>
      </c>
      <c r="D51" s="68" t="e">
        <f t="shared" si="33"/>
        <v>#REF!</v>
      </c>
      <c r="E51" s="383" t="e">
        <f t="shared" si="34"/>
        <v>#REF!</v>
      </c>
      <c r="F51" s="382" t="e">
        <f t="shared" si="35"/>
        <v>#REF!</v>
      </c>
      <c r="G51" s="68" t="e">
        <f t="shared" si="36"/>
        <v>#REF!</v>
      </c>
      <c r="H51" s="384" t="e">
        <f t="shared" si="37"/>
        <v>#REF!</v>
      </c>
      <c r="I51" s="382" t="e">
        <f t="shared" si="38"/>
        <v>#REF!</v>
      </c>
      <c r="J51" s="68" t="e">
        <f t="shared" si="39"/>
        <v>#REF!</v>
      </c>
      <c r="K51" s="383" t="e">
        <f t="shared" si="40"/>
        <v>#REF!</v>
      </c>
      <c r="L51" s="382" t="e">
        <f t="shared" si="41"/>
        <v>#REF!</v>
      </c>
      <c r="M51" s="68" t="e">
        <f t="shared" si="42"/>
        <v>#REF!</v>
      </c>
      <c r="N51" s="384" t="e">
        <f t="shared" si="43"/>
        <v>#REF!</v>
      </c>
      <c r="O51" s="382" t="e">
        <f t="shared" si="44"/>
        <v>#REF!</v>
      </c>
      <c r="P51" s="68" t="e">
        <f t="shared" si="45"/>
        <v>#REF!</v>
      </c>
      <c r="Q51" s="383" t="e">
        <f t="shared" si="46"/>
        <v>#REF!</v>
      </c>
      <c r="R51" s="382" t="e">
        <f t="shared" si="47"/>
        <v>#REF!</v>
      </c>
      <c r="S51" s="68" t="e">
        <f t="shared" si="48"/>
        <v>#REF!</v>
      </c>
      <c r="T51" s="383" t="e">
        <f t="shared" si="49"/>
        <v>#REF!</v>
      </c>
      <c r="U51" s="382" t="e">
        <f t="shared" si="50"/>
        <v>#REF!</v>
      </c>
      <c r="V51" s="68" t="e">
        <f t="shared" si="51"/>
        <v>#REF!</v>
      </c>
      <c r="W51" s="383" t="e">
        <f t="shared" si="52"/>
        <v>#REF!</v>
      </c>
      <c r="X51" s="382" t="e">
        <f t="shared" si="53"/>
        <v>#REF!</v>
      </c>
      <c r="Y51" s="68" t="e">
        <f t="shared" si="54"/>
        <v>#REF!</v>
      </c>
      <c r="Z51" s="383" t="e">
        <f t="shared" si="55"/>
        <v>#REF!</v>
      </c>
      <c r="AA51" s="382" t="e">
        <f t="shared" si="56"/>
        <v>#REF!</v>
      </c>
      <c r="AB51" s="68" t="e">
        <f t="shared" si="57"/>
        <v>#REF!</v>
      </c>
      <c r="AC51" s="383" t="e">
        <f t="shared" si="58"/>
        <v>#REF!</v>
      </c>
      <c r="AD51" s="382" t="e">
        <f t="shared" si="59"/>
        <v>#REF!</v>
      </c>
      <c r="AE51" s="68" t="e">
        <f t="shared" si="60"/>
        <v>#REF!</v>
      </c>
      <c r="AF51" s="383" t="e">
        <f t="shared" si="61"/>
        <v>#REF!</v>
      </c>
      <c r="AH51" s="350"/>
      <c r="AI51" s="351">
        <v>2</v>
      </c>
      <c r="AJ51" s="351"/>
      <c r="AK51" s="351"/>
      <c r="AL51" s="351">
        <v>2</v>
      </c>
      <c r="AM51" s="351"/>
      <c r="AN51" s="351"/>
      <c r="AO51" s="351"/>
      <c r="AP51" s="351"/>
      <c r="AQ51" s="351"/>
      <c r="AR51" s="351"/>
      <c r="AS51" s="351"/>
      <c r="AT51" s="351"/>
      <c r="AU51" s="351">
        <v>2</v>
      </c>
      <c r="AV51" s="351"/>
      <c r="AW51" s="351"/>
      <c r="AX51" s="351">
        <v>2</v>
      </c>
      <c r="AY51" s="351"/>
      <c r="AZ51" s="351"/>
      <c r="BA51" s="351">
        <v>2</v>
      </c>
      <c r="BB51" s="351"/>
      <c r="BC51" s="351"/>
      <c r="BD51" s="351">
        <v>2</v>
      </c>
      <c r="BE51" s="351"/>
      <c r="BF51" s="351"/>
      <c r="BG51" s="351"/>
      <c r="BH51" s="351"/>
      <c r="BI51" s="351"/>
      <c r="BJ51" s="351"/>
      <c r="BK51" s="352"/>
    </row>
    <row r="52" spans="1:63" s="71" customFormat="1" x14ac:dyDescent="0.25">
      <c r="A52" s="198" t="s">
        <v>831</v>
      </c>
      <c r="B52" s="397" t="e">
        <f t="shared" si="31"/>
        <v>#REF!</v>
      </c>
      <c r="C52" s="382" t="e">
        <f t="shared" si="32"/>
        <v>#REF!</v>
      </c>
      <c r="D52" s="68" t="e">
        <f t="shared" si="33"/>
        <v>#REF!</v>
      </c>
      <c r="E52" s="383" t="e">
        <f t="shared" si="34"/>
        <v>#REF!</v>
      </c>
      <c r="F52" s="382" t="e">
        <f t="shared" si="35"/>
        <v>#REF!</v>
      </c>
      <c r="G52" s="68" t="e">
        <f t="shared" si="36"/>
        <v>#REF!</v>
      </c>
      <c r="H52" s="384" t="e">
        <f t="shared" si="37"/>
        <v>#REF!</v>
      </c>
      <c r="I52" s="382" t="e">
        <f t="shared" si="38"/>
        <v>#REF!</v>
      </c>
      <c r="J52" s="68" t="e">
        <f t="shared" si="39"/>
        <v>#REF!</v>
      </c>
      <c r="K52" s="383" t="e">
        <f t="shared" si="40"/>
        <v>#REF!</v>
      </c>
      <c r="L52" s="382" t="e">
        <f t="shared" si="41"/>
        <v>#REF!</v>
      </c>
      <c r="M52" s="68" t="e">
        <f t="shared" si="42"/>
        <v>#REF!</v>
      </c>
      <c r="N52" s="384" t="e">
        <f t="shared" si="43"/>
        <v>#REF!</v>
      </c>
      <c r="O52" s="382" t="e">
        <f t="shared" si="44"/>
        <v>#REF!</v>
      </c>
      <c r="P52" s="68" t="e">
        <f t="shared" si="45"/>
        <v>#REF!</v>
      </c>
      <c r="Q52" s="383" t="e">
        <f t="shared" si="46"/>
        <v>#REF!</v>
      </c>
      <c r="R52" s="382" t="e">
        <f t="shared" si="47"/>
        <v>#REF!</v>
      </c>
      <c r="S52" s="68" t="e">
        <f t="shared" si="48"/>
        <v>#REF!</v>
      </c>
      <c r="T52" s="383" t="e">
        <f t="shared" si="49"/>
        <v>#REF!</v>
      </c>
      <c r="U52" s="382" t="e">
        <f t="shared" si="50"/>
        <v>#REF!</v>
      </c>
      <c r="V52" s="68" t="e">
        <f t="shared" si="51"/>
        <v>#REF!</v>
      </c>
      <c r="W52" s="383" t="e">
        <f t="shared" si="52"/>
        <v>#REF!</v>
      </c>
      <c r="X52" s="382" t="e">
        <f t="shared" si="53"/>
        <v>#REF!</v>
      </c>
      <c r="Y52" s="68" t="e">
        <f t="shared" si="54"/>
        <v>#REF!</v>
      </c>
      <c r="Z52" s="383" t="e">
        <f t="shared" si="55"/>
        <v>#REF!</v>
      </c>
      <c r="AA52" s="382" t="e">
        <f t="shared" si="56"/>
        <v>#REF!</v>
      </c>
      <c r="AB52" s="68" t="e">
        <f t="shared" si="57"/>
        <v>#REF!</v>
      </c>
      <c r="AC52" s="383" t="e">
        <f t="shared" si="58"/>
        <v>#REF!</v>
      </c>
      <c r="AD52" s="382" t="e">
        <f t="shared" si="59"/>
        <v>#REF!</v>
      </c>
      <c r="AE52" s="68" t="e">
        <f t="shared" si="60"/>
        <v>#REF!</v>
      </c>
      <c r="AF52" s="383" t="e">
        <f t="shared" si="61"/>
        <v>#REF!</v>
      </c>
      <c r="AH52" s="350"/>
      <c r="AI52" s="351">
        <v>2</v>
      </c>
      <c r="AJ52" s="351"/>
      <c r="AK52" s="351"/>
      <c r="AL52" s="351">
        <v>2</v>
      </c>
      <c r="AM52" s="351"/>
      <c r="AN52" s="351"/>
      <c r="AO52" s="351"/>
      <c r="AP52" s="351"/>
      <c r="AQ52" s="351"/>
      <c r="AR52" s="351"/>
      <c r="AS52" s="351"/>
      <c r="AT52" s="351"/>
      <c r="AU52" s="351">
        <v>2</v>
      </c>
      <c r="AV52" s="351"/>
      <c r="AW52" s="351"/>
      <c r="AX52" s="351">
        <v>2</v>
      </c>
      <c r="AY52" s="351"/>
      <c r="AZ52" s="351"/>
      <c r="BA52" s="351">
        <v>2</v>
      </c>
      <c r="BB52" s="351"/>
      <c r="BC52" s="351"/>
      <c r="BD52" s="351">
        <v>2</v>
      </c>
      <c r="BE52" s="351"/>
      <c r="BF52" s="351"/>
      <c r="BG52" s="351"/>
      <c r="BH52" s="351"/>
      <c r="BI52" s="351"/>
      <c r="BJ52" s="351"/>
      <c r="BK52" s="352"/>
    </row>
    <row r="53" spans="1:63" s="71" customFormat="1" x14ac:dyDescent="0.25">
      <c r="A53" s="198" t="s">
        <v>832</v>
      </c>
      <c r="B53" s="397" t="e">
        <f t="shared" si="31"/>
        <v>#REF!</v>
      </c>
      <c r="C53" s="382" t="e">
        <f t="shared" si="32"/>
        <v>#REF!</v>
      </c>
      <c r="D53" s="68" t="e">
        <f t="shared" si="33"/>
        <v>#REF!</v>
      </c>
      <c r="E53" s="383" t="e">
        <f t="shared" si="34"/>
        <v>#REF!</v>
      </c>
      <c r="F53" s="382" t="e">
        <f t="shared" si="35"/>
        <v>#REF!</v>
      </c>
      <c r="G53" s="68" t="e">
        <f t="shared" si="36"/>
        <v>#REF!</v>
      </c>
      <c r="H53" s="384" t="e">
        <f t="shared" si="37"/>
        <v>#REF!</v>
      </c>
      <c r="I53" s="382" t="e">
        <f t="shared" si="38"/>
        <v>#REF!</v>
      </c>
      <c r="J53" s="68" t="e">
        <f t="shared" si="39"/>
        <v>#REF!</v>
      </c>
      <c r="K53" s="383" t="e">
        <f t="shared" si="40"/>
        <v>#REF!</v>
      </c>
      <c r="L53" s="382" t="e">
        <f t="shared" si="41"/>
        <v>#REF!</v>
      </c>
      <c r="M53" s="68" t="e">
        <f t="shared" si="42"/>
        <v>#REF!</v>
      </c>
      <c r="N53" s="384" t="e">
        <f t="shared" si="43"/>
        <v>#REF!</v>
      </c>
      <c r="O53" s="382" t="e">
        <f t="shared" si="44"/>
        <v>#REF!</v>
      </c>
      <c r="P53" s="68" t="e">
        <f t="shared" si="45"/>
        <v>#REF!</v>
      </c>
      <c r="Q53" s="383" t="e">
        <f t="shared" si="46"/>
        <v>#REF!</v>
      </c>
      <c r="R53" s="382" t="e">
        <f t="shared" si="47"/>
        <v>#REF!</v>
      </c>
      <c r="S53" s="68" t="e">
        <f t="shared" si="48"/>
        <v>#REF!</v>
      </c>
      <c r="T53" s="383" t="e">
        <f t="shared" si="49"/>
        <v>#REF!</v>
      </c>
      <c r="U53" s="382" t="e">
        <f t="shared" si="50"/>
        <v>#REF!</v>
      </c>
      <c r="V53" s="68" t="e">
        <f t="shared" si="51"/>
        <v>#REF!</v>
      </c>
      <c r="W53" s="383" t="e">
        <f t="shared" si="52"/>
        <v>#REF!</v>
      </c>
      <c r="X53" s="382" t="e">
        <f t="shared" si="53"/>
        <v>#REF!</v>
      </c>
      <c r="Y53" s="68" t="e">
        <f t="shared" si="54"/>
        <v>#REF!</v>
      </c>
      <c r="Z53" s="383" t="e">
        <f t="shared" si="55"/>
        <v>#REF!</v>
      </c>
      <c r="AA53" s="382" t="e">
        <f t="shared" si="56"/>
        <v>#REF!</v>
      </c>
      <c r="AB53" s="68" t="e">
        <f t="shared" si="57"/>
        <v>#REF!</v>
      </c>
      <c r="AC53" s="383" t="e">
        <f t="shared" si="58"/>
        <v>#REF!</v>
      </c>
      <c r="AD53" s="382" t="e">
        <f t="shared" si="59"/>
        <v>#REF!</v>
      </c>
      <c r="AE53" s="68" t="e">
        <f t="shared" si="60"/>
        <v>#REF!</v>
      </c>
      <c r="AF53" s="383" t="e">
        <f t="shared" si="61"/>
        <v>#REF!</v>
      </c>
      <c r="AH53" s="350"/>
      <c r="AI53" s="351">
        <v>2</v>
      </c>
      <c r="AJ53" s="351"/>
      <c r="AK53" s="351"/>
      <c r="AL53" s="351">
        <v>2</v>
      </c>
      <c r="AM53" s="351"/>
      <c r="AN53" s="351"/>
      <c r="AO53" s="351"/>
      <c r="AP53" s="351"/>
      <c r="AQ53" s="351"/>
      <c r="AR53" s="351"/>
      <c r="AS53" s="351"/>
      <c r="AT53" s="351"/>
      <c r="AU53" s="351">
        <v>2</v>
      </c>
      <c r="AV53" s="351"/>
      <c r="AW53" s="351"/>
      <c r="AX53" s="351">
        <v>2</v>
      </c>
      <c r="AY53" s="351"/>
      <c r="AZ53" s="351"/>
      <c r="BA53" s="351">
        <v>2</v>
      </c>
      <c r="BB53" s="351"/>
      <c r="BC53" s="351"/>
      <c r="BD53" s="351">
        <v>2</v>
      </c>
      <c r="BE53" s="351"/>
      <c r="BF53" s="351"/>
      <c r="BG53" s="351"/>
      <c r="BH53" s="351"/>
      <c r="BI53" s="351"/>
      <c r="BJ53" s="351"/>
      <c r="BK53" s="352"/>
    </row>
    <row r="54" spans="1:63" s="71" customFormat="1" x14ac:dyDescent="0.25">
      <c r="A54" s="198" t="s">
        <v>841</v>
      </c>
      <c r="B54" s="397" t="e">
        <f t="shared" si="31"/>
        <v>#REF!</v>
      </c>
      <c r="C54" s="382" t="e">
        <f t="shared" si="32"/>
        <v>#REF!</v>
      </c>
      <c r="D54" s="68" t="e">
        <f t="shared" si="33"/>
        <v>#REF!</v>
      </c>
      <c r="E54" s="383" t="e">
        <f t="shared" si="34"/>
        <v>#REF!</v>
      </c>
      <c r="F54" s="382" t="e">
        <f t="shared" si="35"/>
        <v>#REF!</v>
      </c>
      <c r="G54" s="68" t="e">
        <f t="shared" si="36"/>
        <v>#REF!</v>
      </c>
      <c r="H54" s="384" t="e">
        <f t="shared" si="37"/>
        <v>#REF!</v>
      </c>
      <c r="I54" s="382" t="e">
        <f t="shared" si="38"/>
        <v>#REF!</v>
      </c>
      <c r="J54" s="68" t="e">
        <f t="shared" si="39"/>
        <v>#REF!</v>
      </c>
      <c r="K54" s="383" t="e">
        <f t="shared" si="40"/>
        <v>#REF!</v>
      </c>
      <c r="L54" s="382" t="e">
        <f t="shared" si="41"/>
        <v>#REF!</v>
      </c>
      <c r="M54" s="68" t="e">
        <f t="shared" si="42"/>
        <v>#REF!</v>
      </c>
      <c r="N54" s="384" t="e">
        <f t="shared" si="43"/>
        <v>#REF!</v>
      </c>
      <c r="O54" s="382" t="e">
        <f t="shared" si="44"/>
        <v>#REF!</v>
      </c>
      <c r="P54" s="68" t="e">
        <f t="shared" si="45"/>
        <v>#REF!</v>
      </c>
      <c r="Q54" s="383" t="e">
        <f t="shared" si="46"/>
        <v>#REF!</v>
      </c>
      <c r="R54" s="382" t="e">
        <f t="shared" si="47"/>
        <v>#REF!</v>
      </c>
      <c r="S54" s="68" t="e">
        <f t="shared" si="48"/>
        <v>#REF!</v>
      </c>
      <c r="T54" s="383" t="e">
        <f t="shared" si="49"/>
        <v>#REF!</v>
      </c>
      <c r="U54" s="382" t="e">
        <f t="shared" si="50"/>
        <v>#REF!</v>
      </c>
      <c r="V54" s="68" t="e">
        <f t="shared" si="51"/>
        <v>#REF!</v>
      </c>
      <c r="W54" s="383" t="e">
        <f t="shared" si="52"/>
        <v>#REF!</v>
      </c>
      <c r="X54" s="382" t="e">
        <f t="shared" si="53"/>
        <v>#REF!</v>
      </c>
      <c r="Y54" s="68" t="e">
        <f t="shared" si="54"/>
        <v>#REF!</v>
      </c>
      <c r="Z54" s="383" t="e">
        <f t="shared" si="55"/>
        <v>#REF!</v>
      </c>
      <c r="AA54" s="382" t="e">
        <f t="shared" si="56"/>
        <v>#REF!</v>
      </c>
      <c r="AB54" s="68" t="e">
        <f t="shared" si="57"/>
        <v>#REF!</v>
      </c>
      <c r="AC54" s="383" t="e">
        <f t="shared" si="58"/>
        <v>#REF!</v>
      </c>
      <c r="AD54" s="382" t="e">
        <f t="shared" si="59"/>
        <v>#REF!</v>
      </c>
      <c r="AE54" s="68" t="e">
        <f t="shared" si="60"/>
        <v>#REF!</v>
      </c>
      <c r="AF54" s="383" t="e">
        <f t="shared" si="61"/>
        <v>#REF!</v>
      </c>
      <c r="AH54" s="350"/>
      <c r="AI54" s="351">
        <v>1</v>
      </c>
      <c r="AJ54" s="351"/>
      <c r="AK54" s="351"/>
      <c r="AL54" s="351">
        <v>1</v>
      </c>
      <c r="AM54" s="351"/>
      <c r="AN54" s="351"/>
      <c r="AO54" s="351"/>
      <c r="AP54" s="351"/>
      <c r="AQ54" s="351"/>
      <c r="AR54" s="351"/>
      <c r="AS54" s="351"/>
      <c r="AT54" s="351"/>
      <c r="AU54" s="351">
        <v>1</v>
      </c>
      <c r="AV54" s="351"/>
      <c r="AW54" s="351"/>
      <c r="AX54" s="351">
        <v>1</v>
      </c>
      <c r="AY54" s="351"/>
      <c r="AZ54" s="351"/>
      <c r="BA54" s="351">
        <v>1</v>
      </c>
      <c r="BB54" s="351"/>
      <c r="BC54" s="351"/>
      <c r="BD54" s="351">
        <v>1</v>
      </c>
      <c r="BE54" s="351"/>
      <c r="BF54" s="351"/>
      <c r="BG54" s="351">
        <v>1</v>
      </c>
      <c r="BH54" s="351"/>
      <c r="BI54" s="351"/>
      <c r="BJ54" s="351">
        <v>1</v>
      </c>
      <c r="BK54" s="352"/>
    </row>
    <row r="55" spans="1:63" s="71" customFormat="1" x14ac:dyDescent="0.25">
      <c r="A55" s="198" t="s">
        <v>313</v>
      </c>
      <c r="B55" s="397" t="e">
        <f t="shared" si="31"/>
        <v>#REF!</v>
      </c>
      <c r="C55" s="382" t="e">
        <f t="shared" si="32"/>
        <v>#REF!</v>
      </c>
      <c r="D55" s="68" t="e">
        <f t="shared" si="33"/>
        <v>#REF!</v>
      </c>
      <c r="E55" s="383" t="e">
        <f t="shared" si="34"/>
        <v>#REF!</v>
      </c>
      <c r="F55" s="382" t="e">
        <f t="shared" si="35"/>
        <v>#REF!</v>
      </c>
      <c r="G55" s="68" t="e">
        <f t="shared" si="36"/>
        <v>#REF!</v>
      </c>
      <c r="H55" s="384" t="e">
        <f t="shared" si="37"/>
        <v>#REF!</v>
      </c>
      <c r="I55" s="382" t="e">
        <f t="shared" si="38"/>
        <v>#REF!</v>
      </c>
      <c r="J55" s="68" t="e">
        <f t="shared" si="39"/>
        <v>#REF!</v>
      </c>
      <c r="K55" s="383" t="e">
        <f t="shared" si="40"/>
        <v>#REF!</v>
      </c>
      <c r="L55" s="382" t="e">
        <f t="shared" si="41"/>
        <v>#REF!</v>
      </c>
      <c r="M55" s="68" t="e">
        <f t="shared" si="42"/>
        <v>#REF!</v>
      </c>
      <c r="N55" s="384" t="e">
        <f t="shared" si="43"/>
        <v>#REF!</v>
      </c>
      <c r="O55" s="382" t="e">
        <f t="shared" si="44"/>
        <v>#REF!</v>
      </c>
      <c r="P55" s="68" t="e">
        <f t="shared" si="45"/>
        <v>#REF!</v>
      </c>
      <c r="Q55" s="383" t="e">
        <f t="shared" si="46"/>
        <v>#REF!</v>
      </c>
      <c r="R55" s="382" t="e">
        <f t="shared" si="47"/>
        <v>#REF!</v>
      </c>
      <c r="S55" s="68" t="e">
        <f t="shared" si="48"/>
        <v>#REF!</v>
      </c>
      <c r="T55" s="383" t="e">
        <f t="shared" si="49"/>
        <v>#REF!</v>
      </c>
      <c r="U55" s="382" t="e">
        <f t="shared" si="50"/>
        <v>#REF!</v>
      </c>
      <c r="V55" s="68" t="e">
        <f t="shared" si="51"/>
        <v>#REF!</v>
      </c>
      <c r="W55" s="383" t="e">
        <f t="shared" si="52"/>
        <v>#REF!</v>
      </c>
      <c r="X55" s="382" t="e">
        <f t="shared" si="53"/>
        <v>#REF!</v>
      </c>
      <c r="Y55" s="68" t="e">
        <f t="shared" si="54"/>
        <v>#REF!</v>
      </c>
      <c r="Z55" s="383" t="e">
        <f t="shared" si="55"/>
        <v>#REF!</v>
      </c>
      <c r="AA55" s="382" t="e">
        <f t="shared" si="56"/>
        <v>#REF!</v>
      </c>
      <c r="AB55" s="68" t="e">
        <f t="shared" si="57"/>
        <v>#REF!</v>
      </c>
      <c r="AC55" s="383" t="e">
        <f t="shared" si="58"/>
        <v>#REF!</v>
      </c>
      <c r="AD55" s="382" t="e">
        <f t="shared" si="59"/>
        <v>#REF!</v>
      </c>
      <c r="AE55" s="68" t="e">
        <f t="shared" si="60"/>
        <v>#REF!</v>
      </c>
      <c r="AF55" s="383" t="e">
        <f t="shared" si="61"/>
        <v>#REF!</v>
      </c>
      <c r="AH55" s="350"/>
      <c r="AI55" s="351">
        <v>1</v>
      </c>
      <c r="AJ55" s="351"/>
      <c r="AK55" s="351"/>
      <c r="AL55" s="351">
        <v>1</v>
      </c>
      <c r="AM55" s="351"/>
      <c r="AN55" s="351"/>
      <c r="AO55" s="351"/>
      <c r="AP55" s="351"/>
      <c r="AQ55" s="351"/>
      <c r="AR55" s="351"/>
      <c r="AS55" s="351"/>
      <c r="AT55" s="351"/>
      <c r="AU55" s="351">
        <v>1</v>
      </c>
      <c r="AV55" s="351"/>
      <c r="AW55" s="351"/>
      <c r="AX55" s="351">
        <v>1</v>
      </c>
      <c r="AY55" s="351"/>
      <c r="AZ55" s="351"/>
      <c r="BA55" s="351"/>
      <c r="BB55" s="351">
        <v>1</v>
      </c>
      <c r="BC55" s="351"/>
      <c r="BD55" s="351"/>
      <c r="BE55" s="351">
        <v>1</v>
      </c>
      <c r="BF55" s="351"/>
      <c r="BG55" s="351"/>
      <c r="BH55" s="351">
        <v>1</v>
      </c>
      <c r="BI55" s="351"/>
      <c r="BJ55" s="351"/>
      <c r="BK55" s="352">
        <v>1</v>
      </c>
    </row>
    <row r="56" spans="1:63" s="71" customFormat="1" x14ac:dyDescent="0.25">
      <c r="A56" s="198" t="s">
        <v>43</v>
      </c>
      <c r="B56" s="397" t="e">
        <f t="shared" si="31"/>
        <v>#REF!</v>
      </c>
      <c r="C56" s="382" t="e">
        <f t="shared" si="32"/>
        <v>#REF!</v>
      </c>
      <c r="D56" s="68" t="e">
        <f t="shared" si="33"/>
        <v>#REF!</v>
      </c>
      <c r="E56" s="383" t="e">
        <f t="shared" si="34"/>
        <v>#REF!</v>
      </c>
      <c r="F56" s="382" t="e">
        <f t="shared" si="35"/>
        <v>#REF!</v>
      </c>
      <c r="G56" s="68" t="e">
        <f t="shared" si="36"/>
        <v>#REF!</v>
      </c>
      <c r="H56" s="384" t="e">
        <f t="shared" si="37"/>
        <v>#REF!</v>
      </c>
      <c r="I56" s="382" t="e">
        <f t="shared" si="38"/>
        <v>#REF!</v>
      </c>
      <c r="J56" s="68" t="e">
        <f t="shared" si="39"/>
        <v>#REF!</v>
      </c>
      <c r="K56" s="383" t="e">
        <f t="shared" si="40"/>
        <v>#REF!</v>
      </c>
      <c r="L56" s="382" t="e">
        <f t="shared" si="41"/>
        <v>#REF!</v>
      </c>
      <c r="M56" s="68" t="e">
        <f t="shared" si="42"/>
        <v>#REF!</v>
      </c>
      <c r="N56" s="384" t="e">
        <f t="shared" si="43"/>
        <v>#REF!</v>
      </c>
      <c r="O56" s="382" t="e">
        <f t="shared" si="44"/>
        <v>#REF!</v>
      </c>
      <c r="P56" s="68" t="e">
        <f t="shared" si="45"/>
        <v>#REF!</v>
      </c>
      <c r="Q56" s="383" t="e">
        <f t="shared" si="46"/>
        <v>#REF!</v>
      </c>
      <c r="R56" s="382" t="e">
        <f t="shared" si="47"/>
        <v>#REF!</v>
      </c>
      <c r="S56" s="68" t="e">
        <f t="shared" si="48"/>
        <v>#REF!</v>
      </c>
      <c r="T56" s="383" t="e">
        <f t="shared" si="49"/>
        <v>#REF!</v>
      </c>
      <c r="U56" s="382" t="e">
        <f t="shared" si="50"/>
        <v>#REF!</v>
      </c>
      <c r="V56" s="68" t="e">
        <f t="shared" si="51"/>
        <v>#REF!</v>
      </c>
      <c r="W56" s="383" t="e">
        <f t="shared" si="52"/>
        <v>#REF!</v>
      </c>
      <c r="X56" s="382" t="e">
        <f t="shared" si="53"/>
        <v>#REF!</v>
      </c>
      <c r="Y56" s="68" t="e">
        <f t="shared" si="54"/>
        <v>#REF!</v>
      </c>
      <c r="Z56" s="383" t="e">
        <f t="shared" si="55"/>
        <v>#REF!</v>
      </c>
      <c r="AA56" s="382" t="e">
        <f t="shared" si="56"/>
        <v>#REF!</v>
      </c>
      <c r="AB56" s="68" t="e">
        <f t="shared" si="57"/>
        <v>#REF!</v>
      </c>
      <c r="AC56" s="383" t="e">
        <f t="shared" si="58"/>
        <v>#REF!</v>
      </c>
      <c r="AD56" s="382" t="e">
        <f t="shared" si="59"/>
        <v>#REF!</v>
      </c>
      <c r="AE56" s="68" t="e">
        <f t="shared" si="60"/>
        <v>#REF!</v>
      </c>
      <c r="AF56" s="383" t="e">
        <f t="shared" si="61"/>
        <v>#REF!</v>
      </c>
      <c r="AH56" s="350"/>
      <c r="AI56" s="351"/>
      <c r="AJ56" s="351"/>
      <c r="AK56" s="351"/>
      <c r="AL56" s="351"/>
      <c r="AM56" s="351"/>
      <c r="AN56" s="351"/>
      <c r="AO56" s="351"/>
      <c r="AP56" s="351"/>
      <c r="AQ56" s="351"/>
      <c r="AR56" s="351"/>
      <c r="AS56" s="351"/>
      <c r="AT56" s="351"/>
      <c r="AU56" s="351"/>
      <c r="AV56" s="351"/>
      <c r="AW56" s="351"/>
      <c r="AX56" s="351"/>
      <c r="AY56" s="351"/>
      <c r="AZ56" s="351"/>
      <c r="BA56" s="351"/>
      <c r="BB56" s="351"/>
      <c r="BC56" s="351"/>
      <c r="BD56" s="351"/>
      <c r="BE56" s="351"/>
      <c r="BF56" s="351"/>
      <c r="BG56" s="351"/>
      <c r="BH56" s="351"/>
      <c r="BI56" s="351"/>
      <c r="BJ56" s="351"/>
      <c r="BK56" s="352"/>
    </row>
    <row r="57" spans="1:63" s="71" customFormat="1" x14ac:dyDescent="0.25">
      <c r="A57" s="200" t="s">
        <v>27</v>
      </c>
      <c r="B57" s="67" t="str">
        <f t="shared" si="31"/>
        <v/>
      </c>
      <c r="C57" s="389" t="str">
        <f t="shared" si="32"/>
        <v/>
      </c>
      <c r="D57" s="68" t="str">
        <f t="shared" si="33"/>
        <v/>
      </c>
      <c r="E57" s="391" t="str">
        <f t="shared" si="34"/>
        <v/>
      </c>
      <c r="F57" s="389" t="str">
        <f t="shared" si="35"/>
        <v/>
      </c>
      <c r="G57" s="390" t="str">
        <f t="shared" si="36"/>
        <v/>
      </c>
      <c r="H57" s="392" t="str">
        <f t="shared" si="37"/>
        <v/>
      </c>
      <c r="I57" s="389" t="str">
        <f t="shared" si="38"/>
        <v/>
      </c>
      <c r="J57" s="390" t="str">
        <f t="shared" si="39"/>
        <v/>
      </c>
      <c r="K57" s="391" t="str">
        <f t="shared" si="40"/>
        <v/>
      </c>
      <c r="L57" s="389" t="str">
        <f t="shared" si="41"/>
        <v/>
      </c>
      <c r="M57" s="390" t="str">
        <f t="shared" si="42"/>
        <v/>
      </c>
      <c r="N57" s="392" t="str">
        <f t="shared" si="43"/>
        <v/>
      </c>
      <c r="O57" s="389" t="str">
        <f t="shared" si="44"/>
        <v/>
      </c>
      <c r="P57" s="390" t="str">
        <f t="shared" si="45"/>
        <v/>
      </c>
      <c r="Q57" s="391" t="str">
        <f t="shared" si="46"/>
        <v/>
      </c>
      <c r="R57" s="389" t="str">
        <f t="shared" si="47"/>
        <v/>
      </c>
      <c r="S57" s="390" t="str">
        <f t="shared" si="48"/>
        <v/>
      </c>
      <c r="T57" s="391" t="str">
        <f t="shared" si="49"/>
        <v/>
      </c>
      <c r="U57" s="389" t="str">
        <f t="shared" si="50"/>
        <v/>
      </c>
      <c r="V57" s="390" t="str">
        <f t="shared" si="51"/>
        <v/>
      </c>
      <c r="W57" s="391" t="str">
        <f t="shared" si="52"/>
        <v/>
      </c>
      <c r="X57" s="389" t="str">
        <f t="shared" si="53"/>
        <v/>
      </c>
      <c r="Y57" s="390" t="str">
        <f t="shared" si="54"/>
        <v/>
      </c>
      <c r="Z57" s="391" t="str">
        <f t="shared" si="55"/>
        <v/>
      </c>
      <c r="AA57" s="389" t="str">
        <f t="shared" si="56"/>
        <v/>
      </c>
      <c r="AB57" s="390" t="str">
        <f t="shared" si="57"/>
        <v/>
      </c>
      <c r="AC57" s="391" t="str">
        <f t="shared" si="58"/>
        <v/>
      </c>
      <c r="AD57" s="389" t="str">
        <f t="shared" si="59"/>
        <v/>
      </c>
      <c r="AE57" s="390" t="str">
        <f t="shared" si="60"/>
        <v/>
      </c>
      <c r="AF57" s="391" t="str">
        <f t="shared" si="61"/>
        <v/>
      </c>
      <c r="AH57" s="356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357"/>
      <c r="AY57" s="357"/>
      <c r="AZ57" s="357"/>
      <c r="BA57" s="357"/>
      <c r="BB57" s="357"/>
      <c r="BC57" s="357"/>
      <c r="BD57" s="357"/>
      <c r="BE57" s="357"/>
      <c r="BF57" s="357"/>
      <c r="BG57" s="357"/>
      <c r="BH57" s="357"/>
      <c r="BI57" s="357"/>
      <c r="BJ57" s="357"/>
      <c r="BK57" s="358"/>
    </row>
    <row r="58" spans="1:63" s="71" customFormat="1" x14ac:dyDescent="0.25">
      <c r="A58" s="198" t="s">
        <v>44</v>
      </c>
      <c r="B58" s="397" t="e">
        <f t="shared" si="31"/>
        <v>#REF!</v>
      </c>
      <c r="C58" s="382" t="e">
        <f t="shared" si="32"/>
        <v>#REF!</v>
      </c>
      <c r="D58" s="68" t="e">
        <f t="shared" si="33"/>
        <v>#REF!</v>
      </c>
      <c r="E58" s="383" t="e">
        <f t="shared" si="34"/>
        <v>#REF!</v>
      </c>
      <c r="F58" s="382" t="e">
        <f t="shared" si="35"/>
        <v>#REF!</v>
      </c>
      <c r="G58" s="68" t="e">
        <f t="shared" si="36"/>
        <v>#REF!</v>
      </c>
      <c r="H58" s="384" t="e">
        <f t="shared" si="37"/>
        <v>#REF!</v>
      </c>
      <c r="I58" s="382" t="e">
        <f t="shared" si="38"/>
        <v>#REF!</v>
      </c>
      <c r="J58" s="68" t="e">
        <f t="shared" si="39"/>
        <v>#REF!</v>
      </c>
      <c r="K58" s="383" t="e">
        <f t="shared" si="40"/>
        <v>#REF!</v>
      </c>
      <c r="L58" s="382" t="e">
        <f t="shared" si="41"/>
        <v>#REF!</v>
      </c>
      <c r="M58" s="68" t="e">
        <f t="shared" si="42"/>
        <v>#REF!</v>
      </c>
      <c r="N58" s="384" t="e">
        <f t="shared" si="43"/>
        <v>#REF!</v>
      </c>
      <c r="O58" s="382" t="e">
        <f t="shared" si="44"/>
        <v>#REF!</v>
      </c>
      <c r="P58" s="68" t="e">
        <f t="shared" si="45"/>
        <v>#REF!</v>
      </c>
      <c r="Q58" s="383" t="e">
        <f t="shared" si="46"/>
        <v>#REF!</v>
      </c>
      <c r="R58" s="382" t="e">
        <f t="shared" si="47"/>
        <v>#REF!</v>
      </c>
      <c r="S58" s="68" t="e">
        <f t="shared" si="48"/>
        <v>#REF!</v>
      </c>
      <c r="T58" s="383" t="e">
        <f t="shared" si="49"/>
        <v>#REF!</v>
      </c>
      <c r="U58" s="382" t="e">
        <f t="shared" si="50"/>
        <v>#REF!</v>
      </c>
      <c r="V58" s="68" t="e">
        <f t="shared" si="51"/>
        <v>#REF!</v>
      </c>
      <c r="W58" s="383" t="e">
        <f t="shared" si="52"/>
        <v>#REF!</v>
      </c>
      <c r="X58" s="382" t="e">
        <f t="shared" si="53"/>
        <v>#REF!</v>
      </c>
      <c r="Y58" s="68" t="e">
        <f t="shared" si="54"/>
        <v>#REF!</v>
      </c>
      <c r="Z58" s="383" t="e">
        <f t="shared" si="55"/>
        <v>#REF!</v>
      </c>
      <c r="AA58" s="382" t="e">
        <f t="shared" si="56"/>
        <v>#REF!</v>
      </c>
      <c r="AB58" s="68" t="e">
        <f t="shared" si="57"/>
        <v>#REF!</v>
      </c>
      <c r="AC58" s="383" t="e">
        <f t="shared" si="58"/>
        <v>#REF!</v>
      </c>
      <c r="AD58" s="382" t="e">
        <f t="shared" si="59"/>
        <v>#REF!</v>
      </c>
      <c r="AE58" s="68" t="e">
        <f t="shared" si="60"/>
        <v>#REF!</v>
      </c>
      <c r="AF58" s="383" t="e">
        <f t="shared" si="61"/>
        <v>#REF!</v>
      </c>
      <c r="AH58" s="350"/>
      <c r="AI58" s="351"/>
      <c r="AJ58" s="351"/>
      <c r="AK58" s="351">
        <v>1</v>
      </c>
      <c r="AL58" s="351"/>
      <c r="AM58" s="351"/>
      <c r="AN58" s="351"/>
      <c r="AO58" s="351"/>
      <c r="AP58" s="351"/>
      <c r="AQ58" s="351"/>
      <c r="AR58" s="351"/>
      <c r="AS58" s="351"/>
      <c r="AT58" s="351"/>
      <c r="AU58" s="351"/>
      <c r="AV58" s="351"/>
      <c r="AW58" s="351"/>
      <c r="AX58" s="351"/>
      <c r="AY58" s="351"/>
      <c r="AZ58" s="351"/>
      <c r="BA58" s="351"/>
      <c r="BB58" s="351"/>
      <c r="BC58" s="351"/>
      <c r="BD58" s="351"/>
      <c r="BE58" s="351"/>
      <c r="BF58" s="351"/>
      <c r="BG58" s="351"/>
      <c r="BH58" s="351"/>
      <c r="BI58" s="351"/>
      <c r="BJ58" s="351"/>
      <c r="BK58" s="352"/>
    </row>
    <row r="59" spans="1:63" s="71" customFormat="1" x14ac:dyDescent="0.25">
      <c r="A59" s="198" t="s">
        <v>937</v>
      </c>
      <c r="B59" s="397" t="e">
        <f t="shared" si="31"/>
        <v>#REF!</v>
      </c>
      <c r="C59" s="382" t="e">
        <f t="shared" si="32"/>
        <v>#REF!</v>
      </c>
      <c r="D59" s="68" t="e">
        <f t="shared" si="33"/>
        <v>#REF!</v>
      </c>
      <c r="E59" s="383" t="e">
        <f t="shared" si="34"/>
        <v>#REF!</v>
      </c>
      <c r="F59" s="382" t="e">
        <f t="shared" si="35"/>
        <v>#REF!</v>
      </c>
      <c r="G59" s="68" t="e">
        <f t="shared" si="36"/>
        <v>#REF!</v>
      </c>
      <c r="H59" s="384" t="e">
        <f t="shared" si="37"/>
        <v>#REF!</v>
      </c>
      <c r="I59" s="382" t="e">
        <f t="shared" si="38"/>
        <v>#REF!</v>
      </c>
      <c r="J59" s="68" t="e">
        <f t="shared" si="39"/>
        <v>#REF!</v>
      </c>
      <c r="K59" s="383" t="e">
        <f t="shared" si="40"/>
        <v>#REF!</v>
      </c>
      <c r="L59" s="382" t="e">
        <f t="shared" si="41"/>
        <v>#REF!</v>
      </c>
      <c r="M59" s="68" t="e">
        <f t="shared" si="42"/>
        <v>#REF!</v>
      </c>
      <c r="N59" s="384" t="e">
        <f t="shared" si="43"/>
        <v>#REF!</v>
      </c>
      <c r="O59" s="382" t="e">
        <f t="shared" si="44"/>
        <v>#REF!</v>
      </c>
      <c r="P59" s="68" t="e">
        <f t="shared" si="45"/>
        <v>#REF!</v>
      </c>
      <c r="Q59" s="383" t="e">
        <f t="shared" si="46"/>
        <v>#REF!</v>
      </c>
      <c r="R59" s="382" t="e">
        <f t="shared" si="47"/>
        <v>#REF!</v>
      </c>
      <c r="S59" s="68" t="e">
        <f t="shared" si="48"/>
        <v>#REF!</v>
      </c>
      <c r="T59" s="383" t="e">
        <f t="shared" si="49"/>
        <v>#REF!</v>
      </c>
      <c r="U59" s="382" t="e">
        <f t="shared" si="50"/>
        <v>#REF!</v>
      </c>
      <c r="V59" s="68" t="e">
        <f t="shared" si="51"/>
        <v>#REF!</v>
      </c>
      <c r="W59" s="383" t="e">
        <f t="shared" si="52"/>
        <v>#REF!</v>
      </c>
      <c r="X59" s="382" t="e">
        <f t="shared" si="53"/>
        <v>#REF!</v>
      </c>
      <c r="Y59" s="68" t="e">
        <f t="shared" si="54"/>
        <v>#REF!</v>
      </c>
      <c r="Z59" s="383" t="e">
        <f t="shared" si="55"/>
        <v>#REF!</v>
      </c>
      <c r="AA59" s="382" t="e">
        <f t="shared" si="56"/>
        <v>#REF!</v>
      </c>
      <c r="AB59" s="68" t="e">
        <f t="shared" si="57"/>
        <v>#REF!</v>
      </c>
      <c r="AC59" s="383" t="e">
        <f t="shared" si="58"/>
        <v>#REF!</v>
      </c>
      <c r="AD59" s="382" t="e">
        <f t="shared" si="59"/>
        <v>#REF!</v>
      </c>
      <c r="AE59" s="68" t="e">
        <f t="shared" si="60"/>
        <v>#REF!</v>
      </c>
      <c r="AF59" s="383" t="e">
        <f t="shared" si="61"/>
        <v>#REF!</v>
      </c>
      <c r="AH59" s="350"/>
      <c r="AI59" s="351"/>
      <c r="AJ59" s="351"/>
      <c r="AK59" s="351">
        <v>1</v>
      </c>
      <c r="AL59" s="351"/>
      <c r="AM59" s="351"/>
      <c r="AN59" s="351"/>
      <c r="AO59" s="351"/>
      <c r="AP59" s="351"/>
      <c r="AQ59" s="351"/>
      <c r="AR59" s="351"/>
      <c r="AS59" s="351"/>
      <c r="AT59" s="351"/>
      <c r="AU59" s="351"/>
      <c r="AV59" s="351"/>
      <c r="AW59" s="351"/>
      <c r="AX59" s="351"/>
      <c r="AY59" s="351"/>
      <c r="AZ59" s="351"/>
      <c r="BA59" s="351"/>
      <c r="BB59" s="351"/>
      <c r="BC59" s="351"/>
      <c r="BD59" s="351"/>
      <c r="BE59" s="351"/>
      <c r="BF59" s="351"/>
      <c r="BG59" s="351"/>
      <c r="BH59" s="351"/>
      <c r="BI59" s="351"/>
      <c r="BJ59" s="351"/>
      <c r="BK59" s="352"/>
    </row>
    <row r="60" spans="1:63" s="71" customFormat="1" x14ac:dyDescent="0.25">
      <c r="A60" s="198" t="s">
        <v>45</v>
      </c>
      <c r="B60" s="397" t="e">
        <f t="shared" si="31"/>
        <v>#REF!</v>
      </c>
      <c r="C60" s="382" t="e">
        <f t="shared" si="32"/>
        <v>#REF!</v>
      </c>
      <c r="D60" s="68" t="e">
        <f t="shared" si="33"/>
        <v>#REF!</v>
      </c>
      <c r="E60" s="383" t="e">
        <f t="shared" si="34"/>
        <v>#REF!</v>
      </c>
      <c r="F60" s="382" t="e">
        <f t="shared" si="35"/>
        <v>#REF!</v>
      </c>
      <c r="G60" s="68" t="e">
        <f t="shared" si="36"/>
        <v>#REF!</v>
      </c>
      <c r="H60" s="384" t="e">
        <f t="shared" si="37"/>
        <v>#REF!</v>
      </c>
      <c r="I60" s="382" t="e">
        <f t="shared" si="38"/>
        <v>#REF!</v>
      </c>
      <c r="J60" s="68" t="e">
        <f t="shared" si="39"/>
        <v>#REF!</v>
      </c>
      <c r="K60" s="383" t="e">
        <f t="shared" si="40"/>
        <v>#REF!</v>
      </c>
      <c r="L60" s="382" t="e">
        <f t="shared" si="41"/>
        <v>#REF!</v>
      </c>
      <c r="M60" s="68" t="e">
        <f t="shared" si="42"/>
        <v>#REF!</v>
      </c>
      <c r="N60" s="384" t="e">
        <f t="shared" si="43"/>
        <v>#REF!</v>
      </c>
      <c r="O60" s="382" t="e">
        <f t="shared" si="44"/>
        <v>#REF!</v>
      </c>
      <c r="P60" s="68" t="e">
        <f t="shared" si="45"/>
        <v>#REF!</v>
      </c>
      <c r="Q60" s="383" t="e">
        <f t="shared" si="46"/>
        <v>#REF!</v>
      </c>
      <c r="R60" s="382" t="e">
        <f t="shared" si="47"/>
        <v>#REF!</v>
      </c>
      <c r="S60" s="68" t="e">
        <f t="shared" si="48"/>
        <v>#REF!</v>
      </c>
      <c r="T60" s="383" t="e">
        <f t="shared" si="49"/>
        <v>#REF!</v>
      </c>
      <c r="U60" s="382" t="e">
        <f t="shared" si="50"/>
        <v>#REF!</v>
      </c>
      <c r="V60" s="68" t="e">
        <f t="shared" si="51"/>
        <v>#REF!</v>
      </c>
      <c r="W60" s="383" t="e">
        <f t="shared" si="52"/>
        <v>#REF!</v>
      </c>
      <c r="X60" s="382" t="e">
        <f t="shared" si="53"/>
        <v>#REF!</v>
      </c>
      <c r="Y60" s="68" t="e">
        <f t="shared" si="54"/>
        <v>#REF!</v>
      </c>
      <c r="Z60" s="383" t="e">
        <f t="shared" si="55"/>
        <v>#REF!</v>
      </c>
      <c r="AA60" s="382" t="e">
        <f t="shared" si="56"/>
        <v>#REF!</v>
      </c>
      <c r="AB60" s="68" t="e">
        <f t="shared" si="57"/>
        <v>#REF!</v>
      </c>
      <c r="AC60" s="383" t="e">
        <f t="shared" si="58"/>
        <v>#REF!</v>
      </c>
      <c r="AD60" s="382" t="e">
        <f t="shared" si="59"/>
        <v>#REF!</v>
      </c>
      <c r="AE60" s="68" t="e">
        <f t="shared" si="60"/>
        <v>#REF!</v>
      </c>
      <c r="AF60" s="383" t="e">
        <f t="shared" si="61"/>
        <v>#REF!</v>
      </c>
      <c r="AH60" s="350"/>
      <c r="AI60" s="351"/>
      <c r="AJ60" s="351"/>
      <c r="AK60" s="351">
        <v>1</v>
      </c>
      <c r="AL60" s="351"/>
      <c r="AM60" s="351"/>
      <c r="AN60" s="351"/>
      <c r="AO60" s="351"/>
      <c r="AP60" s="351"/>
      <c r="AQ60" s="351"/>
      <c r="AR60" s="351"/>
      <c r="AS60" s="351"/>
      <c r="AT60" s="351"/>
      <c r="AU60" s="351"/>
      <c r="AV60" s="351"/>
      <c r="AW60" s="351"/>
      <c r="AX60" s="351"/>
      <c r="AY60" s="351"/>
      <c r="AZ60" s="351"/>
      <c r="BA60" s="351"/>
      <c r="BB60" s="351"/>
      <c r="BC60" s="351"/>
      <c r="BD60" s="351"/>
      <c r="BE60" s="351"/>
      <c r="BF60" s="351"/>
      <c r="BG60" s="351"/>
      <c r="BH60" s="351"/>
      <c r="BI60" s="351"/>
      <c r="BJ60" s="351"/>
      <c r="BK60" s="352"/>
    </row>
    <row r="61" spans="1:63" s="71" customFormat="1" x14ac:dyDescent="0.25">
      <c r="A61" s="198" t="s">
        <v>321</v>
      </c>
      <c r="B61" s="397" t="e">
        <f t="shared" si="31"/>
        <v>#REF!</v>
      </c>
      <c r="C61" s="382" t="e">
        <f t="shared" si="32"/>
        <v>#REF!</v>
      </c>
      <c r="D61" s="68" t="e">
        <f t="shared" si="33"/>
        <v>#REF!</v>
      </c>
      <c r="E61" s="383" t="e">
        <f t="shared" si="34"/>
        <v>#REF!</v>
      </c>
      <c r="F61" s="382" t="e">
        <f t="shared" si="35"/>
        <v>#REF!</v>
      </c>
      <c r="G61" s="68" t="e">
        <f t="shared" si="36"/>
        <v>#REF!</v>
      </c>
      <c r="H61" s="384" t="e">
        <f t="shared" si="37"/>
        <v>#REF!</v>
      </c>
      <c r="I61" s="382" t="e">
        <f t="shared" si="38"/>
        <v>#REF!</v>
      </c>
      <c r="J61" s="68" t="e">
        <f t="shared" si="39"/>
        <v>#REF!</v>
      </c>
      <c r="K61" s="383" t="e">
        <f t="shared" si="40"/>
        <v>#REF!</v>
      </c>
      <c r="L61" s="382" t="e">
        <f t="shared" si="41"/>
        <v>#REF!</v>
      </c>
      <c r="M61" s="68" t="e">
        <f t="shared" si="42"/>
        <v>#REF!</v>
      </c>
      <c r="N61" s="384" t="e">
        <f t="shared" si="43"/>
        <v>#REF!</v>
      </c>
      <c r="O61" s="382" t="e">
        <f t="shared" si="44"/>
        <v>#REF!</v>
      </c>
      <c r="P61" s="68" t="e">
        <f t="shared" si="45"/>
        <v>#REF!</v>
      </c>
      <c r="Q61" s="383" t="e">
        <f t="shared" si="46"/>
        <v>#REF!</v>
      </c>
      <c r="R61" s="382" t="e">
        <f t="shared" si="47"/>
        <v>#REF!</v>
      </c>
      <c r="S61" s="68" t="e">
        <f t="shared" si="48"/>
        <v>#REF!</v>
      </c>
      <c r="T61" s="383" t="e">
        <f t="shared" si="49"/>
        <v>#REF!</v>
      </c>
      <c r="U61" s="382" t="e">
        <f t="shared" si="50"/>
        <v>#REF!</v>
      </c>
      <c r="V61" s="68" t="e">
        <f t="shared" si="51"/>
        <v>#REF!</v>
      </c>
      <c r="W61" s="383" t="e">
        <f t="shared" si="52"/>
        <v>#REF!</v>
      </c>
      <c r="X61" s="382" t="e">
        <f t="shared" si="53"/>
        <v>#REF!</v>
      </c>
      <c r="Y61" s="68" t="e">
        <f t="shared" si="54"/>
        <v>#REF!</v>
      </c>
      <c r="Z61" s="383" t="e">
        <f t="shared" si="55"/>
        <v>#REF!</v>
      </c>
      <c r="AA61" s="382" t="e">
        <f t="shared" si="56"/>
        <v>#REF!</v>
      </c>
      <c r="AB61" s="68" t="e">
        <f t="shared" si="57"/>
        <v>#REF!</v>
      </c>
      <c r="AC61" s="383" t="e">
        <f t="shared" si="58"/>
        <v>#REF!</v>
      </c>
      <c r="AD61" s="382" t="e">
        <f t="shared" si="59"/>
        <v>#REF!</v>
      </c>
      <c r="AE61" s="68" t="e">
        <f t="shared" si="60"/>
        <v>#REF!</v>
      </c>
      <c r="AF61" s="383" t="e">
        <f t="shared" si="61"/>
        <v>#REF!</v>
      </c>
      <c r="AH61" s="350"/>
      <c r="AI61" s="351"/>
      <c r="AJ61" s="351"/>
      <c r="AK61" s="351">
        <v>1</v>
      </c>
      <c r="AL61" s="351"/>
      <c r="AM61" s="351"/>
      <c r="AN61" s="351"/>
      <c r="AO61" s="351"/>
      <c r="AP61" s="351"/>
      <c r="AQ61" s="351"/>
      <c r="AR61" s="351"/>
      <c r="AS61" s="351"/>
      <c r="AT61" s="351"/>
      <c r="AU61" s="351"/>
      <c r="AV61" s="351"/>
      <c r="AW61" s="351"/>
      <c r="AX61" s="351"/>
      <c r="AY61" s="351"/>
      <c r="AZ61" s="351"/>
      <c r="BA61" s="351"/>
      <c r="BB61" s="351"/>
      <c r="BC61" s="351"/>
      <c r="BD61" s="351"/>
      <c r="BE61" s="351"/>
      <c r="BF61" s="351"/>
      <c r="BG61" s="351"/>
      <c r="BH61" s="351"/>
      <c r="BI61" s="351"/>
      <c r="BJ61" s="351"/>
      <c r="BK61" s="352"/>
    </row>
    <row r="62" spans="1:63" s="71" customFormat="1" x14ac:dyDescent="0.25">
      <c r="A62" s="200" t="s">
        <v>28</v>
      </c>
      <c r="B62" s="53" t="str">
        <f t="shared" si="31"/>
        <v/>
      </c>
      <c r="C62" s="389" t="str">
        <f t="shared" si="32"/>
        <v/>
      </c>
      <c r="D62" s="390" t="str">
        <f t="shared" si="33"/>
        <v/>
      </c>
      <c r="E62" s="391" t="str">
        <f t="shared" si="34"/>
        <v/>
      </c>
      <c r="F62" s="389" t="str">
        <f t="shared" si="35"/>
        <v/>
      </c>
      <c r="G62" s="390" t="str">
        <f t="shared" si="36"/>
        <v/>
      </c>
      <c r="H62" s="392" t="str">
        <f t="shared" si="37"/>
        <v/>
      </c>
      <c r="I62" s="389" t="str">
        <f t="shared" si="38"/>
        <v/>
      </c>
      <c r="J62" s="390" t="str">
        <f t="shared" si="39"/>
        <v/>
      </c>
      <c r="K62" s="391" t="str">
        <f t="shared" si="40"/>
        <v/>
      </c>
      <c r="L62" s="389" t="str">
        <f t="shared" si="41"/>
        <v/>
      </c>
      <c r="M62" s="390" t="str">
        <f t="shared" si="42"/>
        <v/>
      </c>
      <c r="N62" s="392" t="str">
        <f t="shared" si="43"/>
        <v/>
      </c>
      <c r="O62" s="389" t="str">
        <f t="shared" si="44"/>
        <v/>
      </c>
      <c r="P62" s="390" t="str">
        <f t="shared" si="45"/>
        <v/>
      </c>
      <c r="Q62" s="391" t="str">
        <f t="shared" si="46"/>
        <v/>
      </c>
      <c r="R62" s="389" t="str">
        <f t="shared" si="47"/>
        <v/>
      </c>
      <c r="S62" s="390" t="str">
        <f t="shared" si="48"/>
        <v/>
      </c>
      <c r="T62" s="391" t="str">
        <f t="shared" si="49"/>
        <v/>
      </c>
      <c r="U62" s="389" t="str">
        <f t="shared" si="50"/>
        <v/>
      </c>
      <c r="V62" s="390" t="str">
        <f t="shared" si="51"/>
        <v/>
      </c>
      <c r="W62" s="391" t="str">
        <f t="shared" si="52"/>
        <v/>
      </c>
      <c r="X62" s="389" t="str">
        <f t="shared" si="53"/>
        <v/>
      </c>
      <c r="Y62" s="390" t="str">
        <f t="shared" si="54"/>
        <v/>
      </c>
      <c r="Z62" s="391" t="str">
        <f t="shared" si="55"/>
        <v/>
      </c>
      <c r="AA62" s="389" t="str">
        <f t="shared" si="56"/>
        <v/>
      </c>
      <c r="AB62" s="390" t="str">
        <f t="shared" si="57"/>
        <v/>
      </c>
      <c r="AC62" s="391" t="str">
        <f t="shared" si="58"/>
        <v/>
      </c>
      <c r="AD62" s="389" t="str">
        <f t="shared" si="59"/>
        <v/>
      </c>
      <c r="AE62" s="390" t="str">
        <f t="shared" si="60"/>
        <v/>
      </c>
      <c r="AF62" s="391" t="str">
        <f t="shared" si="61"/>
        <v/>
      </c>
      <c r="AH62" s="356"/>
      <c r="AI62" s="357"/>
      <c r="AJ62" s="357"/>
      <c r="AK62" s="357"/>
      <c r="AL62" s="357"/>
      <c r="AM62" s="357"/>
      <c r="AN62" s="357"/>
      <c r="AO62" s="357"/>
      <c r="AP62" s="357"/>
      <c r="AQ62" s="357"/>
      <c r="AR62" s="357"/>
      <c r="AS62" s="357"/>
      <c r="AT62" s="357"/>
      <c r="AU62" s="357"/>
      <c r="AV62" s="357"/>
      <c r="AW62" s="357"/>
      <c r="AX62" s="357"/>
      <c r="AY62" s="357"/>
      <c r="AZ62" s="357"/>
      <c r="BA62" s="357"/>
      <c r="BB62" s="357"/>
      <c r="BC62" s="357"/>
      <c r="BD62" s="357"/>
      <c r="BE62" s="357"/>
      <c r="BF62" s="357"/>
      <c r="BG62" s="357"/>
      <c r="BH62" s="357"/>
      <c r="BI62" s="357"/>
      <c r="BJ62" s="357"/>
      <c r="BK62" s="358"/>
    </row>
    <row r="63" spans="1:63" s="71" customFormat="1" x14ac:dyDescent="0.25">
      <c r="A63" s="198" t="s">
        <v>170</v>
      </c>
      <c r="B63" s="397" t="e">
        <f t="shared" si="31"/>
        <v>#REF!</v>
      </c>
      <c r="C63" s="382" t="e">
        <f t="shared" si="32"/>
        <v>#REF!</v>
      </c>
      <c r="D63" s="68" t="e">
        <f t="shared" si="33"/>
        <v>#REF!</v>
      </c>
      <c r="E63" s="383" t="e">
        <f t="shared" si="34"/>
        <v>#REF!</v>
      </c>
      <c r="F63" s="382" t="e">
        <f t="shared" si="35"/>
        <v>#REF!</v>
      </c>
      <c r="G63" s="68" t="e">
        <f t="shared" si="36"/>
        <v>#REF!</v>
      </c>
      <c r="H63" s="384" t="e">
        <f t="shared" si="37"/>
        <v>#REF!</v>
      </c>
      <c r="I63" s="382" t="e">
        <f t="shared" si="38"/>
        <v>#REF!</v>
      </c>
      <c r="J63" s="68" t="e">
        <f t="shared" si="39"/>
        <v>#REF!</v>
      </c>
      <c r="K63" s="383" t="e">
        <f t="shared" si="40"/>
        <v>#REF!</v>
      </c>
      <c r="L63" s="382" t="e">
        <f t="shared" si="41"/>
        <v>#REF!</v>
      </c>
      <c r="M63" s="68" t="e">
        <f t="shared" si="42"/>
        <v>#REF!</v>
      </c>
      <c r="N63" s="384" t="e">
        <f t="shared" si="43"/>
        <v>#REF!</v>
      </c>
      <c r="O63" s="382" t="e">
        <f t="shared" si="44"/>
        <v>#REF!</v>
      </c>
      <c r="P63" s="68" t="e">
        <f t="shared" si="45"/>
        <v>#REF!</v>
      </c>
      <c r="Q63" s="383" t="e">
        <f t="shared" si="46"/>
        <v>#REF!</v>
      </c>
      <c r="R63" s="382" t="e">
        <f t="shared" si="47"/>
        <v>#REF!</v>
      </c>
      <c r="S63" s="68" t="e">
        <f t="shared" si="48"/>
        <v>#REF!</v>
      </c>
      <c r="T63" s="383" t="e">
        <f t="shared" si="49"/>
        <v>#REF!</v>
      </c>
      <c r="U63" s="382" t="e">
        <f t="shared" si="50"/>
        <v>#REF!</v>
      </c>
      <c r="V63" s="68" t="e">
        <f t="shared" si="51"/>
        <v>#REF!</v>
      </c>
      <c r="W63" s="383" t="e">
        <f t="shared" si="52"/>
        <v>#REF!</v>
      </c>
      <c r="X63" s="382" t="e">
        <f t="shared" si="53"/>
        <v>#REF!</v>
      </c>
      <c r="Y63" s="68" t="e">
        <f t="shared" si="54"/>
        <v>#REF!</v>
      </c>
      <c r="Z63" s="383" t="e">
        <f t="shared" si="55"/>
        <v>#REF!</v>
      </c>
      <c r="AA63" s="382" t="e">
        <f t="shared" si="56"/>
        <v>#REF!</v>
      </c>
      <c r="AB63" s="68" t="e">
        <f t="shared" si="57"/>
        <v>#REF!</v>
      </c>
      <c r="AC63" s="383" t="e">
        <f t="shared" si="58"/>
        <v>#REF!</v>
      </c>
      <c r="AD63" s="382" t="e">
        <f t="shared" si="59"/>
        <v>#REF!</v>
      </c>
      <c r="AE63" s="68" t="e">
        <f t="shared" si="60"/>
        <v>#REF!</v>
      </c>
      <c r="AF63" s="383" t="e">
        <f t="shared" si="61"/>
        <v>#REF!</v>
      </c>
      <c r="AH63" s="350"/>
      <c r="AI63" s="351"/>
      <c r="AJ63" s="351"/>
      <c r="AK63" s="351">
        <v>1</v>
      </c>
      <c r="AL63" s="351"/>
      <c r="AM63" s="351"/>
      <c r="AN63" s="351"/>
      <c r="AO63" s="351"/>
      <c r="AP63" s="351"/>
      <c r="AQ63" s="351"/>
      <c r="AR63" s="351"/>
      <c r="AS63" s="351"/>
      <c r="AT63" s="351"/>
      <c r="AU63" s="351"/>
      <c r="AV63" s="351"/>
      <c r="AW63" s="351"/>
      <c r="AX63" s="351"/>
      <c r="AY63" s="351"/>
      <c r="AZ63" s="351"/>
      <c r="BA63" s="351"/>
      <c r="BB63" s="351"/>
      <c r="BC63" s="351"/>
      <c r="BD63" s="351"/>
      <c r="BE63" s="351"/>
      <c r="BF63" s="351"/>
      <c r="BG63" s="351"/>
      <c r="BH63" s="351"/>
      <c r="BI63" s="351"/>
      <c r="BJ63" s="351"/>
      <c r="BK63" s="352"/>
    </row>
    <row r="64" spans="1:63" s="71" customFormat="1" x14ac:dyDescent="0.25">
      <c r="A64" s="198" t="s">
        <v>171</v>
      </c>
      <c r="B64" s="397" t="e">
        <f t="shared" si="31"/>
        <v>#REF!</v>
      </c>
      <c r="C64" s="382" t="e">
        <f t="shared" si="32"/>
        <v>#REF!</v>
      </c>
      <c r="D64" s="68" t="e">
        <f t="shared" si="33"/>
        <v>#REF!</v>
      </c>
      <c r="E64" s="383" t="e">
        <f t="shared" si="34"/>
        <v>#REF!</v>
      </c>
      <c r="F64" s="382" t="e">
        <f t="shared" si="35"/>
        <v>#REF!</v>
      </c>
      <c r="G64" s="68" t="e">
        <f t="shared" si="36"/>
        <v>#REF!</v>
      </c>
      <c r="H64" s="384" t="e">
        <f t="shared" si="37"/>
        <v>#REF!</v>
      </c>
      <c r="I64" s="382" t="e">
        <f t="shared" si="38"/>
        <v>#REF!</v>
      </c>
      <c r="J64" s="68" t="e">
        <f t="shared" si="39"/>
        <v>#REF!</v>
      </c>
      <c r="K64" s="383" t="e">
        <f t="shared" si="40"/>
        <v>#REF!</v>
      </c>
      <c r="L64" s="382" t="e">
        <f t="shared" si="41"/>
        <v>#REF!</v>
      </c>
      <c r="M64" s="68" t="e">
        <f t="shared" si="42"/>
        <v>#REF!</v>
      </c>
      <c r="N64" s="384" t="e">
        <f t="shared" si="43"/>
        <v>#REF!</v>
      </c>
      <c r="O64" s="382" t="e">
        <f t="shared" si="44"/>
        <v>#REF!</v>
      </c>
      <c r="P64" s="68" t="e">
        <f t="shared" si="45"/>
        <v>#REF!</v>
      </c>
      <c r="Q64" s="383" t="e">
        <f t="shared" si="46"/>
        <v>#REF!</v>
      </c>
      <c r="R64" s="382" t="e">
        <f t="shared" si="47"/>
        <v>#REF!</v>
      </c>
      <c r="S64" s="68" t="e">
        <f t="shared" si="48"/>
        <v>#REF!</v>
      </c>
      <c r="T64" s="383" t="e">
        <f t="shared" si="49"/>
        <v>#REF!</v>
      </c>
      <c r="U64" s="382" t="e">
        <f t="shared" si="50"/>
        <v>#REF!</v>
      </c>
      <c r="V64" s="68" t="e">
        <f t="shared" si="51"/>
        <v>#REF!</v>
      </c>
      <c r="W64" s="383" t="e">
        <f t="shared" si="52"/>
        <v>#REF!</v>
      </c>
      <c r="X64" s="382" t="e">
        <f t="shared" si="53"/>
        <v>#REF!</v>
      </c>
      <c r="Y64" s="68" t="e">
        <f t="shared" si="54"/>
        <v>#REF!</v>
      </c>
      <c r="Z64" s="383" t="e">
        <f t="shared" si="55"/>
        <v>#REF!</v>
      </c>
      <c r="AA64" s="382" t="e">
        <f t="shared" si="56"/>
        <v>#REF!</v>
      </c>
      <c r="AB64" s="68" t="e">
        <f t="shared" si="57"/>
        <v>#REF!</v>
      </c>
      <c r="AC64" s="383" t="e">
        <f t="shared" si="58"/>
        <v>#REF!</v>
      </c>
      <c r="AD64" s="382" t="e">
        <f t="shared" si="59"/>
        <v>#REF!</v>
      </c>
      <c r="AE64" s="68" t="e">
        <f t="shared" si="60"/>
        <v>#REF!</v>
      </c>
      <c r="AF64" s="383" t="e">
        <f t="shared" si="61"/>
        <v>#REF!</v>
      </c>
      <c r="AH64" s="350"/>
      <c r="AI64" s="351"/>
      <c r="AJ64" s="351"/>
      <c r="AK64" s="351">
        <v>1</v>
      </c>
      <c r="AL64" s="351"/>
      <c r="AM64" s="351"/>
      <c r="AN64" s="351"/>
      <c r="AO64" s="351"/>
      <c r="AP64" s="351"/>
      <c r="AQ64" s="351"/>
      <c r="AR64" s="351"/>
      <c r="AS64" s="351"/>
      <c r="AT64" s="351"/>
      <c r="AU64" s="351"/>
      <c r="AV64" s="351"/>
      <c r="AW64" s="351"/>
      <c r="AX64" s="351"/>
      <c r="AY64" s="351"/>
      <c r="AZ64" s="351"/>
      <c r="BA64" s="351"/>
      <c r="BB64" s="351"/>
      <c r="BC64" s="351"/>
      <c r="BD64" s="351"/>
      <c r="BE64" s="351"/>
      <c r="BF64" s="351"/>
      <c r="BG64" s="351"/>
      <c r="BH64" s="351"/>
      <c r="BI64" s="351"/>
      <c r="BJ64" s="351"/>
      <c r="BK64" s="352"/>
    </row>
    <row r="65" spans="1:63" s="71" customFormat="1" x14ac:dyDescent="0.25">
      <c r="A65" s="198" t="s">
        <v>286</v>
      </c>
      <c r="B65" s="397" t="e">
        <f t="shared" si="31"/>
        <v>#REF!</v>
      </c>
      <c r="C65" s="382" t="e">
        <f t="shared" si="32"/>
        <v>#REF!</v>
      </c>
      <c r="D65" s="68" t="e">
        <f t="shared" si="33"/>
        <v>#REF!</v>
      </c>
      <c r="E65" s="383" t="e">
        <f t="shared" si="34"/>
        <v>#REF!</v>
      </c>
      <c r="F65" s="382" t="e">
        <f t="shared" si="35"/>
        <v>#REF!</v>
      </c>
      <c r="G65" s="68" t="e">
        <f t="shared" si="36"/>
        <v>#REF!</v>
      </c>
      <c r="H65" s="384" t="e">
        <f t="shared" si="37"/>
        <v>#REF!</v>
      </c>
      <c r="I65" s="382" t="e">
        <f t="shared" si="38"/>
        <v>#REF!</v>
      </c>
      <c r="J65" s="68" t="e">
        <f t="shared" si="39"/>
        <v>#REF!</v>
      </c>
      <c r="K65" s="383" t="e">
        <f t="shared" si="40"/>
        <v>#REF!</v>
      </c>
      <c r="L65" s="382" t="e">
        <f t="shared" si="41"/>
        <v>#REF!</v>
      </c>
      <c r="M65" s="68" t="e">
        <f t="shared" si="42"/>
        <v>#REF!</v>
      </c>
      <c r="N65" s="384" t="e">
        <f t="shared" si="43"/>
        <v>#REF!</v>
      </c>
      <c r="O65" s="382" t="e">
        <f t="shared" si="44"/>
        <v>#REF!</v>
      </c>
      <c r="P65" s="68" t="e">
        <f t="shared" si="45"/>
        <v>#REF!</v>
      </c>
      <c r="Q65" s="383" t="e">
        <f t="shared" si="46"/>
        <v>#REF!</v>
      </c>
      <c r="R65" s="382" t="e">
        <f t="shared" si="47"/>
        <v>#REF!</v>
      </c>
      <c r="S65" s="68" t="e">
        <f t="shared" si="48"/>
        <v>#REF!</v>
      </c>
      <c r="T65" s="383" t="e">
        <f t="shared" si="49"/>
        <v>#REF!</v>
      </c>
      <c r="U65" s="382" t="e">
        <f t="shared" si="50"/>
        <v>#REF!</v>
      </c>
      <c r="V65" s="68" t="e">
        <f t="shared" si="51"/>
        <v>#REF!</v>
      </c>
      <c r="W65" s="383" t="e">
        <f t="shared" si="52"/>
        <v>#REF!</v>
      </c>
      <c r="X65" s="382" t="e">
        <f t="shared" si="53"/>
        <v>#REF!</v>
      </c>
      <c r="Y65" s="68" t="e">
        <f t="shared" si="54"/>
        <v>#REF!</v>
      </c>
      <c r="Z65" s="383" t="e">
        <f t="shared" si="55"/>
        <v>#REF!</v>
      </c>
      <c r="AA65" s="382" t="e">
        <f t="shared" si="56"/>
        <v>#REF!</v>
      </c>
      <c r="AB65" s="68" t="e">
        <f t="shared" si="57"/>
        <v>#REF!</v>
      </c>
      <c r="AC65" s="383" t="e">
        <f t="shared" si="58"/>
        <v>#REF!</v>
      </c>
      <c r="AD65" s="382" t="e">
        <f t="shared" si="59"/>
        <v>#REF!</v>
      </c>
      <c r="AE65" s="68" t="e">
        <f t="shared" si="60"/>
        <v>#REF!</v>
      </c>
      <c r="AF65" s="383" t="e">
        <f t="shared" si="61"/>
        <v>#REF!</v>
      </c>
      <c r="AH65" s="350"/>
      <c r="AI65" s="351"/>
      <c r="AJ65" s="351"/>
      <c r="AK65" s="351">
        <v>1</v>
      </c>
      <c r="AL65" s="351"/>
      <c r="AM65" s="351"/>
      <c r="AN65" s="351"/>
      <c r="AO65" s="351"/>
      <c r="AP65" s="351"/>
      <c r="AQ65" s="351"/>
      <c r="AR65" s="351"/>
      <c r="AS65" s="351"/>
      <c r="AT65" s="351"/>
      <c r="AU65" s="351"/>
      <c r="AV65" s="351"/>
      <c r="AW65" s="351"/>
      <c r="AX65" s="351"/>
      <c r="AY65" s="351"/>
      <c r="AZ65" s="351"/>
      <c r="BA65" s="351"/>
      <c r="BB65" s="351"/>
      <c r="BC65" s="351"/>
      <c r="BD65" s="351"/>
      <c r="BE65" s="351"/>
      <c r="BF65" s="351"/>
      <c r="BG65" s="351"/>
      <c r="BH65" s="351"/>
      <c r="BI65" s="351"/>
      <c r="BJ65" s="351"/>
      <c r="BK65" s="352"/>
    </row>
    <row r="66" spans="1:63" s="71" customFormat="1" x14ac:dyDescent="0.25">
      <c r="A66" s="198" t="s">
        <v>934</v>
      </c>
      <c r="B66" s="397" t="e">
        <f t="shared" si="31"/>
        <v>#REF!</v>
      </c>
      <c r="C66" s="382" t="e">
        <f t="shared" si="32"/>
        <v>#REF!</v>
      </c>
      <c r="D66" s="68" t="e">
        <f t="shared" si="33"/>
        <v>#REF!</v>
      </c>
      <c r="E66" s="383" t="e">
        <f t="shared" si="34"/>
        <v>#REF!</v>
      </c>
      <c r="F66" s="382" t="e">
        <f t="shared" si="35"/>
        <v>#REF!</v>
      </c>
      <c r="G66" s="68" t="e">
        <f t="shared" si="36"/>
        <v>#REF!</v>
      </c>
      <c r="H66" s="384" t="e">
        <f t="shared" si="37"/>
        <v>#REF!</v>
      </c>
      <c r="I66" s="382" t="e">
        <f t="shared" si="38"/>
        <v>#REF!</v>
      </c>
      <c r="J66" s="68" t="e">
        <f t="shared" si="39"/>
        <v>#REF!</v>
      </c>
      <c r="K66" s="383" t="e">
        <f t="shared" si="40"/>
        <v>#REF!</v>
      </c>
      <c r="L66" s="382" t="e">
        <f t="shared" si="41"/>
        <v>#REF!</v>
      </c>
      <c r="M66" s="68" t="e">
        <f t="shared" si="42"/>
        <v>#REF!</v>
      </c>
      <c r="N66" s="384" t="e">
        <f t="shared" si="43"/>
        <v>#REF!</v>
      </c>
      <c r="O66" s="382" t="e">
        <f t="shared" si="44"/>
        <v>#REF!</v>
      </c>
      <c r="P66" s="68" t="e">
        <f t="shared" si="45"/>
        <v>#REF!</v>
      </c>
      <c r="Q66" s="383" t="e">
        <f t="shared" si="46"/>
        <v>#REF!</v>
      </c>
      <c r="R66" s="382" t="e">
        <f t="shared" si="47"/>
        <v>#REF!</v>
      </c>
      <c r="S66" s="68" t="e">
        <f t="shared" si="48"/>
        <v>#REF!</v>
      </c>
      <c r="T66" s="383" t="e">
        <f t="shared" si="49"/>
        <v>#REF!</v>
      </c>
      <c r="U66" s="382" t="e">
        <f t="shared" si="50"/>
        <v>#REF!</v>
      </c>
      <c r="V66" s="68" t="e">
        <f t="shared" si="51"/>
        <v>#REF!</v>
      </c>
      <c r="W66" s="383" t="e">
        <f t="shared" si="52"/>
        <v>#REF!</v>
      </c>
      <c r="X66" s="382" t="e">
        <f t="shared" si="53"/>
        <v>#REF!</v>
      </c>
      <c r="Y66" s="68" t="e">
        <f t="shared" si="54"/>
        <v>#REF!</v>
      </c>
      <c r="Z66" s="383" t="e">
        <f t="shared" si="55"/>
        <v>#REF!</v>
      </c>
      <c r="AA66" s="382" t="e">
        <f t="shared" si="56"/>
        <v>#REF!</v>
      </c>
      <c r="AB66" s="68" t="e">
        <f t="shared" si="57"/>
        <v>#REF!</v>
      </c>
      <c r="AC66" s="383" t="e">
        <f t="shared" si="58"/>
        <v>#REF!</v>
      </c>
      <c r="AD66" s="382" t="e">
        <f t="shared" si="59"/>
        <v>#REF!</v>
      </c>
      <c r="AE66" s="68" t="e">
        <f t="shared" si="60"/>
        <v>#REF!</v>
      </c>
      <c r="AF66" s="383" t="e">
        <f t="shared" si="61"/>
        <v>#REF!</v>
      </c>
      <c r="AH66" s="350"/>
      <c r="AI66" s="351"/>
      <c r="AJ66" s="351"/>
      <c r="AK66" s="351">
        <v>1</v>
      </c>
      <c r="AL66" s="351"/>
      <c r="AM66" s="351"/>
      <c r="AN66" s="351"/>
      <c r="AO66" s="351"/>
      <c r="AP66" s="351"/>
      <c r="AQ66" s="351"/>
      <c r="AR66" s="351"/>
      <c r="AS66" s="351"/>
      <c r="AT66" s="351"/>
      <c r="AU66" s="351"/>
      <c r="AV66" s="351"/>
      <c r="AW66" s="351"/>
      <c r="AX66" s="351"/>
      <c r="AY66" s="351"/>
      <c r="AZ66" s="351"/>
      <c r="BA66" s="351"/>
      <c r="BB66" s="351"/>
      <c r="BC66" s="351"/>
      <c r="BD66" s="351"/>
      <c r="BE66" s="351"/>
      <c r="BF66" s="351"/>
      <c r="BG66" s="351"/>
      <c r="BH66" s="351"/>
      <c r="BI66" s="351"/>
      <c r="BJ66" s="351"/>
      <c r="BK66" s="352"/>
    </row>
    <row r="67" spans="1:63" s="71" customFormat="1" x14ac:dyDescent="0.25">
      <c r="A67" s="198" t="s">
        <v>836</v>
      </c>
      <c r="B67" s="397" t="e">
        <f t="shared" si="31"/>
        <v>#REF!</v>
      </c>
      <c r="C67" s="382" t="e">
        <f t="shared" si="32"/>
        <v>#REF!</v>
      </c>
      <c r="D67" s="68" t="e">
        <f t="shared" si="33"/>
        <v>#REF!</v>
      </c>
      <c r="E67" s="383" t="e">
        <f t="shared" si="34"/>
        <v>#REF!</v>
      </c>
      <c r="F67" s="382" t="e">
        <f t="shared" si="35"/>
        <v>#REF!</v>
      </c>
      <c r="G67" s="68" t="e">
        <f t="shared" si="36"/>
        <v>#REF!</v>
      </c>
      <c r="H67" s="384" t="e">
        <f t="shared" si="37"/>
        <v>#REF!</v>
      </c>
      <c r="I67" s="382" t="e">
        <f t="shared" si="38"/>
        <v>#REF!</v>
      </c>
      <c r="J67" s="68" t="e">
        <f t="shared" si="39"/>
        <v>#REF!</v>
      </c>
      <c r="K67" s="383" t="e">
        <f t="shared" si="40"/>
        <v>#REF!</v>
      </c>
      <c r="L67" s="382" t="e">
        <f t="shared" si="41"/>
        <v>#REF!</v>
      </c>
      <c r="M67" s="68" t="e">
        <f t="shared" si="42"/>
        <v>#REF!</v>
      </c>
      <c r="N67" s="384" t="e">
        <f t="shared" si="43"/>
        <v>#REF!</v>
      </c>
      <c r="O67" s="382" t="e">
        <f t="shared" si="44"/>
        <v>#REF!</v>
      </c>
      <c r="P67" s="68" t="e">
        <f t="shared" si="45"/>
        <v>#REF!</v>
      </c>
      <c r="Q67" s="383" t="e">
        <f t="shared" si="46"/>
        <v>#REF!</v>
      </c>
      <c r="R67" s="382" t="e">
        <f t="shared" si="47"/>
        <v>#REF!</v>
      </c>
      <c r="S67" s="68" t="e">
        <f t="shared" si="48"/>
        <v>#REF!</v>
      </c>
      <c r="T67" s="383" t="e">
        <f t="shared" si="49"/>
        <v>#REF!</v>
      </c>
      <c r="U67" s="382" t="e">
        <f t="shared" si="50"/>
        <v>#REF!</v>
      </c>
      <c r="V67" s="68" t="e">
        <f t="shared" si="51"/>
        <v>#REF!</v>
      </c>
      <c r="W67" s="383" t="e">
        <f t="shared" si="52"/>
        <v>#REF!</v>
      </c>
      <c r="X67" s="382" t="e">
        <f t="shared" si="53"/>
        <v>#REF!</v>
      </c>
      <c r="Y67" s="68" t="e">
        <f t="shared" si="54"/>
        <v>#REF!</v>
      </c>
      <c r="Z67" s="383" t="e">
        <f t="shared" si="55"/>
        <v>#REF!</v>
      </c>
      <c r="AA67" s="382" t="e">
        <f t="shared" si="56"/>
        <v>#REF!</v>
      </c>
      <c r="AB67" s="68" t="e">
        <f t="shared" si="57"/>
        <v>#REF!</v>
      </c>
      <c r="AC67" s="383" t="e">
        <f t="shared" si="58"/>
        <v>#REF!</v>
      </c>
      <c r="AD67" s="382" t="e">
        <f t="shared" si="59"/>
        <v>#REF!</v>
      </c>
      <c r="AE67" s="68" t="e">
        <f t="shared" si="60"/>
        <v>#REF!</v>
      </c>
      <c r="AF67" s="383" t="e">
        <f t="shared" si="61"/>
        <v>#REF!</v>
      </c>
      <c r="AH67" s="350"/>
      <c r="AI67" s="351"/>
      <c r="AJ67" s="351"/>
      <c r="AK67" s="351">
        <v>1</v>
      </c>
      <c r="AL67" s="351"/>
      <c r="AM67" s="351"/>
      <c r="AN67" s="351"/>
      <c r="AO67" s="351"/>
      <c r="AP67" s="351"/>
      <c r="AQ67" s="351"/>
      <c r="AR67" s="351"/>
      <c r="AS67" s="351"/>
      <c r="AT67" s="351"/>
      <c r="AU67" s="351"/>
      <c r="AV67" s="351"/>
      <c r="AW67" s="351"/>
      <c r="AX67" s="351"/>
      <c r="AY67" s="351"/>
      <c r="AZ67" s="351"/>
      <c r="BA67" s="351"/>
      <c r="BB67" s="351"/>
      <c r="BC67" s="351"/>
      <c r="BD67" s="351"/>
      <c r="BE67" s="351"/>
      <c r="BF67" s="351"/>
      <c r="BG67" s="351"/>
      <c r="BH67" s="351"/>
      <c r="BI67" s="351"/>
      <c r="BJ67" s="351"/>
      <c r="BK67" s="352"/>
    </row>
    <row r="68" spans="1:63" s="71" customFormat="1" x14ac:dyDescent="0.25">
      <c r="A68" s="200" t="s">
        <v>53</v>
      </c>
      <c r="B68" s="53" t="str">
        <f t="shared" ref="B68:B80" si="62">IF(LEFT($A68,3)&lt;&gt;"---",COUNTIF(_RACK01_,"*"&amp;LEFT($A68,IFERROR((FIND("~",$A68))-1,LEN($A68))))+COUNTIF(_RACK02_,"*"&amp;LEFT($A68,IFERROR((FIND("~",$A68))-1,LEN($A68))))+COUNTIF(_RACK03_,"*"&amp;LEFT($A68,IFERROR((FIND("~",$A68))-1,LEN($A68))))+COUNTIF(_RACK04_,"*"&amp;LEFT($A68,IFERROR((FIND("~",$A68))-1,LEN($A68))))+COUNTIF(_RACK05_,"*"&amp;LEFT($A68,IFERROR((FIND("~",$A68))-1,LEN($A68))))+COUNTIF(_RACK06_,"*"&amp;LEFT($A68,IFERROR((FIND("~",$A68))-1,LEN($A68))))+COUNTIF(_RACK07_,"*"&amp;LEFT($A68,IFERROR((FIND("~",$A68))-1,LEN($A68))))+COUNTIF(_RACK08_,"*"&amp;LEFT($A68,IFERROR((FIND("~",$A68))-1,LEN($A68))))+COUNTIF(_RACK09_,"*"&amp;LEFT($A68,IFERROR((FIND("~",$A68))-1,LEN($A68))))+COUNTIF(_RACK10_,"*"&amp;LEFT($A68,IFERROR((FIND("~",$A68))-1,LEN($A68)))),"")</f>
        <v/>
      </c>
      <c r="C68" s="389" t="str">
        <f t="shared" ref="C68:C81" si="63">IF(AND($B68&gt;0,AH68&gt;0),$B68*AH68,"")</f>
        <v/>
      </c>
      <c r="D68" s="390" t="str">
        <f t="shared" ref="D68:D81" si="64">IF(AND($B68&gt;0,AI68&gt;0),$B68*AI68,"")</f>
        <v/>
      </c>
      <c r="E68" s="391" t="str">
        <f t="shared" ref="E68:E81" si="65">IF(AND($B68&gt;0,AJ68&gt;0),$B68*AJ68,"")</f>
        <v/>
      </c>
      <c r="F68" s="389" t="str">
        <f t="shared" ref="F68:F81" si="66">IF(AND($B68&gt;0,AK68&gt;0),$B68*AK68,"")</f>
        <v/>
      </c>
      <c r="G68" s="390" t="str">
        <f t="shared" ref="G68:G81" si="67">IF(AND($B68&gt;0,AL68&gt;0),$B68*AL68,"")</f>
        <v/>
      </c>
      <c r="H68" s="392" t="str">
        <f t="shared" ref="H68:H81" si="68">IF(AND($B68&gt;0,AM68&gt;0),$B68*AM68,"")</f>
        <v/>
      </c>
      <c r="I68" s="389" t="str">
        <f t="shared" ref="I68:I81" si="69">IF(AND($B68&gt;0,AN68&gt;0),$B68*AN68,"")</f>
        <v/>
      </c>
      <c r="J68" s="390" t="str">
        <f t="shared" ref="J68:J81" si="70">IF(AND($B68&gt;0,AO68&gt;0),$B68*AO68,"")</f>
        <v/>
      </c>
      <c r="K68" s="391" t="str">
        <f t="shared" ref="K68:K81" si="71">IF(AND($B68&gt;0,AP68&gt;0),$B68*AP68,"")</f>
        <v/>
      </c>
      <c r="L68" s="389" t="str">
        <f t="shared" ref="L68:L81" si="72">IF(AND($B68&gt;0,AQ68&gt;0),$B68*AQ68,"")</f>
        <v/>
      </c>
      <c r="M68" s="390" t="str">
        <f t="shared" ref="M68:M81" si="73">IF(AND($B68&gt;0,AR68&gt;0),$B68*AR68,"")</f>
        <v/>
      </c>
      <c r="N68" s="392" t="str">
        <f t="shared" ref="N68:N81" si="74">IF(AND($B68&gt;0,AS68&gt;0),$B68*AS68,"")</f>
        <v/>
      </c>
      <c r="O68" s="389" t="str">
        <f t="shared" ref="O68:O81" si="75">IF(AND($B68&gt;0,AT68&gt;0),$B68*AT68,"")</f>
        <v/>
      </c>
      <c r="P68" s="390" t="str">
        <f t="shared" ref="P68:P81" si="76">IF(AND($B68&gt;0,AU68&gt;0),$B68*AU68,"")</f>
        <v/>
      </c>
      <c r="Q68" s="391" t="str">
        <f t="shared" ref="Q68:Q81" si="77">IF(AND($B68&gt;0,AV68&gt;0),$B68*AV68,"")</f>
        <v/>
      </c>
      <c r="R68" s="389" t="str">
        <f t="shared" ref="R68:R81" si="78">IF(AND($B68&gt;0,AW68&gt;0),$B68*AW68,"")</f>
        <v/>
      </c>
      <c r="S68" s="390" t="str">
        <f t="shared" ref="S68:S81" si="79">IF(AND($B68&gt;0,AX68&gt;0),$B68*AX68,"")</f>
        <v/>
      </c>
      <c r="T68" s="391" t="str">
        <f t="shared" ref="T68:T81" si="80">IF(AND($B68&gt;0,AY68&gt;0),$B68*AY68,"")</f>
        <v/>
      </c>
      <c r="U68" s="389" t="str">
        <f t="shared" ref="U68:U81" si="81">IF(AND($B68&gt;0,AZ68&gt;0),$B68*AZ68,"")</f>
        <v/>
      </c>
      <c r="V68" s="390" t="str">
        <f t="shared" ref="V68:V81" si="82">IF(AND($B68&gt;0,BA68&gt;0),$B68*BA68,"")</f>
        <v/>
      </c>
      <c r="W68" s="391" t="str">
        <f t="shared" ref="W68:W81" si="83">IF(AND($B68&gt;0,BB68&gt;0),$B68*BB68,"")</f>
        <v/>
      </c>
      <c r="X68" s="389" t="str">
        <f t="shared" ref="X68:X81" si="84">IF(AND($B68&gt;0,BC68&gt;0),$B68*BC68,"")</f>
        <v/>
      </c>
      <c r="Y68" s="390" t="str">
        <f t="shared" ref="Y68:Y81" si="85">IF(AND($B68&gt;0,BD68&gt;0),$B68*BD68,"")</f>
        <v/>
      </c>
      <c r="Z68" s="391" t="str">
        <f t="shared" ref="Z68:Z81" si="86">IF(AND($B68&gt;0,BE68&gt;0),$B68*BE68,"")</f>
        <v/>
      </c>
      <c r="AA68" s="389" t="str">
        <f t="shared" ref="AA68:AA81" si="87">IF(AND($B68&gt;0,BF68&gt;0),$B68*BF68,"")</f>
        <v/>
      </c>
      <c r="AB68" s="390" t="str">
        <f t="shared" ref="AB68:AB81" si="88">IF(AND($B68&gt;0,BG68&gt;0),$B68*BG68,"")</f>
        <v/>
      </c>
      <c r="AC68" s="391" t="str">
        <f t="shared" ref="AC68:AC81" si="89">IF(AND($B68&gt;0,BH68&gt;0),$B68*BH68,"")</f>
        <v/>
      </c>
      <c r="AD68" s="389" t="str">
        <f t="shared" ref="AD68:AD81" si="90">IF(AND($B68&gt;0,BI68&gt;0),$B68*BI68,"")</f>
        <v/>
      </c>
      <c r="AE68" s="390" t="str">
        <f t="shared" ref="AE68:AE81" si="91">IF(AND($B68&gt;0,BJ68&gt;0),$B68*BJ68,"")</f>
        <v/>
      </c>
      <c r="AF68" s="391" t="str">
        <f t="shared" ref="AF68:AF81" si="92">IF(AND($B68&gt;0,BK68&gt;0),$B68*BK68,"")</f>
        <v/>
      </c>
      <c r="AH68" s="356"/>
      <c r="AI68" s="357"/>
      <c r="AJ68" s="357"/>
      <c r="AK68" s="357"/>
      <c r="AL68" s="357"/>
      <c r="AM68" s="357"/>
      <c r="AN68" s="357"/>
      <c r="AO68" s="357"/>
      <c r="AP68" s="357"/>
      <c r="AQ68" s="357"/>
      <c r="AR68" s="357"/>
      <c r="AS68" s="357"/>
      <c r="AT68" s="357"/>
      <c r="AU68" s="357"/>
      <c r="AV68" s="357"/>
      <c r="AW68" s="357"/>
      <c r="AX68" s="357"/>
      <c r="AY68" s="357"/>
      <c r="AZ68" s="357"/>
      <c r="BA68" s="357"/>
      <c r="BB68" s="357"/>
      <c r="BC68" s="357"/>
      <c r="BD68" s="357"/>
      <c r="BE68" s="357"/>
      <c r="BF68" s="357"/>
      <c r="BG68" s="357"/>
      <c r="BH68" s="357"/>
      <c r="BI68" s="357"/>
      <c r="BJ68" s="357"/>
      <c r="BK68" s="358"/>
    </row>
    <row r="69" spans="1:63" s="71" customFormat="1" x14ac:dyDescent="0.25">
      <c r="A69" s="198" t="s">
        <v>168</v>
      </c>
      <c r="B69" s="397" t="e">
        <f t="shared" si="62"/>
        <v>#REF!</v>
      </c>
      <c r="C69" s="382" t="e">
        <f t="shared" si="63"/>
        <v>#REF!</v>
      </c>
      <c r="D69" s="68" t="e">
        <f t="shared" si="64"/>
        <v>#REF!</v>
      </c>
      <c r="E69" s="383" t="e">
        <f t="shared" si="65"/>
        <v>#REF!</v>
      </c>
      <c r="F69" s="382" t="e">
        <f t="shared" si="66"/>
        <v>#REF!</v>
      </c>
      <c r="G69" s="68" t="e">
        <f t="shared" si="67"/>
        <v>#REF!</v>
      </c>
      <c r="H69" s="384" t="e">
        <f t="shared" si="68"/>
        <v>#REF!</v>
      </c>
      <c r="I69" s="382" t="e">
        <f t="shared" si="69"/>
        <v>#REF!</v>
      </c>
      <c r="J69" s="68" t="e">
        <f t="shared" si="70"/>
        <v>#REF!</v>
      </c>
      <c r="K69" s="383" t="e">
        <f t="shared" si="71"/>
        <v>#REF!</v>
      </c>
      <c r="L69" s="382" t="e">
        <f t="shared" si="72"/>
        <v>#REF!</v>
      </c>
      <c r="M69" s="68" t="e">
        <f t="shared" si="73"/>
        <v>#REF!</v>
      </c>
      <c r="N69" s="384" t="e">
        <f t="shared" si="74"/>
        <v>#REF!</v>
      </c>
      <c r="O69" s="382" t="e">
        <f t="shared" si="75"/>
        <v>#REF!</v>
      </c>
      <c r="P69" s="68" t="e">
        <f t="shared" si="76"/>
        <v>#REF!</v>
      </c>
      <c r="Q69" s="383" t="e">
        <f t="shared" si="77"/>
        <v>#REF!</v>
      </c>
      <c r="R69" s="382" t="e">
        <f t="shared" si="78"/>
        <v>#REF!</v>
      </c>
      <c r="S69" s="68" t="e">
        <f t="shared" si="79"/>
        <v>#REF!</v>
      </c>
      <c r="T69" s="383" t="e">
        <f t="shared" si="80"/>
        <v>#REF!</v>
      </c>
      <c r="U69" s="382" t="e">
        <f t="shared" si="81"/>
        <v>#REF!</v>
      </c>
      <c r="V69" s="68" t="e">
        <f t="shared" si="82"/>
        <v>#REF!</v>
      </c>
      <c r="W69" s="383" t="e">
        <f t="shared" si="83"/>
        <v>#REF!</v>
      </c>
      <c r="X69" s="382" t="e">
        <f t="shared" si="84"/>
        <v>#REF!</v>
      </c>
      <c r="Y69" s="68" t="e">
        <f t="shared" si="85"/>
        <v>#REF!</v>
      </c>
      <c r="Z69" s="383" t="e">
        <f t="shared" si="86"/>
        <v>#REF!</v>
      </c>
      <c r="AA69" s="382" t="e">
        <f t="shared" si="87"/>
        <v>#REF!</v>
      </c>
      <c r="AB69" s="68" t="e">
        <f t="shared" si="88"/>
        <v>#REF!</v>
      </c>
      <c r="AC69" s="383" t="e">
        <f t="shared" si="89"/>
        <v>#REF!</v>
      </c>
      <c r="AD69" s="382" t="e">
        <f t="shared" si="90"/>
        <v>#REF!</v>
      </c>
      <c r="AE69" s="68" t="e">
        <f t="shared" si="91"/>
        <v>#REF!</v>
      </c>
      <c r="AF69" s="383" t="e">
        <f t="shared" si="92"/>
        <v>#REF!</v>
      </c>
      <c r="AH69" s="350"/>
      <c r="AI69" s="351"/>
      <c r="AJ69" s="351"/>
      <c r="AK69" s="351">
        <v>1</v>
      </c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2"/>
    </row>
    <row r="70" spans="1:63" s="71" customFormat="1" x14ac:dyDescent="0.25">
      <c r="A70" s="198" t="s">
        <v>169</v>
      </c>
      <c r="B70" s="397" t="e">
        <f t="shared" si="62"/>
        <v>#REF!</v>
      </c>
      <c r="C70" s="382" t="e">
        <f t="shared" si="63"/>
        <v>#REF!</v>
      </c>
      <c r="D70" s="68" t="e">
        <f t="shared" si="64"/>
        <v>#REF!</v>
      </c>
      <c r="E70" s="383" t="e">
        <f t="shared" si="65"/>
        <v>#REF!</v>
      </c>
      <c r="F70" s="382" t="e">
        <f t="shared" si="66"/>
        <v>#REF!</v>
      </c>
      <c r="G70" s="68" t="e">
        <f t="shared" si="67"/>
        <v>#REF!</v>
      </c>
      <c r="H70" s="384" t="e">
        <f t="shared" si="68"/>
        <v>#REF!</v>
      </c>
      <c r="I70" s="382" t="e">
        <f t="shared" si="69"/>
        <v>#REF!</v>
      </c>
      <c r="J70" s="68" t="e">
        <f t="shared" si="70"/>
        <v>#REF!</v>
      </c>
      <c r="K70" s="383" t="e">
        <f t="shared" si="71"/>
        <v>#REF!</v>
      </c>
      <c r="L70" s="382" t="e">
        <f t="shared" si="72"/>
        <v>#REF!</v>
      </c>
      <c r="M70" s="68" t="e">
        <f t="shared" si="73"/>
        <v>#REF!</v>
      </c>
      <c r="N70" s="384" t="e">
        <f t="shared" si="74"/>
        <v>#REF!</v>
      </c>
      <c r="O70" s="382" t="e">
        <f t="shared" si="75"/>
        <v>#REF!</v>
      </c>
      <c r="P70" s="68" t="e">
        <f t="shared" si="76"/>
        <v>#REF!</v>
      </c>
      <c r="Q70" s="383" t="e">
        <f t="shared" si="77"/>
        <v>#REF!</v>
      </c>
      <c r="R70" s="382" t="e">
        <f t="shared" si="78"/>
        <v>#REF!</v>
      </c>
      <c r="S70" s="68" t="e">
        <f t="shared" si="79"/>
        <v>#REF!</v>
      </c>
      <c r="T70" s="383" t="e">
        <f t="shared" si="80"/>
        <v>#REF!</v>
      </c>
      <c r="U70" s="382" t="e">
        <f t="shared" si="81"/>
        <v>#REF!</v>
      </c>
      <c r="V70" s="68" t="e">
        <f t="shared" si="82"/>
        <v>#REF!</v>
      </c>
      <c r="W70" s="383" t="e">
        <f t="shared" si="83"/>
        <v>#REF!</v>
      </c>
      <c r="X70" s="382" t="e">
        <f t="shared" si="84"/>
        <v>#REF!</v>
      </c>
      <c r="Y70" s="68" t="e">
        <f t="shared" si="85"/>
        <v>#REF!</v>
      </c>
      <c r="Z70" s="383" t="e">
        <f t="shared" si="86"/>
        <v>#REF!</v>
      </c>
      <c r="AA70" s="382" t="e">
        <f t="shared" si="87"/>
        <v>#REF!</v>
      </c>
      <c r="AB70" s="68" t="e">
        <f t="shared" si="88"/>
        <v>#REF!</v>
      </c>
      <c r="AC70" s="383" t="e">
        <f t="shared" si="89"/>
        <v>#REF!</v>
      </c>
      <c r="AD70" s="382" t="e">
        <f t="shared" si="90"/>
        <v>#REF!</v>
      </c>
      <c r="AE70" s="68" t="e">
        <f t="shared" si="91"/>
        <v>#REF!</v>
      </c>
      <c r="AF70" s="383" t="e">
        <f t="shared" si="92"/>
        <v>#REF!</v>
      </c>
      <c r="AH70" s="350"/>
      <c r="AI70" s="351"/>
      <c r="AJ70" s="351"/>
      <c r="AK70" s="351">
        <v>1</v>
      </c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2"/>
    </row>
    <row r="71" spans="1:63" s="71" customFormat="1" x14ac:dyDescent="0.25">
      <c r="A71" s="200" t="s">
        <v>931</v>
      </c>
      <c r="B71" s="53" t="str">
        <f t="shared" si="62"/>
        <v/>
      </c>
      <c r="C71" s="389" t="str">
        <f t="shared" si="63"/>
        <v/>
      </c>
      <c r="D71" s="390" t="str">
        <f t="shared" si="64"/>
        <v/>
      </c>
      <c r="E71" s="391" t="str">
        <f t="shared" si="65"/>
        <v/>
      </c>
      <c r="F71" s="389" t="str">
        <f t="shared" si="66"/>
        <v/>
      </c>
      <c r="G71" s="390" t="str">
        <f t="shared" si="67"/>
        <v/>
      </c>
      <c r="H71" s="392" t="str">
        <f t="shared" si="68"/>
        <v/>
      </c>
      <c r="I71" s="389" t="str">
        <f t="shared" si="69"/>
        <v/>
      </c>
      <c r="J71" s="390" t="str">
        <f t="shared" si="70"/>
        <v/>
      </c>
      <c r="K71" s="391" t="str">
        <f t="shared" si="71"/>
        <v/>
      </c>
      <c r="L71" s="389" t="str">
        <f t="shared" si="72"/>
        <v/>
      </c>
      <c r="M71" s="390" t="str">
        <f t="shared" si="73"/>
        <v/>
      </c>
      <c r="N71" s="392" t="str">
        <f t="shared" si="74"/>
        <v/>
      </c>
      <c r="O71" s="389" t="str">
        <f t="shared" si="75"/>
        <v/>
      </c>
      <c r="P71" s="390" t="str">
        <f t="shared" si="76"/>
        <v/>
      </c>
      <c r="Q71" s="391" t="str">
        <f t="shared" si="77"/>
        <v/>
      </c>
      <c r="R71" s="389" t="str">
        <f t="shared" si="78"/>
        <v/>
      </c>
      <c r="S71" s="390" t="str">
        <f t="shared" si="79"/>
        <v/>
      </c>
      <c r="T71" s="391" t="str">
        <f t="shared" si="80"/>
        <v/>
      </c>
      <c r="U71" s="389" t="str">
        <f t="shared" si="81"/>
        <v/>
      </c>
      <c r="V71" s="390" t="str">
        <f t="shared" si="82"/>
        <v/>
      </c>
      <c r="W71" s="391" t="str">
        <f t="shared" si="83"/>
        <v/>
      </c>
      <c r="X71" s="389" t="str">
        <f t="shared" si="84"/>
        <v/>
      </c>
      <c r="Y71" s="390" t="str">
        <f t="shared" si="85"/>
        <v/>
      </c>
      <c r="Z71" s="391" t="str">
        <f t="shared" si="86"/>
        <v/>
      </c>
      <c r="AA71" s="389" t="str">
        <f t="shared" si="87"/>
        <v/>
      </c>
      <c r="AB71" s="390" t="str">
        <f t="shared" si="88"/>
        <v/>
      </c>
      <c r="AC71" s="391" t="str">
        <f t="shared" si="89"/>
        <v/>
      </c>
      <c r="AD71" s="389" t="str">
        <f t="shared" si="90"/>
        <v/>
      </c>
      <c r="AE71" s="390" t="str">
        <f t="shared" si="91"/>
        <v/>
      </c>
      <c r="AF71" s="391" t="str">
        <f t="shared" si="92"/>
        <v/>
      </c>
      <c r="AH71" s="356"/>
      <c r="AI71" s="357"/>
      <c r="AJ71" s="357"/>
      <c r="AK71" s="357"/>
      <c r="AL71" s="357"/>
      <c r="AM71" s="357"/>
      <c r="AN71" s="357"/>
      <c r="AO71" s="357"/>
      <c r="AP71" s="357"/>
      <c r="AQ71" s="357"/>
      <c r="AR71" s="357"/>
      <c r="AS71" s="357"/>
      <c r="AT71" s="357"/>
      <c r="AU71" s="357"/>
      <c r="AV71" s="357"/>
      <c r="AW71" s="357"/>
      <c r="AX71" s="357"/>
      <c r="AY71" s="357"/>
      <c r="AZ71" s="357"/>
      <c r="BA71" s="357"/>
      <c r="BB71" s="357"/>
      <c r="BC71" s="357"/>
      <c r="BD71" s="357"/>
      <c r="BE71" s="357"/>
      <c r="BF71" s="357"/>
      <c r="BG71" s="357"/>
      <c r="BH71" s="357"/>
      <c r="BI71" s="357"/>
      <c r="BJ71" s="357"/>
      <c r="BK71" s="358"/>
    </row>
    <row r="72" spans="1:63" s="71" customFormat="1" x14ac:dyDescent="0.25">
      <c r="A72" s="198" t="s">
        <v>269</v>
      </c>
      <c r="B72" s="397" t="e">
        <f t="shared" si="62"/>
        <v>#REF!</v>
      </c>
      <c r="C72" s="382" t="e">
        <f t="shared" si="63"/>
        <v>#REF!</v>
      </c>
      <c r="D72" s="68" t="e">
        <f t="shared" si="64"/>
        <v>#REF!</v>
      </c>
      <c r="E72" s="383" t="e">
        <f t="shared" si="65"/>
        <v>#REF!</v>
      </c>
      <c r="F72" s="382" t="e">
        <f t="shared" si="66"/>
        <v>#REF!</v>
      </c>
      <c r="G72" s="68" t="e">
        <f t="shared" si="67"/>
        <v>#REF!</v>
      </c>
      <c r="H72" s="384" t="e">
        <f t="shared" si="68"/>
        <v>#REF!</v>
      </c>
      <c r="I72" s="382" t="e">
        <f t="shared" si="69"/>
        <v>#REF!</v>
      </c>
      <c r="J72" s="68" t="e">
        <f t="shared" si="70"/>
        <v>#REF!</v>
      </c>
      <c r="K72" s="383" t="e">
        <f t="shared" si="71"/>
        <v>#REF!</v>
      </c>
      <c r="L72" s="382" t="e">
        <f t="shared" si="72"/>
        <v>#REF!</v>
      </c>
      <c r="M72" s="68" t="e">
        <f t="shared" si="73"/>
        <v>#REF!</v>
      </c>
      <c r="N72" s="384" t="e">
        <f t="shared" si="74"/>
        <v>#REF!</v>
      </c>
      <c r="O72" s="382" t="e">
        <f t="shared" si="75"/>
        <v>#REF!</v>
      </c>
      <c r="P72" s="68" t="e">
        <f t="shared" si="76"/>
        <v>#REF!</v>
      </c>
      <c r="Q72" s="383" t="e">
        <f t="shared" si="77"/>
        <v>#REF!</v>
      </c>
      <c r="R72" s="382" t="e">
        <f t="shared" si="78"/>
        <v>#REF!</v>
      </c>
      <c r="S72" s="68" t="e">
        <f t="shared" si="79"/>
        <v>#REF!</v>
      </c>
      <c r="T72" s="383" t="e">
        <f t="shared" si="80"/>
        <v>#REF!</v>
      </c>
      <c r="U72" s="382" t="e">
        <f t="shared" si="81"/>
        <v>#REF!</v>
      </c>
      <c r="V72" s="68" t="e">
        <f t="shared" si="82"/>
        <v>#REF!</v>
      </c>
      <c r="W72" s="383" t="e">
        <f t="shared" si="83"/>
        <v>#REF!</v>
      </c>
      <c r="X72" s="382" t="e">
        <f t="shared" si="84"/>
        <v>#REF!</v>
      </c>
      <c r="Y72" s="68" t="e">
        <f t="shared" si="85"/>
        <v>#REF!</v>
      </c>
      <c r="Z72" s="383" t="e">
        <f t="shared" si="86"/>
        <v>#REF!</v>
      </c>
      <c r="AA72" s="382" t="e">
        <f t="shared" si="87"/>
        <v>#REF!</v>
      </c>
      <c r="AB72" s="68" t="e">
        <f t="shared" si="88"/>
        <v>#REF!</v>
      </c>
      <c r="AC72" s="383" t="e">
        <f t="shared" si="89"/>
        <v>#REF!</v>
      </c>
      <c r="AD72" s="382" t="e">
        <f t="shared" si="90"/>
        <v>#REF!</v>
      </c>
      <c r="AE72" s="68" t="e">
        <f t="shared" si="91"/>
        <v>#REF!</v>
      </c>
      <c r="AF72" s="383" t="e">
        <f t="shared" si="92"/>
        <v>#REF!</v>
      </c>
      <c r="AH72" s="350"/>
      <c r="AI72" s="351"/>
      <c r="AJ72" s="351"/>
      <c r="AK72" s="351">
        <v>1</v>
      </c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2"/>
    </row>
    <row r="73" spans="1:63" s="71" customFormat="1" x14ac:dyDescent="0.25">
      <c r="A73" s="198" t="s">
        <v>932</v>
      </c>
      <c r="B73" s="397" t="e">
        <f t="shared" si="62"/>
        <v>#REF!</v>
      </c>
      <c r="C73" s="382" t="e">
        <f t="shared" si="63"/>
        <v>#REF!</v>
      </c>
      <c r="D73" s="68" t="e">
        <f t="shared" si="64"/>
        <v>#REF!</v>
      </c>
      <c r="E73" s="383" t="e">
        <f t="shared" si="65"/>
        <v>#REF!</v>
      </c>
      <c r="F73" s="382" t="e">
        <f t="shared" si="66"/>
        <v>#REF!</v>
      </c>
      <c r="G73" s="68" t="e">
        <f t="shared" si="67"/>
        <v>#REF!</v>
      </c>
      <c r="H73" s="384" t="e">
        <f t="shared" si="68"/>
        <v>#REF!</v>
      </c>
      <c r="I73" s="382" t="e">
        <f t="shared" si="69"/>
        <v>#REF!</v>
      </c>
      <c r="J73" s="68" t="e">
        <f t="shared" si="70"/>
        <v>#REF!</v>
      </c>
      <c r="K73" s="383" t="e">
        <f t="shared" si="71"/>
        <v>#REF!</v>
      </c>
      <c r="L73" s="382" t="e">
        <f t="shared" si="72"/>
        <v>#REF!</v>
      </c>
      <c r="M73" s="68" t="e">
        <f t="shared" si="73"/>
        <v>#REF!</v>
      </c>
      <c r="N73" s="384" t="e">
        <f t="shared" si="74"/>
        <v>#REF!</v>
      </c>
      <c r="O73" s="382" t="e">
        <f t="shared" si="75"/>
        <v>#REF!</v>
      </c>
      <c r="P73" s="68" t="e">
        <f t="shared" si="76"/>
        <v>#REF!</v>
      </c>
      <c r="Q73" s="383" t="e">
        <f t="shared" si="77"/>
        <v>#REF!</v>
      </c>
      <c r="R73" s="382" t="e">
        <f t="shared" si="78"/>
        <v>#REF!</v>
      </c>
      <c r="S73" s="68" t="e">
        <f t="shared" si="79"/>
        <v>#REF!</v>
      </c>
      <c r="T73" s="383" t="e">
        <f t="shared" si="80"/>
        <v>#REF!</v>
      </c>
      <c r="U73" s="382" t="e">
        <f t="shared" si="81"/>
        <v>#REF!</v>
      </c>
      <c r="V73" s="68" t="e">
        <f t="shared" si="82"/>
        <v>#REF!</v>
      </c>
      <c r="W73" s="383" t="e">
        <f t="shared" si="83"/>
        <v>#REF!</v>
      </c>
      <c r="X73" s="382" t="e">
        <f t="shared" si="84"/>
        <v>#REF!</v>
      </c>
      <c r="Y73" s="68" t="e">
        <f t="shared" si="85"/>
        <v>#REF!</v>
      </c>
      <c r="Z73" s="383" t="e">
        <f t="shared" si="86"/>
        <v>#REF!</v>
      </c>
      <c r="AA73" s="382" t="e">
        <f t="shared" si="87"/>
        <v>#REF!</v>
      </c>
      <c r="AB73" s="68" t="e">
        <f t="shared" si="88"/>
        <v>#REF!</v>
      </c>
      <c r="AC73" s="383" t="e">
        <f t="shared" si="89"/>
        <v>#REF!</v>
      </c>
      <c r="AD73" s="382" t="e">
        <f t="shared" si="90"/>
        <v>#REF!</v>
      </c>
      <c r="AE73" s="68" t="e">
        <f t="shared" si="91"/>
        <v>#REF!</v>
      </c>
      <c r="AF73" s="383" t="e">
        <f t="shared" si="92"/>
        <v>#REF!</v>
      </c>
      <c r="AH73" s="350"/>
      <c r="AI73" s="351"/>
      <c r="AJ73" s="351"/>
      <c r="AK73" s="351">
        <v>1</v>
      </c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2"/>
    </row>
    <row r="74" spans="1:63" s="71" customFormat="1" x14ac:dyDescent="0.25">
      <c r="A74" s="198" t="s">
        <v>933</v>
      </c>
      <c r="B74" s="397" t="e">
        <f t="shared" si="62"/>
        <v>#REF!</v>
      </c>
      <c r="C74" s="382" t="e">
        <f t="shared" si="63"/>
        <v>#REF!</v>
      </c>
      <c r="D74" s="68" t="e">
        <f t="shared" si="64"/>
        <v>#REF!</v>
      </c>
      <c r="E74" s="383" t="e">
        <f t="shared" si="65"/>
        <v>#REF!</v>
      </c>
      <c r="F74" s="382" t="e">
        <f t="shared" si="66"/>
        <v>#REF!</v>
      </c>
      <c r="G74" s="68" t="e">
        <f t="shared" si="67"/>
        <v>#REF!</v>
      </c>
      <c r="H74" s="384" t="e">
        <f t="shared" si="68"/>
        <v>#REF!</v>
      </c>
      <c r="I74" s="382" t="e">
        <f t="shared" si="69"/>
        <v>#REF!</v>
      </c>
      <c r="J74" s="68" t="e">
        <f t="shared" si="70"/>
        <v>#REF!</v>
      </c>
      <c r="K74" s="383" t="e">
        <f t="shared" si="71"/>
        <v>#REF!</v>
      </c>
      <c r="L74" s="382" t="e">
        <f t="shared" si="72"/>
        <v>#REF!</v>
      </c>
      <c r="M74" s="68" t="e">
        <f t="shared" si="73"/>
        <v>#REF!</v>
      </c>
      <c r="N74" s="384" t="e">
        <f t="shared" si="74"/>
        <v>#REF!</v>
      </c>
      <c r="O74" s="382" t="e">
        <f t="shared" si="75"/>
        <v>#REF!</v>
      </c>
      <c r="P74" s="68" t="e">
        <f t="shared" si="76"/>
        <v>#REF!</v>
      </c>
      <c r="Q74" s="383" t="e">
        <f t="shared" si="77"/>
        <v>#REF!</v>
      </c>
      <c r="R74" s="382" t="e">
        <f t="shared" si="78"/>
        <v>#REF!</v>
      </c>
      <c r="S74" s="68" t="e">
        <f t="shared" si="79"/>
        <v>#REF!</v>
      </c>
      <c r="T74" s="383" t="e">
        <f t="shared" si="80"/>
        <v>#REF!</v>
      </c>
      <c r="U74" s="382" t="e">
        <f t="shared" si="81"/>
        <v>#REF!</v>
      </c>
      <c r="V74" s="68" t="e">
        <f t="shared" si="82"/>
        <v>#REF!</v>
      </c>
      <c r="W74" s="383" t="e">
        <f t="shared" si="83"/>
        <v>#REF!</v>
      </c>
      <c r="X74" s="382" t="e">
        <f t="shared" si="84"/>
        <v>#REF!</v>
      </c>
      <c r="Y74" s="68" t="e">
        <f t="shared" si="85"/>
        <v>#REF!</v>
      </c>
      <c r="Z74" s="383" t="e">
        <f t="shared" si="86"/>
        <v>#REF!</v>
      </c>
      <c r="AA74" s="382" t="e">
        <f t="shared" si="87"/>
        <v>#REF!</v>
      </c>
      <c r="AB74" s="68" t="e">
        <f t="shared" si="88"/>
        <v>#REF!</v>
      </c>
      <c r="AC74" s="383" t="e">
        <f t="shared" si="89"/>
        <v>#REF!</v>
      </c>
      <c r="AD74" s="382" t="e">
        <f t="shared" si="90"/>
        <v>#REF!</v>
      </c>
      <c r="AE74" s="68" t="e">
        <f t="shared" si="91"/>
        <v>#REF!</v>
      </c>
      <c r="AF74" s="383" t="e">
        <f t="shared" si="92"/>
        <v>#REF!</v>
      </c>
      <c r="AH74" s="350"/>
      <c r="AI74" s="351"/>
      <c r="AJ74" s="351"/>
      <c r="AK74" s="351">
        <v>1</v>
      </c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2"/>
    </row>
    <row r="75" spans="1:63" s="71" customFormat="1" x14ac:dyDescent="0.25">
      <c r="A75" s="200" t="s">
        <v>29</v>
      </c>
      <c r="B75" s="53" t="str">
        <f t="shared" si="62"/>
        <v/>
      </c>
      <c r="C75" s="389" t="str">
        <f t="shared" si="63"/>
        <v/>
      </c>
      <c r="D75" s="390" t="str">
        <f t="shared" si="64"/>
        <v/>
      </c>
      <c r="E75" s="391" t="str">
        <f t="shared" si="65"/>
        <v/>
      </c>
      <c r="F75" s="389" t="str">
        <f t="shared" si="66"/>
        <v/>
      </c>
      <c r="G75" s="390" t="str">
        <f t="shared" si="67"/>
        <v/>
      </c>
      <c r="H75" s="392" t="str">
        <f t="shared" si="68"/>
        <v/>
      </c>
      <c r="I75" s="389" t="str">
        <f t="shared" si="69"/>
        <v/>
      </c>
      <c r="J75" s="390" t="str">
        <f t="shared" si="70"/>
        <v/>
      </c>
      <c r="K75" s="391" t="str">
        <f t="shared" si="71"/>
        <v/>
      </c>
      <c r="L75" s="389" t="str">
        <f t="shared" si="72"/>
        <v/>
      </c>
      <c r="M75" s="390" t="str">
        <f t="shared" si="73"/>
        <v/>
      </c>
      <c r="N75" s="392" t="str">
        <f t="shared" si="74"/>
        <v/>
      </c>
      <c r="O75" s="389" t="str">
        <f t="shared" si="75"/>
        <v/>
      </c>
      <c r="P75" s="390" t="str">
        <f t="shared" si="76"/>
        <v/>
      </c>
      <c r="Q75" s="391" t="str">
        <f t="shared" si="77"/>
        <v/>
      </c>
      <c r="R75" s="389" t="str">
        <f t="shared" si="78"/>
        <v/>
      </c>
      <c r="S75" s="390" t="str">
        <f t="shared" si="79"/>
        <v/>
      </c>
      <c r="T75" s="391" t="str">
        <f t="shared" si="80"/>
        <v/>
      </c>
      <c r="U75" s="389" t="str">
        <f t="shared" si="81"/>
        <v/>
      </c>
      <c r="V75" s="390" t="str">
        <f t="shared" si="82"/>
        <v/>
      </c>
      <c r="W75" s="391" t="str">
        <f t="shared" si="83"/>
        <v/>
      </c>
      <c r="X75" s="389" t="str">
        <f t="shared" si="84"/>
        <v/>
      </c>
      <c r="Y75" s="390" t="str">
        <f t="shared" si="85"/>
        <v/>
      </c>
      <c r="Z75" s="391" t="str">
        <f t="shared" si="86"/>
        <v/>
      </c>
      <c r="AA75" s="389" t="str">
        <f t="shared" si="87"/>
        <v/>
      </c>
      <c r="AB75" s="390" t="str">
        <f t="shared" si="88"/>
        <v/>
      </c>
      <c r="AC75" s="391" t="str">
        <f t="shared" si="89"/>
        <v/>
      </c>
      <c r="AD75" s="389" t="str">
        <f t="shared" si="90"/>
        <v/>
      </c>
      <c r="AE75" s="390" t="str">
        <f t="shared" si="91"/>
        <v/>
      </c>
      <c r="AF75" s="391" t="str">
        <f t="shared" si="92"/>
        <v/>
      </c>
      <c r="AH75" s="356"/>
      <c r="AI75" s="357"/>
      <c r="AJ75" s="357"/>
      <c r="AK75" s="357"/>
      <c r="AL75" s="357"/>
      <c r="AM75" s="357"/>
      <c r="AN75" s="357"/>
      <c r="AO75" s="357"/>
      <c r="AP75" s="357"/>
      <c r="AQ75" s="357"/>
      <c r="AR75" s="357"/>
      <c r="AS75" s="357"/>
      <c r="AT75" s="357"/>
      <c r="AU75" s="357"/>
      <c r="AV75" s="357"/>
      <c r="AW75" s="357"/>
      <c r="AX75" s="357"/>
      <c r="AY75" s="357"/>
      <c r="AZ75" s="357"/>
      <c r="BA75" s="357"/>
      <c r="BB75" s="357"/>
      <c r="BC75" s="357"/>
      <c r="BD75" s="357"/>
      <c r="BE75" s="357"/>
      <c r="BF75" s="357"/>
      <c r="BG75" s="357"/>
      <c r="BH75" s="357"/>
      <c r="BI75" s="357"/>
      <c r="BJ75" s="357"/>
      <c r="BK75" s="358"/>
    </row>
    <row r="76" spans="1:63" s="71" customFormat="1" x14ac:dyDescent="0.25">
      <c r="A76" s="198" t="s">
        <v>46</v>
      </c>
      <c r="B76" s="397" t="e">
        <f t="shared" si="62"/>
        <v>#REF!</v>
      </c>
      <c r="C76" s="382" t="e">
        <f t="shared" si="63"/>
        <v>#REF!</v>
      </c>
      <c r="D76" s="68" t="e">
        <f t="shared" si="64"/>
        <v>#REF!</v>
      </c>
      <c r="E76" s="383" t="e">
        <f t="shared" si="65"/>
        <v>#REF!</v>
      </c>
      <c r="F76" s="382" t="e">
        <f t="shared" si="66"/>
        <v>#REF!</v>
      </c>
      <c r="G76" s="68" t="e">
        <f t="shared" si="67"/>
        <v>#REF!</v>
      </c>
      <c r="H76" s="384" t="e">
        <f t="shared" si="68"/>
        <v>#REF!</v>
      </c>
      <c r="I76" s="382" t="e">
        <f t="shared" si="69"/>
        <v>#REF!</v>
      </c>
      <c r="J76" s="68" t="e">
        <f t="shared" si="70"/>
        <v>#REF!</v>
      </c>
      <c r="K76" s="383" t="e">
        <f t="shared" si="71"/>
        <v>#REF!</v>
      </c>
      <c r="L76" s="382" t="e">
        <f t="shared" si="72"/>
        <v>#REF!</v>
      </c>
      <c r="M76" s="68" t="e">
        <f t="shared" si="73"/>
        <v>#REF!</v>
      </c>
      <c r="N76" s="384" t="e">
        <f t="shared" si="74"/>
        <v>#REF!</v>
      </c>
      <c r="O76" s="382" t="e">
        <f t="shared" si="75"/>
        <v>#REF!</v>
      </c>
      <c r="P76" s="68" t="e">
        <f t="shared" si="76"/>
        <v>#REF!</v>
      </c>
      <c r="Q76" s="383" t="e">
        <f t="shared" si="77"/>
        <v>#REF!</v>
      </c>
      <c r="R76" s="382" t="e">
        <f t="shared" si="78"/>
        <v>#REF!</v>
      </c>
      <c r="S76" s="68" t="e">
        <f t="shared" si="79"/>
        <v>#REF!</v>
      </c>
      <c r="T76" s="383" t="e">
        <f t="shared" si="80"/>
        <v>#REF!</v>
      </c>
      <c r="U76" s="382" t="e">
        <f t="shared" si="81"/>
        <v>#REF!</v>
      </c>
      <c r="V76" s="68" t="e">
        <f t="shared" si="82"/>
        <v>#REF!</v>
      </c>
      <c r="W76" s="383" t="e">
        <f t="shared" si="83"/>
        <v>#REF!</v>
      </c>
      <c r="X76" s="382" t="e">
        <f t="shared" si="84"/>
        <v>#REF!</v>
      </c>
      <c r="Y76" s="68" t="e">
        <f t="shared" si="85"/>
        <v>#REF!</v>
      </c>
      <c r="Z76" s="383" t="e">
        <f t="shared" si="86"/>
        <v>#REF!</v>
      </c>
      <c r="AA76" s="382" t="e">
        <f t="shared" si="87"/>
        <v>#REF!</v>
      </c>
      <c r="AB76" s="68" t="e">
        <f t="shared" si="88"/>
        <v>#REF!</v>
      </c>
      <c r="AC76" s="383" t="e">
        <f t="shared" si="89"/>
        <v>#REF!</v>
      </c>
      <c r="AD76" s="382" t="e">
        <f t="shared" si="90"/>
        <v>#REF!</v>
      </c>
      <c r="AE76" s="68" t="e">
        <f t="shared" si="91"/>
        <v>#REF!</v>
      </c>
      <c r="AF76" s="383" t="e">
        <f t="shared" si="92"/>
        <v>#REF!</v>
      </c>
      <c r="AH76" s="350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2"/>
    </row>
    <row r="77" spans="1:63" s="71" customFormat="1" x14ac:dyDescent="0.25">
      <c r="A77" s="198" t="s">
        <v>938</v>
      </c>
      <c r="B77" s="397" t="e">
        <f t="shared" si="62"/>
        <v>#REF!</v>
      </c>
      <c r="C77" s="382" t="e">
        <f t="shared" si="63"/>
        <v>#REF!</v>
      </c>
      <c r="D77" s="68" t="e">
        <f t="shared" si="64"/>
        <v>#REF!</v>
      </c>
      <c r="E77" s="383" t="e">
        <f t="shared" si="65"/>
        <v>#REF!</v>
      </c>
      <c r="F77" s="382" t="e">
        <f t="shared" si="66"/>
        <v>#REF!</v>
      </c>
      <c r="G77" s="68" t="e">
        <f t="shared" si="67"/>
        <v>#REF!</v>
      </c>
      <c r="H77" s="384" t="e">
        <f t="shared" si="68"/>
        <v>#REF!</v>
      </c>
      <c r="I77" s="382" t="e">
        <f t="shared" si="69"/>
        <v>#REF!</v>
      </c>
      <c r="J77" s="68" t="e">
        <f t="shared" si="70"/>
        <v>#REF!</v>
      </c>
      <c r="K77" s="383" t="e">
        <f t="shared" si="71"/>
        <v>#REF!</v>
      </c>
      <c r="L77" s="382" t="e">
        <f t="shared" si="72"/>
        <v>#REF!</v>
      </c>
      <c r="M77" s="68" t="e">
        <f t="shared" si="73"/>
        <v>#REF!</v>
      </c>
      <c r="N77" s="384" t="e">
        <f t="shared" si="74"/>
        <v>#REF!</v>
      </c>
      <c r="O77" s="382" t="e">
        <f t="shared" si="75"/>
        <v>#REF!</v>
      </c>
      <c r="P77" s="68" t="e">
        <f t="shared" si="76"/>
        <v>#REF!</v>
      </c>
      <c r="Q77" s="383" t="e">
        <f t="shared" si="77"/>
        <v>#REF!</v>
      </c>
      <c r="R77" s="382" t="e">
        <f t="shared" si="78"/>
        <v>#REF!</v>
      </c>
      <c r="S77" s="68" t="e">
        <f t="shared" si="79"/>
        <v>#REF!</v>
      </c>
      <c r="T77" s="383" t="e">
        <f t="shared" si="80"/>
        <v>#REF!</v>
      </c>
      <c r="U77" s="382" t="e">
        <f t="shared" si="81"/>
        <v>#REF!</v>
      </c>
      <c r="V77" s="68" t="e">
        <f t="shared" si="82"/>
        <v>#REF!</v>
      </c>
      <c r="W77" s="383" t="e">
        <f t="shared" si="83"/>
        <v>#REF!</v>
      </c>
      <c r="X77" s="382" t="e">
        <f t="shared" si="84"/>
        <v>#REF!</v>
      </c>
      <c r="Y77" s="68" t="e">
        <f t="shared" si="85"/>
        <v>#REF!</v>
      </c>
      <c r="Z77" s="383" t="e">
        <f t="shared" si="86"/>
        <v>#REF!</v>
      </c>
      <c r="AA77" s="382" t="e">
        <f t="shared" si="87"/>
        <v>#REF!</v>
      </c>
      <c r="AB77" s="68" t="e">
        <f t="shared" si="88"/>
        <v>#REF!</v>
      </c>
      <c r="AC77" s="383" t="e">
        <f t="shared" si="89"/>
        <v>#REF!</v>
      </c>
      <c r="AD77" s="382" t="e">
        <f t="shared" si="90"/>
        <v>#REF!</v>
      </c>
      <c r="AE77" s="68" t="e">
        <f t="shared" si="91"/>
        <v>#REF!</v>
      </c>
      <c r="AF77" s="383" t="e">
        <f t="shared" si="92"/>
        <v>#REF!</v>
      </c>
      <c r="AH77" s="350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2"/>
    </row>
    <row r="78" spans="1:63" s="71" customFormat="1" x14ac:dyDescent="0.25">
      <c r="A78" s="198" t="s">
        <v>47</v>
      </c>
      <c r="B78" s="397" t="e">
        <f t="shared" si="62"/>
        <v>#REF!</v>
      </c>
      <c r="C78" s="382" t="e">
        <f t="shared" si="63"/>
        <v>#REF!</v>
      </c>
      <c r="D78" s="68" t="e">
        <f t="shared" si="64"/>
        <v>#REF!</v>
      </c>
      <c r="E78" s="383" t="e">
        <f t="shared" si="65"/>
        <v>#REF!</v>
      </c>
      <c r="F78" s="382" t="e">
        <f t="shared" si="66"/>
        <v>#REF!</v>
      </c>
      <c r="G78" s="68" t="e">
        <f t="shared" si="67"/>
        <v>#REF!</v>
      </c>
      <c r="H78" s="384" t="e">
        <f t="shared" si="68"/>
        <v>#REF!</v>
      </c>
      <c r="I78" s="382" t="e">
        <f t="shared" si="69"/>
        <v>#REF!</v>
      </c>
      <c r="J78" s="68" t="e">
        <f t="shared" si="70"/>
        <v>#REF!</v>
      </c>
      <c r="K78" s="383" t="e">
        <f t="shared" si="71"/>
        <v>#REF!</v>
      </c>
      <c r="L78" s="382" t="e">
        <f t="shared" si="72"/>
        <v>#REF!</v>
      </c>
      <c r="M78" s="68" t="e">
        <f t="shared" si="73"/>
        <v>#REF!</v>
      </c>
      <c r="N78" s="384" t="e">
        <f t="shared" si="74"/>
        <v>#REF!</v>
      </c>
      <c r="O78" s="382" t="e">
        <f t="shared" si="75"/>
        <v>#REF!</v>
      </c>
      <c r="P78" s="68" t="e">
        <f t="shared" si="76"/>
        <v>#REF!</v>
      </c>
      <c r="Q78" s="383" t="e">
        <f t="shared" si="77"/>
        <v>#REF!</v>
      </c>
      <c r="R78" s="382" t="e">
        <f t="shared" si="78"/>
        <v>#REF!</v>
      </c>
      <c r="S78" s="68" t="e">
        <f t="shared" si="79"/>
        <v>#REF!</v>
      </c>
      <c r="T78" s="383" t="e">
        <f t="shared" si="80"/>
        <v>#REF!</v>
      </c>
      <c r="U78" s="382" t="e">
        <f t="shared" si="81"/>
        <v>#REF!</v>
      </c>
      <c r="V78" s="68" t="e">
        <f t="shared" si="82"/>
        <v>#REF!</v>
      </c>
      <c r="W78" s="383" t="e">
        <f t="shared" si="83"/>
        <v>#REF!</v>
      </c>
      <c r="X78" s="382" t="e">
        <f t="shared" si="84"/>
        <v>#REF!</v>
      </c>
      <c r="Y78" s="68" t="e">
        <f t="shared" si="85"/>
        <v>#REF!</v>
      </c>
      <c r="Z78" s="383" t="e">
        <f t="shared" si="86"/>
        <v>#REF!</v>
      </c>
      <c r="AA78" s="382" t="e">
        <f t="shared" si="87"/>
        <v>#REF!</v>
      </c>
      <c r="AB78" s="68" t="e">
        <f t="shared" si="88"/>
        <v>#REF!</v>
      </c>
      <c r="AC78" s="383" t="e">
        <f t="shared" si="89"/>
        <v>#REF!</v>
      </c>
      <c r="AD78" s="382" t="e">
        <f t="shared" si="90"/>
        <v>#REF!</v>
      </c>
      <c r="AE78" s="68" t="e">
        <f t="shared" si="91"/>
        <v>#REF!</v>
      </c>
      <c r="AF78" s="383" t="e">
        <f t="shared" si="92"/>
        <v>#REF!</v>
      </c>
      <c r="AH78" s="350"/>
      <c r="AI78" s="351">
        <v>2</v>
      </c>
      <c r="AJ78" s="351"/>
      <c r="AK78" s="351">
        <v>2</v>
      </c>
      <c r="AL78" s="351"/>
      <c r="AM78" s="351"/>
      <c r="AN78" s="351"/>
      <c r="AO78" s="351"/>
      <c r="AP78" s="351"/>
      <c r="AQ78" s="351"/>
      <c r="AR78" s="351"/>
      <c r="AS78" s="351"/>
      <c r="AT78" s="351"/>
      <c r="AU78" s="351">
        <v>2</v>
      </c>
      <c r="AV78" s="351"/>
      <c r="AW78" s="351"/>
      <c r="AX78" s="351">
        <v>2</v>
      </c>
      <c r="AY78" s="351"/>
      <c r="AZ78" s="351"/>
      <c r="BA78" s="351">
        <v>2</v>
      </c>
      <c r="BB78" s="351"/>
      <c r="BC78" s="351"/>
      <c r="BD78" s="351">
        <v>2</v>
      </c>
      <c r="BE78" s="351"/>
      <c r="BF78" s="351"/>
      <c r="BG78" s="351"/>
      <c r="BH78" s="351"/>
      <c r="BI78" s="351"/>
      <c r="BJ78" s="351"/>
      <c r="BK78" s="352"/>
    </row>
    <row r="79" spans="1:63" s="71" customFormat="1" x14ac:dyDescent="0.25">
      <c r="A79" s="198" t="s">
        <v>936</v>
      </c>
      <c r="B79" s="397" t="e">
        <f t="shared" si="62"/>
        <v>#REF!</v>
      </c>
      <c r="C79" s="382" t="e">
        <f t="shared" si="63"/>
        <v>#REF!</v>
      </c>
      <c r="D79" s="68" t="e">
        <f t="shared" si="64"/>
        <v>#REF!</v>
      </c>
      <c r="E79" s="383" t="e">
        <f t="shared" si="65"/>
        <v>#REF!</v>
      </c>
      <c r="F79" s="382" t="e">
        <f t="shared" si="66"/>
        <v>#REF!</v>
      </c>
      <c r="G79" s="68" t="e">
        <f t="shared" si="67"/>
        <v>#REF!</v>
      </c>
      <c r="H79" s="384" t="e">
        <f t="shared" si="68"/>
        <v>#REF!</v>
      </c>
      <c r="I79" s="382" t="e">
        <f t="shared" si="69"/>
        <v>#REF!</v>
      </c>
      <c r="J79" s="68" t="e">
        <f t="shared" si="70"/>
        <v>#REF!</v>
      </c>
      <c r="K79" s="383" t="e">
        <f t="shared" si="71"/>
        <v>#REF!</v>
      </c>
      <c r="L79" s="382" t="e">
        <f t="shared" si="72"/>
        <v>#REF!</v>
      </c>
      <c r="M79" s="68" t="e">
        <f t="shared" si="73"/>
        <v>#REF!</v>
      </c>
      <c r="N79" s="384" t="e">
        <f t="shared" si="74"/>
        <v>#REF!</v>
      </c>
      <c r="O79" s="382" t="e">
        <f t="shared" si="75"/>
        <v>#REF!</v>
      </c>
      <c r="P79" s="68" t="e">
        <f t="shared" si="76"/>
        <v>#REF!</v>
      </c>
      <c r="Q79" s="383" t="e">
        <f t="shared" si="77"/>
        <v>#REF!</v>
      </c>
      <c r="R79" s="382" t="e">
        <f t="shared" si="78"/>
        <v>#REF!</v>
      </c>
      <c r="S79" s="68" t="e">
        <f t="shared" si="79"/>
        <v>#REF!</v>
      </c>
      <c r="T79" s="383" t="e">
        <f t="shared" si="80"/>
        <v>#REF!</v>
      </c>
      <c r="U79" s="382" t="e">
        <f t="shared" si="81"/>
        <v>#REF!</v>
      </c>
      <c r="V79" s="68" t="e">
        <f t="shared" si="82"/>
        <v>#REF!</v>
      </c>
      <c r="W79" s="383" t="e">
        <f t="shared" si="83"/>
        <v>#REF!</v>
      </c>
      <c r="X79" s="382" t="e">
        <f t="shared" si="84"/>
        <v>#REF!</v>
      </c>
      <c r="Y79" s="68" t="e">
        <f t="shared" si="85"/>
        <v>#REF!</v>
      </c>
      <c r="Z79" s="383" t="e">
        <f t="shared" si="86"/>
        <v>#REF!</v>
      </c>
      <c r="AA79" s="382" t="e">
        <f t="shared" si="87"/>
        <v>#REF!</v>
      </c>
      <c r="AB79" s="68" t="e">
        <f t="shared" si="88"/>
        <v>#REF!</v>
      </c>
      <c r="AC79" s="383" t="e">
        <f t="shared" si="89"/>
        <v>#REF!</v>
      </c>
      <c r="AD79" s="382" t="e">
        <f t="shared" si="90"/>
        <v>#REF!</v>
      </c>
      <c r="AE79" s="68" t="e">
        <f t="shared" si="91"/>
        <v>#REF!</v>
      </c>
      <c r="AF79" s="383" t="e">
        <f t="shared" si="92"/>
        <v>#REF!</v>
      </c>
      <c r="AH79" s="350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2"/>
    </row>
    <row r="80" spans="1:63" s="71" customFormat="1" x14ac:dyDescent="0.25">
      <c r="A80" s="198" t="s">
        <v>320</v>
      </c>
      <c r="B80" s="397" t="e">
        <f t="shared" si="62"/>
        <v>#REF!</v>
      </c>
      <c r="C80" s="382" t="e">
        <f t="shared" si="63"/>
        <v>#REF!</v>
      </c>
      <c r="D80" s="68" t="e">
        <f t="shared" si="64"/>
        <v>#REF!</v>
      </c>
      <c r="E80" s="383" t="e">
        <f t="shared" si="65"/>
        <v>#REF!</v>
      </c>
      <c r="F80" s="382" t="e">
        <f t="shared" si="66"/>
        <v>#REF!</v>
      </c>
      <c r="G80" s="68" t="e">
        <f t="shared" si="67"/>
        <v>#REF!</v>
      </c>
      <c r="H80" s="384" t="e">
        <f t="shared" si="68"/>
        <v>#REF!</v>
      </c>
      <c r="I80" s="382" t="e">
        <f t="shared" si="69"/>
        <v>#REF!</v>
      </c>
      <c r="J80" s="68" t="e">
        <f t="shared" si="70"/>
        <v>#REF!</v>
      </c>
      <c r="K80" s="383" t="e">
        <f t="shared" si="71"/>
        <v>#REF!</v>
      </c>
      <c r="L80" s="382" t="e">
        <f t="shared" si="72"/>
        <v>#REF!</v>
      </c>
      <c r="M80" s="68" t="e">
        <f t="shared" si="73"/>
        <v>#REF!</v>
      </c>
      <c r="N80" s="384" t="e">
        <f t="shared" si="74"/>
        <v>#REF!</v>
      </c>
      <c r="O80" s="382" t="e">
        <f t="shared" si="75"/>
        <v>#REF!</v>
      </c>
      <c r="P80" s="68" t="e">
        <f t="shared" si="76"/>
        <v>#REF!</v>
      </c>
      <c r="Q80" s="383" t="e">
        <f t="shared" si="77"/>
        <v>#REF!</v>
      </c>
      <c r="R80" s="382" t="e">
        <f t="shared" si="78"/>
        <v>#REF!</v>
      </c>
      <c r="S80" s="68" t="e">
        <f t="shared" si="79"/>
        <v>#REF!</v>
      </c>
      <c r="T80" s="383" t="e">
        <f t="shared" si="80"/>
        <v>#REF!</v>
      </c>
      <c r="U80" s="382" t="e">
        <f t="shared" si="81"/>
        <v>#REF!</v>
      </c>
      <c r="V80" s="68" t="e">
        <f t="shared" si="82"/>
        <v>#REF!</v>
      </c>
      <c r="W80" s="383" t="e">
        <f t="shared" si="83"/>
        <v>#REF!</v>
      </c>
      <c r="X80" s="382" t="e">
        <f t="shared" si="84"/>
        <v>#REF!</v>
      </c>
      <c r="Y80" s="68" t="e">
        <f t="shared" si="85"/>
        <v>#REF!</v>
      </c>
      <c r="Z80" s="383" t="e">
        <f t="shared" si="86"/>
        <v>#REF!</v>
      </c>
      <c r="AA80" s="382" t="e">
        <f t="shared" si="87"/>
        <v>#REF!</v>
      </c>
      <c r="AB80" s="68" t="e">
        <f t="shared" si="88"/>
        <v>#REF!</v>
      </c>
      <c r="AC80" s="383" t="e">
        <f t="shared" si="89"/>
        <v>#REF!</v>
      </c>
      <c r="AD80" s="382" t="e">
        <f t="shared" si="90"/>
        <v>#REF!</v>
      </c>
      <c r="AE80" s="68" t="e">
        <f t="shared" si="91"/>
        <v>#REF!</v>
      </c>
      <c r="AF80" s="383" t="e">
        <f t="shared" si="92"/>
        <v>#REF!</v>
      </c>
      <c r="AH80" s="350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2"/>
    </row>
    <row r="81" spans="1:63" s="71" customFormat="1" ht="13.8" thickBot="1" x14ac:dyDescent="0.3">
      <c r="A81" s="201"/>
      <c r="B81" s="52"/>
      <c r="C81" s="393" t="str">
        <f t="shared" si="63"/>
        <v/>
      </c>
      <c r="D81" s="394" t="str">
        <f t="shared" si="64"/>
        <v/>
      </c>
      <c r="E81" s="395" t="str">
        <f t="shared" si="65"/>
        <v/>
      </c>
      <c r="F81" s="393" t="str">
        <f t="shared" si="66"/>
        <v/>
      </c>
      <c r="G81" s="394" t="str">
        <f t="shared" si="67"/>
        <v/>
      </c>
      <c r="H81" s="396" t="str">
        <f t="shared" si="68"/>
        <v/>
      </c>
      <c r="I81" s="393" t="str">
        <f t="shared" si="69"/>
        <v/>
      </c>
      <c r="J81" s="394" t="str">
        <f t="shared" si="70"/>
        <v/>
      </c>
      <c r="K81" s="395" t="str">
        <f t="shared" si="71"/>
        <v/>
      </c>
      <c r="L81" s="393" t="str">
        <f t="shared" si="72"/>
        <v/>
      </c>
      <c r="M81" s="394" t="str">
        <f t="shared" si="73"/>
        <v/>
      </c>
      <c r="N81" s="396" t="str">
        <f t="shared" si="74"/>
        <v/>
      </c>
      <c r="O81" s="393" t="str">
        <f t="shared" si="75"/>
        <v/>
      </c>
      <c r="P81" s="394" t="str">
        <f t="shared" si="76"/>
        <v/>
      </c>
      <c r="Q81" s="395" t="str">
        <f t="shared" si="77"/>
        <v/>
      </c>
      <c r="R81" s="393" t="str">
        <f t="shared" si="78"/>
        <v/>
      </c>
      <c r="S81" s="394" t="str">
        <f t="shared" si="79"/>
        <v/>
      </c>
      <c r="T81" s="395" t="str">
        <f t="shared" si="80"/>
        <v/>
      </c>
      <c r="U81" s="393" t="str">
        <f t="shared" si="81"/>
        <v/>
      </c>
      <c r="V81" s="394" t="str">
        <f t="shared" si="82"/>
        <v/>
      </c>
      <c r="W81" s="395" t="str">
        <f t="shared" si="83"/>
        <v/>
      </c>
      <c r="X81" s="393" t="str">
        <f t="shared" si="84"/>
        <v/>
      </c>
      <c r="Y81" s="394" t="str">
        <f t="shared" si="85"/>
        <v/>
      </c>
      <c r="Z81" s="395" t="str">
        <f t="shared" si="86"/>
        <v/>
      </c>
      <c r="AA81" s="393" t="str">
        <f t="shared" si="87"/>
        <v/>
      </c>
      <c r="AB81" s="394" t="str">
        <f t="shared" si="88"/>
        <v/>
      </c>
      <c r="AC81" s="395" t="str">
        <f t="shared" si="89"/>
        <v/>
      </c>
      <c r="AD81" s="393" t="str">
        <f t="shared" si="90"/>
        <v/>
      </c>
      <c r="AE81" s="394" t="str">
        <f t="shared" si="91"/>
        <v/>
      </c>
      <c r="AF81" s="395" t="str">
        <f t="shared" si="92"/>
        <v/>
      </c>
      <c r="AH81" s="359"/>
      <c r="AI81" s="360"/>
      <c r="AJ81" s="360"/>
      <c r="AK81" s="360"/>
      <c r="AL81" s="360"/>
      <c r="AM81" s="360"/>
      <c r="AN81" s="360"/>
      <c r="AO81" s="360"/>
      <c r="AP81" s="360"/>
      <c r="AQ81" s="360"/>
      <c r="AR81" s="360"/>
      <c r="AS81" s="360"/>
      <c r="AT81" s="360"/>
      <c r="AU81" s="360"/>
      <c r="AV81" s="360"/>
      <c r="AW81" s="360"/>
      <c r="AX81" s="360"/>
      <c r="AY81" s="360"/>
      <c r="AZ81" s="360"/>
      <c r="BA81" s="360"/>
      <c r="BB81" s="360"/>
      <c r="BC81" s="360"/>
      <c r="BD81" s="360"/>
      <c r="BE81" s="360"/>
      <c r="BF81" s="360"/>
      <c r="BG81" s="360"/>
      <c r="BH81" s="360"/>
      <c r="BI81" s="360"/>
      <c r="BJ81" s="360"/>
      <c r="BK81" s="361"/>
    </row>
    <row r="82" spans="1:63" s="71" customFormat="1" ht="13.8" thickTop="1" x14ac:dyDescent="0.25">
      <c r="A82" s="8"/>
      <c r="B82" s="18" t="s">
        <v>4</v>
      </c>
      <c r="C82" s="18" t="s">
        <v>4</v>
      </c>
      <c r="D82" s="18" t="s">
        <v>4</v>
      </c>
      <c r="E82" s="18" t="s">
        <v>4</v>
      </c>
      <c r="F82" s="18" t="s">
        <v>4</v>
      </c>
      <c r="G82" s="18" t="s">
        <v>4</v>
      </c>
      <c r="H82" s="18" t="s">
        <v>4</v>
      </c>
      <c r="I82" s="18" t="s">
        <v>4</v>
      </c>
      <c r="J82" s="18" t="s">
        <v>4</v>
      </c>
      <c r="K82" s="18" t="s">
        <v>4</v>
      </c>
      <c r="L82" s="18" t="s">
        <v>4</v>
      </c>
      <c r="M82" s="18" t="s">
        <v>4</v>
      </c>
      <c r="N82" s="18" t="s">
        <v>4</v>
      </c>
      <c r="O82" s="18" t="s">
        <v>4</v>
      </c>
      <c r="P82" s="18" t="s">
        <v>4</v>
      </c>
      <c r="Q82" s="18" t="s">
        <v>4</v>
      </c>
      <c r="R82" s="18" t="s">
        <v>4</v>
      </c>
      <c r="S82" s="18" t="s">
        <v>4</v>
      </c>
      <c r="T82" s="18" t="s">
        <v>4</v>
      </c>
      <c r="U82" s="18" t="s">
        <v>4</v>
      </c>
      <c r="V82" s="18" t="s">
        <v>4</v>
      </c>
      <c r="W82" s="18" t="s">
        <v>4</v>
      </c>
      <c r="X82" s="18" t="s">
        <v>4</v>
      </c>
      <c r="Y82" s="18" t="s">
        <v>4</v>
      </c>
      <c r="Z82" s="18" t="s">
        <v>4</v>
      </c>
      <c r="AA82" s="18" t="s">
        <v>4</v>
      </c>
      <c r="AB82" s="18" t="s">
        <v>4</v>
      </c>
      <c r="AC82" s="18" t="s">
        <v>4</v>
      </c>
      <c r="AD82" s="18" t="s">
        <v>4</v>
      </c>
      <c r="AE82" s="18" t="s">
        <v>4</v>
      </c>
      <c r="AF82" s="18" t="s">
        <v>4</v>
      </c>
      <c r="AH82" s="362" t="s">
        <v>4</v>
      </c>
      <c r="AI82" s="362" t="s">
        <v>4</v>
      </c>
      <c r="AJ82" s="362" t="s">
        <v>4</v>
      </c>
      <c r="AK82" s="362" t="s">
        <v>4</v>
      </c>
      <c r="AL82" s="362" t="s">
        <v>4</v>
      </c>
      <c r="AM82" s="362" t="s">
        <v>4</v>
      </c>
      <c r="AN82" s="362" t="s">
        <v>4</v>
      </c>
      <c r="AO82" s="362" t="s">
        <v>4</v>
      </c>
      <c r="AP82" s="362" t="s">
        <v>4</v>
      </c>
      <c r="AQ82" s="362" t="s">
        <v>4</v>
      </c>
      <c r="AR82" s="362" t="s">
        <v>4</v>
      </c>
      <c r="AS82" s="362" t="s">
        <v>4</v>
      </c>
      <c r="AT82" s="362" t="s">
        <v>4</v>
      </c>
      <c r="AU82" s="362" t="s">
        <v>4</v>
      </c>
      <c r="AV82" s="362" t="s">
        <v>4</v>
      </c>
      <c r="AW82" s="362" t="s">
        <v>4</v>
      </c>
      <c r="AX82" s="362" t="s">
        <v>4</v>
      </c>
      <c r="AY82" s="362" t="s">
        <v>4</v>
      </c>
      <c r="AZ82" s="362" t="s">
        <v>4</v>
      </c>
      <c r="BA82" s="362" t="s">
        <v>4</v>
      </c>
      <c r="BB82" s="362" t="s">
        <v>4</v>
      </c>
      <c r="BC82" s="362" t="s">
        <v>4</v>
      </c>
      <c r="BD82" s="362" t="s">
        <v>4</v>
      </c>
      <c r="BE82" s="362" t="s">
        <v>4</v>
      </c>
      <c r="BF82" s="362" t="s">
        <v>4</v>
      </c>
      <c r="BG82" s="362" t="s">
        <v>4</v>
      </c>
      <c r="BH82" s="362" t="s">
        <v>4</v>
      </c>
      <c r="BI82" s="362" t="s">
        <v>4</v>
      </c>
      <c r="BJ82" s="362" t="s">
        <v>4</v>
      </c>
      <c r="BK82" s="362" t="s">
        <v>4</v>
      </c>
    </row>
    <row r="83" spans="1:63" s="71" customFormat="1" ht="13.8" thickBot="1" x14ac:dyDescent="0.3">
      <c r="A83" s="54" t="s">
        <v>30</v>
      </c>
      <c r="B83" s="17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4"/>
      <c r="V83" s="364"/>
      <c r="W83" s="364"/>
      <c r="X83" s="364"/>
      <c r="Y83" s="364"/>
      <c r="Z83" s="364"/>
      <c r="AA83" s="364"/>
      <c r="AB83" s="364"/>
      <c r="AC83" s="364"/>
      <c r="AD83" s="364"/>
      <c r="AE83" s="364"/>
      <c r="AF83" s="364"/>
      <c r="AG83" s="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</row>
    <row r="84" spans="1:63" ht="15" thickTop="1" thickBot="1" x14ac:dyDescent="0.3">
      <c r="A84" s="9"/>
      <c r="B84" s="370"/>
      <c r="C84" s="374" t="s">
        <v>951</v>
      </c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  <c r="AF84" s="376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</row>
    <row r="85" spans="1:63" ht="13.8" thickBot="1" x14ac:dyDescent="0.3">
      <c r="B85" s="371"/>
      <c r="C85" s="480" t="s">
        <v>939</v>
      </c>
      <c r="D85" s="481"/>
      <c r="E85" s="482"/>
      <c r="F85" s="477" t="s">
        <v>126</v>
      </c>
      <c r="G85" s="478"/>
      <c r="H85" s="479"/>
      <c r="I85" s="477" t="s">
        <v>127</v>
      </c>
      <c r="J85" s="478"/>
      <c r="K85" s="479"/>
      <c r="L85" s="477" t="s">
        <v>942</v>
      </c>
      <c r="M85" s="478"/>
      <c r="N85" s="479"/>
      <c r="O85" s="477" t="s">
        <v>943</v>
      </c>
      <c r="P85" s="478"/>
      <c r="Q85" s="479"/>
      <c r="R85" s="477" t="s">
        <v>944</v>
      </c>
      <c r="S85" s="478"/>
      <c r="T85" s="479"/>
      <c r="U85" s="477" t="s">
        <v>945</v>
      </c>
      <c r="V85" s="478"/>
      <c r="W85" s="479"/>
      <c r="X85" s="477" t="s">
        <v>946</v>
      </c>
      <c r="Y85" s="478"/>
      <c r="Z85" s="479"/>
      <c r="AA85" s="477" t="s">
        <v>947</v>
      </c>
      <c r="AB85" s="478"/>
      <c r="AC85" s="479"/>
      <c r="AD85" s="477" t="s">
        <v>948</v>
      </c>
      <c r="AE85" s="478"/>
      <c r="AF85" s="479"/>
    </row>
    <row r="86" spans="1:63" ht="27.6" thickTop="1" thickBot="1" x14ac:dyDescent="0.3">
      <c r="A86" s="69"/>
      <c r="B86" s="372"/>
      <c r="C86" s="341" t="s">
        <v>904</v>
      </c>
      <c r="D86" s="64" t="s">
        <v>853</v>
      </c>
      <c r="E86" s="342" t="s">
        <v>852</v>
      </c>
      <c r="F86" s="341" t="s">
        <v>904</v>
      </c>
      <c r="G86" s="64" t="s">
        <v>853</v>
      </c>
      <c r="H86" s="342" t="s">
        <v>852</v>
      </c>
      <c r="I86" s="341" t="s">
        <v>904</v>
      </c>
      <c r="J86" s="64" t="s">
        <v>853</v>
      </c>
      <c r="K86" s="342" t="s">
        <v>852</v>
      </c>
      <c r="L86" s="341" t="s">
        <v>904</v>
      </c>
      <c r="M86" s="64" t="s">
        <v>853</v>
      </c>
      <c r="N86" s="342" t="s">
        <v>852</v>
      </c>
      <c r="O86" s="341" t="s">
        <v>904</v>
      </c>
      <c r="P86" s="64" t="s">
        <v>853</v>
      </c>
      <c r="Q86" s="342" t="s">
        <v>852</v>
      </c>
      <c r="R86" s="341" t="s">
        <v>904</v>
      </c>
      <c r="S86" s="64" t="s">
        <v>853</v>
      </c>
      <c r="T86" s="342" t="s">
        <v>852</v>
      </c>
      <c r="U86" s="341" t="s">
        <v>904</v>
      </c>
      <c r="V86" s="64" t="s">
        <v>853</v>
      </c>
      <c r="W86" s="342" t="s">
        <v>852</v>
      </c>
      <c r="X86" s="341" t="s">
        <v>904</v>
      </c>
      <c r="Y86" s="64" t="s">
        <v>853</v>
      </c>
      <c r="Z86" s="342" t="s">
        <v>852</v>
      </c>
      <c r="AA86" s="341" t="s">
        <v>904</v>
      </c>
      <c r="AB86" s="64" t="s">
        <v>853</v>
      </c>
      <c r="AC86" s="342" t="s">
        <v>852</v>
      </c>
      <c r="AD86" s="341" t="s">
        <v>904</v>
      </c>
      <c r="AE86" s="64" t="s">
        <v>853</v>
      </c>
      <c r="AF86" s="342" t="s">
        <v>852</v>
      </c>
    </row>
    <row r="87" spans="1:63" ht="13.8" thickBot="1" x14ac:dyDescent="0.3">
      <c r="B87" s="373"/>
      <c r="C87" s="398" t="e">
        <f>IF(SUM(C4:C81)&gt;0,SUM(C4:C81),"")</f>
        <v>#REF!</v>
      </c>
      <c r="D87" s="399" t="e">
        <f t="shared" ref="D87:AF87" si="93">IF(SUM(D4:D81)&gt;0,SUM(D4:D81),"")</f>
        <v>#REF!</v>
      </c>
      <c r="E87" s="400" t="e">
        <f t="shared" si="93"/>
        <v>#REF!</v>
      </c>
      <c r="F87" s="398" t="e">
        <f t="shared" si="93"/>
        <v>#REF!</v>
      </c>
      <c r="G87" s="399" t="e">
        <f t="shared" si="93"/>
        <v>#REF!</v>
      </c>
      <c r="H87" s="400" t="e">
        <f t="shared" si="93"/>
        <v>#REF!</v>
      </c>
      <c r="I87" s="398" t="e">
        <f t="shared" si="93"/>
        <v>#REF!</v>
      </c>
      <c r="J87" s="399" t="e">
        <f t="shared" si="93"/>
        <v>#REF!</v>
      </c>
      <c r="K87" s="400" t="e">
        <f t="shared" si="93"/>
        <v>#REF!</v>
      </c>
      <c r="L87" s="398" t="e">
        <f t="shared" si="93"/>
        <v>#REF!</v>
      </c>
      <c r="M87" s="399" t="e">
        <f t="shared" si="93"/>
        <v>#REF!</v>
      </c>
      <c r="N87" s="400" t="e">
        <f t="shared" si="93"/>
        <v>#REF!</v>
      </c>
      <c r="O87" s="398" t="e">
        <f t="shared" si="93"/>
        <v>#REF!</v>
      </c>
      <c r="P87" s="399" t="e">
        <f t="shared" si="93"/>
        <v>#REF!</v>
      </c>
      <c r="Q87" s="400" t="e">
        <f t="shared" si="93"/>
        <v>#REF!</v>
      </c>
      <c r="R87" s="398" t="e">
        <f t="shared" si="93"/>
        <v>#REF!</v>
      </c>
      <c r="S87" s="399" t="e">
        <f t="shared" si="93"/>
        <v>#REF!</v>
      </c>
      <c r="T87" s="400" t="e">
        <f t="shared" si="93"/>
        <v>#REF!</v>
      </c>
      <c r="U87" s="398" t="e">
        <f t="shared" si="93"/>
        <v>#REF!</v>
      </c>
      <c r="V87" s="399" t="e">
        <f t="shared" si="93"/>
        <v>#REF!</v>
      </c>
      <c r="W87" s="400" t="e">
        <f t="shared" si="93"/>
        <v>#REF!</v>
      </c>
      <c r="X87" s="398" t="e">
        <f t="shared" si="93"/>
        <v>#REF!</v>
      </c>
      <c r="Y87" s="399" t="e">
        <f t="shared" si="93"/>
        <v>#REF!</v>
      </c>
      <c r="Z87" s="400" t="e">
        <f t="shared" si="93"/>
        <v>#REF!</v>
      </c>
      <c r="AA87" s="398" t="e">
        <f t="shared" si="93"/>
        <v>#REF!</v>
      </c>
      <c r="AB87" s="399" t="e">
        <f t="shared" si="93"/>
        <v>#REF!</v>
      </c>
      <c r="AC87" s="400" t="e">
        <f t="shared" si="93"/>
        <v>#REF!</v>
      </c>
      <c r="AD87" s="398" t="e">
        <f t="shared" si="93"/>
        <v>#REF!</v>
      </c>
      <c r="AE87" s="399" t="e">
        <f t="shared" si="93"/>
        <v>#REF!</v>
      </c>
      <c r="AF87" s="400" t="e">
        <f t="shared" si="93"/>
        <v>#REF!</v>
      </c>
    </row>
  </sheetData>
  <sheetProtection formatCells="0" formatColumns="0" formatRows="0" insertColumns="0" insertRows="0" insertHyperlinks="0" deleteColumns="0" deleteRows="0" sort="0" autoFilter="0" pivotTables="0"/>
  <dataConsolidate/>
  <mergeCells count="31">
    <mergeCell ref="AH1:BK1"/>
    <mergeCell ref="BI2:BK2"/>
    <mergeCell ref="BF2:BH2"/>
    <mergeCell ref="X2:Z2"/>
    <mergeCell ref="C2:E2"/>
    <mergeCell ref="F2:H2"/>
    <mergeCell ref="I2:K2"/>
    <mergeCell ref="L2:N2"/>
    <mergeCell ref="O2:Q2"/>
    <mergeCell ref="R2:T2"/>
    <mergeCell ref="U2:W2"/>
    <mergeCell ref="AQ2:AS2"/>
    <mergeCell ref="AT2:AV2"/>
    <mergeCell ref="AW2:AY2"/>
    <mergeCell ref="AZ2:BB2"/>
    <mergeCell ref="BC2:BE2"/>
    <mergeCell ref="AA2:AC2"/>
    <mergeCell ref="AD2:AF2"/>
    <mergeCell ref="AH2:AJ2"/>
    <mergeCell ref="AK2:AM2"/>
    <mergeCell ref="AN2:AP2"/>
    <mergeCell ref="C85:E85"/>
    <mergeCell ref="F85:H85"/>
    <mergeCell ref="I85:K85"/>
    <mergeCell ref="L85:N85"/>
    <mergeCell ref="O85:Q85"/>
    <mergeCell ref="R85:T85"/>
    <mergeCell ref="U85:W85"/>
    <mergeCell ref="X85:Z85"/>
    <mergeCell ref="AA85:AC85"/>
    <mergeCell ref="AD85:AF85"/>
  </mergeCells>
  <dataValidations count="1">
    <dataValidation allowBlank="1" showInputMessage="1" sqref="A1"/>
  </dataValidations>
  <hyperlinks>
    <hyperlink ref="A19" r:id="rId1" display="MG-SERVER-3000"/>
    <hyperlink ref="A20" r:id="rId2" display="MG-SERVER-3000"/>
    <hyperlink ref="A77" r:id="rId3" display="PSM3610"/>
    <hyperlink ref="A58" r:id="rId4" display="HALO-16x16{HALO}"/>
    <hyperlink ref="A79" r:id="rId5"/>
    <hyperlink ref="A73" r:id="rId6"/>
    <hyperlink ref="A74" r:id="rId7" display="SMD-9200"/>
    <hyperlink ref="A65" r:id="rId8"/>
    <hyperlink ref="A63" r:id="rId9"/>
    <hyperlink ref="A28" r:id="rId10" display="CISCO-2960{SW2960}"/>
    <hyperlink ref="A35" r:id="rId11" display="C4948E-S-L"/>
    <hyperlink ref="A33" r:id="rId12" display="CISCO-4948E{SW4948}"/>
    <hyperlink ref="A17" r:id="rId13" display="MG-SERVER-3000"/>
    <hyperlink ref="A23" r:id="rId14"/>
    <hyperlink ref="A66" r:id="rId15" display="PRM-9K"/>
    <hyperlink ref="A15" r:id="rId16"/>
    <hyperlink ref="A11" r:id="rId17" display="MG-BASE3000{MGB3}"/>
    <hyperlink ref="A10" r:id="rId18" display="MG-BASE3000{MGB3}"/>
    <hyperlink ref="A60" r:id="rId19" display="PANACEA{PANA}"/>
    <hyperlink ref="A72" r:id="rId20"/>
    <hyperlink ref="A24" r:id="rId21" display="MG-STORE-3160-48TB"/>
    <hyperlink ref="A40" r:id="rId22" display="NMX-SERVER"/>
    <hyperlink ref="A22" r:id="rId23"/>
    <hyperlink ref="A50" r:id="rId24"/>
    <hyperlink ref="A55" r:id="rId25"/>
    <hyperlink ref="A41" r:id="rId26" display="NMX-SERVER-3E"/>
    <hyperlink ref="A39" r:id="rId27" display="NMX-SERVER"/>
    <hyperlink ref="A64" r:id="rId28"/>
    <hyperlink ref="A52" r:id="rId29" display="PM5210x2MB"/>
    <hyperlink ref="A47" r:id="rId30"/>
    <hyperlink ref="A45" r:id="rId31"/>
    <hyperlink ref="A78" r:id="rId32" display="PMLIVE{PMLV}"/>
    <hyperlink ref="A36" r:id="rId33" display="C6509E-S720-10G"/>
    <hyperlink ref="A37" r:id="rId34"/>
    <hyperlink ref="A34" r:id="rId35" display="CISCO-4948E{SW4948}"/>
    <hyperlink ref="A31" r:id="rId36" display="CISCO-3570Gx48P"/>
    <hyperlink ref="A30" r:id="rId37" display="CISCO-3560G{SW3560}"/>
    <hyperlink ref="A7" r:id="rId38" display="Electra 8200"/>
    <hyperlink ref="A6" r:id="rId39"/>
    <hyperlink ref="A69" r:id="rId40" display="NSG9K-6G"/>
    <hyperlink ref="A67" r:id="rId41"/>
    <hyperlink ref="A49" r:id="rId42"/>
    <hyperlink ref="A48" r:id="rId43"/>
    <hyperlink ref="A44" r:id="rId44"/>
    <hyperlink ref="A46" r:id="rId45"/>
    <hyperlink ref="A27" r:id="rId46" display="BrocadeADX1000"/>
    <hyperlink ref="A76" r:id="rId47" display="KVM-8P{KVM}"/>
    <hyperlink ref="A59" r:id="rId48" display="HALO-16x16{HALO}"/>
    <hyperlink ref="A32" r:id="rId49" display="CISCO-3570Gx48P"/>
    <hyperlink ref="A25" r:id="rId50" display="MG-STORE-3160-48TB"/>
    <hyperlink ref="A21" r:id="rId51"/>
    <hyperlink ref="A18" r:id="rId52" display="MG-SERVER-3000"/>
    <hyperlink ref="A16" r:id="rId53" display="MG-DIRECTOR"/>
    <hyperlink ref="A14" r:id="rId54" display="MG-BRIDGE-MMF{MGCBM}"/>
    <hyperlink ref="A13" r:id="rId55" display="MG-BRIDGE-CX4{MGCBC}"/>
    <hyperlink ref="A12" r:id="rId56" display="MG-BRIDGE-1K{MGCB}"/>
    <hyperlink ref="A80" r:id="rId57"/>
    <hyperlink ref="A42" r:id="rId58"/>
    <hyperlink ref="A70" r:id="rId59" display="NSG9K-40G"/>
    <hyperlink ref="A61" r:id="rId60" display="PANACEA{PANA}"/>
    <hyperlink ref="A56" r:id="rId61" display="PMORIGIN-DAS{PMDA}"/>
    <hyperlink ref="A54" r:id="rId62" display="PMORIGIN"/>
    <hyperlink ref="A29" r:id="rId63"/>
    <hyperlink ref="A8" r:id="rId64" display="Electra 9200x2PS"/>
    <hyperlink ref="A5" r:id="rId65"/>
  </hyperlinks>
  <pageMargins left="0.25" right="0.25" top="0.5" bottom="0.5" header="0.5" footer="0.5"/>
  <pageSetup scale="40" orientation="landscape"/>
  <headerFooter alignWithMargins="0"/>
  <ignoredErrors>
    <ignoredError sqref="B4:B81" unlockedFormula="1"/>
  </ignoredErrors>
  <drawing r:id="rId66"/>
  <legacyDrawing r:id="rId6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70" r:id="rId68" name="Check Box UnUsedPorts">
              <controlPr defaultSize="0" print="0" autoFill="0" autoLine="0" autoPict="0" macro="[0]!Harmonic06.HideDeviceUnUsedPortRows_CheckBox">
                <anchor>
                  <from>
                    <xdr:col>0</xdr:col>
                    <xdr:colOff>68580</xdr:colOff>
                    <xdr:row>0</xdr:row>
                    <xdr:rowOff>30480</xdr:rowOff>
                  </from>
                  <to>
                    <xdr:col>0</xdr:col>
                    <xdr:colOff>1287780</xdr:colOff>
                    <xdr:row>0</xdr:row>
                    <xdr:rowOff>259080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AG24"/>
  <sheetViews>
    <sheetView workbookViewId="0">
      <selection activeCell="A3" sqref="A3"/>
    </sheetView>
  </sheetViews>
  <sheetFormatPr defaultColWidth="8.88671875" defaultRowHeight="13.2" x14ac:dyDescent="0.25"/>
  <cols>
    <col min="1" max="1" width="11.88671875" style="313" bestFit="1" customWidth="1"/>
    <col min="2" max="2" width="4.88671875" bestFit="1" customWidth="1"/>
    <col min="3" max="3" width="0.88671875" customWidth="1"/>
    <col min="4" max="4" width="6.6640625" bestFit="1" customWidth="1"/>
    <col min="5" max="5" width="4.88671875" bestFit="1" customWidth="1"/>
    <col min="6" max="6" width="0.88671875" customWidth="1"/>
    <col min="7" max="7" width="8" bestFit="1" customWidth="1"/>
    <col min="8" max="8" width="4.88671875" bestFit="1" customWidth="1"/>
    <col min="9" max="9" width="0.88671875" customWidth="1"/>
    <col min="10" max="10" width="8" bestFit="1" customWidth="1"/>
    <col min="11" max="11" width="4.88671875" bestFit="1" customWidth="1"/>
    <col min="12" max="12" width="0.88671875" customWidth="1"/>
    <col min="13" max="13" width="7.109375" bestFit="1" customWidth="1"/>
    <col min="14" max="14" width="4.88671875" bestFit="1" customWidth="1"/>
    <col min="15" max="15" width="0.88671875" customWidth="1"/>
    <col min="16" max="16" width="7.33203125" bestFit="1" customWidth="1"/>
    <col min="17" max="17" width="4.88671875" bestFit="1" customWidth="1"/>
    <col min="18" max="18" width="0.88671875" customWidth="1"/>
    <col min="19" max="19" width="7.109375" bestFit="1" customWidth="1"/>
    <col min="20" max="20" width="4.88671875" bestFit="1" customWidth="1"/>
    <col min="21" max="21" width="0.88671875" customWidth="1"/>
    <col min="22" max="22" width="7.33203125" bestFit="1" customWidth="1"/>
    <col min="23" max="23" width="4.88671875" bestFit="1" customWidth="1"/>
    <col min="24" max="24" width="0.88671875" customWidth="1"/>
    <col min="25" max="25" width="7.109375" bestFit="1" customWidth="1"/>
    <col min="26" max="26" width="4.88671875" bestFit="1" customWidth="1"/>
    <col min="27" max="27" width="0.88671875" customWidth="1"/>
    <col min="28" max="28" width="7.33203125" bestFit="1" customWidth="1"/>
    <col min="29" max="29" width="4.88671875" bestFit="1" customWidth="1"/>
    <col min="31" max="31" width="5.44140625" bestFit="1" customWidth="1"/>
    <col min="32" max="32" width="7.44140625" bestFit="1" customWidth="1"/>
    <col min="33" max="33" width="9.33203125" bestFit="1" customWidth="1"/>
  </cols>
  <sheetData>
    <row r="2" spans="1:33" ht="21" thickBot="1" x14ac:dyDescent="0.4">
      <c r="A2" s="338" t="s">
        <v>919</v>
      </c>
      <c r="AE2" s="338" t="s">
        <v>918</v>
      </c>
    </row>
    <row r="3" spans="1:33" ht="13.8" thickBot="1" x14ac:dyDescent="0.3">
      <c r="A3" s="332" t="s">
        <v>917</v>
      </c>
      <c r="B3" s="333" t="s">
        <v>913</v>
      </c>
      <c r="C3" s="333"/>
      <c r="D3" s="333" t="s">
        <v>296</v>
      </c>
      <c r="E3" s="333" t="s">
        <v>913</v>
      </c>
      <c r="F3" s="333"/>
      <c r="G3" s="333" t="s">
        <v>905</v>
      </c>
      <c r="H3" s="333" t="s">
        <v>913</v>
      </c>
      <c r="I3" s="333"/>
      <c r="J3" s="333" t="s">
        <v>906</v>
      </c>
      <c r="K3" s="333" t="s">
        <v>913</v>
      </c>
      <c r="L3" s="333"/>
      <c r="M3" s="333" t="s">
        <v>921</v>
      </c>
      <c r="N3" s="333" t="s">
        <v>913</v>
      </c>
      <c r="O3" s="333"/>
      <c r="P3" s="333" t="s">
        <v>922</v>
      </c>
      <c r="Q3" s="333" t="s">
        <v>913</v>
      </c>
      <c r="R3" s="333"/>
      <c r="S3" s="333" t="s">
        <v>923</v>
      </c>
      <c r="T3" s="333" t="s">
        <v>913</v>
      </c>
      <c r="U3" s="333"/>
      <c r="V3" s="333" t="s">
        <v>924</v>
      </c>
      <c r="W3" s="333" t="s">
        <v>913</v>
      </c>
      <c r="X3" s="333"/>
      <c r="Y3" s="333" t="s">
        <v>925</v>
      </c>
      <c r="Z3" s="333" t="s">
        <v>913</v>
      </c>
      <c r="AA3" s="333"/>
      <c r="AB3" s="333" t="s">
        <v>926</v>
      </c>
      <c r="AC3" s="334" t="s">
        <v>913</v>
      </c>
      <c r="AE3" s="315"/>
      <c r="AF3" s="316" t="s">
        <v>901</v>
      </c>
      <c r="AG3" s="317" t="s">
        <v>902</v>
      </c>
    </row>
    <row r="4" spans="1:33" x14ac:dyDescent="0.25">
      <c r="A4" s="328" t="s">
        <v>864</v>
      </c>
      <c r="B4" s="329">
        <v>12</v>
      </c>
      <c r="C4" s="335"/>
      <c r="D4" s="330" t="s">
        <v>904</v>
      </c>
      <c r="E4" s="330">
        <f t="shared" ref="E4:E16" si="0">IF(D4&gt;0,$B4,0)</f>
        <v>12</v>
      </c>
      <c r="F4" s="335"/>
      <c r="G4" s="330" t="s">
        <v>904</v>
      </c>
      <c r="H4" s="330">
        <f t="shared" ref="H4:H16" si="1">IF(G4&gt;0,$B4,0)</f>
        <v>12</v>
      </c>
      <c r="I4" s="335"/>
      <c r="J4" s="330"/>
      <c r="K4" s="330">
        <f t="shared" ref="K4:K16" si="2">IF(J4&gt;0,$B4,0)</f>
        <v>0</v>
      </c>
      <c r="L4" s="335"/>
      <c r="M4" s="330" t="s">
        <v>853</v>
      </c>
      <c r="N4" s="330">
        <f t="shared" ref="N4:N16" si="3">IF(M4&gt;0,$B4,0)</f>
        <v>12</v>
      </c>
      <c r="O4" s="335"/>
      <c r="P4" s="330" t="s">
        <v>853</v>
      </c>
      <c r="Q4" s="330">
        <f t="shared" ref="Q4:Q16" si="4">IF(P4&gt;0,$B4,0)</f>
        <v>12</v>
      </c>
      <c r="R4" s="335"/>
      <c r="S4" s="330" t="s">
        <v>852</v>
      </c>
      <c r="T4" s="330">
        <f t="shared" ref="T4:T16" si="5">IF(S4&gt;0,$B4,0)</f>
        <v>12</v>
      </c>
      <c r="U4" s="335"/>
      <c r="V4" s="330" t="s">
        <v>852</v>
      </c>
      <c r="W4" s="330">
        <f t="shared" ref="W4:W16" si="6">IF(V4&gt;0,$B4,0)</f>
        <v>12</v>
      </c>
      <c r="X4" s="335"/>
      <c r="Y4" s="330" t="s">
        <v>852</v>
      </c>
      <c r="Z4" s="330">
        <f t="shared" ref="Z4:Z16" si="7">IF(Y4&gt;0,$B4,0)</f>
        <v>12</v>
      </c>
      <c r="AA4" s="335"/>
      <c r="AB4" s="330" t="s">
        <v>852</v>
      </c>
      <c r="AC4" s="331">
        <f t="shared" ref="AC4:AC16" si="8">IF(AB4&gt;0,$B4,0)</f>
        <v>12</v>
      </c>
      <c r="AE4" s="318" t="s">
        <v>904</v>
      </c>
      <c r="AF4" s="311">
        <f>SUMIF($D$4:$D$16,AE4,$E$4:$E$16)+SUMIF($G$4:$G$16,AE4,$H$4:$H$16)+SUMIF($J$4:$J$16,AE4,$K$4:$K$16)+SUMIF($M$4:$M$16,AE4,$N$4:$N$16)+SUMIF($S$4:$S$16,AE4,$T$4:$T$16)+SUMIF($Y$4:$Y$16,AE4,$Z$4:$Z$16)</f>
        <v>210</v>
      </c>
      <c r="AG4" s="319">
        <f>SUMIF($P$4:$P$16,AE4,$Q$4:$Q$16)+SUMIF($V$4:$V$16,AE4,$W$4:$W$16)+SUMIF($AB$4:$AB$16,AE4,$AC$4:$AC$16)</f>
        <v>0</v>
      </c>
    </row>
    <row r="5" spans="1:33" x14ac:dyDescent="0.25">
      <c r="A5" s="323" t="s">
        <v>903</v>
      </c>
      <c r="B5" s="311">
        <v>1</v>
      </c>
      <c r="C5" s="336"/>
      <c r="D5" s="312" t="s">
        <v>904</v>
      </c>
      <c r="E5" s="312">
        <f t="shared" si="0"/>
        <v>1</v>
      </c>
      <c r="F5" s="336"/>
      <c r="G5" s="312" t="s">
        <v>904</v>
      </c>
      <c r="H5" s="312">
        <f t="shared" si="1"/>
        <v>1</v>
      </c>
      <c r="I5" s="336"/>
      <c r="J5" s="312"/>
      <c r="K5" s="312">
        <f t="shared" si="2"/>
        <v>0</v>
      </c>
      <c r="L5" s="336"/>
      <c r="M5" s="312" t="s">
        <v>853</v>
      </c>
      <c r="N5" s="312">
        <f t="shared" si="3"/>
        <v>1</v>
      </c>
      <c r="O5" s="336"/>
      <c r="P5" s="312" t="s">
        <v>853</v>
      </c>
      <c r="Q5" s="312">
        <f t="shared" si="4"/>
        <v>1</v>
      </c>
      <c r="R5" s="336"/>
      <c r="S5" s="312" t="s">
        <v>853</v>
      </c>
      <c r="T5" s="312">
        <f t="shared" si="5"/>
        <v>1</v>
      </c>
      <c r="U5" s="336"/>
      <c r="V5" s="312" t="s">
        <v>853</v>
      </c>
      <c r="W5" s="312">
        <f t="shared" si="6"/>
        <v>1</v>
      </c>
      <c r="X5" s="336"/>
      <c r="Y5" s="312"/>
      <c r="Z5" s="312">
        <f t="shared" si="7"/>
        <v>0</v>
      </c>
      <c r="AA5" s="336"/>
      <c r="AB5" s="312"/>
      <c r="AC5" s="324">
        <f t="shared" si="8"/>
        <v>0</v>
      </c>
      <c r="AE5" s="318" t="s">
        <v>853</v>
      </c>
      <c r="AF5" s="311">
        <f>SUMIF($D$4:$D$16,AE5,$E$4:$E$16)+SUMIF($G$4:$G$16,AE5,$H$4:$H$16)+SUMIF($J$4:$J$16,AE5,$K$4:$K$16)+SUMIF($M$4:$M$16,AE5,$N$4:$N$16)+SUMIF($S$4:$S$16,AE5,$T$4:$T$16)+SUMIF($Y$4:$Y$16,AE5,$Z$4:$Z$16)</f>
        <v>198</v>
      </c>
      <c r="AG5" s="319">
        <f>SUMIF($P$4:$P$16,AE5,$Q$4:$Q$16)+SUMIF($V$4:$V$16,AE5,$W$4:$W$16)+SUMIF($AB$4:$AB$16,AE5,$AC$4:$AC$16)</f>
        <v>190</v>
      </c>
    </row>
    <row r="6" spans="1:33" ht="13.8" thickBot="1" x14ac:dyDescent="0.3">
      <c r="A6" s="323" t="s">
        <v>907</v>
      </c>
      <c r="B6" s="311">
        <v>1</v>
      </c>
      <c r="C6" s="336"/>
      <c r="D6" s="312" t="s">
        <v>904</v>
      </c>
      <c r="E6" s="312">
        <f t="shared" si="0"/>
        <v>1</v>
      </c>
      <c r="F6" s="336"/>
      <c r="G6" s="312" t="s">
        <v>904</v>
      </c>
      <c r="H6" s="312">
        <f t="shared" si="1"/>
        <v>1</v>
      </c>
      <c r="I6" s="336"/>
      <c r="J6" s="312"/>
      <c r="K6" s="312">
        <f t="shared" si="2"/>
        <v>0</v>
      </c>
      <c r="L6" s="336"/>
      <c r="M6" s="312" t="s">
        <v>853</v>
      </c>
      <c r="N6" s="312">
        <f t="shared" si="3"/>
        <v>1</v>
      </c>
      <c r="O6" s="336"/>
      <c r="P6" s="312" t="s">
        <v>853</v>
      </c>
      <c r="Q6" s="312">
        <f t="shared" si="4"/>
        <v>1</v>
      </c>
      <c r="R6" s="336"/>
      <c r="S6" s="312" t="s">
        <v>853</v>
      </c>
      <c r="T6" s="312">
        <f t="shared" si="5"/>
        <v>1</v>
      </c>
      <c r="U6" s="336"/>
      <c r="V6" s="312" t="s">
        <v>853</v>
      </c>
      <c r="W6" s="312">
        <f t="shared" si="6"/>
        <v>1</v>
      </c>
      <c r="X6" s="336"/>
      <c r="Y6" s="312"/>
      <c r="Z6" s="312">
        <f t="shared" si="7"/>
        <v>0</v>
      </c>
      <c r="AA6" s="336"/>
      <c r="AB6" s="312"/>
      <c r="AC6" s="324">
        <f t="shared" si="8"/>
        <v>0</v>
      </c>
      <c r="AE6" s="320" t="s">
        <v>852</v>
      </c>
      <c r="AF6" s="321">
        <f>SUMIF($D$4:$D$16,AE6,$E$4:$E$16)+SUMIF($G$4:$G$16,AE6,$H$4:$H$16)+SUMIF($J$4:$J$16,AE6,$K$4:$K$16)+SUMIF($M$4:$M$16,AE6,$N$4:$N$16)+SUMIF($S$4:$S$16,AE6,$T$4:$T$16)+SUMIF($Y$4:$Y$16,AE6,$Z$4:$Z$16)</f>
        <v>24</v>
      </c>
      <c r="AG6" s="322">
        <f>SUMIF($P$4:$P$16,AE6,$Q$4:$Q$16)+SUMIF($V$4:$V$16,AE6,$W$4:$W$16)+SUMIF($AB$4:$AB$16,AE6,$AC$4:$AC$16)</f>
        <v>24</v>
      </c>
    </row>
    <row r="7" spans="1:33" x14ac:dyDescent="0.25">
      <c r="A7" s="323" t="s">
        <v>908</v>
      </c>
      <c r="B7" s="311">
        <v>2</v>
      </c>
      <c r="C7" s="336"/>
      <c r="D7" s="312" t="s">
        <v>904</v>
      </c>
      <c r="E7" s="312">
        <f t="shared" si="0"/>
        <v>2</v>
      </c>
      <c r="F7" s="336"/>
      <c r="G7" s="312" t="s">
        <v>904</v>
      </c>
      <c r="H7" s="312">
        <f t="shared" si="1"/>
        <v>2</v>
      </c>
      <c r="I7" s="336"/>
      <c r="J7" s="312"/>
      <c r="K7" s="312">
        <f t="shared" si="2"/>
        <v>0</v>
      </c>
      <c r="L7" s="336"/>
      <c r="M7" s="312" t="s">
        <v>853</v>
      </c>
      <c r="N7" s="312">
        <f t="shared" si="3"/>
        <v>2</v>
      </c>
      <c r="O7" s="336"/>
      <c r="P7" s="312" t="s">
        <v>853</v>
      </c>
      <c r="Q7" s="312">
        <f t="shared" si="4"/>
        <v>2</v>
      </c>
      <c r="R7" s="336"/>
      <c r="S7" s="312" t="s">
        <v>853</v>
      </c>
      <c r="T7" s="312">
        <f t="shared" si="5"/>
        <v>2</v>
      </c>
      <c r="U7" s="336"/>
      <c r="V7" s="312" t="s">
        <v>853</v>
      </c>
      <c r="W7" s="312">
        <f t="shared" si="6"/>
        <v>2</v>
      </c>
      <c r="X7" s="336"/>
      <c r="Y7" s="312"/>
      <c r="Z7" s="312">
        <f t="shared" si="7"/>
        <v>0</v>
      </c>
      <c r="AA7" s="336"/>
      <c r="AB7" s="312"/>
      <c r="AC7" s="324">
        <f t="shared" si="8"/>
        <v>0</v>
      </c>
    </row>
    <row r="8" spans="1:33" x14ac:dyDescent="0.25">
      <c r="A8" s="323" t="s">
        <v>909</v>
      </c>
      <c r="B8" s="311">
        <v>2</v>
      </c>
      <c r="C8" s="336"/>
      <c r="D8" s="312" t="s">
        <v>904</v>
      </c>
      <c r="E8" s="312">
        <f t="shared" si="0"/>
        <v>2</v>
      </c>
      <c r="F8" s="336"/>
      <c r="G8" s="312" t="s">
        <v>904</v>
      </c>
      <c r="H8" s="312">
        <f t="shared" si="1"/>
        <v>2</v>
      </c>
      <c r="I8" s="336"/>
      <c r="J8" s="312"/>
      <c r="K8" s="312">
        <f t="shared" si="2"/>
        <v>0</v>
      </c>
      <c r="L8" s="336"/>
      <c r="M8" s="312" t="s">
        <v>853</v>
      </c>
      <c r="N8" s="312">
        <f t="shared" si="3"/>
        <v>2</v>
      </c>
      <c r="O8" s="336"/>
      <c r="P8" s="312" t="s">
        <v>853</v>
      </c>
      <c r="Q8" s="312">
        <f t="shared" si="4"/>
        <v>2</v>
      </c>
      <c r="R8" s="336"/>
      <c r="S8" s="312" t="s">
        <v>853</v>
      </c>
      <c r="T8" s="312">
        <f t="shared" si="5"/>
        <v>2</v>
      </c>
      <c r="U8" s="336"/>
      <c r="V8" s="312" t="s">
        <v>853</v>
      </c>
      <c r="W8" s="312">
        <f t="shared" si="6"/>
        <v>2</v>
      </c>
      <c r="X8" s="336"/>
      <c r="Y8" s="312"/>
      <c r="Z8" s="312">
        <f t="shared" si="7"/>
        <v>0</v>
      </c>
      <c r="AA8" s="336"/>
      <c r="AB8" s="312"/>
      <c r="AC8" s="324">
        <f t="shared" si="8"/>
        <v>0</v>
      </c>
    </row>
    <row r="9" spans="1:33" x14ac:dyDescent="0.25">
      <c r="A9" s="323" t="s">
        <v>910</v>
      </c>
      <c r="B9" s="311">
        <v>36</v>
      </c>
      <c r="C9" s="336"/>
      <c r="D9" s="312" t="s">
        <v>904</v>
      </c>
      <c r="E9" s="312">
        <f t="shared" si="0"/>
        <v>36</v>
      </c>
      <c r="F9" s="336"/>
      <c r="G9" s="312" t="s">
        <v>904</v>
      </c>
      <c r="H9" s="312">
        <f t="shared" si="1"/>
        <v>36</v>
      </c>
      <c r="I9" s="336"/>
      <c r="J9" s="312"/>
      <c r="K9" s="312">
        <f t="shared" si="2"/>
        <v>0</v>
      </c>
      <c r="L9" s="336"/>
      <c r="M9" s="312" t="s">
        <v>853</v>
      </c>
      <c r="N9" s="312">
        <f t="shared" si="3"/>
        <v>36</v>
      </c>
      <c r="O9" s="336"/>
      <c r="P9" s="312" t="s">
        <v>853</v>
      </c>
      <c r="Q9" s="312">
        <f t="shared" si="4"/>
        <v>36</v>
      </c>
      <c r="R9" s="336"/>
      <c r="S9" s="312" t="s">
        <v>853</v>
      </c>
      <c r="T9" s="312">
        <f t="shared" si="5"/>
        <v>36</v>
      </c>
      <c r="U9" s="336"/>
      <c r="V9" s="312" t="s">
        <v>853</v>
      </c>
      <c r="W9" s="312">
        <f t="shared" si="6"/>
        <v>36</v>
      </c>
      <c r="X9" s="336"/>
      <c r="Y9" s="312"/>
      <c r="Z9" s="312">
        <f t="shared" si="7"/>
        <v>0</v>
      </c>
      <c r="AA9" s="336"/>
      <c r="AB9" s="312"/>
      <c r="AC9" s="324">
        <f t="shared" si="8"/>
        <v>0</v>
      </c>
    </row>
    <row r="10" spans="1:33" x14ac:dyDescent="0.25">
      <c r="A10" s="323" t="s">
        <v>911</v>
      </c>
      <c r="B10" s="311">
        <v>36</v>
      </c>
      <c r="C10" s="336"/>
      <c r="D10" s="312" t="s">
        <v>904</v>
      </c>
      <c r="E10" s="312">
        <f t="shared" si="0"/>
        <v>36</v>
      </c>
      <c r="F10" s="336"/>
      <c r="G10" s="312" t="s">
        <v>904</v>
      </c>
      <c r="H10" s="312">
        <f t="shared" si="1"/>
        <v>36</v>
      </c>
      <c r="I10" s="336"/>
      <c r="J10" s="312"/>
      <c r="K10" s="312">
        <f t="shared" si="2"/>
        <v>0</v>
      </c>
      <c r="L10" s="336"/>
      <c r="M10" s="312" t="s">
        <v>853</v>
      </c>
      <c r="N10" s="312">
        <f t="shared" si="3"/>
        <v>36</v>
      </c>
      <c r="O10" s="336"/>
      <c r="P10" s="312" t="s">
        <v>853</v>
      </c>
      <c r="Q10" s="312">
        <f t="shared" si="4"/>
        <v>36</v>
      </c>
      <c r="R10" s="336"/>
      <c r="S10" s="312" t="s">
        <v>853</v>
      </c>
      <c r="T10" s="312">
        <f t="shared" si="5"/>
        <v>36</v>
      </c>
      <c r="U10" s="336"/>
      <c r="V10" s="312" t="s">
        <v>853</v>
      </c>
      <c r="W10" s="312">
        <f t="shared" si="6"/>
        <v>36</v>
      </c>
      <c r="X10" s="336"/>
      <c r="Y10" s="312"/>
      <c r="Z10" s="312">
        <f t="shared" si="7"/>
        <v>0</v>
      </c>
      <c r="AA10" s="336"/>
      <c r="AB10" s="312"/>
      <c r="AC10" s="324">
        <f t="shared" si="8"/>
        <v>0</v>
      </c>
    </row>
    <row r="11" spans="1:33" x14ac:dyDescent="0.25">
      <c r="A11" s="323" t="s">
        <v>35</v>
      </c>
      <c r="B11" s="311">
        <v>4</v>
      </c>
      <c r="C11" s="336"/>
      <c r="D11" s="312" t="s">
        <v>904</v>
      </c>
      <c r="E11" s="312">
        <f t="shared" si="0"/>
        <v>4</v>
      </c>
      <c r="F11" s="336"/>
      <c r="G11" s="312" t="s">
        <v>904</v>
      </c>
      <c r="H11" s="312">
        <f t="shared" si="1"/>
        <v>4</v>
      </c>
      <c r="I11" s="336"/>
      <c r="J11" s="311"/>
      <c r="K11" s="312">
        <f t="shared" si="2"/>
        <v>0</v>
      </c>
      <c r="L11" s="336"/>
      <c r="M11" s="311"/>
      <c r="N11" s="312">
        <f t="shared" si="3"/>
        <v>0</v>
      </c>
      <c r="O11" s="336"/>
      <c r="P11" s="311"/>
      <c r="Q11" s="312">
        <f t="shared" si="4"/>
        <v>0</v>
      </c>
      <c r="R11" s="336"/>
      <c r="S11" s="311"/>
      <c r="T11" s="312">
        <f t="shared" si="5"/>
        <v>0</v>
      </c>
      <c r="U11" s="336"/>
      <c r="V11" s="311"/>
      <c r="W11" s="312">
        <f t="shared" si="6"/>
        <v>0</v>
      </c>
      <c r="X11" s="336"/>
      <c r="Y11" s="311"/>
      <c r="Z11" s="312">
        <f t="shared" si="7"/>
        <v>0</v>
      </c>
      <c r="AA11" s="336"/>
      <c r="AB11" s="311"/>
      <c r="AC11" s="324">
        <f t="shared" si="8"/>
        <v>0</v>
      </c>
    </row>
    <row r="12" spans="1:33" x14ac:dyDescent="0.25">
      <c r="A12" s="323" t="s">
        <v>912</v>
      </c>
      <c r="B12" s="311">
        <v>9</v>
      </c>
      <c r="C12" s="336"/>
      <c r="D12" s="312" t="s">
        <v>904</v>
      </c>
      <c r="E12" s="312">
        <f t="shared" si="0"/>
        <v>9</v>
      </c>
      <c r="F12" s="336"/>
      <c r="G12" s="312" t="s">
        <v>904</v>
      </c>
      <c r="H12" s="312">
        <f t="shared" si="1"/>
        <v>9</v>
      </c>
      <c r="I12" s="336"/>
      <c r="J12" s="311"/>
      <c r="K12" s="312">
        <f t="shared" si="2"/>
        <v>0</v>
      </c>
      <c r="L12" s="336"/>
      <c r="M12" s="312" t="s">
        <v>853</v>
      </c>
      <c r="N12" s="312">
        <f t="shared" si="3"/>
        <v>9</v>
      </c>
      <c r="O12" s="336"/>
      <c r="P12" s="312" t="s">
        <v>853</v>
      </c>
      <c r="Q12" s="312">
        <f t="shared" si="4"/>
        <v>9</v>
      </c>
      <c r="R12" s="336"/>
      <c r="S12" s="312" t="s">
        <v>853</v>
      </c>
      <c r="T12" s="312">
        <f t="shared" si="5"/>
        <v>9</v>
      </c>
      <c r="U12" s="336"/>
      <c r="V12" s="312" t="s">
        <v>853</v>
      </c>
      <c r="W12" s="312">
        <f t="shared" si="6"/>
        <v>9</v>
      </c>
      <c r="X12" s="336"/>
      <c r="Y12" s="311"/>
      <c r="Z12" s="312">
        <f t="shared" si="7"/>
        <v>0</v>
      </c>
      <c r="AA12" s="336"/>
      <c r="AB12" s="311"/>
      <c r="AC12" s="324">
        <f t="shared" si="8"/>
        <v>0</v>
      </c>
    </row>
    <row r="13" spans="1:33" x14ac:dyDescent="0.25">
      <c r="A13" s="323" t="s">
        <v>929</v>
      </c>
      <c r="B13" s="311">
        <v>1</v>
      </c>
      <c r="C13" s="336"/>
      <c r="D13" s="312"/>
      <c r="E13" s="312">
        <f t="shared" si="0"/>
        <v>0</v>
      </c>
      <c r="F13" s="336"/>
      <c r="G13" s="312" t="s">
        <v>853</v>
      </c>
      <c r="H13" s="312">
        <f t="shared" si="1"/>
        <v>1</v>
      </c>
      <c r="I13" s="336"/>
      <c r="J13" s="312" t="s">
        <v>853</v>
      </c>
      <c r="K13" s="312">
        <f t="shared" si="2"/>
        <v>1</v>
      </c>
      <c r="L13" s="336"/>
      <c r="M13" s="312"/>
      <c r="N13" s="312">
        <f t="shared" si="3"/>
        <v>0</v>
      </c>
      <c r="O13" s="336"/>
      <c r="P13" s="312"/>
      <c r="Q13" s="312">
        <f t="shared" si="4"/>
        <v>0</v>
      </c>
      <c r="R13" s="336"/>
      <c r="S13" s="312"/>
      <c r="T13" s="312">
        <f t="shared" si="5"/>
        <v>0</v>
      </c>
      <c r="U13" s="336"/>
      <c r="V13" s="312"/>
      <c r="W13" s="312">
        <f t="shared" si="6"/>
        <v>0</v>
      </c>
      <c r="X13" s="336"/>
      <c r="Y13" s="311"/>
      <c r="Z13" s="312">
        <f t="shared" si="7"/>
        <v>0</v>
      </c>
      <c r="AA13" s="336"/>
      <c r="AB13" s="311"/>
      <c r="AC13" s="324">
        <f t="shared" si="8"/>
        <v>0</v>
      </c>
    </row>
    <row r="14" spans="1:33" x14ac:dyDescent="0.25">
      <c r="A14" s="323" t="s">
        <v>914</v>
      </c>
      <c r="B14" s="311">
        <v>2</v>
      </c>
      <c r="C14" s="336"/>
      <c r="D14" s="312" t="s">
        <v>904</v>
      </c>
      <c r="E14" s="312">
        <f t="shared" si="0"/>
        <v>2</v>
      </c>
      <c r="F14" s="336"/>
      <c r="G14" s="312" t="s">
        <v>853</v>
      </c>
      <c r="H14" s="312">
        <f t="shared" si="1"/>
        <v>2</v>
      </c>
      <c r="I14" s="336"/>
      <c r="J14" s="312" t="s">
        <v>853</v>
      </c>
      <c r="K14" s="312">
        <f t="shared" si="2"/>
        <v>2</v>
      </c>
      <c r="L14" s="336"/>
      <c r="M14" s="312" t="s">
        <v>853</v>
      </c>
      <c r="N14" s="312">
        <f t="shared" si="3"/>
        <v>2</v>
      </c>
      <c r="O14" s="336"/>
      <c r="P14" s="312" t="s">
        <v>853</v>
      </c>
      <c r="Q14" s="312">
        <f t="shared" si="4"/>
        <v>2</v>
      </c>
      <c r="R14" s="336"/>
      <c r="S14" s="312"/>
      <c r="T14" s="312">
        <f t="shared" si="5"/>
        <v>0</v>
      </c>
      <c r="U14" s="336"/>
      <c r="V14" s="312"/>
      <c r="W14" s="312">
        <f t="shared" si="6"/>
        <v>0</v>
      </c>
      <c r="X14" s="336"/>
      <c r="Y14" s="311"/>
      <c r="Z14" s="312">
        <f t="shared" si="7"/>
        <v>0</v>
      </c>
      <c r="AA14" s="336"/>
      <c r="AB14" s="311"/>
      <c r="AC14" s="324">
        <f t="shared" si="8"/>
        <v>0</v>
      </c>
    </row>
    <row r="15" spans="1:33" x14ac:dyDescent="0.25">
      <c r="A15" s="323" t="s">
        <v>915</v>
      </c>
      <c r="B15" s="311">
        <v>1</v>
      </c>
      <c r="C15" s="336"/>
      <c r="D15" s="312" t="s">
        <v>904</v>
      </c>
      <c r="E15" s="312">
        <f t="shared" si="0"/>
        <v>1</v>
      </c>
      <c r="F15" s="336"/>
      <c r="G15" s="312" t="s">
        <v>853</v>
      </c>
      <c r="H15" s="312">
        <f t="shared" si="1"/>
        <v>1</v>
      </c>
      <c r="I15" s="336"/>
      <c r="J15" s="311"/>
      <c r="K15" s="312">
        <f t="shared" si="2"/>
        <v>0</v>
      </c>
      <c r="L15" s="336"/>
      <c r="M15" s="312" t="s">
        <v>853</v>
      </c>
      <c r="N15" s="312">
        <f t="shared" si="3"/>
        <v>1</v>
      </c>
      <c r="O15" s="336"/>
      <c r="P15" s="312" t="s">
        <v>853</v>
      </c>
      <c r="Q15" s="312">
        <f t="shared" si="4"/>
        <v>1</v>
      </c>
      <c r="R15" s="336"/>
      <c r="S15" s="311"/>
      <c r="T15" s="312">
        <f t="shared" si="5"/>
        <v>0</v>
      </c>
      <c r="U15" s="336"/>
      <c r="V15" s="311"/>
      <c r="W15" s="312">
        <f t="shared" si="6"/>
        <v>0</v>
      </c>
      <c r="X15" s="336"/>
      <c r="Y15" s="311"/>
      <c r="Z15" s="312">
        <f t="shared" si="7"/>
        <v>0</v>
      </c>
      <c r="AA15" s="336"/>
      <c r="AB15" s="311"/>
      <c r="AC15" s="324">
        <f t="shared" si="8"/>
        <v>0</v>
      </c>
    </row>
    <row r="16" spans="1:33" ht="13.8" thickBot="1" x14ac:dyDescent="0.3">
      <c r="A16" s="325" t="s">
        <v>916</v>
      </c>
      <c r="B16" s="321">
        <v>1</v>
      </c>
      <c r="C16" s="337"/>
      <c r="D16" s="326" t="s">
        <v>904</v>
      </c>
      <c r="E16" s="326">
        <f t="shared" si="0"/>
        <v>1</v>
      </c>
      <c r="F16" s="337"/>
      <c r="G16" s="326" t="s">
        <v>853</v>
      </c>
      <c r="H16" s="326">
        <f t="shared" si="1"/>
        <v>1</v>
      </c>
      <c r="I16" s="337"/>
      <c r="J16" s="321"/>
      <c r="K16" s="326">
        <f t="shared" si="2"/>
        <v>0</v>
      </c>
      <c r="L16" s="337"/>
      <c r="M16" s="326" t="s">
        <v>853</v>
      </c>
      <c r="N16" s="326">
        <f t="shared" si="3"/>
        <v>1</v>
      </c>
      <c r="O16" s="337"/>
      <c r="P16" s="326" t="s">
        <v>853</v>
      </c>
      <c r="Q16" s="326">
        <f t="shared" si="4"/>
        <v>1</v>
      </c>
      <c r="R16" s="337"/>
      <c r="S16" s="321"/>
      <c r="T16" s="326">
        <f t="shared" si="5"/>
        <v>0</v>
      </c>
      <c r="U16" s="337"/>
      <c r="V16" s="321"/>
      <c r="W16" s="326">
        <f t="shared" si="6"/>
        <v>0</v>
      </c>
      <c r="X16" s="337"/>
      <c r="Y16" s="321"/>
      <c r="Z16" s="326">
        <f t="shared" si="7"/>
        <v>0</v>
      </c>
      <c r="AA16" s="337"/>
      <c r="AB16" s="321"/>
      <c r="AC16" s="327">
        <f t="shared" si="8"/>
        <v>0</v>
      </c>
    </row>
    <row r="17" spans="1:29" x14ac:dyDescent="0.25">
      <c r="E17" s="310"/>
      <c r="H17" s="310"/>
      <c r="K17" s="310"/>
      <c r="N17" s="310"/>
      <c r="Q17" s="310"/>
      <c r="T17" s="310"/>
      <c r="W17" s="310"/>
      <c r="Z17" s="310"/>
      <c r="AC17" s="310"/>
    </row>
    <row r="18" spans="1:29" x14ac:dyDescent="0.25">
      <c r="E18" s="340"/>
      <c r="N18" s="340"/>
      <c r="Q18" s="340"/>
      <c r="T18" s="340"/>
      <c r="W18" s="340"/>
    </row>
    <row r="19" spans="1:29" ht="20.399999999999999" x14ac:dyDescent="0.35">
      <c r="A19" s="339" t="s">
        <v>927</v>
      </c>
    </row>
    <row r="20" spans="1:29" ht="20.399999999999999" x14ac:dyDescent="0.35">
      <c r="A20" s="339" t="s">
        <v>928</v>
      </c>
    </row>
    <row r="21" spans="1:29" ht="20.399999999999999" x14ac:dyDescent="0.35">
      <c r="B21" s="339" t="s">
        <v>920</v>
      </c>
    </row>
    <row r="23" spans="1:29" ht="20.399999999999999" x14ac:dyDescent="0.35">
      <c r="A23" s="339" t="s">
        <v>930</v>
      </c>
    </row>
    <row r="24" spans="1:29" x14ac:dyDescent="0.25">
      <c r="A24" s="314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3">
    <pageSetUpPr fitToPage="1"/>
  </sheetPr>
  <dimension ref="A1:BZ99"/>
  <sheetViews>
    <sheetView workbookViewId="0"/>
  </sheetViews>
  <sheetFormatPr defaultColWidth="9.33203125" defaultRowHeight="15" customHeight="1" x14ac:dyDescent="0.25"/>
  <cols>
    <col min="1" max="1" width="6.33203125" style="3" bestFit="1" customWidth="1"/>
    <col min="2" max="2" width="5.6640625" style="3" bestFit="1" customWidth="1"/>
    <col min="3" max="3" width="6.44140625" style="3" bestFit="1" customWidth="1"/>
    <col min="4" max="4" width="3.33203125" style="25" bestFit="1" customWidth="1"/>
    <col min="5" max="5" width="4.33203125" style="3" bestFit="1" customWidth="1"/>
    <col min="6" max="6" width="11" style="16" bestFit="1" customWidth="1"/>
    <col min="7" max="7" width="3.33203125" style="3" bestFit="1" customWidth="1"/>
    <col min="8" max="8" width="4.33203125" style="47" bestFit="1" customWidth="1"/>
    <col min="9" max="9" width="20.44140625" style="3" bestFit="1" customWidth="1"/>
    <col min="10" max="10" width="6.44140625" style="16" bestFit="1" customWidth="1"/>
    <col min="11" max="11" width="3.33203125" style="3" bestFit="1" customWidth="1"/>
    <col min="12" max="12" width="4.33203125" style="25" bestFit="1" customWidth="1"/>
    <col min="13" max="13" width="11.88671875" style="3" bestFit="1" customWidth="1"/>
    <col min="14" max="14" width="3.33203125" style="16" bestFit="1" customWidth="1"/>
    <col min="15" max="15" width="4.33203125" style="3" bestFit="1" customWidth="1"/>
    <col min="16" max="16" width="37.33203125" style="25" bestFit="1" customWidth="1"/>
    <col min="17" max="17" width="2.6640625" style="3" customWidth="1"/>
    <col min="18" max="18" width="6.33203125" style="16" bestFit="1" customWidth="1"/>
    <col min="19" max="19" width="5.6640625" style="3" bestFit="1" customWidth="1"/>
    <col min="20" max="20" width="6.44140625" style="25" bestFit="1" customWidth="1"/>
    <col min="21" max="21" width="3.33203125" style="3" bestFit="1" customWidth="1"/>
    <col min="22" max="22" width="4.33203125" style="16" bestFit="1" customWidth="1"/>
    <col min="23" max="23" width="11" style="3" bestFit="1" customWidth="1"/>
    <col min="24" max="24" width="3.33203125" style="25" bestFit="1" customWidth="1"/>
    <col min="25" max="25" width="4.33203125" style="3" bestFit="1" customWidth="1"/>
    <col min="26" max="26" width="20.44140625" style="16" bestFit="1" customWidth="1"/>
    <col min="27" max="27" width="6.44140625" style="3" bestFit="1" customWidth="1"/>
    <col min="28" max="28" width="3.44140625" style="25" bestFit="1" customWidth="1"/>
    <col min="29" max="29" width="4.33203125" style="3" bestFit="1" customWidth="1"/>
    <col min="30" max="30" width="11.88671875" style="16" bestFit="1" customWidth="1"/>
    <col min="31" max="31" width="3.33203125" style="3" bestFit="1" customWidth="1"/>
    <col min="32" max="32" width="4.33203125" style="25" bestFit="1" customWidth="1"/>
    <col min="33" max="33" width="29.109375" style="3" bestFit="1" customWidth="1"/>
    <col min="34" max="34" width="30.6640625" style="16" hidden="1" customWidth="1"/>
    <col min="35" max="35" width="2.6640625" style="3" hidden="1" customWidth="1"/>
    <col min="36" max="36" width="1.6640625" style="25" hidden="1" customWidth="1"/>
    <col min="37" max="37" width="2.6640625" style="3" hidden="1" customWidth="1"/>
    <col min="38" max="38" width="30.6640625" style="16" hidden="1" customWidth="1"/>
    <col min="39" max="39" width="2.6640625" style="3" hidden="1" customWidth="1"/>
    <col min="40" max="40" width="1.6640625" style="25" hidden="1" customWidth="1"/>
    <col min="41" max="41" width="2.6640625" style="3" hidden="1" customWidth="1"/>
    <col min="42" max="42" width="30.6640625" style="16" hidden="1" customWidth="1"/>
    <col min="43" max="43" width="2.6640625" style="3" hidden="1" customWidth="1"/>
    <col min="44" max="44" width="1.6640625" style="3" hidden="1" customWidth="1"/>
    <col min="45" max="45" width="9.33203125" style="3" hidden="1" customWidth="1"/>
    <col min="46" max="46" width="1.6640625" style="3" customWidth="1"/>
    <col min="47" max="47" width="6.109375" style="284" customWidth="1"/>
    <col min="48" max="48" width="6" style="284" customWidth="1"/>
    <col min="49" max="49" width="6.44140625" style="284" customWidth="1"/>
    <col min="50" max="50" width="5.88671875" style="284" customWidth="1"/>
    <col min="51" max="51" width="3.88671875" style="284" customWidth="1"/>
    <col min="52" max="52" width="6.44140625" style="284" customWidth="1"/>
    <col min="53" max="53" width="3" style="284" customWidth="1"/>
    <col min="54" max="54" width="3.88671875" style="284" customWidth="1"/>
    <col min="55" max="55" width="11.44140625" style="284" customWidth="1"/>
    <col min="56" max="56" width="8.33203125" style="284" customWidth="1"/>
    <col min="57" max="57" width="3" style="284" customWidth="1"/>
    <col min="58" max="58" width="3.88671875" style="284" customWidth="1"/>
    <col min="59" max="59" width="7.33203125" style="284" customWidth="1"/>
    <col min="60" max="60" width="3" style="284" customWidth="1"/>
    <col min="61" max="61" width="3.88671875" style="284" customWidth="1"/>
    <col min="62" max="62" width="37.33203125" style="3" customWidth="1"/>
    <col min="63" max="63" width="2.6640625" style="3" customWidth="1"/>
    <col min="64" max="64" width="6.109375" style="284" bestFit="1" customWidth="1"/>
    <col min="65" max="65" width="6" style="284" bestFit="1" customWidth="1"/>
    <col min="66" max="66" width="6.44140625" style="284" bestFit="1" customWidth="1"/>
    <col min="67" max="67" width="5.88671875" style="284" customWidth="1"/>
    <col min="68" max="68" width="3.88671875" style="284" bestFit="1" customWidth="1"/>
    <col min="69" max="69" width="6.44140625" style="284" bestFit="1" customWidth="1"/>
    <col min="70" max="70" width="3" style="284" bestFit="1" customWidth="1"/>
    <col min="71" max="71" width="3.88671875" style="284" bestFit="1" customWidth="1"/>
    <col min="72" max="72" width="11.44140625" style="284" bestFit="1" customWidth="1"/>
    <col min="73" max="73" width="8.33203125" style="284" bestFit="1" customWidth="1"/>
    <col min="74" max="74" width="3.44140625" style="284" bestFit="1" customWidth="1"/>
    <col min="75" max="75" width="3.88671875" style="284" bestFit="1" customWidth="1"/>
    <col min="76" max="76" width="7.33203125" style="284" customWidth="1"/>
    <col min="77" max="77" width="3" style="284" bestFit="1" customWidth="1"/>
    <col min="78" max="78" width="3.88671875" style="284" bestFit="1" customWidth="1"/>
    <col min="79" max="79" width="37.33203125" style="3" bestFit="1" customWidth="1"/>
    <col min="80" max="16384" width="9.33203125" style="3"/>
  </cols>
  <sheetData>
    <row r="1" spans="1:78" s="4" customFormat="1" ht="30" customHeight="1" x14ac:dyDescent="0.45">
      <c r="A1" s="51" t="e">
        <f ca="1">_PROJECTNAME_&amp;" - v"&amp;#REF!&amp;" - "&amp;MID(CELL("filename",A1),FIND("]",CELL("filename",A1))+1,255)</f>
        <v>#REF!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2"/>
      <c r="R1" s="1"/>
      <c r="S1" s="2"/>
      <c r="T1" s="24"/>
      <c r="U1" s="2"/>
      <c r="V1" s="1"/>
      <c r="W1" s="2"/>
      <c r="X1" s="24"/>
      <c r="Y1" s="2"/>
      <c r="Z1" s="1"/>
      <c r="AA1" s="2"/>
      <c r="AB1" s="24"/>
      <c r="AC1" s="2"/>
      <c r="AD1" s="1"/>
      <c r="AE1" s="2"/>
      <c r="AF1" s="24"/>
      <c r="AG1" s="2"/>
      <c r="AH1" s="1"/>
      <c r="AI1" s="2"/>
      <c r="AJ1" s="24"/>
      <c r="AK1" s="2"/>
      <c r="AL1" s="1"/>
      <c r="AM1" s="2"/>
      <c r="AN1" s="24"/>
      <c r="AO1" s="2"/>
      <c r="AP1" s="1"/>
      <c r="AQ1" s="2"/>
      <c r="AU1" s="285"/>
      <c r="AV1" s="285"/>
      <c r="AW1" s="285"/>
      <c r="AX1" s="285"/>
      <c r="AY1" s="285"/>
      <c r="AZ1" s="285"/>
      <c r="BA1" s="285"/>
      <c r="BB1" s="285"/>
      <c r="BC1" s="285"/>
      <c r="BD1" s="285"/>
      <c r="BE1" s="285"/>
      <c r="BF1" s="285"/>
      <c r="BG1" s="285"/>
      <c r="BH1" s="285"/>
      <c r="BI1" s="285"/>
      <c r="BL1" s="285"/>
      <c r="BM1" s="285"/>
      <c r="BN1" s="285"/>
      <c r="BO1" s="285"/>
      <c r="BP1" s="285"/>
      <c r="BQ1" s="285"/>
      <c r="BR1" s="285"/>
      <c r="BS1" s="285"/>
      <c r="BT1" s="285"/>
      <c r="BU1" s="285"/>
      <c r="BV1" s="285"/>
      <c r="BW1" s="285"/>
      <c r="BX1" s="285"/>
      <c r="BY1" s="285"/>
      <c r="BZ1" s="285"/>
    </row>
    <row r="2" spans="1:78" s="4" customFormat="1" ht="15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2"/>
      <c r="R2" s="1"/>
      <c r="S2" s="2"/>
      <c r="T2" s="24"/>
      <c r="U2" s="2"/>
      <c r="V2" s="1"/>
      <c r="W2" s="2"/>
      <c r="X2" s="24"/>
      <c r="Y2" s="2"/>
      <c r="Z2" s="1"/>
      <c r="AA2" s="2"/>
      <c r="AB2" s="24"/>
      <c r="AC2" s="2"/>
      <c r="AD2" s="1"/>
      <c r="AE2" s="2"/>
      <c r="AF2" s="24"/>
      <c r="AG2" s="2"/>
      <c r="AH2" s="1"/>
      <c r="AI2" s="2"/>
      <c r="AJ2" s="24"/>
      <c r="AK2" s="2"/>
      <c r="AL2" s="1"/>
      <c r="AM2" s="2"/>
      <c r="AN2" s="24"/>
      <c r="AO2" s="2"/>
      <c r="AP2" s="1"/>
      <c r="AQ2" s="2"/>
      <c r="AU2" s="285"/>
      <c r="AV2" s="285"/>
      <c r="AW2" s="285"/>
      <c r="AX2" s="285"/>
      <c r="AY2" s="285"/>
      <c r="AZ2" s="285"/>
      <c r="BA2" s="285"/>
      <c r="BB2" s="285"/>
      <c r="BC2" s="285"/>
      <c r="BD2" s="285"/>
      <c r="BE2" s="285"/>
      <c r="BF2" s="285"/>
      <c r="BG2" s="285"/>
      <c r="BH2" s="285"/>
      <c r="BI2" s="285"/>
      <c r="BL2" s="285"/>
      <c r="BM2" s="285"/>
      <c r="BN2" s="285"/>
      <c r="BO2" s="285"/>
      <c r="BP2" s="285"/>
      <c r="BQ2" s="285"/>
      <c r="BR2" s="285"/>
      <c r="BS2" s="285"/>
      <c r="BT2" s="285"/>
      <c r="BU2" s="285"/>
      <c r="BV2" s="285"/>
      <c r="BW2" s="285"/>
      <c r="BX2" s="285"/>
      <c r="BY2" s="285"/>
      <c r="BZ2" s="285"/>
    </row>
    <row r="3" spans="1:78" s="4" customFormat="1" ht="15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2"/>
      <c r="R3" s="1"/>
      <c r="S3" s="2"/>
      <c r="T3" s="24"/>
      <c r="U3" s="2"/>
      <c r="V3" s="1"/>
      <c r="W3" s="2"/>
      <c r="X3" s="24"/>
      <c r="Y3" s="2"/>
      <c r="Z3" s="1"/>
      <c r="AA3" s="2"/>
      <c r="AB3" s="24"/>
      <c r="AC3" s="2"/>
      <c r="AD3" s="1"/>
      <c r="AE3" s="2"/>
      <c r="AF3" s="24"/>
      <c r="AG3" s="2"/>
      <c r="AH3" s="1"/>
      <c r="AI3" s="2"/>
      <c r="AJ3" s="24"/>
      <c r="AK3" s="2"/>
      <c r="AL3" s="1"/>
      <c r="AM3" s="2"/>
      <c r="AN3" s="24"/>
      <c r="AO3" s="2"/>
      <c r="AP3" s="1"/>
      <c r="AQ3" s="2"/>
      <c r="AU3" s="285"/>
      <c r="AV3" s="285"/>
      <c r="AW3" s="285"/>
      <c r="AX3" s="285"/>
      <c r="AY3" s="285"/>
      <c r="AZ3" s="285"/>
      <c r="BA3" s="285"/>
      <c r="BB3" s="285"/>
      <c r="BC3" s="285"/>
      <c r="BD3" s="285"/>
      <c r="BE3" s="285"/>
      <c r="BF3" s="285"/>
      <c r="BG3" s="285"/>
      <c r="BH3" s="285"/>
      <c r="BI3" s="285"/>
      <c r="BL3" s="285"/>
      <c r="BM3" s="285"/>
      <c r="BN3" s="285"/>
      <c r="BO3" s="285"/>
      <c r="BP3" s="285"/>
      <c r="BQ3" s="285"/>
      <c r="BR3" s="285"/>
      <c r="BS3" s="285"/>
      <c r="BT3" s="285"/>
      <c r="BU3" s="285"/>
      <c r="BV3" s="285"/>
      <c r="BW3" s="285"/>
      <c r="BX3" s="285"/>
      <c r="BY3" s="285"/>
      <c r="BZ3" s="285"/>
    </row>
    <row r="4" spans="1:78" s="4" customFormat="1" ht="15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2"/>
      <c r="R4" s="1"/>
      <c r="S4" s="2"/>
      <c r="T4" s="24"/>
      <c r="U4" s="2"/>
      <c r="V4" s="1"/>
      <c r="W4" s="2"/>
      <c r="X4" s="24"/>
      <c r="Y4" s="2"/>
      <c r="Z4" s="1"/>
      <c r="AA4" s="2"/>
      <c r="AB4" s="24"/>
      <c r="AC4" s="2"/>
      <c r="AD4" s="1"/>
      <c r="AE4" s="2"/>
      <c r="AF4" s="24"/>
      <c r="AG4" s="2"/>
      <c r="AH4" s="1"/>
      <c r="AI4" s="2"/>
      <c r="AJ4" s="24"/>
      <c r="AK4" s="2"/>
      <c r="AL4" s="1"/>
      <c r="AM4" s="2"/>
      <c r="AN4" s="24"/>
      <c r="AO4" s="2"/>
      <c r="AP4" s="1"/>
      <c r="AQ4" s="2"/>
      <c r="AU4" s="285"/>
      <c r="AV4" s="285"/>
      <c r="AW4" s="285"/>
      <c r="AX4" s="285"/>
      <c r="AY4" s="285"/>
      <c r="AZ4" s="285"/>
      <c r="BA4" s="285"/>
      <c r="BB4" s="285"/>
      <c r="BC4" s="285"/>
      <c r="BD4" s="285"/>
      <c r="BE4" s="285"/>
      <c r="BF4" s="285"/>
      <c r="BG4" s="285"/>
      <c r="BH4" s="285"/>
      <c r="BI4" s="285"/>
      <c r="BL4" s="285"/>
      <c r="BM4" s="285"/>
      <c r="BN4" s="285"/>
      <c r="BO4" s="285"/>
      <c r="BP4" s="285"/>
      <c r="BQ4" s="285"/>
      <c r="BR4" s="285"/>
      <c r="BS4" s="285"/>
      <c r="BT4" s="285"/>
      <c r="BU4" s="285"/>
      <c r="BV4" s="285"/>
      <c r="BW4" s="285"/>
      <c r="BX4" s="285"/>
      <c r="BY4" s="285"/>
      <c r="BZ4" s="285"/>
    </row>
    <row r="5" spans="1:78" s="4" customFormat="1" ht="15" customHeight="1" x14ac:dyDescent="0.4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2"/>
      <c r="R5" s="1"/>
      <c r="S5" s="2"/>
      <c r="T5" s="24"/>
      <c r="U5" s="2"/>
      <c r="V5" s="1"/>
      <c r="W5" s="2"/>
      <c r="X5" s="24"/>
      <c r="Y5" s="2"/>
      <c r="Z5" s="1"/>
      <c r="AA5" s="2"/>
      <c r="AB5" s="24"/>
      <c r="AC5" s="2"/>
      <c r="AD5" s="1"/>
      <c r="AE5" s="2"/>
      <c r="AF5" s="24"/>
      <c r="AG5" s="2"/>
      <c r="AH5" s="1"/>
      <c r="AI5" s="2"/>
      <c r="AJ5" s="24"/>
      <c r="AK5" s="2"/>
      <c r="AL5" s="1"/>
      <c r="AM5" s="2"/>
      <c r="AN5" s="24"/>
      <c r="AO5" s="2"/>
      <c r="AP5" s="1"/>
      <c r="AQ5" s="2"/>
      <c r="AU5" s="285"/>
      <c r="AV5" s="285"/>
      <c r="AW5" s="285"/>
      <c r="AX5" s="285"/>
      <c r="AY5" s="285"/>
      <c r="AZ5" s="285"/>
      <c r="BA5" s="285"/>
      <c r="BB5" s="285"/>
      <c r="BC5" s="285"/>
      <c r="BD5" s="285"/>
      <c r="BE5" s="285"/>
      <c r="BF5" s="285"/>
      <c r="BG5" s="285"/>
      <c r="BH5" s="285"/>
      <c r="BI5" s="285"/>
      <c r="BL5" s="285"/>
      <c r="BM5" s="285"/>
      <c r="BN5" s="285"/>
      <c r="BO5" s="285"/>
      <c r="BP5" s="285"/>
      <c r="BQ5" s="285"/>
      <c r="BR5" s="285"/>
      <c r="BS5" s="285"/>
      <c r="BT5" s="285"/>
      <c r="BU5" s="285"/>
      <c r="BV5" s="285"/>
      <c r="BW5" s="285"/>
      <c r="BX5" s="285"/>
      <c r="BY5" s="285"/>
      <c r="BZ5" s="285"/>
    </row>
    <row r="6" spans="1:78" s="4" customFormat="1" ht="15" customHeight="1" x14ac:dyDescent="0.45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2"/>
      <c r="R6" s="1"/>
      <c r="S6" s="2"/>
      <c r="T6" s="24"/>
      <c r="U6" s="2"/>
      <c r="V6" s="1"/>
      <c r="W6" s="2"/>
      <c r="X6" s="24"/>
      <c r="Y6" s="2"/>
      <c r="Z6" s="1"/>
      <c r="AA6" s="2"/>
      <c r="AB6" s="24"/>
      <c r="AC6" s="2"/>
      <c r="AD6" s="1"/>
      <c r="AE6" s="2"/>
      <c r="AF6" s="24"/>
      <c r="AG6" s="2"/>
      <c r="AH6" s="1"/>
      <c r="AI6" s="2"/>
      <c r="AJ6" s="24"/>
      <c r="AK6" s="2"/>
      <c r="AL6" s="1"/>
      <c r="AM6" s="2"/>
      <c r="AN6" s="24"/>
      <c r="AO6" s="2"/>
      <c r="AP6" s="1"/>
      <c r="AQ6" s="2"/>
      <c r="AU6" s="285"/>
      <c r="AV6" s="285"/>
      <c r="AW6" s="285"/>
      <c r="AX6" s="285"/>
      <c r="AY6" s="285"/>
      <c r="AZ6" s="285"/>
      <c r="BA6" s="285"/>
      <c r="BB6" s="285"/>
      <c r="BC6" s="285"/>
      <c r="BD6" s="285"/>
      <c r="BE6" s="285"/>
      <c r="BF6" s="285"/>
      <c r="BG6" s="285"/>
      <c r="BH6" s="285"/>
      <c r="BI6" s="285"/>
      <c r="BL6" s="285"/>
      <c r="BM6" s="285"/>
      <c r="BN6" s="285"/>
      <c r="BO6" s="285"/>
      <c r="BP6" s="285"/>
      <c r="BQ6" s="285"/>
      <c r="BR6" s="285"/>
      <c r="BS6" s="285"/>
      <c r="BT6" s="285"/>
      <c r="BU6" s="285"/>
      <c r="BV6" s="285"/>
      <c r="BW6" s="285"/>
      <c r="BX6" s="285"/>
      <c r="BY6" s="285"/>
      <c r="BZ6" s="285"/>
    </row>
    <row r="7" spans="1:78" s="4" customFormat="1" ht="15" customHeight="1" x14ac:dyDescent="0.4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2"/>
      <c r="R7" s="1"/>
      <c r="S7" s="2"/>
      <c r="T7" s="24"/>
      <c r="U7" s="2"/>
      <c r="V7" s="1"/>
      <c r="W7" s="2"/>
      <c r="X7" s="24"/>
      <c r="Y7" s="2"/>
      <c r="Z7" s="1"/>
      <c r="AA7" s="2"/>
      <c r="AB7" s="24"/>
      <c r="AC7" s="2"/>
      <c r="AD7" s="1"/>
      <c r="AE7" s="2"/>
      <c r="AF7" s="24"/>
      <c r="AG7" s="2"/>
      <c r="AH7" s="1"/>
      <c r="AI7" s="2"/>
      <c r="AJ7" s="24"/>
      <c r="AK7" s="2"/>
      <c r="AL7" s="1"/>
      <c r="AM7" s="2"/>
      <c r="AN7" s="24"/>
      <c r="AO7" s="2"/>
      <c r="AP7" s="1"/>
      <c r="AQ7" s="2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  <c r="BH7" s="285"/>
      <c r="BI7" s="285"/>
      <c r="BL7" s="285"/>
      <c r="BM7" s="285"/>
      <c r="BN7" s="285"/>
      <c r="BO7" s="285"/>
      <c r="BP7" s="285"/>
      <c r="BQ7" s="285"/>
      <c r="BR7" s="285"/>
      <c r="BS7" s="285"/>
      <c r="BT7" s="285"/>
      <c r="BU7" s="285"/>
      <c r="BV7" s="285"/>
      <c r="BW7" s="285"/>
      <c r="BX7" s="285"/>
      <c r="BY7" s="285"/>
      <c r="BZ7" s="285"/>
    </row>
    <row r="8" spans="1:78" s="4" customFormat="1" ht="15" customHeight="1" x14ac:dyDescent="0.4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2"/>
      <c r="R8" s="1"/>
      <c r="S8" s="2"/>
      <c r="T8" s="24"/>
      <c r="U8" s="2"/>
      <c r="V8" s="1"/>
      <c r="W8" s="2"/>
      <c r="X8" s="24"/>
      <c r="Y8" s="2"/>
      <c r="Z8" s="1"/>
      <c r="AA8" s="2"/>
      <c r="AB8" s="24"/>
      <c r="AC8" s="2"/>
      <c r="AD8" s="1"/>
      <c r="AE8" s="2"/>
      <c r="AF8" s="24"/>
      <c r="AG8" s="2"/>
      <c r="AH8" s="1"/>
      <c r="AI8" s="2"/>
      <c r="AJ8" s="24"/>
      <c r="AK8" s="2"/>
      <c r="AL8" s="1"/>
      <c r="AM8" s="2"/>
      <c r="AN8" s="24"/>
      <c r="AO8" s="2"/>
      <c r="AP8" s="1"/>
      <c r="AQ8" s="2"/>
      <c r="AU8" s="285"/>
      <c r="AV8" s="285"/>
      <c r="AW8" s="285"/>
      <c r="AX8" s="285"/>
      <c r="AY8" s="285"/>
      <c r="AZ8" s="285"/>
      <c r="BA8" s="285"/>
      <c r="BB8" s="285"/>
      <c r="BC8" s="285"/>
      <c r="BD8" s="285"/>
      <c r="BE8" s="285"/>
      <c r="BF8" s="285"/>
      <c r="BG8" s="285"/>
      <c r="BH8" s="285"/>
      <c r="BI8" s="285"/>
      <c r="BL8" s="285"/>
      <c r="BM8" s="285"/>
      <c r="BN8" s="285"/>
      <c r="BO8" s="285"/>
      <c r="BP8" s="285"/>
      <c r="BQ8" s="285"/>
      <c r="BR8" s="285"/>
      <c r="BS8" s="285"/>
      <c r="BT8" s="285"/>
      <c r="BU8" s="285"/>
      <c r="BV8" s="285"/>
      <c r="BW8" s="285"/>
      <c r="BX8" s="285"/>
      <c r="BY8" s="285"/>
      <c r="BZ8" s="285"/>
    </row>
    <row r="9" spans="1:78" s="4" customFormat="1" ht="15" customHeight="1" x14ac:dyDescent="0.4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2"/>
      <c r="R9" s="1"/>
      <c r="S9" s="2"/>
      <c r="T9" s="24"/>
      <c r="U9" s="2"/>
      <c r="V9" s="1"/>
      <c r="W9" s="2"/>
      <c r="X9" s="24"/>
      <c r="Y9" s="2"/>
      <c r="Z9" s="1"/>
      <c r="AA9" s="2"/>
      <c r="AB9" s="24"/>
      <c r="AC9" s="2"/>
      <c r="AD9" s="1"/>
      <c r="AE9" s="2"/>
      <c r="AF9" s="24"/>
      <c r="AG9" s="2"/>
      <c r="AH9" s="1"/>
      <c r="AI9" s="2"/>
      <c r="AJ9" s="24"/>
      <c r="AK9" s="2"/>
      <c r="AL9" s="1"/>
      <c r="AM9" s="2"/>
      <c r="AN9" s="24"/>
      <c r="AO9" s="2"/>
      <c r="AP9" s="1"/>
      <c r="AQ9" s="2"/>
      <c r="AU9" s="285"/>
      <c r="AV9" s="285"/>
      <c r="AW9" s="285"/>
      <c r="AX9" s="285"/>
      <c r="AY9" s="285"/>
      <c r="AZ9" s="285"/>
      <c r="BA9" s="285"/>
      <c r="BB9" s="285"/>
      <c r="BC9" s="285"/>
      <c r="BD9" s="285"/>
      <c r="BE9" s="285"/>
      <c r="BF9" s="285"/>
      <c r="BG9" s="285"/>
      <c r="BH9" s="285"/>
      <c r="BI9" s="285"/>
      <c r="BL9" s="285"/>
      <c r="BM9" s="285"/>
      <c r="BN9" s="285"/>
      <c r="BO9" s="285"/>
      <c r="BP9" s="285"/>
      <c r="BQ9" s="285"/>
      <c r="BR9" s="285"/>
      <c r="BS9" s="285"/>
      <c r="BT9" s="285"/>
      <c r="BU9" s="285"/>
      <c r="BV9" s="285"/>
      <c r="BW9" s="285"/>
      <c r="BX9" s="285"/>
      <c r="BY9" s="285"/>
      <c r="BZ9" s="285"/>
    </row>
    <row r="10" spans="1:78" s="4" customFormat="1" ht="15" customHeight="1" x14ac:dyDescent="0.4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2"/>
      <c r="R10" s="1"/>
      <c r="S10" s="2"/>
      <c r="T10" s="24"/>
      <c r="U10" s="2"/>
      <c r="V10" s="1"/>
      <c r="W10" s="2"/>
      <c r="X10" s="24"/>
      <c r="Y10" s="2"/>
      <c r="Z10" s="1"/>
      <c r="AA10" s="2"/>
      <c r="AB10" s="24"/>
      <c r="AC10" s="2"/>
      <c r="AD10" s="1"/>
      <c r="AE10" s="2"/>
      <c r="AF10" s="24"/>
      <c r="AG10" s="2"/>
      <c r="AH10" s="1"/>
      <c r="AI10" s="2"/>
      <c r="AJ10" s="24"/>
      <c r="AK10" s="2"/>
      <c r="AL10" s="1"/>
      <c r="AM10" s="2"/>
      <c r="AN10" s="24"/>
      <c r="AO10" s="2"/>
      <c r="AP10" s="1"/>
      <c r="AQ10" s="2"/>
      <c r="AU10" s="285"/>
      <c r="AV10" s="285"/>
      <c r="AW10" s="285"/>
      <c r="AX10" s="285"/>
      <c r="AY10" s="285"/>
      <c r="AZ10" s="285"/>
      <c r="BA10" s="285"/>
      <c r="BB10" s="285"/>
      <c r="BC10" s="285"/>
      <c r="BD10" s="285"/>
      <c r="BE10" s="285"/>
      <c r="BF10" s="285"/>
      <c r="BG10" s="285"/>
      <c r="BH10" s="285"/>
      <c r="BI10" s="285"/>
      <c r="BL10" s="285"/>
      <c r="BM10" s="285"/>
      <c r="BN10" s="285"/>
      <c r="BO10" s="285"/>
      <c r="BP10" s="285"/>
      <c r="BQ10" s="285"/>
      <c r="BR10" s="285"/>
      <c r="BS10" s="285"/>
      <c r="BT10" s="285"/>
      <c r="BU10" s="285"/>
      <c r="BV10" s="285"/>
      <c r="BW10" s="285"/>
      <c r="BX10" s="285"/>
      <c r="BY10" s="285"/>
      <c r="BZ10" s="285"/>
    </row>
    <row r="11" spans="1:78" s="4" customFormat="1" ht="15" customHeight="1" x14ac:dyDescent="0.4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2"/>
      <c r="R11" s="1"/>
      <c r="S11" s="2"/>
      <c r="T11" s="24"/>
      <c r="U11" s="2"/>
      <c r="V11" s="1"/>
      <c r="W11" s="2"/>
      <c r="X11" s="24"/>
      <c r="Y11" s="2"/>
      <c r="Z11" s="1"/>
      <c r="AA11" s="2"/>
      <c r="AB11" s="24"/>
      <c r="AC11" s="2"/>
      <c r="AD11" s="1"/>
      <c r="AE11" s="2"/>
      <c r="AF11" s="24"/>
      <c r="AG11" s="2"/>
      <c r="AH11" s="1"/>
      <c r="AI11" s="2"/>
      <c r="AJ11" s="24"/>
      <c r="AK11" s="2"/>
      <c r="AL11" s="1"/>
      <c r="AM11" s="2"/>
      <c r="AN11" s="24"/>
      <c r="AO11" s="2"/>
      <c r="AP11" s="1"/>
      <c r="AQ11" s="2"/>
      <c r="AU11" s="285"/>
      <c r="AV11" s="285"/>
      <c r="AW11" s="285"/>
      <c r="AX11" s="285"/>
      <c r="AY11" s="285"/>
      <c r="AZ11" s="285"/>
      <c r="BA11" s="285"/>
      <c r="BB11" s="285"/>
      <c r="BC11" s="285"/>
      <c r="BD11" s="285"/>
      <c r="BE11" s="285"/>
      <c r="BF11" s="285"/>
      <c r="BG11" s="285"/>
      <c r="BH11" s="285"/>
      <c r="BI11" s="285"/>
      <c r="BL11" s="285"/>
      <c r="BM11" s="285"/>
      <c r="BN11" s="285"/>
      <c r="BO11" s="285"/>
      <c r="BP11" s="285"/>
      <c r="BQ11" s="285"/>
      <c r="BR11" s="285"/>
      <c r="BS11" s="285"/>
      <c r="BT11" s="285"/>
      <c r="BU11" s="285"/>
      <c r="BV11" s="285"/>
      <c r="BW11" s="285"/>
      <c r="BX11" s="285"/>
      <c r="BY11" s="285"/>
      <c r="BZ11" s="285"/>
    </row>
    <row r="12" spans="1:78" s="4" customFormat="1" ht="15" customHeight="1" x14ac:dyDescent="0.4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2"/>
      <c r="R12" s="1"/>
      <c r="S12" s="2"/>
      <c r="T12" s="24"/>
      <c r="U12" s="2"/>
      <c r="V12" s="1"/>
      <c r="W12" s="2"/>
      <c r="X12" s="24"/>
      <c r="Y12" s="2"/>
      <c r="Z12" s="1"/>
      <c r="AA12" s="2"/>
      <c r="AB12" s="24"/>
      <c r="AC12" s="2"/>
      <c r="AD12" s="1"/>
      <c r="AE12" s="2"/>
      <c r="AF12" s="24"/>
      <c r="AG12" s="2"/>
      <c r="AH12" s="1"/>
      <c r="AI12" s="2"/>
      <c r="AJ12" s="24"/>
      <c r="AK12" s="2"/>
      <c r="AL12" s="1"/>
      <c r="AM12" s="2"/>
      <c r="AN12" s="24"/>
      <c r="AO12" s="2"/>
      <c r="AP12" s="1"/>
      <c r="AQ12" s="2"/>
      <c r="AU12" s="285"/>
      <c r="AV12" s="285"/>
      <c r="AW12" s="285"/>
      <c r="AX12" s="285"/>
      <c r="AY12" s="285"/>
      <c r="AZ12" s="285"/>
      <c r="BA12" s="285"/>
      <c r="BB12" s="285"/>
      <c r="BC12" s="285"/>
      <c r="BD12" s="285"/>
      <c r="BE12" s="285"/>
      <c r="BF12" s="285"/>
      <c r="BG12" s="285"/>
      <c r="BH12" s="285"/>
      <c r="BI12" s="285"/>
      <c r="BL12" s="285"/>
      <c r="BM12" s="285"/>
      <c r="BN12" s="285"/>
      <c r="BO12" s="285"/>
      <c r="BP12" s="285"/>
      <c r="BQ12" s="285"/>
      <c r="BR12" s="285"/>
      <c r="BS12" s="285"/>
      <c r="BT12" s="285"/>
      <c r="BU12" s="285"/>
      <c r="BV12" s="285"/>
      <c r="BW12" s="285"/>
      <c r="BX12" s="285"/>
      <c r="BY12" s="285"/>
      <c r="BZ12" s="285"/>
    </row>
    <row r="13" spans="1:78" s="4" customFormat="1" ht="15" customHeight="1" thickBot="1" x14ac:dyDescent="0.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2"/>
      <c r="R13" s="1"/>
      <c r="S13" s="2"/>
      <c r="T13" s="24"/>
      <c r="U13" s="2"/>
      <c r="V13" s="1"/>
      <c r="W13" s="2"/>
      <c r="X13" s="24"/>
      <c r="Y13" s="2"/>
      <c r="Z13" s="1"/>
      <c r="AA13" s="2"/>
      <c r="AB13" s="24"/>
      <c r="AC13" s="2"/>
      <c r="AD13" s="1"/>
      <c r="AE13" s="2"/>
      <c r="AF13" s="24"/>
      <c r="AG13" s="2"/>
      <c r="AH13" s="1"/>
      <c r="AI13" s="2"/>
      <c r="AJ13" s="24"/>
      <c r="AK13" s="2"/>
      <c r="AL13" s="1"/>
      <c r="AM13" s="2"/>
      <c r="AN13" s="24"/>
      <c r="AO13" s="2"/>
      <c r="AP13" s="1"/>
      <c r="AQ13" s="2"/>
      <c r="AU13" s="285"/>
      <c r="AV13" s="285"/>
      <c r="AW13" s="285"/>
      <c r="AX13" s="285"/>
      <c r="AY13" s="285"/>
      <c r="AZ13" s="285"/>
      <c r="BA13" s="285"/>
      <c r="BB13" s="285"/>
      <c r="BC13" s="285"/>
      <c r="BD13" s="285"/>
      <c r="BE13" s="285"/>
      <c r="BF13" s="285"/>
      <c r="BG13" s="285"/>
      <c r="BH13" s="285"/>
      <c r="BI13" s="285"/>
      <c r="BL13" s="285"/>
      <c r="BM13" s="285"/>
      <c r="BN13" s="285"/>
      <c r="BO13" s="285"/>
      <c r="BP13" s="285"/>
      <c r="BQ13" s="285"/>
      <c r="BR13" s="285"/>
      <c r="BS13" s="285"/>
      <c r="BT13" s="285"/>
      <c r="BU13" s="285"/>
      <c r="BV13" s="285"/>
      <c r="BW13" s="285"/>
      <c r="BX13" s="285"/>
      <c r="BY13" s="285"/>
      <c r="BZ13" s="285"/>
    </row>
    <row r="14" spans="1:78" ht="15" customHeight="1" thickTop="1" x14ac:dyDescent="0.25">
      <c r="A14" s="288" t="s">
        <v>848</v>
      </c>
      <c r="B14" s="289"/>
      <c r="C14" s="295" t="s">
        <v>851</v>
      </c>
      <c r="D14" s="294"/>
      <c r="E14" s="289"/>
      <c r="F14" s="291" t="s">
        <v>893</v>
      </c>
      <c r="G14" s="290"/>
      <c r="H14" s="290"/>
      <c r="I14" s="290" t="s">
        <v>854</v>
      </c>
      <c r="J14" s="295" t="s">
        <v>851</v>
      </c>
      <c r="K14" s="293"/>
      <c r="L14" s="289"/>
      <c r="M14" s="296" t="s">
        <v>850</v>
      </c>
      <c r="N14" s="293"/>
      <c r="O14" s="289"/>
      <c r="P14" s="292"/>
      <c r="R14" s="288" t="s">
        <v>848</v>
      </c>
      <c r="S14" s="289"/>
      <c r="T14" s="295" t="s">
        <v>851</v>
      </c>
      <c r="U14" s="294"/>
      <c r="V14" s="289"/>
      <c r="W14" s="291" t="s">
        <v>893</v>
      </c>
      <c r="X14" s="290"/>
      <c r="Y14" s="290"/>
      <c r="Z14" s="290" t="s">
        <v>854</v>
      </c>
      <c r="AA14" s="295" t="s">
        <v>851</v>
      </c>
      <c r="AB14" s="293"/>
      <c r="AC14" s="289"/>
      <c r="AD14" s="296" t="s">
        <v>850</v>
      </c>
      <c r="AE14" s="293"/>
      <c r="AF14" s="289"/>
      <c r="AG14" s="292"/>
      <c r="AH14" s="3"/>
      <c r="AJ14" s="3"/>
      <c r="AL14" s="3"/>
      <c r="AN14" s="3"/>
      <c r="AP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78" ht="15" customHeight="1" thickBot="1" x14ac:dyDescent="0.3">
      <c r="A15" s="297" t="s">
        <v>847</v>
      </c>
      <c r="B15" s="298" t="s">
        <v>849</v>
      </c>
      <c r="C15" s="299" t="s">
        <v>904</v>
      </c>
      <c r="D15" s="298" t="s">
        <v>853</v>
      </c>
      <c r="E15" s="298" t="s">
        <v>852</v>
      </c>
      <c r="F15" s="299" t="s">
        <v>904</v>
      </c>
      <c r="G15" s="298" t="s">
        <v>853</v>
      </c>
      <c r="H15" s="298" t="s">
        <v>852</v>
      </c>
      <c r="I15" s="298" t="s">
        <v>5</v>
      </c>
      <c r="J15" s="299" t="s">
        <v>904</v>
      </c>
      <c r="K15" s="298" t="s">
        <v>853</v>
      </c>
      <c r="L15" s="298" t="s">
        <v>852</v>
      </c>
      <c r="M15" s="299" t="s">
        <v>904</v>
      </c>
      <c r="N15" s="298" t="s">
        <v>853</v>
      </c>
      <c r="O15" s="298" t="s">
        <v>852</v>
      </c>
      <c r="P15" s="300" t="s">
        <v>858</v>
      </c>
      <c r="R15" s="297" t="s">
        <v>847</v>
      </c>
      <c r="S15" s="298" t="s">
        <v>849</v>
      </c>
      <c r="T15" s="299" t="s">
        <v>904</v>
      </c>
      <c r="U15" s="298" t="s">
        <v>853</v>
      </c>
      <c r="V15" s="298" t="s">
        <v>852</v>
      </c>
      <c r="W15" s="299" t="s">
        <v>904</v>
      </c>
      <c r="X15" s="298" t="s">
        <v>853</v>
      </c>
      <c r="Y15" s="298" t="s">
        <v>852</v>
      </c>
      <c r="Z15" s="298" t="s">
        <v>5</v>
      </c>
      <c r="AA15" s="299" t="s">
        <v>904</v>
      </c>
      <c r="AB15" s="298" t="s">
        <v>853</v>
      </c>
      <c r="AC15" s="298" t="s">
        <v>852</v>
      </c>
      <c r="AD15" s="299" t="s">
        <v>904</v>
      </c>
      <c r="AE15" s="298" t="s">
        <v>853</v>
      </c>
      <c r="AF15" s="298" t="s">
        <v>852</v>
      </c>
      <c r="AG15" s="300" t="s">
        <v>858</v>
      </c>
      <c r="AH15" s="3"/>
      <c r="AJ15" s="3"/>
      <c r="AL15" s="3"/>
      <c r="AN15" s="3"/>
      <c r="AP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 spans="1:78" ht="15" customHeight="1" thickTop="1" x14ac:dyDescent="0.25">
      <c r="A16" s="286">
        <v>141</v>
      </c>
      <c r="B16" s="286">
        <v>2960</v>
      </c>
      <c r="C16" s="286">
        <v>24</v>
      </c>
      <c r="D16" s="286"/>
      <c r="E16" s="286"/>
      <c r="F16" s="286"/>
      <c r="G16" s="286">
        <v>2</v>
      </c>
      <c r="H16" s="286"/>
      <c r="I16" s="286" t="s">
        <v>869</v>
      </c>
      <c r="J16" s="286">
        <v>6</v>
      </c>
      <c r="K16" s="286"/>
      <c r="L16" s="286"/>
      <c r="M16" s="286"/>
      <c r="N16" s="286"/>
      <c r="O16" s="286"/>
      <c r="P16" s="305" t="s">
        <v>870</v>
      </c>
      <c r="R16" s="286">
        <v>333</v>
      </c>
      <c r="S16" s="286">
        <v>4948</v>
      </c>
      <c r="T16" s="286"/>
      <c r="U16" s="286">
        <v>48</v>
      </c>
      <c r="V16" s="286"/>
      <c r="W16" s="286"/>
      <c r="X16" s="286"/>
      <c r="Y16" s="286">
        <v>4</v>
      </c>
      <c r="Z16" s="287" t="s">
        <v>865</v>
      </c>
      <c r="AA16" s="286"/>
      <c r="AB16" s="286">
        <v>42</v>
      </c>
      <c r="AC16" s="286"/>
      <c r="AD16" s="286"/>
      <c r="AE16" s="286"/>
      <c r="AF16" s="286"/>
      <c r="AG16" s="309" t="s">
        <v>886</v>
      </c>
      <c r="AH16" s="3"/>
      <c r="AJ16" s="3"/>
      <c r="AL16" s="3"/>
      <c r="AN16" s="3"/>
      <c r="AP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 spans="1:78" ht="15" customHeight="1" x14ac:dyDescent="0.25">
      <c r="A17" s="286"/>
      <c r="B17" s="286"/>
      <c r="C17" s="286"/>
      <c r="D17" s="286"/>
      <c r="E17" s="286"/>
      <c r="F17" s="286"/>
      <c r="G17" s="286"/>
      <c r="H17" s="286"/>
      <c r="I17" s="286" t="s">
        <v>866</v>
      </c>
      <c r="J17" s="286">
        <v>2</v>
      </c>
      <c r="K17" s="286"/>
      <c r="L17" s="286"/>
      <c r="M17" s="286"/>
      <c r="N17" s="286"/>
      <c r="O17" s="286"/>
      <c r="P17" s="305" t="s">
        <v>336</v>
      </c>
      <c r="R17" s="286"/>
      <c r="S17" s="286"/>
      <c r="T17" s="286"/>
      <c r="U17" s="286"/>
      <c r="V17" s="286"/>
      <c r="W17" s="286"/>
      <c r="X17" s="286"/>
      <c r="Y17" s="286"/>
      <c r="Z17" s="287" t="s">
        <v>856</v>
      </c>
      <c r="AA17" s="286"/>
      <c r="AB17" s="286">
        <v>1</v>
      </c>
      <c r="AC17" s="286"/>
      <c r="AD17" s="286"/>
      <c r="AE17" s="286"/>
      <c r="AF17" s="286"/>
      <c r="AG17" s="309" t="s">
        <v>863</v>
      </c>
      <c r="AH17" s="3"/>
      <c r="AJ17" s="3"/>
      <c r="AL17" s="3"/>
      <c r="AN17" s="3"/>
      <c r="AP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 spans="1:78" ht="15" customHeight="1" x14ac:dyDescent="0.25">
      <c r="A18" s="286"/>
      <c r="B18" s="286"/>
      <c r="C18" s="286"/>
      <c r="D18" s="286"/>
      <c r="E18" s="286"/>
      <c r="F18" s="286"/>
      <c r="G18" s="286"/>
      <c r="H18" s="286"/>
      <c r="I18" s="286" t="s">
        <v>867</v>
      </c>
      <c r="J18" s="286">
        <v>4</v>
      </c>
      <c r="K18" s="286"/>
      <c r="L18" s="286"/>
      <c r="M18" s="286"/>
      <c r="N18" s="286"/>
      <c r="O18" s="286"/>
      <c r="P18" s="305" t="s">
        <v>336</v>
      </c>
      <c r="R18" s="286"/>
      <c r="S18" s="286"/>
      <c r="T18" s="286"/>
      <c r="U18" s="286"/>
      <c r="V18" s="286"/>
      <c r="W18" s="286"/>
      <c r="X18" s="286"/>
      <c r="Y18" s="286"/>
      <c r="Z18" s="287" t="s">
        <v>861</v>
      </c>
      <c r="AA18" s="286"/>
      <c r="AB18" s="286"/>
      <c r="AC18" s="286"/>
      <c r="AD18" s="286"/>
      <c r="AE18" s="286"/>
      <c r="AF18" s="286">
        <v>1</v>
      </c>
      <c r="AG18" s="305" t="s">
        <v>882</v>
      </c>
      <c r="AH18" s="3"/>
      <c r="AJ18" s="3"/>
      <c r="AL18" s="3"/>
      <c r="AN18" s="3"/>
      <c r="AP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 spans="1:78" ht="15" customHeight="1" x14ac:dyDescent="0.25">
      <c r="A19" s="286"/>
      <c r="B19" s="286"/>
      <c r="C19" s="286"/>
      <c r="D19" s="286"/>
      <c r="E19" s="286"/>
      <c r="F19" s="286"/>
      <c r="G19" s="286"/>
      <c r="H19" s="286"/>
      <c r="I19" s="286" t="s">
        <v>869</v>
      </c>
      <c r="J19" s="286">
        <v>6</v>
      </c>
      <c r="K19" s="286"/>
      <c r="L19" s="286"/>
      <c r="M19" s="286"/>
      <c r="N19" s="286"/>
      <c r="O19" s="286"/>
      <c r="P19" s="305" t="s">
        <v>871</v>
      </c>
      <c r="R19" s="286"/>
      <c r="S19" s="286"/>
      <c r="T19" s="286"/>
      <c r="U19" s="286"/>
      <c r="V19" s="286"/>
      <c r="W19" s="286"/>
      <c r="X19" s="286"/>
      <c r="Y19" s="286"/>
      <c r="Z19" s="287" t="s">
        <v>861</v>
      </c>
      <c r="AA19" s="286"/>
      <c r="AB19" s="286"/>
      <c r="AC19" s="286"/>
      <c r="AD19" s="286"/>
      <c r="AE19" s="286"/>
      <c r="AF19" s="286">
        <v>1</v>
      </c>
      <c r="AG19" s="305" t="s">
        <v>876</v>
      </c>
      <c r="AH19" s="3"/>
      <c r="AJ19" s="3"/>
      <c r="AL19" s="3"/>
      <c r="AN19" s="3"/>
      <c r="AP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 spans="1:78" ht="15" customHeight="1" x14ac:dyDescent="0.25">
      <c r="A20" s="286"/>
      <c r="B20" s="286"/>
      <c r="C20" s="286"/>
      <c r="D20" s="286"/>
      <c r="E20" s="286"/>
      <c r="F20" s="286"/>
      <c r="G20" s="286"/>
      <c r="H20" s="286"/>
      <c r="I20" s="286" t="s">
        <v>861</v>
      </c>
      <c r="J20" s="286">
        <v>1</v>
      </c>
      <c r="K20" s="286"/>
      <c r="L20" s="286"/>
      <c r="M20" s="286"/>
      <c r="N20" s="286"/>
      <c r="O20" s="286"/>
      <c r="P20" s="305" t="s">
        <v>859</v>
      </c>
      <c r="R20" s="286"/>
      <c r="S20" s="286"/>
      <c r="T20" s="286"/>
      <c r="U20" s="286"/>
      <c r="V20" s="286"/>
      <c r="W20" s="286"/>
      <c r="X20" s="286"/>
      <c r="Y20" s="286"/>
      <c r="Z20" s="287" t="s">
        <v>861</v>
      </c>
      <c r="AA20" s="286"/>
      <c r="AB20" s="286"/>
      <c r="AC20" s="286"/>
      <c r="AD20" s="286"/>
      <c r="AE20" s="286"/>
      <c r="AF20" s="286">
        <v>1</v>
      </c>
      <c r="AG20" s="305" t="s">
        <v>883</v>
      </c>
      <c r="AH20" s="3"/>
      <c r="AJ20" s="3"/>
      <c r="AL20" s="3"/>
      <c r="AN20" s="3"/>
      <c r="AP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 spans="1:78" ht="15" customHeight="1" x14ac:dyDescent="0.25">
      <c r="A21" s="286"/>
      <c r="B21" s="286" t="s">
        <v>874</v>
      </c>
      <c r="C21" s="286">
        <f t="shared" ref="C21:H21" si="0">C16-J21</f>
        <v>11</v>
      </c>
      <c r="D21" s="286">
        <f t="shared" si="0"/>
        <v>0</v>
      </c>
      <c r="E21" s="286">
        <f t="shared" si="0"/>
        <v>0</v>
      </c>
      <c r="F21" s="286">
        <f t="shared" si="0"/>
        <v>0</v>
      </c>
      <c r="G21" s="286">
        <f t="shared" si="0"/>
        <v>2</v>
      </c>
      <c r="H21" s="286">
        <f t="shared" si="0"/>
        <v>0</v>
      </c>
      <c r="I21" s="287" t="s">
        <v>862</v>
      </c>
      <c r="J21" s="286">
        <f t="shared" ref="J21:O21" si="1">SUM(J17:J20)</f>
        <v>13</v>
      </c>
      <c r="K21" s="286">
        <f t="shared" si="1"/>
        <v>0</v>
      </c>
      <c r="L21" s="286">
        <f t="shared" si="1"/>
        <v>0</v>
      </c>
      <c r="M21" s="286">
        <f t="shared" si="1"/>
        <v>0</v>
      </c>
      <c r="N21" s="286">
        <f t="shared" si="1"/>
        <v>0</v>
      </c>
      <c r="O21" s="286">
        <f t="shared" si="1"/>
        <v>0</v>
      </c>
      <c r="P21" s="305"/>
      <c r="R21" s="286"/>
      <c r="S21" s="286" t="s">
        <v>874</v>
      </c>
      <c r="T21" s="286">
        <f t="shared" ref="T21:Y21" si="2">T16-AA21</f>
        <v>0</v>
      </c>
      <c r="U21" s="286">
        <f t="shared" si="2"/>
        <v>5</v>
      </c>
      <c r="V21" s="286">
        <f t="shared" si="2"/>
        <v>0</v>
      </c>
      <c r="W21" s="286">
        <f t="shared" si="2"/>
        <v>0</v>
      </c>
      <c r="X21" s="286">
        <f t="shared" si="2"/>
        <v>0</v>
      </c>
      <c r="Y21" s="286">
        <f t="shared" si="2"/>
        <v>1</v>
      </c>
      <c r="Z21" s="287" t="s">
        <v>862</v>
      </c>
      <c r="AA21" s="286">
        <f t="shared" ref="AA21:AF21" si="3">SUM(AA16:AA20)</f>
        <v>0</v>
      </c>
      <c r="AB21" s="286">
        <f t="shared" si="3"/>
        <v>43</v>
      </c>
      <c r="AC21" s="286">
        <f t="shared" si="3"/>
        <v>0</v>
      </c>
      <c r="AD21" s="286">
        <f t="shared" si="3"/>
        <v>0</v>
      </c>
      <c r="AE21" s="286">
        <f t="shared" si="3"/>
        <v>0</v>
      </c>
      <c r="AF21" s="286">
        <f t="shared" si="3"/>
        <v>3</v>
      </c>
      <c r="AG21" s="305"/>
      <c r="AH21" s="3"/>
      <c r="AJ21" s="3"/>
      <c r="AL21" s="3"/>
      <c r="AN21" s="3"/>
      <c r="AP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 spans="1:78" ht="15" customHeight="1" thickBot="1" x14ac:dyDescent="0.3">
      <c r="A22" s="284"/>
      <c r="B22" s="284"/>
      <c r="C22" s="284"/>
      <c r="D22" s="284"/>
      <c r="E22" s="284"/>
      <c r="F22" s="284"/>
      <c r="G22" s="284"/>
      <c r="H22" s="284"/>
      <c r="I22" s="23"/>
      <c r="J22" s="284"/>
      <c r="K22" s="284"/>
      <c r="L22" s="284"/>
      <c r="M22" s="284"/>
      <c r="N22" s="284"/>
      <c r="O22" s="284"/>
      <c r="P22" s="3"/>
      <c r="R22" s="284"/>
      <c r="S22" s="284"/>
      <c r="T22" s="284"/>
      <c r="U22" s="284"/>
      <c r="V22" s="284"/>
      <c r="W22" s="284"/>
      <c r="X22" s="284"/>
      <c r="Y22" s="284"/>
      <c r="Z22" s="23"/>
      <c r="AA22" s="284"/>
      <c r="AB22" s="284"/>
      <c r="AC22" s="284"/>
      <c r="AD22" s="284"/>
      <c r="AE22" s="284"/>
      <c r="AF22" s="284"/>
      <c r="AH22" s="3"/>
      <c r="AJ22" s="3"/>
      <c r="AL22" s="3"/>
      <c r="AN22" s="3"/>
      <c r="AP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 spans="1:78" ht="15" customHeight="1" thickTop="1" x14ac:dyDescent="0.25">
      <c r="A23" s="288" t="s">
        <v>848</v>
      </c>
      <c r="B23" s="289"/>
      <c r="C23" s="295" t="s">
        <v>851</v>
      </c>
      <c r="D23" s="294"/>
      <c r="E23" s="289"/>
      <c r="F23" s="291" t="s">
        <v>893</v>
      </c>
      <c r="G23" s="290"/>
      <c r="H23" s="290"/>
      <c r="I23" s="290" t="s">
        <v>854</v>
      </c>
      <c r="J23" s="295" t="s">
        <v>851</v>
      </c>
      <c r="K23" s="293"/>
      <c r="L23" s="289"/>
      <c r="M23" s="296" t="s">
        <v>850</v>
      </c>
      <c r="N23" s="293"/>
      <c r="O23" s="289"/>
      <c r="P23" s="292"/>
      <c r="R23" s="288" t="s">
        <v>848</v>
      </c>
      <c r="S23" s="289"/>
      <c r="T23" s="295" t="s">
        <v>851</v>
      </c>
      <c r="U23" s="294"/>
      <c r="V23" s="289"/>
      <c r="W23" s="291" t="s">
        <v>893</v>
      </c>
      <c r="X23" s="290"/>
      <c r="Y23" s="290"/>
      <c r="Z23" s="290" t="s">
        <v>854</v>
      </c>
      <c r="AA23" s="295" t="s">
        <v>851</v>
      </c>
      <c r="AB23" s="293"/>
      <c r="AC23" s="289"/>
      <c r="AD23" s="296" t="s">
        <v>850</v>
      </c>
      <c r="AE23" s="293"/>
      <c r="AF23" s="289"/>
      <c r="AG23" s="292"/>
      <c r="AH23" s="3"/>
      <c r="AJ23" s="3"/>
      <c r="AL23" s="3"/>
      <c r="AN23" s="3"/>
      <c r="AP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 spans="1:78" ht="15" customHeight="1" thickBot="1" x14ac:dyDescent="0.3">
      <c r="A24" s="301" t="s">
        <v>847</v>
      </c>
      <c r="B24" s="302" t="s">
        <v>849</v>
      </c>
      <c r="C24" s="303" t="s">
        <v>904</v>
      </c>
      <c r="D24" s="302" t="s">
        <v>853</v>
      </c>
      <c r="E24" s="302" t="s">
        <v>852</v>
      </c>
      <c r="F24" s="303" t="s">
        <v>904</v>
      </c>
      <c r="G24" s="302" t="s">
        <v>853</v>
      </c>
      <c r="H24" s="302" t="s">
        <v>852</v>
      </c>
      <c r="I24" s="302" t="s">
        <v>5</v>
      </c>
      <c r="J24" s="303" t="s">
        <v>904</v>
      </c>
      <c r="K24" s="302" t="s">
        <v>853</v>
      </c>
      <c r="L24" s="302" t="s">
        <v>852</v>
      </c>
      <c r="M24" s="303" t="s">
        <v>904</v>
      </c>
      <c r="N24" s="302" t="s">
        <v>853</v>
      </c>
      <c r="O24" s="302" t="s">
        <v>852</v>
      </c>
      <c r="P24" s="304" t="s">
        <v>858</v>
      </c>
      <c r="R24" s="297" t="s">
        <v>847</v>
      </c>
      <c r="S24" s="298" t="s">
        <v>849</v>
      </c>
      <c r="T24" s="299" t="s">
        <v>904</v>
      </c>
      <c r="U24" s="298" t="s">
        <v>853</v>
      </c>
      <c r="V24" s="298" t="s">
        <v>852</v>
      </c>
      <c r="W24" s="299" t="s">
        <v>904</v>
      </c>
      <c r="X24" s="298" t="s">
        <v>853</v>
      </c>
      <c r="Y24" s="298" t="s">
        <v>852</v>
      </c>
      <c r="Z24" s="298" t="s">
        <v>5</v>
      </c>
      <c r="AA24" s="299" t="s">
        <v>904</v>
      </c>
      <c r="AB24" s="298" t="s">
        <v>853</v>
      </c>
      <c r="AC24" s="298" t="s">
        <v>852</v>
      </c>
      <c r="AD24" s="299" t="s">
        <v>904</v>
      </c>
      <c r="AE24" s="298" t="s">
        <v>853</v>
      </c>
      <c r="AF24" s="298" t="s">
        <v>852</v>
      </c>
      <c r="AG24" s="300" t="s">
        <v>858</v>
      </c>
      <c r="AH24" s="3"/>
      <c r="AJ24" s="3"/>
      <c r="AL24" s="3"/>
      <c r="AN24" s="3"/>
      <c r="AP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 spans="1:78" ht="15" customHeight="1" thickTop="1" x14ac:dyDescent="0.25">
      <c r="A25" s="306">
        <v>139</v>
      </c>
      <c r="B25" s="306">
        <v>2960</v>
      </c>
      <c r="C25" s="306">
        <v>24</v>
      </c>
      <c r="D25" s="306"/>
      <c r="E25" s="306"/>
      <c r="F25" s="306"/>
      <c r="G25" s="306">
        <v>2</v>
      </c>
      <c r="H25" s="306"/>
      <c r="I25" s="307" t="s">
        <v>865</v>
      </c>
      <c r="J25" s="306">
        <v>24</v>
      </c>
      <c r="K25" s="306"/>
      <c r="L25" s="306"/>
      <c r="M25" s="306"/>
      <c r="N25" s="306"/>
      <c r="O25" s="306"/>
      <c r="P25" s="308" t="s">
        <v>868</v>
      </c>
      <c r="R25" s="286">
        <v>331</v>
      </c>
      <c r="S25" s="286">
        <v>4948</v>
      </c>
      <c r="T25" s="286"/>
      <c r="U25" s="286">
        <v>48</v>
      </c>
      <c r="V25" s="286"/>
      <c r="W25" s="286"/>
      <c r="X25" s="286"/>
      <c r="Y25" s="286">
        <v>4</v>
      </c>
      <c r="Z25" s="287" t="s">
        <v>865</v>
      </c>
      <c r="AA25" s="286"/>
      <c r="AB25" s="286">
        <v>42</v>
      </c>
      <c r="AC25" s="286"/>
      <c r="AD25" s="286"/>
      <c r="AE25" s="286"/>
      <c r="AF25" s="286"/>
      <c r="AG25" s="309" t="s">
        <v>888</v>
      </c>
      <c r="AH25" s="3"/>
      <c r="AJ25" s="3"/>
      <c r="AL25" s="3"/>
      <c r="AN25" s="3"/>
      <c r="AP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 spans="1:78" ht="15" customHeight="1" x14ac:dyDescent="0.25">
      <c r="A26" s="286"/>
      <c r="B26" s="286"/>
      <c r="C26" s="286"/>
      <c r="D26" s="286"/>
      <c r="E26" s="286"/>
      <c r="F26" s="286"/>
      <c r="G26" s="286"/>
      <c r="H26" s="286"/>
      <c r="I26" s="287" t="s">
        <v>861</v>
      </c>
      <c r="J26" s="286"/>
      <c r="K26" s="286"/>
      <c r="L26" s="286"/>
      <c r="M26" s="286"/>
      <c r="N26" s="286">
        <v>1</v>
      </c>
      <c r="O26" s="286"/>
      <c r="P26" s="305" t="s">
        <v>859</v>
      </c>
      <c r="R26" s="286"/>
      <c r="S26" s="286"/>
      <c r="T26" s="286"/>
      <c r="U26" s="286"/>
      <c r="V26" s="286"/>
      <c r="W26" s="286"/>
      <c r="X26" s="286"/>
      <c r="Y26" s="286"/>
      <c r="Z26" s="287" t="s">
        <v>857</v>
      </c>
      <c r="AA26" s="286"/>
      <c r="AB26" s="286">
        <v>1</v>
      </c>
      <c r="AC26" s="286"/>
      <c r="AD26" s="286"/>
      <c r="AE26" s="286"/>
      <c r="AF26" s="286"/>
      <c r="AG26" s="309" t="s">
        <v>863</v>
      </c>
      <c r="AH26" s="3"/>
      <c r="AJ26" s="3"/>
      <c r="AL26" s="3"/>
      <c r="AN26" s="3"/>
      <c r="AP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 spans="1:78" ht="15" customHeight="1" x14ac:dyDescent="0.25">
      <c r="A27" s="286"/>
      <c r="B27" s="286" t="s">
        <v>874</v>
      </c>
      <c r="C27" s="286">
        <f t="shared" ref="C27:H27" si="4">C25-J27</f>
        <v>0</v>
      </c>
      <c r="D27" s="286">
        <f t="shared" si="4"/>
        <v>0</v>
      </c>
      <c r="E27" s="286">
        <f t="shared" si="4"/>
        <v>0</v>
      </c>
      <c r="F27" s="286">
        <f t="shared" si="4"/>
        <v>0</v>
      </c>
      <c r="G27" s="286">
        <f t="shared" si="4"/>
        <v>1</v>
      </c>
      <c r="H27" s="286">
        <f t="shared" si="4"/>
        <v>0</v>
      </c>
      <c r="I27" s="287" t="s">
        <v>862</v>
      </c>
      <c r="J27" s="286">
        <f t="shared" ref="J27:O27" si="5">SUM(J25:J26)</f>
        <v>24</v>
      </c>
      <c r="K27" s="286">
        <f t="shared" si="5"/>
        <v>0</v>
      </c>
      <c r="L27" s="286">
        <f t="shared" si="5"/>
        <v>0</v>
      </c>
      <c r="M27" s="286">
        <f t="shared" si="5"/>
        <v>0</v>
      </c>
      <c r="N27" s="286">
        <f t="shared" si="5"/>
        <v>1</v>
      </c>
      <c r="O27" s="286">
        <f t="shared" si="5"/>
        <v>0</v>
      </c>
      <c r="P27" s="305"/>
      <c r="R27" s="286"/>
      <c r="S27" s="286"/>
      <c r="T27" s="286"/>
      <c r="U27" s="286"/>
      <c r="V27" s="286"/>
      <c r="W27" s="286"/>
      <c r="X27" s="286"/>
      <c r="Y27" s="286"/>
      <c r="Z27" s="287" t="s">
        <v>861</v>
      </c>
      <c r="AA27" s="286"/>
      <c r="AB27" s="286"/>
      <c r="AC27" s="286"/>
      <c r="AD27" s="286"/>
      <c r="AE27" s="286"/>
      <c r="AF27" s="286">
        <v>1</v>
      </c>
      <c r="AG27" s="305" t="s">
        <v>882</v>
      </c>
      <c r="AH27" s="3"/>
      <c r="AJ27" s="3"/>
      <c r="AL27" s="3"/>
      <c r="AN27" s="3"/>
      <c r="AP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 spans="1:78" ht="15" customHeight="1" thickBot="1" x14ac:dyDescent="0.3">
      <c r="A28" s="284"/>
      <c r="B28" s="284"/>
      <c r="C28" s="284"/>
      <c r="D28" s="284"/>
      <c r="E28" s="284"/>
      <c r="F28" s="284"/>
      <c r="G28" s="284"/>
      <c r="H28" s="284"/>
      <c r="I28" s="23"/>
      <c r="J28" s="284"/>
      <c r="K28" s="284"/>
      <c r="L28" s="284"/>
      <c r="M28" s="284"/>
      <c r="N28" s="284"/>
      <c r="O28" s="284"/>
      <c r="P28" s="3"/>
      <c r="R28" s="286"/>
      <c r="S28" s="286"/>
      <c r="T28" s="286"/>
      <c r="U28" s="286"/>
      <c r="V28" s="286"/>
      <c r="W28" s="286"/>
      <c r="X28" s="286"/>
      <c r="Y28" s="286"/>
      <c r="Z28" s="287" t="s">
        <v>861</v>
      </c>
      <c r="AA28" s="286"/>
      <c r="AB28" s="286"/>
      <c r="AC28" s="286"/>
      <c r="AD28" s="286"/>
      <c r="AE28" s="286"/>
      <c r="AF28" s="286">
        <v>1</v>
      </c>
      <c r="AG28" s="305" t="s">
        <v>876</v>
      </c>
      <c r="AH28" s="3"/>
      <c r="AJ28" s="3"/>
      <c r="AL28" s="3"/>
      <c r="AN28" s="3"/>
      <c r="AP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 spans="1:78" ht="15" customHeight="1" thickTop="1" x14ac:dyDescent="0.25">
      <c r="A29" s="288" t="s">
        <v>848</v>
      </c>
      <c r="B29" s="289"/>
      <c r="C29" s="295" t="s">
        <v>851</v>
      </c>
      <c r="D29" s="294"/>
      <c r="E29" s="289"/>
      <c r="F29" s="291" t="s">
        <v>893</v>
      </c>
      <c r="G29" s="290"/>
      <c r="H29" s="290"/>
      <c r="I29" s="290" t="s">
        <v>854</v>
      </c>
      <c r="J29" s="295" t="s">
        <v>851</v>
      </c>
      <c r="K29" s="293"/>
      <c r="L29" s="289"/>
      <c r="M29" s="296" t="s">
        <v>850</v>
      </c>
      <c r="N29" s="293"/>
      <c r="O29" s="289"/>
      <c r="P29" s="292"/>
      <c r="R29" s="286"/>
      <c r="S29" s="286"/>
      <c r="T29" s="286"/>
      <c r="U29" s="286"/>
      <c r="V29" s="286"/>
      <c r="W29" s="286"/>
      <c r="X29" s="286"/>
      <c r="Y29" s="286"/>
      <c r="Z29" s="287" t="s">
        <v>861</v>
      </c>
      <c r="AA29" s="286"/>
      <c r="AB29" s="286"/>
      <c r="AC29" s="286"/>
      <c r="AD29" s="286"/>
      <c r="AE29" s="286"/>
      <c r="AF29" s="286">
        <v>1</v>
      </c>
      <c r="AG29" s="305" t="s">
        <v>884</v>
      </c>
      <c r="AH29" s="3"/>
      <c r="AJ29" s="3"/>
      <c r="AL29" s="3"/>
      <c r="AN29" s="3"/>
      <c r="AP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 spans="1:78" ht="15" customHeight="1" thickBot="1" x14ac:dyDescent="0.3">
      <c r="A30" s="297" t="s">
        <v>847</v>
      </c>
      <c r="B30" s="298" t="s">
        <v>849</v>
      </c>
      <c r="C30" s="299" t="s">
        <v>904</v>
      </c>
      <c r="D30" s="298" t="s">
        <v>853</v>
      </c>
      <c r="E30" s="298" t="s">
        <v>852</v>
      </c>
      <c r="F30" s="299" t="s">
        <v>904</v>
      </c>
      <c r="G30" s="298" t="s">
        <v>853</v>
      </c>
      <c r="H30" s="298" t="s">
        <v>852</v>
      </c>
      <c r="I30" s="298" t="s">
        <v>5</v>
      </c>
      <c r="J30" s="299" t="s">
        <v>904</v>
      </c>
      <c r="K30" s="298" t="s">
        <v>853</v>
      </c>
      <c r="L30" s="298" t="s">
        <v>852</v>
      </c>
      <c r="M30" s="299" t="s">
        <v>904</v>
      </c>
      <c r="N30" s="298" t="s">
        <v>853</v>
      </c>
      <c r="O30" s="298" t="s">
        <v>852</v>
      </c>
      <c r="P30" s="300" t="s">
        <v>858</v>
      </c>
      <c r="R30" s="286"/>
      <c r="S30" s="286" t="s">
        <v>874</v>
      </c>
      <c r="T30" s="286">
        <f t="shared" ref="T30:Y30" si="6">T25-AA30</f>
        <v>0</v>
      </c>
      <c r="U30" s="286">
        <f t="shared" si="6"/>
        <v>5</v>
      </c>
      <c r="V30" s="286">
        <f t="shared" si="6"/>
        <v>0</v>
      </c>
      <c r="W30" s="286">
        <f t="shared" si="6"/>
        <v>0</v>
      </c>
      <c r="X30" s="286">
        <f t="shared" si="6"/>
        <v>0</v>
      </c>
      <c r="Y30" s="286">
        <f t="shared" si="6"/>
        <v>1</v>
      </c>
      <c r="Z30" s="287" t="s">
        <v>862</v>
      </c>
      <c r="AA30" s="286">
        <f t="shared" ref="AA30:AF30" si="7">SUM(AA25:AA29)</f>
        <v>0</v>
      </c>
      <c r="AB30" s="286">
        <f t="shared" si="7"/>
        <v>43</v>
      </c>
      <c r="AC30" s="286">
        <f t="shared" si="7"/>
        <v>0</v>
      </c>
      <c r="AD30" s="286">
        <f t="shared" si="7"/>
        <v>0</v>
      </c>
      <c r="AE30" s="286">
        <f t="shared" si="7"/>
        <v>0</v>
      </c>
      <c r="AF30" s="286">
        <f t="shared" si="7"/>
        <v>3</v>
      </c>
      <c r="AG30" s="305"/>
      <c r="AH30" s="3"/>
      <c r="AJ30" s="3"/>
      <c r="AL30" s="3"/>
      <c r="AN30" s="3"/>
      <c r="AP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 spans="1:78" ht="15" customHeight="1" thickTop="1" thickBot="1" x14ac:dyDescent="0.3">
      <c r="A31" s="306">
        <v>241</v>
      </c>
      <c r="B31" s="306">
        <v>2960</v>
      </c>
      <c r="C31" s="306">
        <v>24</v>
      </c>
      <c r="D31" s="306"/>
      <c r="E31" s="306"/>
      <c r="F31" s="306"/>
      <c r="G31" s="306">
        <v>2</v>
      </c>
      <c r="H31" s="306"/>
      <c r="I31" s="307" t="s">
        <v>869</v>
      </c>
      <c r="J31" s="306">
        <v>6</v>
      </c>
      <c r="K31" s="306"/>
      <c r="L31" s="306"/>
      <c r="M31" s="306"/>
      <c r="N31" s="306"/>
      <c r="O31" s="306"/>
      <c r="P31" s="308" t="s">
        <v>870</v>
      </c>
      <c r="R31" s="284"/>
      <c r="S31" s="284"/>
      <c r="T31" s="284"/>
      <c r="U31" s="284"/>
      <c r="V31" s="284"/>
      <c r="W31" s="284"/>
      <c r="X31" s="284"/>
      <c r="Y31" s="284"/>
      <c r="Z31" s="23"/>
      <c r="AA31" s="284"/>
      <c r="AB31" s="284"/>
      <c r="AC31" s="284"/>
      <c r="AD31" s="284"/>
      <c r="AE31" s="284"/>
      <c r="AF31" s="284"/>
      <c r="AH31" s="3"/>
      <c r="AJ31" s="3"/>
      <c r="AL31" s="3"/>
      <c r="AN31" s="3"/>
      <c r="AP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 spans="1:78" ht="15" customHeight="1" thickTop="1" x14ac:dyDescent="0.25">
      <c r="A32" s="286"/>
      <c r="B32" s="286"/>
      <c r="C32" s="286"/>
      <c r="D32" s="286"/>
      <c r="E32" s="286"/>
      <c r="F32" s="286"/>
      <c r="G32" s="286"/>
      <c r="H32" s="286"/>
      <c r="I32" s="287" t="s">
        <v>856</v>
      </c>
      <c r="J32" s="286">
        <v>1</v>
      </c>
      <c r="K32" s="286"/>
      <c r="L32" s="286"/>
      <c r="M32" s="286"/>
      <c r="N32" s="286"/>
      <c r="O32" s="286"/>
      <c r="P32" s="305" t="s">
        <v>328</v>
      </c>
      <c r="R32" s="288" t="s">
        <v>848</v>
      </c>
      <c r="S32" s="289"/>
      <c r="T32" s="295" t="s">
        <v>851</v>
      </c>
      <c r="U32" s="294"/>
      <c r="V32" s="289"/>
      <c r="W32" s="291" t="s">
        <v>893</v>
      </c>
      <c r="X32" s="290"/>
      <c r="Y32" s="290"/>
      <c r="Z32" s="290" t="s">
        <v>854</v>
      </c>
      <c r="AA32" s="295" t="s">
        <v>851</v>
      </c>
      <c r="AB32" s="293"/>
      <c r="AC32" s="289"/>
      <c r="AD32" s="296" t="s">
        <v>850</v>
      </c>
      <c r="AE32" s="293"/>
      <c r="AF32" s="289"/>
      <c r="AG32" s="292"/>
      <c r="AH32" s="3"/>
      <c r="AJ32" s="3"/>
      <c r="AL32" s="3"/>
      <c r="AN32" s="3"/>
      <c r="AP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 spans="1:78" ht="15" customHeight="1" thickBot="1" x14ac:dyDescent="0.3">
      <c r="A33" s="286"/>
      <c r="B33" s="286"/>
      <c r="C33" s="286"/>
      <c r="D33" s="286"/>
      <c r="E33" s="286"/>
      <c r="F33" s="286"/>
      <c r="G33" s="286"/>
      <c r="H33" s="286"/>
      <c r="I33" s="287" t="s">
        <v>857</v>
      </c>
      <c r="J33" s="286">
        <v>1</v>
      </c>
      <c r="K33" s="286"/>
      <c r="L33" s="286"/>
      <c r="M33" s="286"/>
      <c r="N33" s="286"/>
      <c r="O33" s="286"/>
      <c r="P33" s="305" t="s">
        <v>328</v>
      </c>
      <c r="R33" s="297" t="s">
        <v>847</v>
      </c>
      <c r="S33" s="298" t="s">
        <v>849</v>
      </c>
      <c r="T33" s="299" t="s">
        <v>904</v>
      </c>
      <c r="U33" s="298" t="s">
        <v>853</v>
      </c>
      <c r="V33" s="298" t="s">
        <v>852</v>
      </c>
      <c r="W33" s="299" t="s">
        <v>904</v>
      </c>
      <c r="X33" s="298" t="s">
        <v>853</v>
      </c>
      <c r="Y33" s="298" t="s">
        <v>852</v>
      </c>
      <c r="Z33" s="298" t="s">
        <v>5</v>
      </c>
      <c r="AA33" s="299" t="s">
        <v>904</v>
      </c>
      <c r="AB33" s="298" t="s">
        <v>853</v>
      </c>
      <c r="AC33" s="298" t="s">
        <v>852</v>
      </c>
      <c r="AD33" s="299" t="s">
        <v>904</v>
      </c>
      <c r="AE33" s="298" t="s">
        <v>853</v>
      </c>
      <c r="AF33" s="298" t="s">
        <v>852</v>
      </c>
      <c r="AG33" s="300" t="s">
        <v>858</v>
      </c>
      <c r="AH33" s="3"/>
      <c r="AJ33" s="3"/>
      <c r="AL33" s="3"/>
      <c r="AN33" s="3"/>
      <c r="AP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 spans="1:78" ht="15" customHeight="1" thickTop="1" x14ac:dyDescent="0.25">
      <c r="A34" s="286"/>
      <c r="B34" s="286"/>
      <c r="C34" s="286"/>
      <c r="D34" s="286"/>
      <c r="E34" s="286"/>
      <c r="F34" s="286"/>
      <c r="G34" s="286"/>
      <c r="H34" s="286"/>
      <c r="I34" s="287" t="s">
        <v>861</v>
      </c>
      <c r="J34" s="286">
        <v>1</v>
      </c>
      <c r="K34" s="286"/>
      <c r="L34" s="286"/>
      <c r="M34" s="286"/>
      <c r="N34" s="286">
        <v>2</v>
      </c>
      <c r="O34" s="286"/>
      <c r="P34" s="305" t="s">
        <v>859</v>
      </c>
      <c r="R34" s="286">
        <v>329</v>
      </c>
      <c r="S34" s="286">
        <v>4948</v>
      </c>
      <c r="T34" s="286"/>
      <c r="U34" s="286">
        <v>48</v>
      </c>
      <c r="V34" s="286"/>
      <c r="W34" s="286"/>
      <c r="X34" s="286"/>
      <c r="Y34" s="286">
        <v>4</v>
      </c>
      <c r="Z34" s="287" t="s">
        <v>866</v>
      </c>
      <c r="AA34" s="286"/>
      <c r="AB34" s="286">
        <v>2</v>
      </c>
      <c r="AC34" s="286"/>
      <c r="AD34" s="286"/>
      <c r="AE34" s="286"/>
      <c r="AF34" s="286"/>
      <c r="AG34" s="309" t="s">
        <v>889</v>
      </c>
      <c r="AH34" s="3"/>
      <c r="AJ34" s="3"/>
      <c r="AL34" s="3"/>
      <c r="AN34" s="3"/>
      <c r="AP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 spans="1:78" ht="15" customHeight="1" x14ac:dyDescent="0.25">
      <c r="A35" s="286"/>
      <c r="B35" s="309" t="s">
        <v>874</v>
      </c>
      <c r="C35" s="286">
        <f t="shared" ref="C35:H35" si="8">C31-J35</f>
        <v>15</v>
      </c>
      <c r="D35" s="286">
        <f t="shared" si="8"/>
        <v>0</v>
      </c>
      <c r="E35" s="286">
        <f t="shared" si="8"/>
        <v>0</v>
      </c>
      <c r="F35" s="286">
        <f t="shared" si="8"/>
        <v>0</v>
      </c>
      <c r="G35" s="286">
        <f t="shared" si="8"/>
        <v>0</v>
      </c>
      <c r="H35" s="286">
        <f t="shared" si="8"/>
        <v>0</v>
      </c>
      <c r="I35" s="287" t="s">
        <v>862</v>
      </c>
      <c r="J35" s="286">
        <f t="shared" ref="J35:O35" si="9">SUM(J31:J34)</f>
        <v>9</v>
      </c>
      <c r="K35" s="286">
        <f t="shared" si="9"/>
        <v>0</v>
      </c>
      <c r="L35" s="286">
        <f t="shared" si="9"/>
        <v>0</v>
      </c>
      <c r="M35" s="286">
        <f t="shared" si="9"/>
        <v>0</v>
      </c>
      <c r="N35" s="286">
        <f t="shared" si="9"/>
        <v>2</v>
      </c>
      <c r="O35" s="286">
        <f t="shared" si="9"/>
        <v>0</v>
      </c>
      <c r="P35" s="305"/>
      <c r="R35" s="286"/>
      <c r="S35" s="286"/>
      <c r="T35" s="286"/>
      <c r="U35" s="286"/>
      <c r="V35" s="286"/>
      <c r="W35" s="286"/>
      <c r="X35" s="286"/>
      <c r="Y35" s="286"/>
      <c r="Z35" s="287" t="s">
        <v>867</v>
      </c>
      <c r="AA35" s="286"/>
      <c r="AB35" s="286">
        <v>4</v>
      </c>
      <c r="AC35" s="286"/>
      <c r="AD35" s="286"/>
      <c r="AE35" s="286"/>
      <c r="AF35" s="286"/>
      <c r="AG35" s="309" t="s">
        <v>889</v>
      </c>
      <c r="AH35" s="3"/>
      <c r="AJ35" s="3"/>
      <c r="AL35" s="3"/>
      <c r="AN35" s="3"/>
      <c r="AP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 spans="1:78" ht="15" customHeight="1" thickBot="1" x14ac:dyDescent="0.3">
      <c r="A36" s="284"/>
      <c r="B36" s="284"/>
      <c r="C36" s="284"/>
      <c r="D36" s="284"/>
      <c r="E36" s="284"/>
      <c r="F36" s="284"/>
      <c r="G36" s="284"/>
      <c r="H36" s="284"/>
      <c r="I36" s="23"/>
      <c r="J36" s="284"/>
      <c r="K36" s="284"/>
      <c r="L36" s="284"/>
      <c r="M36" s="284"/>
      <c r="N36" s="284"/>
      <c r="O36" s="284"/>
      <c r="P36" s="3"/>
      <c r="R36" s="286"/>
      <c r="S36" s="286"/>
      <c r="T36" s="286"/>
      <c r="U36" s="286"/>
      <c r="V36" s="286"/>
      <c r="W36" s="286"/>
      <c r="X36" s="286"/>
      <c r="Y36" s="286"/>
      <c r="Z36" s="287" t="s">
        <v>865</v>
      </c>
      <c r="AA36" s="286"/>
      <c r="AB36" s="286">
        <v>30</v>
      </c>
      <c r="AC36" s="286"/>
      <c r="AD36" s="286"/>
      <c r="AE36" s="286"/>
      <c r="AF36" s="286"/>
      <c r="AG36" s="309" t="s">
        <v>890</v>
      </c>
      <c r="AH36" s="3"/>
      <c r="AJ36" s="3"/>
      <c r="AL36" s="3"/>
      <c r="AN36" s="3"/>
      <c r="AP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 spans="1:78" ht="15" customHeight="1" thickTop="1" x14ac:dyDescent="0.25">
      <c r="A37" s="288" t="s">
        <v>848</v>
      </c>
      <c r="B37" s="289"/>
      <c r="C37" s="295" t="s">
        <v>851</v>
      </c>
      <c r="D37" s="294"/>
      <c r="E37" s="289"/>
      <c r="F37" s="291" t="s">
        <v>893</v>
      </c>
      <c r="G37" s="290"/>
      <c r="H37" s="290"/>
      <c r="I37" s="290" t="s">
        <v>854</v>
      </c>
      <c r="J37" s="295" t="s">
        <v>851</v>
      </c>
      <c r="K37" s="293"/>
      <c r="L37" s="289"/>
      <c r="M37" s="296" t="s">
        <v>850</v>
      </c>
      <c r="N37" s="293"/>
      <c r="O37" s="289"/>
      <c r="P37" s="292"/>
      <c r="R37" s="286"/>
      <c r="S37" s="286"/>
      <c r="T37" s="286"/>
      <c r="U37" s="286"/>
      <c r="V37" s="286"/>
      <c r="W37" s="286"/>
      <c r="X37" s="286"/>
      <c r="Y37" s="286"/>
      <c r="Z37" s="287" t="s">
        <v>861</v>
      </c>
      <c r="AA37" s="286"/>
      <c r="AB37" s="286"/>
      <c r="AC37" s="286"/>
      <c r="AD37" s="286"/>
      <c r="AE37" s="286"/>
      <c r="AF37" s="286">
        <v>1</v>
      </c>
      <c r="AG37" s="305" t="s">
        <v>882</v>
      </c>
      <c r="AH37" s="3"/>
      <c r="AJ37" s="3"/>
      <c r="AL37" s="3"/>
      <c r="AN37" s="3"/>
      <c r="AP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 spans="1:78" ht="15" customHeight="1" thickBot="1" x14ac:dyDescent="0.3">
      <c r="A38" s="297" t="s">
        <v>847</v>
      </c>
      <c r="B38" s="298" t="s">
        <v>849</v>
      </c>
      <c r="C38" s="299" t="s">
        <v>904</v>
      </c>
      <c r="D38" s="298" t="s">
        <v>853</v>
      </c>
      <c r="E38" s="298" t="s">
        <v>852</v>
      </c>
      <c r="F38" s="299" t="s">
        <v>904</v>
      </c>
      <c r="G38" s="298" t="s">
        <v>853</v>
      </c>
      <c r="H38" s="298" t="s">
        <v>852</v>
      </c>
      <c r="I38" s="298" t="s">
        <v>5</v>
      </c>
      <c r="J38" s="299" t="s">
        <v>904</v>
      </c>
      <c r="K38" s="298" t="s">
        <v>853</v>
      </c>
      <c r="L38" s="298" t="s">
        <v>852</v>
      </c>
      <c r="M38" s="299" t="s">
        <v>904</v>
      </c>
      <c r="N38" s="298" t="s">
        <v>853</v>
      </c>
      <c r="O38" s="298" t="s">
        <v>852</v>
      </c>
      <c r="P38" s="300" t="s">
        <v>858</v>
      </c>
      <c r="R38" s="286"/>
      <c r="S38" s="286"/>
      <c r="T38" s="286"/>
      <c r="U38" s="286"/>
      <c r="V38" s="286"/>
      <c r="W38" s="286"/>
      <c r="X38" s="286"/>
      <c r="Y38" s="286"/>
      <c r="Z38" s="287" t="s">
        <v>861</v>
      </c>
      <c r="AA38" s="286"/>
      <c r="AB38" s="286"/>
      <c r="AC38" s="286"/>
      <c r="AD38" s="286"/>
      <c r="AE38" s="286"/>
      <c r="AF38" s="286">
        <v>1</v>
      </c>
      <c r="AG38" s="305" t="s">
        <v>876</v>
      </c>
      <c r="AH38" s="3"/>
      <c r="AJ38" s="3"/>
      <c r="AL38" s="3"/>
      <c r="AN38" s="3"/>
      <c r="AP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 spans="1:78" ht="15" customHeight="1" thickTop="1" x14ac:dyDescent="0.25">
      <c r="A39" s="306">
        <v>239</v>
      </c>
      <c r="B39" s="306">
        <v>2960</v>
      </c>
      <c r="C39" s="306">
        <v>24</v>
      </c>
      <c r="D39" s="306"/>
      <c r="E39" s="306"/>
      <c r="F39" s="306"/>
      <c r="G39" s="306">
        <v>2</v>
      </c>
      <c r="H39" s="306"/>
      <c r="I39" s="307" t="s">
        <v>865</v>
      </c>
      <c r="J39" s="306">
        <v>24</v>
      </c>
      <c r="K39" s="306"/>
      <c r="L39" s="306"/>
      <c r="M39" s="306"/>
      <c r="N39" s="306"/>
      <c r="O39" s="306"/>
      <c r="P39" s="308" t="s">
        <v>868</v>
      </c>
      <c r="R39" s="286"/>
      <c r="S39" s="286"/>
      <c r="T39" s="286"/>
      <c r="U39" s="286"/>
      <c r="V39" s="286"/>
      <c r="W39" s="286"/>
      <c r="X39" s="286"/>
      <c r="Y39" s="286"/>
      <c r="Z39" s="287" t="s">
        <v>861</v>
      </c>
      <c r="AA39" s="286"/>
      <c r="AB39" s="286"/>
      <c r="AC39" s="286"/>
      <c r="AD39" s="286"/>
      <c r="AE39" s="286"/>
      <c r="AF39" s="286">
        <v>1</v>
      </c>
      <c r="AG39" s="305" t="s">
        <v>883</v>
      </c>
      <c r="AH39" s="3"/>
      <c r="AJ39" s="3"/>
      <c r="AL39" s="3"/>
      <c r="AN39" s="3"/>
      <c r="AP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 spans="1:78" ht="15" customHeight="1" x14ac:dyDescent="0.25">
      <c r="A40" s="286"/>
      <c r="B40" s="286"/>
      <c r="C40" s="286"/>
      <c r="D40" s="286"/>
      <c r="E40" s="286"/>
      <c r="F40" s="286"/>
      <c r="G40" s="286"/>
      <c r="H40" s="286"/>
      <c r="I40" s="287" t="s">
        <v>861</v>
      </c>
      <c r="J40" s="286"/>
      <c r="K40" s="286"/>
      <c r="L40" s="286"/>
      <c r="M40" s="286"/>
      <c r="N40" s="286">
        <v>1</v>
      </c>
      <c r="O40" s="286"/>
      <c r="P40" s="305" t="s">
        <v>859</v>
      </c>
      <c r="R40" s="286"/>
      <c r="S40" s="286" t="s">
        <v>874</v>
      </c>
      <c r="T40" s="286">
        <f t="shared" ref="T40:Y40" si="10">T34-AA40</f>
        <v>0</v>
      </c>
      <c r="U40" s="286">
        <f t="shared" si="10"/>
        <v>12</v>
      </c>
      <c r="V40" s="286">
        <f t="shared" si="10"/>
        <v>0</v>
      </c>
      <c r="W40" s="286">
        <f t="shared" si="10"/>
        <v>0</v>
      </c>
      <c r="X40" s="286">
        <f t="shared" si="10"/>
        <v>0</v>
      </c>
      <c r="Y40" s="286">
        <f t="shared" si="10"/>
        <v>1</v>
      </c>
      <c r="Z40" s="287" t="s">
        <v>862</v>
      </c>
      <c r="AA40" s="286">
        <f t="shared" ref="AA40:AF40" si="11">SUM(AA34:AA39)</f>
        <v>0</v>
      </c>
      <c r="AB40" s="286">
        <f t="shared" si="11"/>
        <v>36</v>
      </c>
      <c r="AC40" s="286">
        <f t="shared" si="11"/>
        <v>0</v>
      </c>
      <c r="AD40" s="286">
        <f t="shared" si="11"/>
        <v>0</v>
      </c>
      <c r="AE40" s="286">
        <f t="shared" si="11"/>
        <v>0</v>
      </c>
      <c r="AF40" s="286">
        <f t="shared" si="11"/>
        <v>3</v>
      </c>
      <c r="AG40" s="305"/>
      <c r="AH40" s="3"/>
      <c r="AJ40" s="3"/>
      <c r="AL40" s="3"/>
      <c r="AN40" s="3"/>
      <c r="AP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 spans="1:78" ht="15" customHeight="1" thickBot="1" x14ac:dyDescent="0.3">
      <c r="A41" s="286"/>
      <c r="B41" s="286" t="s">
        <v>874</v>
      </c>
      <c r="C41" s="286">
        <f t="shared" ref="C41:H41" si="12">C39-J41</f>
        <v>0</v>
      </c>
      <c r="D41" s="286">
        <f t="shared" si="12"/>
        <v>0</v>
      </c>
      <c r="E41" s="286">
        <f t="shared" si="12"/>
        <v>0</v>
      </c>
      <c r="F41" s="286">
        <f t="shared" si="12"/>
        <v>0</v>
      </c>
      <c r="G41" s="286">
        <f t="shared" si="12"/>
        <v>1</v>
      </c>
      <c r="H41" s="286">
        <f t="shared" si="12"/>
        <v>0</v>
      </c>
      <c r="I41" s="287" t="s">
        <v>862</v>
      </c>
      <c r="J41" s="286">
        <f t="shared" ref="J41:O41" si="13">SUM(J39:J40)</f>
        <v>24</v>
      </c>
      <c r="K41" s="286">
        <f t="shared" si="13"/>
        <v>0</v>
      </c>
      <c r="L41" s="286">
        <f t="shared" si="13"/>
        <v>0</v>
      </c>
      <c r="M41" s="286">
        <f t="shared" si="13"/>
        <v>0</v>
      </c>
      <c r="N41" s="286">
        <f t="shared" si="13"/>
        <v>1</v>
      </c>
      <c r="O41" s="286">
        <f t="shared" si="13"/>
        <v>0</v>
      </c>
      <c r="P41" s="305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H41" s="3"/>
      <c r="AJ41" s="3"/>
      <c r="AL41" s="3"/>
      <c r="AN41" s="3"/>
      <c r="AP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 spans="1:78" ht="15" customHeight="1" thickTop="1" thickBot="1" x14ac:dyDescent="0.3">
      <c r="A42" s="284"/>
      <c r="B42" s="284"/>
      <c r="C42" s="284"/>
      <c r="D42" s="284"/>
      <c r="E42" s="284"/>
      <c r="F42" s="284"/>
      <c r="G42" s="284"/>
      <c r="H42" s="284"/>
      <c r="I42" s="23"/>
      <c r="J42" s="284"/>
      <c r="K42" s="284"/>
      <c r="L42" s="284"/>
      <c r="M42" s="284"/>
      <c r="N42" s="284"/>
      <c r="O42" s="284"/>
      <c r="P42" s="3"/>
      <c r="R42" s="288" t="s">
        <v>848</v>
      </c>
      <c r="S42" s="289"/>
      <c r="T42" s="295" t="s">
        <v>851</v>
      </c>
      <c r="U42" s="294"/>
      <c r="V42" s="289"/>
      <c r="W42" s="291" t="s">
        <v>893</v>
      </c>
      <c r="X42" s="290"/>
      <c r="Y42" s="290"/>
      <c r="Z42" s="290" t="s">
        <v>854</v>
      </c>
      <c r="AA42" s="295" t="s">
        <v>851</v>
      </c>
      <c r="AB42" s="293"/>
      <c r="AC42" s="289"/>
      <c r="AD42" s="296" t="s">
        <v>850</v>
      </c>
      <c r="AE42" s="293"/>
      <c r="AF42" s="289"/>
      <c r="AG42" s="292"/>
      <c r="AH42" s="3"/>
      <c r="AJ42" s="3"/>
      <c r="AL42" s="3"/>
      <c r="AN42" s="3"/>
      <c r="AP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spans="1:78" ht="15" customHeight="1" thickTop="1" thickBot="1" x14ac:dyDescent="0.3">
      <c r="A43" s="288" t="s">
        <v>848</v>
      </c>
      <c r="B43" s="289"/>
      <c r="C43" s="295" t="s">
        <v>851</v>
      </c>
      <c r="D43" s="294"/>
      <c r="E43" s="289"/>
      <c r="F43" s="291" t="s">
        <v>893</v>
      </c>
      <c r="G43" s="290"/>
      <c r="H43" s="290"/>
      <c r="I43" s="290" t="s">
        <v>854</v>
      </c>
      <c r="J43" s="295" t="s">
        <v>851</v>
      </c>
      <c r="K43" s="293"/>
      <c r="L43" s="289"/>
      <c r="M43" s="296" t="s">
        <v>850</v>
      </c>
      <c r="N43" s="293"/>
      <c r="O43" s="289"/>
      <c r="P43" s="292"/>
      <c r="R43" s="297" t="s">
        <v>847</v>
      </c>
      <c r="S43" s="298" t="s">
        <v>849</v>
      </c>
      <c r="T43" s="299" t="s">
        <v>904</v>
      </c>
      <c r="U43" s="298" t="s">
        <v>853</v>
      </c>
      <c r="V43" s="298" t="s">
        <v>852</v>
      </c>
      <c r="W43" s="299" t="s">
        <v>904</v>
      </c>
      <c r="X43" s="298" t="s">
        <v>853</v>
      </c>
      <c r="Y43" s="298" t="s">
        <v>852</v>
      </c>
      <c r="Z43" s="298" t="s">
        <v>5</v>
      </c>
      <c r="AA43" s="299" t="s">
        <v>904</v>
      </c>
      <c r="AB43" s="298" t="s">
        <v>853</v>
      </c>
      <c r="AC43" s="298" t="s">
        <v>852</v>
      </c>
      <c r="AD43" s="299" t="s">
        <v>904</v>
      </c>
      <c r="AE43" s="298" t="s">
        <v>853</v>
      </c>
      <c r="AF43" s="298" t="s">
        <v>852</v>
      </c>
      <c r="AG43" s="300" t="s">
        <v>858</v>
      </c>
      <c r="AH43" s="3"/>
      <c r="AJ43" s="3"/>
      <c r="AL43" s="3"/>
      <c r="AN43" s="3"/>
      <c r="AP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</row>
    <row r="44" spans="1:78" ht="15" customHeight="1" thickTop="1" thickBot="1" x14ac:dyDescent="0.3">
      <c r="A44" s="297" t="s">
        <v>847</v>
      </c>
      <c r="B44" s="298" t="s">
        <v>849</v>
      </c>
      <c r="C44" s="299" t="s">
        <v>904</v>
      </c>
      <c r="D44" s="298" t="s">
        <v>853</v>
      </c>
      <c r="E44" s="298" t="s">
        <v>852</v>
      </c>
      <c r="F44" s="299" t="s">
        <v>904</v>
      </c>
      <c r="G44" s="298" t="s">
        <v>853</v>
      </c>
      <c r="H44" s="298" t="s">
        <v>852</v>
      </c>
      <c r="I44" s="298" t="s">
        <v>5</v>
      </c>
      <c r="J44" s="299" t="s">
        <v>904</v>
      </c>
      <c r="K44" s="298" t="s">
        <v>853</v>
      </c>
      <c r="L44" s="298" t="s">
        <v>852</v>
      </c>
      <c r="M44" s="299" t="s">
        <v>904</v>
      </c>
      <c r="N44" s="298" t="s">
        <v>853</v>
      </c>
      <c r="O44" s="298" t="s">
        <v>852</v>
      </c>
      <c r="P44" s="300" t="s">
        <v>858</v>
      </c>
      <c r="R44" s="286">
        <v>327</v>
      </c>
      <c r="S44" s="286">
        <v>4948</v>
      </c>
      <c r="T44" s="286"/>
      <c r="U44" s="286">
        <v>48</v>
      </c>
      <c r="V44" s="286"/>
      <c r="W44" s="286"/>
      <c r="X44" s="286"/>
      <c r="Y44" s="286">
        <v>4</v>
      </c>
      <c r="Z44" s="287" t="s">
        <v>866</v>
      </c>
      <c r="AA44" s="286"/>
      <c r="AB44" s="286">
        <v>2</v>
      </c>
      <c r="AC44" s="286"/>
      <c r="AD44" s="286"/>
      <c r="AE44" s="286"/>
      <c r="AF44" s="286"/>
      <c r="AG44" s="309" t="s">
        <v>891</v>
      </c>
      <c r="AH44" s="3"/>
      <c r="AJ44" s="3"/>
      <c r="AL44" s="3"/>
      <c r="AN44" s="3"/>
      <c r="AP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</row>
    <row r="45" spans="1:78" ht="15" customHeight="1" thickTop="1" x14ac:dyDescent="0.25">
      <c r="A45" s="286">
        <v>341</v>
      </c>
      <c r="B45" s="286">
        <v>5548</v>
      </c>
      <c r="C45" s="286"/>
      <c r="D45" s="286"/>
      <c r="E45" s="286">
        <v>48</v>
      </c>
      <c r="F45" s="286"/>
      <c r="G45" s="286"/>
      <c r="H45" s="286"/>
      <c r="I45" s="287" t="s">
        <v>843</v>
      </c>
      <c r="J45" s="286"/>
      <c r="K45" s="286"/>
      <c r="L45" s="286">
        <v>1</v>
      </c>
      <c r="M45" s="286"/>
      <c r="N45" s="286"/>
      <c r="O45" s="286"/>
      <c r="P45" s="305" t="s">
        <v>875</v>
      </c>
      <c r="R45" s="286"/>
      <c r="S45" s="286"/>
      <c r="T45" s="286"/>
      <c r="U45" s="286"/>
      <c r="V45" s="286"/>
      <c r="W45" s="286"/>
      <c r="X45" s="286"/>
      <c r="Y45" s="286"/>
      <c r="Z45" s="287" t="s">
        <v>867</v>
      </c>
      <c r="AA45" s="286"/>
      <c r="AB45" s="286">
        <v>4</v>
      </c>
      <c r="AC45" s="286"/>
      <c r="AD45" s="286"/>
      <c r="AE45" s="286"/>
      <c r="AF45" s="286"/>
      <c r="AG45" s="309" t="s">
        <v>891</v>
      </c>
      <c r="AH45" s="3"/>
      <c r="AJ45" s="3"/>
      <c r="AL45" s="3"/>
      <c r="AN45" s="3"/>
      <c r="AP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</row>
    <row r="46" spans="1:78" ht="15" customHeight="1" x14ac:dyDescent="0.25">
      <c r="A46" s="286"/>
      <c r="B46" s="286"/>
      <c r="C46" s="286"/>
      <c r="D46" s="286"/>
      <c r="E46" s="286"/>
      <c r="F46" s="286"/>
      <c r="G46" s="286"/>
      <c r="H46" s="286"/>
      <c r="I46" s="287" t="s">
        <v>844</v>
      </c>
      <c r="J46" s="286"/>
      <c r="K46" s="286"/>
      <c r="L46" s="286">
        <v>1</v>
      </c>
      <c r="M46" s="286"/>
      <c r="N46" s="286"/>
      <c r="O46" s="286"/>
      <c r="P46" s="305" t="s">
        <v>875</v>
      </c>
      <c r="R46" s="286"/>
      <c r="S46" s="286"/>
      <c r="T46" s="286"/>
      <c r="U46" s="286"/>
      <c r="V46" s="286"/>
      <c r="W46" s="286"/>
      <c r="X46" s="286"/>
      <c r="Y46" s="286"/>
      <c r="Z46" s="287" t="s">
        <v>865</v>
      </c>
      <c r="AA46" s="286"/>
      <c r="AB46" s="286">
        <v>30</v>
      </c>
      <c r="AC46" s="286"/>
      <c r="AD46" s="286"/>
      <c r="AE46" s="286"/>
      <c r="AF46" s="286"/>
      <c r="AG46" s="309" t="s">
        <v>892</v>
      </c>
      <c r="AH46" s="3"/>
      <c r="AJ46" s="3"/>
      <c r="AL46" s="3"/>
      <c r="AN46" s="3"/>
      <c r="AP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</row>
    <row r="47" spans="1:78" ht="15" customHeight="1" x14ac:dyDescent="0.25">
      <c r="A47" s="286"/>
      <c r="B47" s="286"/>
      <c r="C47" s="286"/>
      <c r="D47" s="286"/>
      <c r="E47" s="286"/>
      <c r="F47" s="286"/>
      <c r="G47" s="286"/>
      <c r="H47" s="286"/>
      <c r="I47" s="287" t="s">
        <v>869</v>
      </c>
      <c r="J47" s="286"/>
      <c r="K47" s="286"/>
      <c r="L47" s="286">
        <v>12</v>
      </c>
      <c r="M47" s="286"/>
      <c r="N47" s="286"/>
      <c r="O47" s="286"/>
      <c r="P47" s="309" t="s">
        <v>878</v>
      </c>
      <c r="R47" s="286"/>
      <c r="S47" s="286"/>
      <c r="T47" s="286"/>
      <c r="U47" s="286"/>
      <c r="V47" s="286"/>
      <c r="W47" s="286"/>
      <c r="X47" s="286"/>
      <c r="Y47" s="286"/>
      <c r="Z47" s="287" t="s">
        <v>861</v>
      </c>
      <c r="AA47" s="286"/>
      <c r="AB47" s="286"/>
      <c r="AC47" s="286"/>
      <c r="AD47" s="286"/>
      <c r="AE47" s="286"/>
      <c r="AF47" s="286">
        <v>1</v>
      </c>
      <c r="AG47" s="305" t="s">
        <v>882</v>
      </c>
      <c r="AH47" s="3"/>
      <c r="AJ47" s="3"/>
      <c r="AL47" s="3"/>
      <c r="AN47" s="3"/>
      <c r="AP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</row>
    <row r="48" spans="1:78" ht="15" customHeight="1" x14ac:dyDescent="0.25">
      <c r="A48" s="286"/>
      <c r="B48" s="286"/>
      <c r="C48" s="286"/>
      <c r="D48" s="286"/>
      <c r="E48" s="286"/>
      <c r="F48" s="286"/>
      <c r="G48" s="286"/>
      <c r="H48" s="286"/>
      <c r="I48" s="287" t="s">
        <v>861</v>
      </c>
      <c r="J48" s="286"/>
      <c r="K48" s="286"/>
      <c r="L48" s="286">
        <v>8</v>
      </c>
      <c r="M48" s="286"/>
      <c r="N48" s="286"/>
      <c r="O48" s="286"/>
      <c r="P48" s="305" t="s">
        <v>877</v>
      </c>
      <c r="R48" s="286"/>
      <c r="S48" s="286"/>
      <c r="T48" s="286"/>
      <c r="U48" s="286"/>
      <c r="V48" s="286"/>
      <c r="W48" s="286"/>
      <c r="X48" s="286"/>
      <c r="Y48" s="286"/>
      <c r="Z48" s="287" t="s">
        <v>861</v>
      </c>
      <c r="AA48" s="286"/>
      <c r="AB48" s="286"/>
      <c r="AC48" s="286"/>
      <c r="AD48" s="286"/>
      <c r="AE48" s="286"/>
      <c r="AF48" s="286">
        <v>1</v>
      </c>
      <c r="AG48" s="305" t="s">
        <v>876</v>
      </c>
      <c r="AH48" s="3"/>
      <c r="AJ48" s="3"/>
      <c r="AL48" s="3"/>
      <c r="AN48" s="3"/>
      <c r="AP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</row>
    <row r="49" spans="1:78" ht="15" customHeight="1" x14ac:dyDescent="0.25">
      <c r="A49" s="286"/>
      <c r="B49" s="286"/>
      <c r="C49" s="286"/>
      <c r="D49" s="286"/>
      <c r="E49" s="286"/>
      <c r="F49" s="286"/>
      <c r="G49" s="286"/>
      <c r="H49" s="286"/>
      <c r="I49" s="287" t="s">
        <v>861</v>
      </c>
      <c r="J49" s="286"/>
      <c r="K49" s="286"/>
      <c r="L49" s="286">
        <v>1</v>
      </c>
      <c r="M49" s="286"/>
      <c r="N49" s="286"/>
      <c r="O49" s="286"/>
      <c r="P49" s="305" t="s">
        <v>876</v>
      </c>
      <c r="R49" s="286"/>
      <c r="S49" s="286"/>
      <c r="T49" s="286"/>
      <c r="U49" s="286"/>
      <c r="V49" s="286"/>
      <c r="W49" s="286"/>
      <c r="X49" s="286"/>
      <c r="Y49" s="286"/>
      <c r="Z49" s="287" t="s">
        <v>861</v>
      </c>
      <c r="AA49" s="286"/>
      <c r="AB49" s="286"/>
      <c r="AC49" s="286"/>
      <c r="AD49" s="286"/>
      <c r="AE49" s="286"/>
      <c r="AF49" s="286">
        <v>1</v>
      </c>
      <c r="AG49" s="305" t="s">
        <v>884</v>
      </c>
      <c r="AH49" s="3"/>
      <c r="AJ49" s="3"/>
      <c r="AL49" s="3"/>
      <c r="AN49" s="3"/>
      <c r="AP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</row>
    <row r="50" spans="1:78" ht="15" customHeight="1" x14ac:dyDescent="0.25">
      <c r="A50" s="286"/>
      <c r="B50" s="286" t="s">
        <v>874</v>
      </c>
      <c r="C50" s="286">
        <f t="shared" ref="C50:H50" si="14">C45-J50</f>
        <v>0</v>
      </c>
      <c r="D50" s="286">
        <f t="shared" si="14"/>
        <v>0</v>
      </c>
      <c r="E50" s="286">
        <f t="shared" si="14"/>
        <v>25</v>
      </c>
      <c r="F50" s="286">
        <f t="shared" si="14"/>
        <v>0</v>
      </c>
      <c r="G50" s="286">
        <f t="shared" si="14"/>
        <v>0</v>
      </c>
      <c r="H50" s="286">
        <f t="shared" si="14"/>
        <v>0</v>
      </c>
      <c r="I50" s="287" t="s">
        <v>862</v>
      </c>
      <c r="J50" s="286">
        <f t="shared" ref="J50:O50" si="15">SUM(J45:J49)</f>
        <v>0</v>
      </c>
      <c r="K50" s="286">
        <f t="shared" si="15"/>
        <v>0</v>
      </c>
      <c r="L50" s="286">
        <f t="shared" si="15"/>
        <v>23</v>
      </c>
      <c r="M50" s="286">
        <f t="shared" si="15"/>
        <v>0</v>
      </c>
      <c r="N50" s="286">
        <f t="shared" si="15"/>
        <v>0</v>
      </c>
      <c r="O50" s="286">
        <f t="shared" si="15"/>
        <v>0</v>
      </c>
      <c r="P50" s="305"/>
      <c r="R50" s="286"/>
      <c r="S50" s="286" t="s">
        <v>874</v>
      </c>
      <c r="T50" s="286">
        <f t="shared" ref="T50:Y50" si="16">T44-AA50</f>
        <v>0</v>
      </c>
      <c r="U50" s="286">
        <f t="shared" si="16"/>
        <v>12</v>
      </c>
      <c r="V50" s="286">
        <f t="shared" si="16"/>
        <v>0</v>
      </c>
      <c r="W50" s="286">
        <f t="shared" si="16"/>
        <v>0</v>
      </c>
      <c r="X50" s="286">
        <f t="shared" si="16"/>
        <v>0</v>
      </c>
      <c r="Y50" s="286">
        <f t="shared" si="16"/>
        <v>1</v>
      </c>
      <c r="Z50" s="287" t="s">
        <v>862</v>
      </c>
      <c r="AA50" s="286">
        <f t="shared" ref="AA50:AF50" si="17">SUM(AA44:AA49)</f>
        <v>0</v>
      </c>
      <c r="AB50" s="286">
        <f t="shared" si="17"/>
        <v>36</v>
      </c>
      <c r="AC50" s="286">
        <f t="shared" si="17"/>
        <v>0</v>
      </c>
      <c r="AD50" s="286">
        <f t="shared" si="17"/>
        <v>0</v>
      </c>
      <c r="AE50" s="286">
        <f t="shared" si="17"/>
        <v>0</v>
      </c>
      <c r="AF50" s="286">
        <f t="shared" si="17"/>
        <v>3</v>
      </c>
      <c r="AG50" s="305"/>
      <c r="AH50" s="3"/>
      <c r="AJ50" s="3"/>
      <c r="AL50" s="3"/>
      <c r="AN50" s="3"/>
      <c r="AP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  <row r="51" spans="1:78" ht="15" customHeight="1" thickBot="1" x14ac:dyDescent="0.3">
      <c r="A51" s="284"/>
      <c r="B51" s="284"/>
      <c r="C51" s="284"/>
      <c r="D51" s="284"/>
      <c r="E51" s="284"/>
      <c r="F51" s="284"/>
      <c r="G51" s="284"/>
      <c r="H51" s="284"/>
      <c r="I51" s="23"/>
      <c r="J51" s="284"/>
      <c r="K51" s="284"/>
      <c r="L51" s="284"/>
      <c r="M51" s="284"/>
      <c r="N51" s="284"/>
      <c r="O51" s="284"/>
      <c r="P51" s="16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H51" s="3"/>
      <c r="AJ51" s="3"/>
      <c r="AL51" s="3"/>
      <c r="AN51" s="3"/>
      <c r="AP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</row>
    <row r="52" spans="1:78" ht="15" customHeight="1" thickTop="1" x14ac:dyDescent="0.25">
      <c r="A52" s="288" t="s">
        <v>848</v>
      </c>
      <c r="B52" s="289"/>
      <c r="C52" s="295" t="s">
        <v>851</v>
      </c>
      <c r="D52" s="294"/>
      <c r="E52" s="289"/>
      <c r="F52" s="291" t="s">
        <v>893</v>
      </c>
      <c r="G52" s="290"/>
      <c r="H52" s="290"/>
      <c r="I52" s="290" t="s">
        <v>854</v>
      </c>
      <c r="J52" s="295" t="s">
        <v>851</v>
      </c>
      <c r="K52" s="293"/>
      <c r="L52" s="289"/>
      <c r="M52" s="296" t="s">
        <v>850</v>
      </c>
      <c r="N52" s="293"/>
      <c r="O52" s="289"/>
      <c r="P52" s="292"/>
      <c r="R52" s="288" t="s">
        <v>848</v>
      </c>
      <c r="S52" s="289"/>
      <c r="T52" s="295" t="s">
        <v>851</v>
      </c>
      <c r="U52" s="294"/>
      <c r="V52" s="289"/>
      <c r="W52" s="291" t="s">
        <v>893</v>
      </c>
      <c r="X52" s="290"/>
      <c r="Y52" s="290"/>
      <c r="Z52" s="290" t="s">
        <v>854</v>
      </c>
      <c r="AA52" s="295" t="s">
        <v>851</v>
      </c>
      <c r="AB52" s="293"/>
      <c r="AC52" s="289"/>
      <c r="AD52" s="296" t="s">
        <v>850</v>
      </c>
      <c r="AE52" s="293"/>
      <c r="AF52" s="289"/>
      <c r="AG52" s="292"/>
      <c r="AH52" s="3"/>
      <c r="AJ52" s="3"/>
      <c r="AL52" s="3"/>
      <c r="AN52" s="3"/>
      <c r="AP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</row>
    <row r="53" spans="1:78" ht="15" customHeight="1" thickBot="1" x14ac:dyDescent="0.3">
      <c r="A53" s="297" t="s">
        <v>847</v>
      </c>
      <c r="B53" s="298" t="s">
        <v>849</v>
      </c>
      <c r="C53" s="299" t="s">
        <v>904</v>
      </c>
      <c r="D53" s="298" t="s">
        <v>853</v>
      </c>
      <c r="E53" s="298" t="s">
        <v>852</v>
      </c>
      <c r="F53" s="299" t="s">
        <v>904</v>
      </c>
      <c r="G53" s="298" t="s">
        <v>853</v>
      </c>
      <c r="H53" s="298" t="s">
        <v>852</v>
      </c>
      <c r="I53" s="298" t="s">
        <v>5</v>
      </c>
      <c r="J53" s="299" t="s">
        <v>904</v>
      </c>
      <c r="K53" s="298" t="s">
        <v>853</v>
      </c>
      <c r="L53" s="298" t="s">
        <v>852</v>
      </c>
      <c r="M53" s="299" t="s">
        <v>904</v>
      </c>
      <c r="N53" s="298" t="s">
        <v>853</v>
      </c>
      <c r="O53" s="298" t="s">
        <v>852</v>
      </c>
      <c r="P53" s="300" t="s">
        <v>858</v>
      </c>
      <c r="R53" s="297" t="s">
        <v>847</v>
      </c>
      <c r="S53" s="298" t="s">
        <v>849</v>
      </c>
      <c r="T53" s="299" t="s">
        <v>904</v>
      </c>
      <c r="U53" s="298" t="s">
        <v>853</v>
      </c>
      <c r="V53" s="298" t="s">
        <v>852</v>
      </c>
      <c r="W53" s="299" t="s">
        <v>904</v>
      </c>
      <c r="X53" s="298" t="s">
        <v>853</v>
      </c>
      <c r="Y53" s="298" t="s">
        <v>852</v>
      </c>
      <c r="Z53" s="298" t="s">
        <v>5</v>
      </c>
      <c r="AA53" s="299" t="s">
        <v>904</v>
      </c>
      <c r="AB53" s="298" t="s">
        <v>853</v>
      </c>
      <c r="AC53" s="298" t="s">
        <v>852</v>
      </c>
      <c r="AD53" s="299" t="s">
        <v>904</v>
      </c>
      <c r="AE53" s="298" t="s">
        <v>853</v>
      </c>
      <c r="AF53" s="298" t="s">
        <v>852</v>
      </c>
      <c r="AG53" s="300" t="s">
        <v>858</v>
      </c>
      <c r="AH53" s="3"/>
      <c r="AJ53" s="3"/>
      <c r="AL53" s="3"/>
      <c r="AN53" s="3"/>
      <c r="AP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</row>
    <row r="54" spans="1:78" ht="15" customHeight="1" thickTop="1" x14ac:dyDescent="0.25">
      <c r="A54" s="286">
        <v>339</v>
      </c>
      <c r="B54" s="286">
        <v>5548</v>
      </c>
      <c r="C54" s="286"/>
      <c r="D54" s="286"/>
      <c r="E54" s="286">
        <v>48</v>
      </c>
      <c r="F54" s="286"/>
      <c r="G54" s="286"/>
      <c r="H54" s="286"/>
      <c r="I54" s="287" t="s">
        <v>843</v>
      </c>
      <c r="J54" s="286"/>
      <c r="K54" s="286"/>
      <c r="L54" s="286">
        <v>1</v>
      </c>
      <c r="M54" s="286"/>
      <c r="N54" s="286"/>
      <c r="O54" s="286"/>
      <c r="P54" s="305" t="s">
        <v>875</v>
      </c>
      <c r="R54" s="286">
        <v>325</v>
      </c>
      <c r="S54" s="286">
        <v>4948</v>
      </c>
      <c r="T54" s="286"/>
      <c r="U54" s="286">
        <v>48</v>
      </c>
      <c r="V54" s="286"/>
      <c r="W54" s="286"/>
      <c r="X54" s="286"/>
      <c r="Y54" s="286">
        <v>4</v>
      </c>
      <c r="Z54" s="287" t="s">
        <v>865</v>
      </c>
      <c r="AA54" s="286"/>
      <c r="AB54" s="286">
        <v>42</v>
      </c>
      <c r="AC54" s="286"/>
      <c r="AD54" s="286"/>
      <c r="AE54" s="286"/>
      <c r="AF54" s="286"/>
      <c r="AG54" s="309" t="s">
        <v>890</v>
      </c>
      <c r="AH54" s="3"/>
      <c r="AJ54" s="3"/>
      <c r="AL54" s="3"/>
      <c r="AN54" s="3"/>
      <c r="AP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</row>
    <row r="55" spans="1:78" ht="15" customHeight="1" x14ac:dyDescent="0.25">
      <c r="A55" s="286"/>
      <c r="B55" s="286"/>
      <c r="C55" s="286"/>
      <c r="D55" s="286"/>
      <c r="E55" s="286"/>
      <c r="F55" s="286"/>
      <c r="G55" s="286"/>
      <c r="H55" s="286"/>
      <c r="I55" s="287" t="s">
        <v>844</v>
      </c>
      <c r="J55" s="286"/>
      <c r="K55" s="286"/>
      <c r="L55" s="286">
        <v>1</v>
      </c>
      <c r="M55" s="286"/>
      <c r="N55" s="286"/>
      <c r="O55" s="286"/>
      <c r="P55" s="305" t="s">
        <v>875</v>
      </c>
      <c r="R55" s="286"/>
      <c r="S55" s="286"/>
      <c r="T55" s="286"/>
      <c r="U55" s="286"/>
      <c r="V55" s="286"/>
      <c r="W55" s="286"/>
      <c r="X55" s="286"/>
      <c r="Y55" s="286"/>
      <c r="Z55" s="287" t="s">
        <v>861</v>
      </c>
      <c r="AA55" s="286"/>
      <c r="AB55" s="286"/>
      <c r="AC55" s="286"/>
      <c r="AD55" s="286"/>
      <c r="AE55" s="286"/>
      <c r="AF55" s="286">
        <v>1</v>
      </c>
      <c r="AG55" s="305" t="s">
        <v>882</v>
      </c>
      <c r="AH55" s="3"/>
      <c r="AJ55" s="3"/>
      <c r="AL55" s="3"/>
      <c r="AN55" s="3"/>
      <c r="AP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</row>
    <row r="56" spans="1:78" ht="15" customHeight="1" x14ac:dyDescent="0.25">
      <c r="A56" s="286"/>
      <c r="B56" s="286"/>
      <c r="C56" s="286"/>
      <c r="D56" s="286"/>
      <c r="E56" s="286"/>
      <c r="F56" s="286"/>
      <c r="G56" s="286"/>
      <c r="H56" s="286"/>
      <c r="I56" s="287" t="s">
        <v>869</v>
      </c>
      <c r="J56" s="286"/>
      <c r="K56" s="286"/>
      <c r="L56" s="286">
        <v>12</v>
      </c>
      <c r="M56" s="286"/>
      <c r="N56" s="286"/>
      <c r="O56" s="286"/>
      <c r="P56" s="309" t="s">
        <v>878</v>
      </c>
      <c r="R56" s="286"/>
      <c r="S56" s="286"/>
      <c r="T56" s="286"/>
      <c r="U56" s="286"/>
      <c r="V56" s="286"/>
      <c r="W56" s="286"/>
      <c r="X56" s="286"/>
      <c r="Y56" s="286"/>
      <c r="Z56" s="287" t="s">
        <v>861</v>
      </c>
      <c r="AA56" s="286"/>
      <c r="AB56" s="286"/>
      <c r="AC56" s="286"/>
      <c r="AD56" s="286"/>
      <c r="AE56" s="286"/>
      <c r="AF56" s="286">
        <v>1</v>
      </c>
      <c r="AG56" s="305" t="s">
        <v>876</v>
      </c>
      <c r="AH56" s="3"/>
      <c r="AJ56" s="3"/>
      <c r="AL56" s="3"/>
      <c r="AN56" s="3"/>
      <c r="AP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</row>
    <row r="57" spans="1:78" ht="15" customHeight="1" x14ac:dyDescent="0.25">
      <c r="A57" s="286"/>
      <c r="B57" s="286"/>
      <c r="C57" s="286"/>
      <c r="D57" s="286"/>
      <c r="E57" s="286"/>
      <c r="F57" s="286"/>
      <c r="G57" s="286"/>
      <c r="H57" s="286"/>
      <c r="I57" s="287" t="s">
        <v>861</v>
      </c>
      <c r="J57" s="286"/>
      <c r="K57" s="286"/>
      <c r="L57" s="286">
        <v>8</v>
      </c>
      <c r="M57" s="286"/>
      <c r="N57" s="286"/>
      <c r="O57" s="286"/>
      <c r="P57" s="305" t="s">
        <v>877</v>
      </c>
      <c r="R57" s="286"/>
      <c r="S57" s="286"/>
      <c r="T57" s="286"/>
      <c r="U57" s="286"/>
      <c r="V57" s="286"/>
      <c r="W57" s="286"/>
      <c r="X57" s="286"/>
      <c r="Y57" s="286"/>
      <c r="Z57" s="287" t="s">
        <v>861</v>
      </c>
      <c r="AA57" s="286"/>
      <c r="AB57" s="286"/>
      <c r="AC57" s="286"/>
      <c r="AD57" s="286"/>
      <c r="AE57" s="286"/>
      <c r="AF57" s="286">
        <v>1</v>
      </c>
      <c r="AG57" s="305" t="s">
        <v>883</v>
      </c>
      <c r="AH57" s="3"/>
      <c r="AJ57" s="3"/>
      <c r="AL57" s="3"/>
      <c r="AN57" s="3"/>
      <c r="AP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</row>
    <row r="58" spans="1:78" ht="15" customHeight="1" x14ac:dyDescent="0.25">
      <c r="A58" s="286"/>
      <c r="B58" s="286"/>
      <c r="C58" s="286"/>
      <c r="D58" s="286"/>
      <c r="E58" s="286"/>
      <c r="F58" s="286"/>
      <c r="G58" s="286"/>
      <c r="H58" s="286"/>
      <c r="I58" s="287" t="s">
        <v>861</v>
      </c>
      <c r="J58" s="286"/>
      <c r="K58" s="286"/>
      <c r="L58" s="286">
        <v>1</v>
      </c>
      <c r="M58" s="286"/>
      <c r="N58" s="286"/>
      <c r="O58" s="286"/>
      <c r="P58" s="305" t="s">
        <v>876</v>
      </c>
      <c r="R58" s="286"/>
      <c r="S58" s="286" t="s">
        <v>874</v>
      </c>
      <c r="T58" s="286">
        <f t="shared" ref="T58:Y58" si="18">T54-AA58</f>
        <v>0</v>
      </c>
      <c r="U58" s="286">
        <f t="shared" si="18"/>
        <v>6</v>
      </c>
      <c r="V58" s="286">
        <f t="shared" si="18"/>
        <v>0</v>
      </c>
      <c r="W58" s="286">
        <f t="shared" si="18"/>
        <v>0</v>
      </c>
      <c r="X58" s="286">
        <f t="shared" si="18"/>
        <v>0</v>
      </c>
      <c r="Y58" s="286">
        <f t="shared" si="18"/>
        <v>1</v>
      </c>
      <c r="Z58" s="287" t="s">
        <v>862</v>
      </c>
      <c r="AA58" s="286">
        <f t="shared" ref="AA58:AF58" si="19">SUM(AA54:AA57)</f>
        <v>0</v>
      </c>
      <c r="AB58" s="286">
        <f t="shared" si="19"/>
        <v>42</v>
      </c>
      <c r="AC58" s="286">
        <f t="shared" si="19"/>
        <v>0</v>
      </c>
      <c r="AD58" s="286">
        <f t="shared" si="19"/>
        <v>0</v>
      </c>
      <c r="AE58" s="286">
        <f t="shared" si="19"/>
        <v>0</v>
      </c>
      <c r="AF58" s="286">
        <f t="shared" si="19"/>
        <v>3</v>
      </c>
      <c r="AG58" s="305"/>
      <c r="AH58" s="3"/>
      <c r="AJ58" s="3"/>
      <c r="AL58" s="3"/>
      <c r="AN58" s="3"/>
      <c r="AP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</row>
    <row r="59" spans="1:78" ht="15" customHeight="1" thickBot="1" x14ac:dyDescent="0.3">
      <c r="A59" s="286"/>
      <c r="B59" s="286" t="s">
        <v>874</v>
      </c>
      <c r="C59" s="286">
        <f t="shared" ref="C59:H59" si="20">C54-J59</f>
        <v>0</v>
      </c>
      <c r="D59" s="286">
        <f t="shared" si="20"/>
        <v>0</v>
      </c>
      <c r="E59" s="286">
        <f t="shared" si="20"/>
        <v>25</v>
      </c>
      <c r="F59" s="286">
        <f t="shared" si="20"/>
        <v>0</v>
      </c>
      <c r="G59" s="286">
        <f t="shared" si="20"/>
        <v>0</v>
      </c>
      <c r="H59" s="286">
        <f t="shared" si="20"/>
        <v>0</v>
      </c>
      <c r="I59" s="287" t="s">
        <v>862</v>
      </c>
      <c r="J59" s="286">
        <f t="shared" ref="J59:O59" si="21">SUM(J54:J58)</f>
        <v>0</v>
      </c>
      <c r="K59" s="286">
        <f t="shared" si="21"/>
        <v>0</v>
      </c>
      <c r="L59" s="286">
        <f t="shared" si="21"/>
        <v>23</v>
      </c>
      <c r="M59" s="286">
        <f t="shared" si="21"/>
        <v>0</v>
      </c>
      <c r="N59" s="286">
        <f t="shared" si="21"/>
        <v>0</v>
      </c>
      <c r="O59" s="286">
        <f t="shared" si="21"/>
        <v>0</v>
      </c>
      <c r="P59" s="305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H59" s="3"/>
      <c r="AJ59" s="3"/>
      <c r="AL59" s="3"/>
      <c r="AN59" s="3"/>
      <c r="AP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</row>
    <row r="60" spans="1:78" ht="15" customHeight="1" thickTop="1" thickBot="1" x14ac:dyDescent="0.3">
      <c r="A60" s="284"/>
      <c r="B60" s="284"/>
      <c r="C60" s="284"/>
      <c r="D60" s="284"/>
      <c r="E60" s="284"/>
      <c r="F60" s="284"/>
      <c r="G60" s="284"/>
      <c r="H60" s="284"/>
      <c r="I60" s="23"/>
      <c r="J60" s="284"/>
      <c r="K60" s="284"/>
      <c r="L60" s="284"/>
      <c r="M60" s="284"/>
      <c r="N60" s="284"/>
      <c r="O60" s="284"/>
      <c r="P60" s="3"/>
      <c r="R60" s="288" t="s">
        <v>848</v>
      </c>
      <c r="S60" s="289"/>
      <c r="T60" s="295" t="s">
        <v>851</v>
      </c>
      <c r="U60" s="294"/>
      <c r="V60" s="289"/>
      <c r="W60" s="291" t="s">
        <v>893</v>
      </c>
      <c r="X60" s="290"/>
      <c r="Y60" s="290"/>
      <c r="Z60" s="290" t="s">
        <v>854</v>
      </c>
      <c r="AA60" s="295" t="s">
        <v>851</v>
      </c>
      <c r="AB60" s="293"/>
      <c r="AC60" s="289"/>
      <c r="AD60" s="296" t="s">
        <v>850</v>
      </c>
      <c r="AE60" s="293"/>
      <c r="AF60" s="289"/>
      <c r="AG60" s="292"/>
      <c r="AH60" s="3"/>
      <c r="AJ60" s="3"/>
      <c r="AL60" s="3"/>
      <c r="AN60" s="3"/>
      <c r="AP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</row>
    <row r="61" spans="1:78" ht="15" customHeight="1" thickTop="1" thickBot="1" x14ac:dyDescent="0.3">
      <c r="A61" s="288" t="s">
        <v>848</v>
      </c>
      <c r="B61" s="289"/>
      <c r="C61" s="295" t="s">
        <v>851</v>
      </c>
      <c r="D61" s="294"/>
      <c r="E61" s="289"/>
      <c r="F61" s="291" t="s">
        <v>893</v>
      </c>
      <c r="G61" s="290"/>
      <c r="H61" s="290"/>
      <c r="I61" s="290" t="s">
        <v>854</v>
      </c>
      <c r="J61" s="295" t="s">
        <v>851</v>
      </c>
      <c r="K61" s="293"/>
      <c r="L61" s="289"/>
      <c r="M61" s="296" t="s">
        <v>850</v>
      </c>
      <c r="N61" s="293"/>
      <c r="O61" s="289"/>
      <c r="P61" s="292"/>
      <c r="R61" s="297" t="s">
        <v>847</v>
      </c>
      <c r="S61" s="298" t="s">
        <v>849</v>
      </c>
      <c r="T61" s="299" t="s">
        <v>904</v>
      </c>
      <c r="U61" s="298" t="s">
        <v>853</v>
      </c>
      <c r="V61" s="298" t="s">
        <v>852</v>
      </c>
      <c r="W61" s="299" t="s">
        <v>904</v>
      </c>
      <c r="X61" s="298" t="s">
        <v>853</v>
      </c>
      <c r="Y61" s="298" t="s">
        <v>852</v>
      </c>
      <c r="Z61" s="298" t="s">
        <v>5</v>
      </c>
      <c r="AA61" s="299" t="s">
        <v>904</v>
      </c>
      <c r="AB61" s="298" t="s">
        <v>853</v>
      </c>
      <c r="AC61" s="298" t="s">
        <v>852</v>
      </c>
      <c r="AD61" s="299" t="s">
        <v>904</v>
      </c>
      <c r="AE61" s="298" t="s">
        <v>853</v>
      </c>
      <c r="AF61" s="298" t="s">
        <v>852</v>
      </c>
      <c r="AG61" s="300" t="s">
        <v>858</v>
      </c>
      <c r="AH61" s="3"/>
      <c r="AJ61" s="3"/>
      <c r="AL61" s="3"/>
      <c r="AN61" s="3"/>
      <c r="AP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</row>
    <row r="62" spans="1:78" ht="15" customHeight="1" thickTop="1" thickBot="1" x14ac:dyDescent="0.3">
      <c r="A62" s="297" t="s">
        <v>847</v>
      </c>
      <c r="B62" s="298" t="s">
        <v>849</v>
      </c>
      <c r="C62" s="299" t="s">
        <v>904</v>
      </c>
      <c r="D62" s="298" t="s">
        <v>853</v>
      </c>
      <c r="E62" s="298" t="s">
        <v>852</v>
      </c>
      <c r="F62" s="299" t="s">
        <v>904</v>
      </c>
      <c r="G62" s="298" t="s">
        <v>853</v>
      </c>
      <c r="H62" s="298" t="s">
        <v>852</v>
      </c>
      <c r="I62" s="298" t="s">
        <v>5</v>
      </c>
      <c r="J62" s="299" t="s">
        <v>904</v>
      </c>
      <c r="K62" s="298" t="s">
        <v>853</v>
      </c>
      <c r="L62" s="298" t="s">
        <v>852</v>
      </c>
      <c r="M62" s="299" t="s">
        <v>904</v>
      </c>
      <c r="N62" s="298" t="s">
        <v>853</v>
      </c>
      <c r="O62" s="298" t="s">
        <v>852</v>
      </c>
      <c r="P62" s="300" t="s">
        <v>858</v>
      </c>
      <c r="R62" s="286">
        <v>323</v>
      </c>
      <c r="S62" s="286">
        <v>4948</v>
      </c>
      <c r="T62" s="286"/>
      <c r="U62" s="286">
        <v>48</v>
      </c>
      <c r="V62" s="286"/>
      <c r="W62" s="286"/>
      <c r="X62" s="286"/>
      <c r="Y62" s="286">
        <v>4</v>
      </c>
      <c r="Z62" s="287" t="s">
        <v>865</v>
      </c>
      <c r="AA62" s="286"/>
      <c r="AB62" s="286">
        <v>30</v>
      </c>
      <c r="AC62" s="286"/>
      <c r="AD62" s="286"/>
      <c r="AE62" s="286"/>
      <c r="AF62" s="286"/>
      <c r="AG62" s="309" t="s">
        <v>892</v>
      </c>
      <c r="AH62" s="3"/>
      <c r="AJ62" s="3"/>
      <c r="AL62" s="3"/>
      <c r="AN62" s="3"/>
      <c r="AP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</row>
    <row r="63" spans="1:78" ht="15" customHeight="1" thickTop="1" x14ac:dyDescent="0.25">
      <c r="A63" s="286">
        <v>337</v>
      </c>
      <c r="B63" s="286">
        <v>4948</v>
      </c>
      <c r="C63" s="286"/>
      <c r="D63" s="286">
        <v>48</v>
      </c>
      <c r="E63" s="286"/>
      <c r="F63" s="286"/>
      <c r="G63" s="286"/>
      <c r="H63" s="286">
        <v>4</v>
      </c>
      <c r="I63" s="287" t="s">
        <v>843</v>
      </c>
      <c r="J63" s="286"/>
      <c r="K63" s="286">
        <v>1</v>
      </c>
      <c r="L63" s="286"/>
      <c r="M63" s="286"/>
      <c r="N63" s="286"/>
      <c r="O63" s="286"/>
      <c r="P63" s="305" t="s">
        <v>879</v>
      </c>
      <c r="R63" s="286"/>
      <c r="S63" s="286"/>
      <c r="T63" s="286"/>
      <c r="U63" s="286"/>
      <c r="V63" s="286"/>
      <c r="W63" s="286"/>
      <c r="X63" s="286"/>
      <c r="Y63" s="286"/>
      <c r="Z63" s="287" t="s">
        <v>861</v>
      </c>
      <c r="AA63" s="286"/>
      <c r="AB63" s="286"/>
      <c r="AC63" s="286"/>
      <c r="AD63" s="286"/>
      <c r="AE63" s="286"/>
      <c r="AF63" s="286">
        <v>1</v>
      </c>
      <c r="AG63" s="305" t="s">
        <v>882</v>
      </c>
      <c r="AH63" s="3"/>
      <c r="AJ63" s="3"/>
      <c r="AL63" s="3"/>
      <c r="AN63" s="3"/>
      <c r="AP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</row>
    <row r="64" spans="1:78" ht="15" customHeight="1" x14ac:dyDescent="0.25">
      <c r="A64" s="286"/>
      <c r="B64" s="286"/>
      <c r="C64" s="286"/>
      <c r="D64" s="286"/>
      <c r="E64" s="286"/>
      <c r="F64" s="286"/>
      <c r="G64" s="286"/>
      <c r="H64" s="286"/>
      <c r="I64" s="287" t="s">
        <v>835</v>
      </c>
      <c r="J64" s="286"/>
      <c r="K64" s="286">
        <v>2</v>
      </c>
      <c r="L64" s="286"/>
      <c r="M64" s="286"/>
      <c r="N64" s="286"/>
      <c r="O64" s="286"/>
      <c r="P64" s="309" t="s">
        <v>880</v>
      </c>
      <c r="R64" s="286"/>
      <c r="S64" s="286"/>
      <c r="T64" s="286"/>
      <c r="U64" s="286"/>
      <c r="V64" s="286"/>
      <c r="W64" s="286"/>
      <c r="X64" s="286"/>
      <c r="Y64" s="286"/>
      <c r="Z64" s="287" t="s">
        <v>861</v>
      </c>
      <c r="AA64" s="286"/>
      <c r="AB64" s="286"/>
      <c r="AC64" s="286"/>
      <c r="AD64" s="286"/>
      <c r="AE64" s="286"/>
      <c r="AF64" s="286">
        <v>1</v>
      </c>
      <c r="AG64" s="305" t="s">
        <v>876</v>
      </c>
      <c r="AH64" s="3"/>
      <c r="AJ64" s="3"/>
      <c r="AL64" s="3"/>
      <c r="AN64" s="3"/>
      <c r="AP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</row>
    <row r="65" spans="1:78" ht="15" customHeight="1" x14ac:dyDescent="0.25">
      <c r="A65" s="286"/>
      <c r="B65" s="286"/>
      <c r="C65" s="286"/>
      <c r="D65" s="286"/>
      <c r="E65" s="286"/>
      <c r="F65" s="286"/>
      <c r="G65" s="286"/>
      <c r="H65" s="286"/>
      <c r="I65" s="287" t="s">
        <v>835</v>
      </c>
      <c r="J65" s="286"/>
      <c r="K65" s="286">
        <v>2</v>
      </c>
      <c r="L65" s="286"/>
      <c r="M65" s="286"/>
      <c r="N65" s="286"/>
      <c r="O65" s="286"/>
      <c r="P65" s="309" t="s">
        <v>881</v>
      </c>
      <c r="R65" s="286"/>
      <c r="S65" s="286"/>
      <c r="T65" s="286"/>
      <c r="U65" s="286"/>
      <c r="V65" s="286"/>
      <c r="W65" s="286"/>
      <c r="X65" s="286"/>
      <c r="Y65" s="286"/>
      <c r="Z65" s="287" t="s">
        <v>861</v>
      </c>
      <c r="AA65" s="286"/>
      <c r="AB65" s="286"/>
      <c r="AC65" s="286"/>
      <c r="AD65" s="286"/>
      <c r="AE65" s="286"/>
      <c r="AF65" s="286">
        <v>1</v>
      </c>
      <c r="AG65" s="305" t="s">
        <v>884</v>
      </c>
      <c r="AH65" s="3"/>
      <c r="AJ65" s="3"/>
      <c r="AL65" s="3"/>
      <c r="AN65" s="3"/>
      <c r="AP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</row>
    <row r="66" spans="1:78" ht="15" customHeight="1" x14ac:dyDescent="0.25">
      <c r="A66" s="286"/>
      <c r="B66" s="286"/>
      <c r="C66" s="286"/>
      <c r="D66" s="286"/>
      <c r="E66" s="286"/>
      <c r="F66" s="286"/>
      <c r="G66" s="286"/>
      <c r="H66" s="286"/>
      <c r="I66" s="287" t="s">
        <v>866</v>
      </c>
      <c r="J66" s="286"/>
      <c r="K66" s="286">
        <v>2</v>
      </c>
      <c r="L66" s="286"/>
      <c r="M66" s="286"/>
      <c r="N66" s="286"/>
      <c r="O66" s="286"/>
      <c r="P66" s="309" t="s">
        <v>885</v>
      </c>
      <c r="R66" s="286"/>
      <c r="S66" s="286" t="s">
        <v>874</v>
      </c>
      <c r="T66" s="286">
        <f t="shared" ref="T66:Y66" si="22">T62-AA66</f>
        <v>0</v>
      </c>
      <c r="U66" s="286">
        <f t="shared" si="22"/>
        <v>18</v>
      </c>
      <c r="V66" s="286">
        <f t="shared" si="22"/>
        <v>0</v>
      </c>
      <c r="W66" s="286">
        <f t="shared" si="22"/>
        <v>0</v>
      </c>
      <c r="X66" s="286">
        <f t="shared" si="22"/>
        <v>0</v>
      </c>
      <c r="Y66" s="286">
        <f t="shared" si="22"/>
        <v>1</v>
      </c>
      <c r="Z66" s="287" t="s">
        <v>862</v>
      </c>
      <c r="AA66" s="286">
        <f t="shared" ref="AA66:AF66" si="23">SUM(AA62:AA65)</f>
        <v>0</v>
      </c>
      <c r="AB66" s="286">
        <f t="shared" si="23"/>
        <v>30</v>
      </c>
      <c r="AC66" s="286">
        <f t="shared" si="23"/>
        <v>0</v>
      </c>
      <c r="AD66" s="286">
        <f t="shared" si="23"/>
        <v>0</v>
      </c>
      <c r="AE66" s="286">
        <f t="shared" si="23"/>
        <v>0</v>
      </c>
      <c r="AF66" s="286">
        <f t="shared" si="23"/>
        <v>3</v>
      </c>
      <c r="AG66" s="305"/>
      <c r="AH66" s="3"/>
      <c r="AJ66" s="3"/>
      <c r="AL66" s="3"/>
      <c r="AN66" s="3"/>
      <c r="AP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</row>
    <row r="67" spans="1:78" ht="15" customHeight="1" thickBot="1" x14ac:dyDescent="0.3">
      <c r="A67" s="286"/>
      <c r="B67" s="286"/>
      <c r="C67" s="286"/>
      <c r="D67" s="286"/>
      <c r="E67" s="286"/>
      <c r="F67" s="286"/>
      <c r="G67" s="286"/>
      <c r="H67" s="286"/>
      <c r="I67" s="287" t="s">
        <v>867</v>
      </c>
      <c r="J67" s="286"/>
      <c r="K67" s="286">
        <v>4</v>
      </c>
      <c r="L67" s="286"/>
      <c r="M67" s="286"/>
      <c r="N67" s="286"/>
      <c r="O67" s="286"/>
      <c r="P67" s="309" t="s">
        <v>885</v>
      </c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  <c r="AD67" s="284"/>
      <c r="AE67" s="284"/>
      <c r="AF67" s="284"/>
      <c r="AH67" s="3"/>
      <c r="AJ67" s="3"/>
      <c r="AL67" s="3"/>
      <c r="AN67" s="3"/>
      <c r="AP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</row>
    <row r="68" spans="1:78" ht="15" customHeight="1" thickTop="1" x14ac:dyDescent="0.25">
      <c r="A68" s="286"/>
      <c r="B68" s="286"/>
      <c r="C68" s="286"/>
      <c r="D68" s="286"/>
      <c r="E68" s="286"/>
      <c r="F68" s="286"/>
      <c r="G68" s="286"/>
      <c r="H68" s="286"/>
      <c r="I68" s="287" t="s">
        <v>865</v>
      </c>
      <c r="J68" s="286"/>
      <c r="K68" s="286">
        <v>30</v>
      </c>
      <c r="L68" s="286"/>
      <c r="M68" s="286"/>
      <c r="N68" s="286"/>
      <c r="O68" s="286"/>
      <c r="P68" s="309" t="s">
        <v>886</v>
      </c>
      <c r="R68" s="288" t="s">
        <v>848</v>
      </c>
      <c r="S68" s="289"/>
      <c r="T68" s="295" t="s">
        <v>851</v>
      </c>
      <c r="U68" s="294"/>
      <c r="V68" s="289"/>
      <c r="W68" s="291" t="s">
        <v>893</v>
      </c>
      <c r="X68" s="290"/>
      <c r="Y68" s="290"/>
      <c r="Z68" s="290" t="s">
        <v>854</v>
      </c>
      <c r="AA68" s="295" t="s">
        <v>851</v>
      </c>
      <c r="AB68" s="293"/>
      <c r="AC68" s="289"/>
      <c r="AD68" s="296" t="s">
        <v>850</v>
      </c>
      <c r="AE68" s="293"/>
      <c r="AF68" s="289"/>
      <c r="AG68" s="292"/>
      <c r="AH68" s="3"/>
      <c r="AJ68" s="3"/>
      <c r="AL68" s="3"/>
      <c r="AN68" s="3"/>
      <c r="AP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</row>
    <row r="69" spans="1:78" ht="15" customHeight="1" thickBot="1" x14ac:dyDescent="0.3">
      <c r="A69" s="286"/>
      <c r="B69" s="286"/>
      <c r="C69" s="286"/>
      <c r="D69" s="286"/>
      <c r="E69" s="286"/>
      <c r="F69" s="286"/>
      <c r="G69" s="286"/>
      <c r="H69" s="286"/>
      <c r="I69" s="287" t="s">
        <v>861</v>
      </c>
      <c r="J69" s="286"/>
      <c r="K69" s="286"/>
      <c r="L69" s="286"/>
      <c r="M69" s="286"/>
      <c r="N69" s="286"/>
      <c r="O69" s="286">
        <v>1</v>
      </c>
      <c r="P69" s="305" t="s">
        <v>882</v>
      </c>
      <c r="R69" s="297" t="s">
        <v>847</v>
      </c>
      <c r="S69" s="298" t="s">
        <v>849</v>
      </c>
      <c r="T69" s="299" t="s">
        <v>904</v>
      </c>
      <c r="U69" s="298" t="s">
        <v>853</v>
      </c>
      <c r="V69" s="298" t="s">
        <v>852</v>
      </c>
      <c r="W69" s="299" t="s">
        <v>904</v>
      </c>
      <c r="X69" s="298" t="s">
        <v>853</v>
      </c>
      <c r="Y69" s="298" t="s">
        <v>852</v>
      </c>
      <c r="Z69" s="298" t="s">
        <v>5</v>
      </c>
      <c r="AA69" s="299" t="s">
        <v>904</v>
      </c>
      <c r="AB69" s="298" t="s">
        <v>853</v>
      </c>
      <c r="AC69" s="298" t="s">
        <v>852</v>
      </c>
      <c r="AD69" s="299" t="s">
        <v>904</v>
      </c>
      <c r="AE69" s="298" t="s">
        <v>853</v>
      </c>
      <c r="AF69" s="298" t="s">
        <v>852</v>
      </c>
      <c r="AG69" s="300" t="s">
        <v>858</v>
      </c>
      <c r="AH69" s="3"/>
      <c r="AJ69" s="3"/>
      <c r="AL69" s="3"/>
      <c r="AN69" s="3"/>
      <c r="AP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1:78" ht="15" customHeight="1" thickTop="1" x14ac:dyDescent="0.25">
      <c r="A70" s="286"/>
      <c r="B70" s="286"/>
      <c r="C70" s="286"/>
      <c r="D70" s="286"/>
      <c r="E70" s="286"/>
      <c r="F70" s="286"/>
      <c r="G70" s="286"/>
      <c r="H70" s="286"/>
      <c r="I70" s="287" t="s">
        <v>861</v>
      </c>
      <c r="J70" s="286"/>
      <c r="K70" s="286"/>
      <c r="L70" s="286"/>
      <c r="M70" s="286"/>
      <c r="N70" s="286"/>
      <c r="O70" s="286">
        <v>1</v>
      </c>
      <c r="P70" s="305" t="s">
        <v>876</v>
      </c>
      <c r="R70" s="286">
        <v>441</v>
      </c>
      <c r="S70" s="286">
        <v>2960</v>
      </c>
      <c r="T70" s="286">
        <v>24</v>
      </c>
      <c r="U70" s="286"/>
      <c r="V70" s="286"/>
      <c r="W70" s="286"/>
      <c r="X70" s="286">
        <v>2</v>
      </c>
      <c r="Y70" s="286"/>
      <c r="Z70" s="286" t="s">
        <v>894</v>
      </c>
      <c r="AA70" s="286">
        <v>1</v>
      </c>
      <c r="AB70" s="286"/>
      <c r="AC70" s="286"/>
      <c r="AD70" s="286"/>
      <c r="AE70" s="286"/>
      <c r="AF70" s="286"/>
      <c r="AG70" s="305" t="s">
        <v>328</v>
      </c>
      <c r="AH70" s="3"/>
      <c r="AJ70" s="3"/>
      <c r="AL70" s="3"/>
      <c r="AN70" s="3"/>
      <c r="AP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</row>
    <row r="71" spans="1:78" ht="15" customHeight="1" x14ac:dyDescent="0.25">
      <c r="A71" s="286"/>
      <c r="B71" s="286"/>
      <c r="C71" s="286"/>
      <c r="D71" s="286"/>
      <c r="E71" s="286"/>
      <c r="F71" s="286"/>
      <c r="G71" s="286"/>
      <c r="H71" s="286"/>
      <c r="I71" s="287" t="s">
        <v>861</v>
      </c>
      <c r="J71" s="286"/>
      <c r="K71" s="286"/>
      <c r="L71" s="286"/>
      <c r="M71" s="286"/>
      <c r="N71" s="286"/>
      <c r="O71" s="286">
        <v>1</v>
      </c>
      <c r="P71" s="305" t="s">
        <v>883</v>
      </c>
      <c r="R71" s="286"/>
      <c r="S71" s="286"/>
      <c r="T71" s="286"/>
      <c r="U71" s="286"/>
      <c r="V71" s="286"/>
      <c r="W71" s="286"/>
      <c r="X71" s="286"/>
      <c r="Y71" s="286"/>
      <c r="Z71" s="286" t="s">
        <v>895</v>
      </c>
      <c r="AA71" s="286">
        <v>1</v>
      </c>
      <c r="AB71" s="286"/>
      <c r="AC71" s="286"/>
      <c r="AD71" s="286"/>
      <c r="AE71" s="286"/>
      <c r="AF71" s="286"/>
      <c r="AG71" s="305" t="s">
        <v>328</v>
      </c>
      <c r="AH71" s="3"/>
      <c r="AJ71" s="3"/>
      <c r="AL71" s="3"/>
      <c r="AN71" s="3"/>
      <c r="AP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</row>
    <row r="72" spans="1:78" ht="15" customHeight="1" x14ac:dyDescent="0.25">
      <c r="A72" s="286"/>
      <c r="B72" s="286" t="s">
        <v>874</v>
      </c>
      <c r="C72" s="286">
        <f t="shared" ref="C72:H72" si="24">C63-J72</f>
        <v>0</v>
      </c>
      <c r="D72" s="286">
        <f t="shared" si="24"/>
        <v>7</v>
      </c>
      <c r="E72" s="286">
        <f t="shared" si="24"/>
        <v>0</v>
      </c>
      <c r="F72" s="286">
        <f t="shared" si="24"/>
        <v>0</v>
      </c>
      <c r="G72" s="286">
        <f t="shared" si="24"/>
        <v>0</v>
      </c>
      <c r="H72" s="286">
        <f t="shared" si="24"/>
        <v>1</v>
      </c>
      <c r="I72" s="287" t="s">
        <v>862</v>
      </c>
      <c r="J72" s="286">
        <f t="shared" ref="J72:O72" si="25">SUM(J63:J71)</f>
        <v>0</v>
      </c>
      <c r="K72" s="286">
        <f t="shared" si="25"/>
        <v>41</v>
      </c>
      <c r="L72" s="286">
        <f t="shared" si="25"/>
        <v>0</v>
      </c>
      <c r="M72" s="286">
        <f t="shared" si="25"/>
        <v>0</v>
      </c>
      <c r="N72" s="286">
        <f t="shared" si="25"/>
        <v>0</v>
      </c>
      <c r="O72" s="286">
        <f t="shared" si="25"/>
        <v>3</v>
      </c>
      <c r="P72" s="305"/>
      <c r="R72" s="286"/>
      <c r="S72" s="286"/>
      <c r="T72" s="286"/>
      <c r="U72" s="286"/>
      <c r="V72" s="286"/>
      <c r="W72" s="286"/>
      <c r="X72" s="286"/>
      <c r="Y72" s="286"/>
      <c r="Z72" s="286" t="s">
        <v>855</v>
      </c>
      <c r="AA72" s="286">
        <v>9</v>
      </c>
      <c r="AB72" s="286"/>
      <c r="AC72" s="286"/>
      <c r="AD72" s="286"/>
      <c r="AE72" s="286"/>
      <c r="AF72" s="286"/>
      <c r="AG72" s="305" t="s">
        <v>328</v>
      </c>
      <c r="AH72" s="3"/>
      <c r="AJ72" s="3"/>
      <c r="AL72" s="3"/>
      <c r="AN72" s="3"/>
      <c r="AP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</row>
    <row r="73" spans="1:78" ht="15" customHeight="1" thickBot="1" x14ac:dyDescent="0.3">
      <c r="A73" s="284"/>
      <c r="B73" s="284"/>
      <c r="C73" s="284"/>
      <c r="D73" s="284"/>
      <c r="E73" s="284"/>
      <c r="F73" s="284"/>
      <c r="G73" s="284"/>
      <c r="H73" s="284"/>
      <c r="I73" s="23"/>
      <c r="J73" s="284"/>
      <c r="K73" s="284"/>
      <c r="L73" s="284"/>
      <c r="M73" s="284"/>
      <c r="N73" s="284"/>
      <c r="O73" s="284"/>
      <c r="P73" s="3"/>
      <c r="R73" s="286"/>
      <c r="S73" s="286"/>
      <c r="T73" s="286"/>
      <c r="U73" s="286"/>
      <c r="V73" s="286"/>
      <c r="W73" s="286"/>
      <c r="X73" s="286"/>
      <c r="Y73" s="286"/>
      <c r="Z73" s="286" t="s">
        <v>855</v>
      </c>
      <c r="AA73" s="286">
        <v>9</v>
      </c>
      <c r="AB73" s="286"/>
      <c r="AC73" s="286"/>
      <c r="AD73" s="286"/>
      <c r="AE73" s="286"/>
      <c r="AF73" s="286"/>
      <c r="AG73" s="305" t="s">
        <v>845</v>
      </c>
      <c r="AH73" s="3"/>
      <c r="AJ73" s="3"/>
      <c r="AL73" s="3"/>
      <c r="AN73" s="3"/>
      <c r="AP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1:78" ht="15" customHeight="1" thickTop="1" x14ac:dyDescent="0.25">
      <c r="A74" s="288" t="s">
        <v>848</v>
      </c>
      <c r="B74" s="289"/>
      <c r="C74" s="295" t="s">
        <v>851</v>
      </c>
      <c r="D74" s="294"/>
      <c r="E74" s="289"/>
      <c r="F74" s="291" t="s">
        <v>893</v>
      </c>
      <c r="G74" s="290"/>
      <c r="H74" s="290"/>
      <c r="I74" s="290" t="s">
        <v>854</v>
      </c>
      <c r="J74" s="295" t="s">
        <v>851</v>
      </c>
      <c r="K74" s="293"/>
      <c r="L74" s="289"/>
      <c r="M74" s="296" t="s">
        <v>850</v>
      </c>
      <c r="N74" s="293"/>
      <c r="O74" s="289"/>
      <c r="P74" s="292"/>
      <c r="R74" s="286"/>
      <c r="S74" s="286"/>
      <c r="T74" s="286"/>
      <c r="U74" s="286"/>
      <c r="V74" s="286"/>
      <c r="W74" s="286"/>
      <c r="X74" s="286"/>
      <c r="Y74" s="286"/>
      <c r="Z74" s="286" t="s">
        <v>896</v>
      </c>
      <c r="AA74" s="286"/>
      <c r="AB74" s="286"/>
      <c r="AC74" s="286"/>
      <c r="AD74" s="286"/>
      <c r="AE74" s="286">
        <v>1</v>
      </c>
      <c r="AF74" s="286"/>
      <c r="AG74" s="305" t="s">
        <v>845</v>
      </c>
      <c r="AH74" s="3"/>
      <c r="AJ74" s="3"/>
      <c r="AL74" s="3"/>
      <c r="AN74" s="3"/>
      <c r="AP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</row>
    <row r="75" spans="1:78" ht="15" customHeight="1" thickBot="1" x14ac:dyDescent="0.3">
      <c r="A75" s="297" t="s">
        <v>847</v>
      </c>
      <c r="B75" s="298" t="s">
        <v>849</v>
      </c>
      <c r="C75" s="299" t="s">
        <v>904</v>
      </c>
      <c r="D75" s="298" t="s">
        <v>853</v>
      </c>
      <c r="E75" s="298" t="s">
        <v>852</v>
      </c>
      <c r="F75" s="299" t="s">
        <v>904</v>
      </c>
      <c r="G75" s="298" t="s">
        <v>853</v>
      </c>
      <c r="H75" s="298" t="s">
        <v>852</v>
      </c>
      <c r="I75" s="298" t="s">
        <v>5</v>
      </c>
      <c r="J75" s="299" t="s">
        <v>904</v>
      </c>
      <c r="K75" s="298" t="s">
        <v>853</v>
      </c>
      <c r="L75" s="298" t="s">
        <v>852</v>
      </c>
      <c r="M75" s="299" t="s">
        <v>904</v>
      </c>
      <c r="N75" s="298" t="s">
        <v>853</v>
      </c>
      <c r="O75" s="298" t="s">
        <v>852</v>
      </c>
      <c r="P75" s="300" t="s">
        <v>858</v>
      </c>
      <c r="R75" s="286"/>
      <c r="S75" s="286" t="s">
        <v>874</v>
      </c>
      <c r="T75" s="286">
        <f t="shared" ref="T75:Y75" si="26">T70-AA75</f>
        <v>5</v>
      </c>
      <c r="U75" s="286">
        <f t="shared" si="26"/>
        <v>0</v>
      </c>
      <c r="V75" s="286">
        <f t="shared" si="26"/>
        <v>0</v>
      </c>
      <c r="W75" s="286">
        <f t="shared" si="26"/>
        <v>0</v>
      </c>
      <c r="X75" s="286">
        <f t="shared" si="26"/>
        <v>1</v>
      </c>
      <c r="Y75" s="286">
        <f t="shared" si="26"/>
        <v>0</v>
      </c>
      <c r="Z75" s="287" t="s">
        <v>862</v>
      </c>
      <c r="AA75" s="286">
        <f t="shared" ref="AA75:AF75" si="27">SUM(AA71:AA74)</f>
        <v>19</v>
      </c>
      <c r="AB75" s="286">
        <f t="shared" si="27"/>
        <v>0</v>
      </c>
      <c r="AC75" s="286">
        <f t="shared" si="27"/>
        <v>0</v>
      </c>
      <c r="AD75" s="286">
        <f t="shared" si="27"/>
        <v>0</v>
      </c>
      <c r="AE75" s="286">
        <f t="shared" si="27"/>
        <v>1</v>
      </c>
      <c r="AF75" s="286">
        <f t="shared" si="27"/>
        <v>0</v>
      </c>
      <c r="AG75" s="305"/>
      <c r="AH75" s="3"/>
      <c r="AJ75" s="3"/>
      <c r="AL75" s="3"/>
      <c r="AN75" s="3"/>
      <c r="AP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</row>
    <row r="76" spans="1:78" ht="15" customHeight="1" thickTop="1" x14ac:dyDescent="0.25">
      <c r="A76" s="286">
        <v>335</v>
      </c>
      <c r="B76" s="286">
        <v>4948</v>
      </c>
      <c r="C76" s="286"/>
      <c r="D76" s="286">
        <v>48</v>
      </c>
      <c r="E76" s="286"/>
      <c r="F76" s="286"/>
      <c r="G76" s="286"/>
      <c r="H76" s="286">
        <v>4</v>
      </c>
      <c r="I76" s="287" t="s">
        <v>843</v>
      </c>
      <c r="J76" s="286"/>
      <c r="K76" s="286">
        <v>1</v>
      </c>
      <c r="L76" s="286"/>
      <c r="M76" s="286"/>
      <c r="N76" s="286"/>
      <c r="O76" s="286"/>
      <c r="P76" s="305" t="s">
        <v>879</v>
      </c>
      <c r="R76" s="284"/>
      <c r="S76" s="284"/>
      <c r="T76" s="284"/>
      <c r="U76" s="284"/>
      <c r="V76" s="284"/>
      <c r="W76" s="284"/>
      <c r="X76" s="284"/>
      <c r="Y76" s="284"/>
      <c r="Z76" s="23"/>
      <c r="AA76" s="284"/>
      <c r="AB76" s="284"/>
      <c r="AC76" s="284"/>
      <c r="AD76" s="284"/>
      <c r="AE76" s="284"/>
      <c r="AF76" s="284"/>
      <c r="AH76" s="3"/>
      <c r="AJ76" s="3"/>
      <c r="AL76" s="3"/>
      <c r="AN76" s="3"/>
      <c r="AP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</row>
    <row r="77" spans="1:78" ht="15" customHeight="1" thickBot="1" x14ac:dyDescent="0.3">
      <c r="A77" s="286"/>
      <c r="B77" s="286"/>
      <c r="C77" s="286"/>
      <c r="D77" s="286"/>
      <c r="E77" s="286"/>
      <c r="F77" s="286"/>
      <c r="G77" s="286"/>
      <c r="H77" s="286"/>
      <c r="I77" s="287" t="s">
        <v>835</v>
      </c>
      <c r="J77" s="286"/>
      <c r="K77" s="286">
        <v>2</v>
      </c>
      <c r="L77" s="286"/>
      <c r="M77" s="286"/>
      <c r="N77" s="286"/>
      <c r="O77" s="286"/>
      <c r="P77" s="309" t="s">
        <v>880</v>
      </c>
      <c r="R77" s="284"/>
      <c r="S77" s="284"/>
      <c r="T77" s="284"/>
      <c r="U77" s="284"/>
      <c r="V77" s="284"/>
      <c r="W77" s="284"/>
      <c r="X77" s="284"/>
      <c r="Y77" s="284"/>
      <c r="Z77" s="23"/>
      <c r="AA77" s="284"/>
      <c r="AB77" s="284"/>
      <c r="AC77" s="284"/>
      <c r="AD77" s="284"/>
      <c r="AE77" s="284"/>
      <c r="AF77" s="284"/>
      <c r="AH77" s="3"/>
      <c r="AJ77" s="3"/>
      <c r="AL77" s="3"/>
      <c r="AN77" s="3"/>
      <c r="AP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</row>
    <row r="78" spans="1:78" ht="15" customHeight="1" thickTop="1" x14ac:dyDescent="0.25">
      <c r="A78" s="286"/>
      <c r="B78" s="286"/>
      <c r="C78" s="286"/>
      <c r="D78" s="286"/>
      <c r="E78" s="286"/>
      <c r="F78" s="286"/>
      <c r="G78" s="286"/>
      <c r="H78" s="286"/>
      <c r="I78" s="287" t="s">
        <v>835</v>
      </c>
      <c r="J78" s="286"/>
      <c r="K78" s="286">
        <v>2</v>
      </c>
      <c r="L78" s="286"/>
      <c r="M78" s="286"/>
      <c r="N78" s="286"/>
      <c r="O78" s="286"/>
      <c r="P78" s="309" t="s">
        <v>881</v>
      </c>
      <c r="R78" s="288" t="s">
        <v>848</v>
      </c>
      <c r="S78" s="289"/>
      <c r="T78" s="295" t="s">
        <v>851</v>
      </c>
      <c r="U78" s="294"/>
      <c r="V78" s="289"/>
      <c r="W78" s="291" t="s">
        <v>893</v>
      </c>
      <c r="X78" s="290"/>
      <c r="Y78" s="290"/>
      <c r="Z78" s="290" t="s">
        <v>854</v>
      </c>
      <c r="AA78" s="295" t="s">
        <v>851</v>
      </c>
      <c r="AB78" s="293"/>
      <c r="AC78" s="289"/>
      <c r="AD78" s="296" t="s">
        <v>850</v>
      </c>
      <c r="AE78" s="293"/>
      <c r="AF78" s="289"/>
      <c r="AG78" s="292"/>
      <c r="AH78" s="3"/>
      <c r="AJ78" s="3"/>
      <c r="AL78" s="3"/>
      <c r="AN78" s="3"/>
      <c r="AP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1:78" ht="15" customHeight="1" thickBot="1" x14ac:dyDescent="0.3">
      <c r="A79" s="286"/>
      <c r="B79" s="286"/>
      <c r="C79" s="286"/>
      <c r="D79" s="286"/>
      <c r="E79" s="286"/>
      <c r="F79" s="286"/>
      <c r="G79" s="286"/>
      <c r="H79" s="286"/>
      <c r="I79" s="287" t="s">
        <v>866</v>
      </c>
      <c r="J79" s="286"/>
      <c r="K79" s="286">
        <v>2</v>
      </c>
      <c r="L79" s="286"/>
      <c r="M79" s="286"/>
      <c r="N79" s="286"/>
      <c r="O79" s="286"/>
      <c r="P79" s="309" t="s">
        <v>887</v>
      </c>
      <c r="R79" s="297" t="s">
        <v>847</v>
      </c>
      <c r="S79" s="298" t="s">
        <v>849</v>
      </c>
      <c r="T79" s="299" t="s">
        <v>904</v>
      </c>
      <c r="U79" s="298" t="s">
        <v>853</v>
      </c>
      <c r="V79" s="298" t="s">
        <v>852</v>
      </c>
      <c r="W79" s="299" t="s">
        <v>904</v>
      </c>
      <c r="X79" s="298" t="s">
        <v>853</v>
      </c>
      <c r="Y79" s="298" t="s">
        <v>852</v>
      </c>
      <c r="Z79" s="298" t="s">
        <v>5</v>
      </c>
      <c r="AA79" s="299" t="s">
        <v>904</v>
      </c>
      <c r="AB79" s="298" t="s">
        <v>853</v>
      </c>
      <c r="AC79" s="298" t="s">
        <v>852</v>
      </c>
      <c r="AD79" s="299" t="s">
        <v>904</v>
      </c>
      <c r="AE79" s="298" t="s">
        <v>853</v>
      </c>
      <c r="AF79" s="298" t="s">
        <v>852</v>
      </c>
      <c r="AG79" s="300" t="s">
        <v>858</v>
      </c>
      <c r="AH79" s="3"/>
      <c r="AJ79" s="3"/>
      <c r="AL79" s="3"/>
      <c r="AN79" s="3"/>
      <c r="AP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</row>
    <row r="80" spans="1:78" ht="15" customHeight="1" thickTop="1" x14ac:dyDescent="0.25">
      <c r="A80" s="286"/>
      <c r="B80" s="286"/>
      <c r="C80" s="286"/>
      <c r="D80" s="286"/>
      <c r="E80" s="286"/>
      <c r="F80" s="286"/>
      <c r="G80" s="286"/>
      <c r="H80" s="286"/>
      <c r="I80" s="287" t="s">
        <v>867</v>
      </c>
      <c r="J80" s="286"/>
      <c r="K80" s="286">
        <v>4</v>
      </c>
      <c r="L80" s="286"/>
      <c r="M80" s="286"/>
      <c r="N80" s="286"/>
      <c r="O80" s="286"/>
      <c r="P80" s="309" t="s">
        <v>887</v>
      </c>
      <c r="R80" s="306">
        <v>439</v>
      </c>
      <c r="S80" s="306">
        <v>3560</v>
      </c>
      <c r="T80" s="306"/>
      <c r="U80" s="306">
        <v>24</v>
      </c>
      <c r="V80" s="306"/>
      <c r="W80" s="306"/>
      <c r="X80" s="306">
        <v>2</v>
      </c>
      <c r="Y80" s="306"/>
      <c r="Z80" s="307" t="s">
        <v>855</v>
      </c>
      <c r="AA80" s="306"/>
      <c r="AB80" s="306">
        <v>9</v>
      </c>
      <c r="AC80" s="306"/>
      <c r="AD80" s="306"/>
      <c r="AE80" s="306"/>
      <c r="AF80" s="306"/>
      <c r="AG80" s="308" t="s">
        <v>897</v>
      </c>
      <c r="AH80" s="3"/>
      <c r="AJ80" s="3"/>
      <c r="AL80" s="3"/>
      <c r="AN80" s="3"/>
      <c r="AP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</row>
    <row r="81" spans="1:78" ht="15" customHeight="1" x14ac:dyDescent="0.25">
      <c r="A81" s="286"/>
      <c r="B81" s="286"/>
      <c r="C81" s="286"/>
      <c r="D81" s="286"/>
      <c r="E81" s="286"/>
      <c r="F81" s="286"/>
      <c r="G81" s="286"/>
      <c r="H81" s="286"/>
      <c r="I81" s="287" t="s">
        <v>865</v>
      </c>
      <c r="J81" s="286"/>
      <c r="K81" s="286">
        <v>30</v>
      </c>
      <c r="L81" s="286"/>
      <c r="M81" s="286"/>
      <c r="N81" s="286"/>
      <c r="O81" s="286"/>
      <c r="P81" s="309" t="s">
        <v>888</v>
      </c>
      <c r="R81" s="286"/>
      <c r="S81" s="286"/>
      <c r="T81" s="286"/>
      <c r="U81" s="286"/>
      <c r="V81" s="286"/>
      <c r="W81" s="286"/>
      <c r="X81" s="286"/>
      <c r="Y81" s="286"/>
      <c r="Z81" s="287" t="s">
        <v>855</v>
      </c>
      <c r="AA81" s="286"/>
      <c r="AB81" s="286">
        <v>9</v>
      </c>
      <c r="AC81" s="286"/>
      <c r="AD81" s="286"/>
      <c r="AE81" s="286"/>
      <c r="AF81" s="286"/>
      <c r="AG81" s="305" t="s">
        <v>860</v>
      </c>
      <c r="AH81" s="3"/>
      <c r="AJ81" s="3"/>
      <c r="AL81" s="3"/>
      <c r="AN81" s="3"/>
      <c r="AP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</row>
    <row r="82" spans="1:78" ht="15" customHeight="1" x14ac:dyDescent="0.25">
      <c r="A82" s="286"/>
      <c r="B82" s="286"/>
      <c r="C82" s="286"/>
      <c r="D82" s="286"/>
      <c r="E82" s="286"/>
      <c r="F82" s="286"/>
      <c r="G82" s="286"/>
      <c r="H82" s="286"/>
      <c r="I82" s="287" t="s">
        <v>861</v>
      </c>
      <c r="J82" s="286"/>
      <c r="K82" s="286"/>
      <c r="L82" s="286"/>
      <c r="M82" s="286"/>
      <c r="N82" s="286"/>
      <c r="O82" s="286">
        <v>1</v>
      </c>
      <c r="P82" s="305" t="s">
        <v>882</v>
      </c>
      <c r="R82" s="286"/>
      <c r="S82" s="309" t="s">
        <v>874</v>
      </c>
      <c r="T82" s="286">
        <f t="shared" ref="T82:Y82" si="28">T80-AA82</f>
        <v>0</v>
      </c>
      <c r="U82" s="286">
        <f t="shared" si="28"/>
        <v>6</v>
      </c>
      <c r="V82" s="286">
        <f t="shared" si="28"/>
        <v>0</v>
      </c>
      <c r="W82" s="286">
        <f t="shared" si="28"/>
        <v>0</v>
      </c>
      <c r="X82" s="286">
        <f t="shared" si="28"/>
        <v>2</v>
      </c>
      <c r="Y82" s="286">
        <f t="shared" si="28"/>
        <v>0</v>
      </c>
      <c r="Z82" s="287" t="s">
        <v>862</v>
      </c>
      <c r="AA82" s="286">
        <f t="shared" ref="AA82:AF82" si="29">SUM(AA80:AA81)</f>
        <v>0</v>
      </c>
      <c r="AB82" s="286">
        <f t="shared" si="29"/>
        <v>18</v>
      </c>
      <c r="AC82" s="286">
        <f t="shared" si="29"/>
        <v>0</v>
      </c>
      <c r="AD82" s="286">
        <f t="shared" si="29"/>
        <v>0</v>
      </c>
      <c r="AE82" s="286">
        <f t="shared" si="29"/>
        <v>0</v>
      </c>
      <c r="AF82" s="286">
        <f t="shared" si="29"/>
        <v>0</v>
      </c>
      <c r="AG82" s="305"/>
      <c r="AH82" s="3"/>
      <c r="AJ82" s="3"/>
      <c r="AL82" s="3"/>
      <c r="AN82" s="3"/>
      <c r="AP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</row>
    <row r="83" spans="1:78" ht="15" customHeight="1" x14ac:dyDescent="0.25">
      <c r="A83" s="286"/>
      <c r="B83" s="286"/>
      <c r="C83" s="286"/>
      <c r="D83" s="286"/>
      <c r="E83" s="286"/>
      <c r="F83" s="286"/>
      <c r="G83" s="286"/>
      <c r="H83" s="286"/>
      <c r="I83" s="287" t="s">
        <v>861</v>
      </c>
      <c r="J83" s="286"/>
      <c r="K83" s="286"/>
      <c r="L83" s="286"/>
      <c r="M83" s="286"/>
      <c r="N83" s="286"/>
      <c r="O83" s="286">
        <v>1</v>
      </c>
      <c r="P83" s="305" t="s">
        <v>876</v>
      </c>
      <c r="R83" s="284"/>
      <c r="S83" s="284"/>
      <c r="T83" s="284"/>
      <c r="U83" s="284"/>
      <c r="V83" s="284"/>
      <c r="W83" s="284"/>
      <c r="X83" s="284"/>
      <c r="Y83" s="284"/>
      <c r="Z83" s="23"/>
      <c r="AA83" s="284"/>
      <c r="AB83" s="284"/>
      <c r="AC83" s="284"/>
      <c r="AD83" s="284"/>
      <c r="AE83" s="284"/>
      <c r="AF83" s="284"/>
      <c r="AH83" s="3"/>
      <c r="AJ83" s="3"/>
      <c r="AL83" s="3"/>
      <c r="AN83" s="3"/>
      <c r="AP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</row>
    <row r="84" spans="1:78" ht="15" customHeight="1" x14ac:dyDescent="0.25">
      <c r="A84" s="286"/>
      <c r="B84" s="286"/>
      <c r="C84" s="286"/>
      <c r="D84" s="286"/>
      <c r="E84" s="286"/>
      <c r="F84" s="286"/>
      <c r="G84" s="286"/>
      <c r="H84" s="286"/>
      <c r="I84" s="287" t="s">
        <v>861</v>
      </c>
      <c r="J84" s="286"/>
      <c r="K84" s="286"/>
      <c r="L84" s="286"/>
      <c r="M84" s="286"/>
      <c r="N84" s="286"/>
      <c r="O84" s="286">
        <v>1</v>
      </c>
      <c r="P84" s="305" t="s">
        <v>884</v>
      </c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H84" s="3"/>
      <c r="AJ84" s="3"/>
      <c r="AL84" s="3"/>
      <c r="AN84" s="3"/>
      <c r="AP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</row>
    <row r="85" spans="1:78" ht="15" customHeight="1" x14ac:dyDescent="0.25">
      <c r="A85" s="286"/>
      <c r="B85" s="286" t="s">
        <v>874</v>
      </c>
      <c r="C85" s="286">
        <f t="shared" ref="C85:H85" si="30">C76-J85</f>
        <v>0</v>
      </c>
      <c r="D85" s="286">
        <f t="shared" si="30"/>
        <v>7</v>
      </c>
      <c r="E85" s="286">
        <f t="shared" si="30"/>
        <v>0</v>
      </c>
      <c r="F85" s="286">
        <f t="shared" si="30"/>
        <v>0</v>
      </c>
      <c r="G85" s="286">
        <f t="shared" si="30"/>
        <v>0</v>
      </c>
      <c r="H85" s="286">
        <f t="shared" si="30"/>
        <v>1</v>
      </c>
      <c r="I85" s="287" t="s">
        <v>862</v>
      </c>
      <c r="J85" s="286">
        <f t="shared" ref="J85:O85" si="31">SUM(J76:J84)</f>
        <v>0</v>
      </c>
      <c r="K85" s="286">
        <f t="shared" si="31"/>
        <v>41</v>
      </c>
      <c r="L85" s="286">
        <f t="shared" si="31"/>
        <v>0</v>
      </c>
      <c r="M85" s="286">
        <f t="shared" si="31"/>
        <v>0</v>
      </c>
      <c r="N85" s="286">
        <f t="shared" si="31"/>
        <v>0</v>
      </c>
      <c r="O85" s="286">
        <f t="shared" si="31"/>
        <v>3</v>
      </c>
      <c r="P85" s="305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  <c r="AD85" s="284"/>
      <c r="AE85" s="284"/>
      <c r="AF85" s="284"/>
      <c r="AH85" s="3"/>
      <c r="AJ85" s="3"/>
      <c r="AL85" s="3"/>
      <c r="AN85" s="3"/>
      <c r="AP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</row>
    <row r="86" spans="1:78" ht="15" customHeight="1" x14ac:dyDescent="0.25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3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H86" s="3"/>
      <c r="AJ86" s="3"/>
      <c r="AL86" s="3"/>
      <c r="AN86" s="3"/>
      <c r="AP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</row>
    <row r="87" spans="1:78" ht="15" customHeight="1" thickBot="1" x14ac:dyDescent="0.3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3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H87" s="3"/>
      <c r="AJ87" s="3"/>
      <c r="AL87" s="3"/>
      <c r="AN87" s="3"/>
      <c r="AP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</row>
    <row r="88" spans="1:78" ht="15" customHeight="1" thickTop="1" x14ac:dyDescent="0.25">
      <c r="A88" s="284"/>
      <c r="B88" s="284"/>
      <c r="C88" s="284"/>
      <c r="D88" s="284"/>
      <c r="E88" s="284"/>
      <c r="F88" s="284"/>
      <c r="G88" s="284"/>
      <c r="H88" s="284"/>
      <c r="I88" s="284"/>
      <c r="J88" s="295" t="s">
        <v>851</v>
      </c>
      <c r="K88" s="293"/>
      <c r="L88" s="289"/>
      <c r="M88" s="296" t="s">
        <v>850</v>
      </c>
      <c r="N88" s="293"/>
      <c r="O88" s="289"/>
      <c r="P88" s="3"/>
      <c r="R88" s="284"/>
      <c r="S88" s="284"/>
      <c r="T88" s="284"/>
      <c r="U88" s="284"/>
      <c r="V88" s="284"/>
      <c r="W88" s="284"/>
      <c r="X88" s="284"/>
      <c r="Y88" s="284"/>
      <c r="Z88" s="284"/>
      <c r="AA88" s="295" t="s">
        <v>851</v>
      </c>
      <c r="AB88" s="293"/>
      <c r="AC88" s="289"/>
      <c r="AD88" s="296" t="s">
        <v>850</v>
      </c>
      <c r="AE88" s="293"/>
      <c r="AF88" s="289"/>
      <c r="AH88" s="3"/>
      <c r="AJ88" s="3"/>
      <c r="AL88" s="3"/>
      <c r="AN88" s="3"/>
      <c r="AP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</row>
    <row r="89" spans="1:78" ht="15" customHeight="1" thickBot="1" x14ac:dyDescent="0.3">
      <c r="A89" s="284"/>
      <c r="B89" s="284"/>
      <c r="C89" s="284"/>
      <c r="D89" s="284"/>
      <c r="E89" s="284"/>
      <c r="F89" s="284"/>
      <c r="G89" s="284"/>
      <c r="H89" s="284"/>
      <c r="I89" s="284"/>
      <c r="J89" s="299" t="s">
        <v>904</v>
      </c>
      <c r="K89" s="298" t="s">
        <v>853</v>
      </c>
      <c r="L89" s="298" t="s">
        <v>852</v>
      </c>
      <c r="M89" s="299" t="s">
        <v>904</v>
      </c>
      <c r="N89" s="298" t="s">
        <v>853</v>
      </c>
      <c r="O89" s="298" t="s">
        <v>852</v>
      </c>
      <c r="P89" s="3"/>
      <c r="R89" s="284"/>
      <c r="S89" s="284"/>
      <c r="T89" s="284"/>
      <c r="U89" s="284"/>
      <c r="V89" s="284"/>
      <c r="W89" s="284"/>
      <c r="X89" s="284"/>
      <c r="Y89" s="284"/>
      <c r="Z89" s="284"/>
      <c r="AA89" s="299" t="s">
        <v>904</v>
      </c>
      <c r="AB89" s="298" t="s">
        <v>853</v>
      </c>
      <c r="AC89" s="298" t="s">
        <v>852</v>
      </c>
      <c r="AD89" s="299" t="s">
        <v>904</v>
      </c>
      <c r="AE89" s="298" t="s">
        <v>853</v>
      </c>
      <c r="AF89" s="298" t="s">
        <v>852</v>
      </c>
      <c r="AH89" s="3"/>
      <c r="AJ89" s="3"/>
      <c r="AL89" s="3"/>
      <c r="AN89" s="3"/>
      <c r="AP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</row>
    <row r="90" spans="1:78" ht="15" customHeight="1" thickTop="1" x14ac:dyDescent="0.25">
      <c r="A90" s="284"/>
      <c r="B90" s="284"/>
      <c r="C90" s="284"/>
      <c r="D90" s="284"/>
      <c r="E90" s="284"/>
      <c r="F90" s="284"/>
      <c r="G90" s="284"/>
      <c r="H90" s="284"/>
      <c r="I90" s="23" t="s">
        <v>898</v>
      </c>
      <c r="J90" s="284">
        <f t="shared" ref="J90:O90" si="32">J85+J72+J59+J50+J41+J35+J27+J21</f>
        <v>70</v>
      </c>
      <c r="K90" s="284">
        <f t="shared" si="32"/>
        <v>82</v>
      </c>
      <c r="L90" s="284">
        <f t="shared" si="32"/>
        <v>46</v>
      </c>
      <c r="M90" s="284">
        <f t="shared" si="32"/>
        <v>0</v>
      </c>
      <c r="N90" s="284">
        <f t="shared" si="32"/>
        <v>4</v>
      </c>
      <c r="O90" s="284">
        <f t="shared" si="32"/>
        <v>6</v>
      </c>
      <c r="P90" s="3"/>
      <c r="R90" s="284"/>
      <c r="S90" s="284"/>
      <c r="T90" s="284"/>
      <c r="U90" s="284"/>
      <c r="V90" s="284"/>
      <c r="W90" s="284"/>
      <c r="X90" s="284"/>
      <c r="Y90" s="284"/>
      <c r="Z90" s="23" t="s">
        <v>898</v>
      </c>
      <c r="AA90" s="284">
        <f t="shared" ref="AA90:AF90" si="33">AA82+AA75+AA66+AA58+AA50+AA40+AA30+AA21</f>
        <v>19</v>
      </c>
      <c r="AB90" s="284">
        <f t="shared" si="33"/>
        <v>248</v>
      </c>
      <c r="AC90" s="284">
        <f t="shared" si="33"/>
        <v>0</v>
      </c>
      <c r="AD90" s="284">
        <f t="shared" si="33"/>
        <v>0</v>
      </c>
      <c r="AE90" s="284">
        <f t="shared" si="33"/>
        <v>1</v>
      </c>
      <c r="AF90" s="284">
        <f t="shared" si="33"/>
        <v>18</v>
      </c>
      <c r="AH90" s="3"/>
      <c r="AJ90" s="3"/>
      <c r="AL90" s="3"/>
      <c r="AN90" s="3"/>
      <c r="AP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</row>
    <row r="91" spans="1:78" ht="15" customHeight="1" x14ac:dyDescent="0.25">
      <c r="A91" s="284"/>
      <c r="B91" s="284"/>
      <c r="C91" s="284"/>
      <c r="D91" s="284"/>
      <c r="E91" s="284"/>
      <c r="F91" s="284"/>
      <c r="G91" s="284"/>
      <c r="H91" s="284"/>
      <c r="I91" s="23" t="s">
        <v>899</v>
      </c>
      <c r="J91" s="284">
        <f>J34+J20</f>
        <v>2</v>
      </c>
      <c r="K91" s="284">
        <v>0</v>
      </c>
      <c r="L91" s="284">
        <f>L58+L57+L49+L48</f>
        <v>18</v>
      </c>
      <c r="M91" s="284">
        <v>0</v>
      </c>
      <c r="N91" s="284">
        <f>N40+N34+N26</f>
        <v>4</v>
      </c>
      <c r="O91" s="284">
        <f>O84+O83+O82+O71+O70+O69+BI1</f>
        <v>6</v>
      </c>
      <c r="P91" s="3"/>
      <c r="R91" s="284"/>
      <c r="S91" s="284"/>
      <c r="T91" s="284"/>
      <c r="U91" s="284"/>
      <c r="V91" s="284"/>
      <c r="W91" s="284"/>
      <c r="X91" s="284"/>
      <c r="Y91" s="284"/>
      <c r="Z91" s="23" t="s">
        <v>899</v>
      </c>
      <c r="AA91" s="284">
        <v>0</v>
      </c>
      <c r="AB91" s="284"/>
      <c r="AC91" s="284"/>
      <c r="AD91" s="284"/>
      <c r="AE91" s="284"/>
      <c r="AF91" s="284"/>
      <c r="AH91" s="3"/>
      <c r="AJ91" s="3"/>
      <c r="AL91" s="3"/>
      <c r="AN91" s="3"/>
      <c r="AP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</row>
    <row r="92" spans="1:78" ht="15" customHeight="1" x14ac:dyDescent="0.25">
      <c r="A92" s="284"/>
      <c r="B92" s="284"/>
      <c r="C92" s="284"/>
      <c r="D92" s="284"/>
      <c r="E92" s="284"/>
      <c r="F92" s="284"/>
      <c r="G92" s="284"/>
      <c r="H92" s="284"/>
      <c r="I92" s="23" t="s">
        <v>900</v>
      </c>
      <c r="J92" s="284">
        <f t="shared" ref="J92:O92" si="34">J90-J91</f>
        <v>68</v>
      </c>
      <c r="K92" s="284">
        <f t="shared" si="34"/>
        <v>82</v>
      </c>
      <c r="L92" s="284">
        <f t="shared" si="34"/>
        <v>28</v>
      </c>
      <c r="M92" s="284">
        <f t="shared" si="34"/>
        <v>0</v>
      </c>
      <c r="N92" s="284">
        <f t="shared" si="34"/>
        <v>0</v>
      </c>
      <c r="O92" s="284">
        <f t="shared" si="34"/>
        <v>0</v>
      </c>
      <c r="P92" s="3"/>
      <c r="R92" s="284"/>
      <c r="S92" s="284"/>
      <c r="T92" s="284"/>
      <c r="U92" s="284"/>
      <c r="V92" s="284"/>
      <c r="W92" s="284"/>
      <c r="X92" s="284"/>
      <c r="Y92" s="284"/>
      <c r="Z92" s="23" t="s">
        <v>900</v>
      </c>
      <c r="AA92" s="284"/>
      <c r="AB92" s="284"/>
      <c r="AC92" s="284"/>
      <c r="AD92" s="284"/>
      <c r="AE92" s="284"/>
      <c r="AF92" s="284"/>
      <c r="AH92" s="3"/>
      <c r="AJ92" s="3"/>
      <c r="AL92" s="3"/>
      <c r="AN92" s="3"/>
      <c r="AP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</row>
    <row r="93" spans="1:78" ht="15" customHeight="1" x14ac:dyDescent="0.25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3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  <c r="AD93" s="284"/>
      <c r="AE93" s="284"/>
      <c r="AF93" s="284"/>
      <c r="AH93" s="3"/>
      <c r="AJ93" s="3"/>
      <c r="AL93" s="3"/>
      <c r="AN93" s="3"/>
      <c r="AP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</row>
    <row r="94" spans="1:78" ht="15" customHeight="1" x14ac:dyDescent="0.25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3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  <c r="AD94" s="284"/>
      <c r="AE94" s="284"/>
      <c r="AF94" s="284"/>
      <c r="AH94" s="3"/>
      <c r="AJ94" s="3"/>
      <c r="AL94" s="3"/>
      <c r="AN94" s="3"/>
      <c r="AP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</row>
    <row r="95" spans="1:78" ht="15" customHeight="1" x14ac:dyDescent="0.25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3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  <c r="AE95" s="284"/>
      <c r="AF95" s="284"/>
      <c r="AH95" s="3"/>
      <c r="AJ95" s="3"/>
      <c r="AL95" s="3"/>
      <c r="AN95" s="3"/>
      <c r="AP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</row>
    <row r="96" spans="1:78" ht="15" customHeight="1" x14ac:dyDescent="0.25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3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  <c r="AD96" s="284"/>
      <c r="AE96" s="284"/>
      <c r="AF96" s="284"/>
      <c r="AH96" s="3"/>
      <c r="AJ96" s="3"/>
      <c r="AL96" s="3"/>
      <c r="AN96" s="3"/>
      <c r="AP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</row>
    <row r="97" spans="34:78" ht="15" customHeight="1" x14ac:dyDescent="0.25">
      <c r="AH97" s="3"/>
      <c r="AJ97" s="3"/>
      <c r="AL97" s="3"/>
      <c r="AN97" s="3"/>
      <c r="AP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</row>
    <row r="98" spans="34:78" ht="15" customHeight="1" x14ac:dyDescent="0.25">
      <c r="AH98" s="3"/>
      <c r="AJ98" s="3"/>
      <c r="AL98" s="3"/>
      <c r="AN98" s="3"/>
      <c r="AP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</row>
    <row r="99" spans="34:78" ht="15" customHeight="1" x14ac:dyDescent="0.25">
      <c r="AH99" s="3"/>
      <c r="AJ99" s="3"/>
      <c r="AL99" s="3"/>
      <c r="AN99" s="3"/>
      <c r="AP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</row>
  </sheetData>
  <dataConsolidate/>
  <pageMargins left="0.25" right="0.25" top="0.75" bottom="0.75" header="0.3" footer="0.3"/>
  <pageSetup scale="37" orientation="portrait" horizontalDpi="4294967294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3" name="Button 1">
              <controlPr defaultSize="0" print="0" autoFill="0" autoPict="0" macro="[0]!Sheet03.BuildConfigSheets">
                <anchor moveWithCells="1" sizeWithCells="1">
                  <from>
                    <xdr:col>21</xdr:col>
                    <xdr:colOff>30480</xdr:colOff>
                    <xdr:row>0</xdr:row>
                    <xdr:rowOff>76200</xdr:rowOff>
                  </from>
                  <to>
                    <xdr:col>22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4" name="Button 2">
              <controlPr defaultSize="0" print="0" autoFill="0" autoPict="0" macro="[0]!Sheet03.BuildConfigSheets">
                <anchor moveWithCells="1" sizeWithCells="1">
                  <from>
                    <xdr:col>25</xdr:col>
                    <xdr:colOff>30480</xdr:colOff>
                    <xdr:row>0</xdr:row>
                    <xdr:rowOff>76200</xdr:rowOff>
                  </from>
                  <to>
                    <xdr:col>26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5" name="Button 3">
              <controlPr defaultSize="0" print="0" autoFill="0" autoPict="0" macro="[0]!Sheet03.BuildConfigSheets">
                <anchor moveWithCells="1" sizeWithCells="1">
                  <from>
                    <xdr:col>29</xdr:col>
                    <xdr:colOff>30480</xdr:colOff>
                    <xdr:row>0</xdr:row>
                    <xdr:rowOff>76200</xdr:rowOff>
                  </from>
                  <to>
                    <xdr:col>30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6" name="Button 4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7" name="Button 5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8" name="Button 6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1571"/>
  <sheetViews>
    <sheetView workbookViewId="0"/>
  </sheetViews>
  <sheetFormatPr defaultColWidth="14.6640625" defaultRowHeight="13.2" x14ac:dyDescent="0.25"/>
  <cols>
    <col min="1" max="1" width="14.6640625" style="50"/>
    <col min="2" max="25" width="20.6640625" customWidth="1"/>
    <col min="26" max="26" width="10.6640625" customWidth="1"/>
    <col min="27" max="28" width="20.6640625" customWidth="1"/>
    <col min="29" max="29" width="10.6640625" customWidth="1"/>
  </cols>
  <sheetData>
    <row r="1" spans="1:29" ht="24.6" x14ac:dyDescent="0.25">
      <c r="A1" s="51" t="e">
        <f ca="1">_PROJECTNAME_&amp;" - v"&amp;#REF!&amp;" - "&amp;MID(CELL("filename",A1),FIND("]",CELL("filename",A1))+1,255)</f>
        <v>#REF!</v>
      </c>
      <c r="B1" s="21"/>
      <c r="C1" s="26"/>
      <c r="D1" s="26"/>
      <c r="E1" s="56"/>
      <c r="F1" s="61"/>
      <c r="G1" s="57"/>
      <c r="H1" s="58"/>
      <c r="I1" s="59"/>
      <c r="J1" s="60"/>
      <c r="K1" s="60"/>
      <c r="L1" s="60"/>
    </row>
    <row r="2" spans="1:29" ht="15.75" customHeight="1" x14ac:dyDescent="0.25">
      <c r="A2" s="48"/>
      <c r="B2" s="31"/>
      <c r="C2" s="33"/>
      <c r="D2" s="33"/>
      <c r="E2" s="33"/>
      <c r="F2" s="62"/>
      <c r="G2" s="34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x14ac:dyDescent="0.25">
      <c r="A3" s="32" t="s">
        <v>9</v>
      </c>
      <c r="B3" s="36" t="s">
        <v>872</v>
      </c>
      <c r="C3" s="32" t="s">
        <v>10</v>
      </c>
      <c r="D3" s="63" t="s">
        <v>277</v>
      </c>
      <c r="E3" s="32" t="s">
        <v>259</v>
      </c>
      <c r="F3" s="37" t="s">
        <v>260</v>
      </c>
      <c r="G3" s="37"/>
      <c r="H3" s="37"/>
      <c r="I3" s="63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3.8" thickBot="1" x14ac:dyDescent="0.3">
      <c r="A4" s="38" t="s">
        <v>11</v>
      </c>
      <c r="B4" s="39" t="s">
        <v>12</v>
      </c>
      <c r="C4" s="40" t="s">
        <v>209</v>
      </c>
      <c r="D4" s="40" t="s">
        <v>210</v>
      </c>
      <c r="E4" s="40" t="s">
        <v>211</v>
      </c>
      <c r="F4" s="40" t="s">
        <v>212</v>
      </c>
      <c r="G4" s="40">
        <v>11</v>
      </c>
      <c r="H4" s="40" t="s">
        <v>213</v>
      </c>
      <c r="I4" s="40" t="s">
        <v>214</v>
      </c>
      <c r="J4" s="40" t="s">
        <v>215</v>
      </c>
      <c r="K4" s="40" t="s">
        <v>216</v>
      </c>
      <c r="L4" s="40" t="s">
        <v>217</v>
      </c>
      <c r="M4" s="40" t="s">
        <v>218</v>
      </c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1"/>
      <c r="AA4" s="45"/>
      <c r="AB4" s="45"/>
      <c r="AC4" s="41"/>
    </row>
    <row r="5" spans="1:29" x14ac:dyDescent="0.25">
      <c r="A5" s="38" t="s">
        <v>5</v>
      </c>
      <c r="B5" s="80" t="s">
        <v>185</v>
      </c>
      <c r="C5" s="79" t="s">
        <v>187</v>
      </c>
      <c r="D5" s="80" t="s">
        <v>189</v>
      </c>
      <c r="E5" s="79" t="s">
        <v>191</v>
      </c>
      <c r="F5" s="80" t="s">
        <v>193</v>
      </c>
      <c r="G5" s="85" t="s">
        <v>195</v>
      </c>
      <c r="H5" s="80" t="s">
        <v>197</v>
      </c>
      <c r="I5" s="79" t="s">
        <v>199</v>
      </c>
      <c r="J5" s="80" t="s">
        <v>201</v>
      </c>
      <c r="K5" s="79" t="s">
        <v>203</v>
      </c>
      <c r="L5" s="80" t="s">
        <v>205</v>
      </c>
      <c r="M5" s="77" t="s">
        <v>207</v>
      </c>
      <c r="N5" s="86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8"/>
      <c r="AA5" s="87"/>
      <c r="AB5" s="87"/>
      <c r="AC5" s="41"/>
    </row>
    <row r="6" spans="1:29" x14ac:dyDescent="0.25">
      <c r="A6" s="38" t="s">
        <v>8</v>
      </c>
      <c r="B6" s="81" t="s">
        <v>49</v>
      </c>
      <c r="C6" s="75" t="s">
        <v>49</v>
      </c>
      <c r="D6" s="81" t="s">
        <v>49</v>
      </c>
      <c r="E6" s="75" t="s">
        <v>49</v>
      </c>
      <c r="F6" s="81" t="s">
        <v>49</v>
      </c>
      <c r="G6" s="89" t="s">
        <v>49</v>
      </c>
      <c r="H6" s="81" t="s">
        <v>49</v>
      </c>
      <c r="I6" s="75" t="s">
        <v>49</v>
      </c>
      <c r="J6" s="81" t="s">
        <v>49</v>
      </c>
      <c r="K6" s="75" t="s">
        <v>49</v>
      </c>
      <c r="L6" s="81" t="s">
        <v>49</v>
      </c>
      <c r="M6" s="76" t="s">
        <v>49</v>
      </c>
      <c r="N6" s="86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8"/>
      <c r="AA6" s="87"/>
      <c r="AB6" s="87"/>
      <c r="AC6" s="41"/>
    </row>
    <row r="7" spans="1:29" x14ac:dyDescent="0.25">
      <c r="A7" s="38" t="s">
        <v>19</v>
      </c>
      <c r="B7" s="84" t="s">
        <v>54</v>
      </c>
      <c r="C7" s="75" t="s">
        <v>56</v>
      </c>
      <c r="D7" s="81" t="s">
        <v>58</v>
      </c>
      <c r="E7" s="75" t="s">
        <v>60</v>
      </c>
      <c r="F7" s="81" t="s">
        <v>62</v>
      </c>
      <c r="G7" s="89" t="s">
        <v>64</v>
      </c>
      <c r="H7" s="81" t="s">
        <v>66</v>
      </c>
      <c r="I7" s="75" t="s">
        <v>68</v>
      </c>
      <c r="J7" s="81" t="s">
        <v>70</v>
      </c>
      <c r="K7" s="75" t="s">
        <v>72</v>
      </c>
      <c r="L7" s="81" t="s">
        <v>74</v>
      </c>
      <c r="M7" s="76" t="s">
        <v>76</v>
      </c>
      <c r="N7" s="86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8"/>
      <c r="AA7" s="87"/>
      <c r="AB7" s="87"/>
      <c r="AC7" s="41"/>
    </row>
    <row r="8" spans="1:29" x14ac:dyDescent="0.25">
      <c r="A8" s="38" t="s">
        <v>18</v>
      </c>
      <c r="B8" s="81" t="s">
        <v>78</v>
      </c>
      <c r="C8" s="75" t="s">
        <v>80</v>
      </c>
      <c r="D8" s="81" t="s">
        <v>82</v>
      </c>
      <c r="E8" s="75" t="s">
        <v>84</v>
      </c>
      <c r="F8" s="81" t="s">
        <v>86</v>
      </c>
      <c r="G8" s="89" t="s">
        <v>88</v>
      </c>
      <c r="H8" s="81" t="s">
        <v>90</v>
      </c>
      <c r="I8" s="75" t="s">
        <v>92</v>
      </c>
      <c r="J8" s="81" t="s">
        <v>94</v>
      </c>
      <c r="K8" s="75" t="s">
        <v>96</v>
      </c>
      <c r="L8" s="81" t="s">
        <v>98</v>
      </c>
      <c r="M8" s="76" t="s">
        <v>100</v>
      </c>
      <c r="N8" s="86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8"/>
      <c r="AA8" s="87"/>
      <c r="AB8" s="87"/>
      <c r="AC8" s="41"/>
    </row>
    <row r="9" spans="1:29" ht="13.8" thickBot="1" x14ac:dyDescent="0.3">
      <c r="A9" s="38" t="s">
        <v>7</v>
      </c>
      <c r="B9" s="92">
        <v>101</v>
      </c>
      <c r="C9" s="92">
        <v>101</v>
      </c>
      <c r="D9" s="92">
        <v>101</v>
      </c>
      <c r="E9" s="92">
        <v>101</v>
      </c>
      <c r="F9" s="92">
        <v>101</v>
      </c>
      <c r="G9" s="93">
        <v>101</v>
      </c>
      <c r="H9" s="92">
        <v>101</v>
      </c>
      <c r="I9" s="92">
        <v>101</v>
      </c>
      <c r="J9" s="92">
        <v>101</v>
      </c>
      <c r="K9" s="92">
        <v>101</v>
      </c>
      <c r="L9" s="92">
        <v>101</v>
      </c>
      <c r="M9" s="94">
        <v>101</v>
      </c>
      <c r="N9" s="86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8"/>
      <c r="AA9" s="87"/>
      <c r="AB9" s="87"/>
      <c r="AC9" s="41"/>
    </row>
    <row r="10" spans="1:29" ht="15.75" customHeight="1" x14ac:dyDescent="0.25">
      <c r="A10" s="38"/>
      <c r="B10" s="100"/>
      <c r="C10" s="42"/>
      <c r="D10" s="42"/>
      <c r="E10" s="42"/>
      <c r="F10" s="42"/>
      <c r="G10" s="72" t="s">
        <v>50</v>
      </c>
      <c r="H10" s="42"/>
      <c r="I10" s="42"/>
      <c r="J10" s="42"/>
      <c r="K10" s="42"/>
      <c r="L10" s="42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1"/>
      <c r="AA10" s="42"/>
      <c r="AB10" s="42"/>
      <c r="AC10" s="41"/>
    </row>
    <row r="11" spans="1:29" ht="13.8" thickBot="1" x14ac:dyDescent="0.3">
      <c r="A11" s="38" t="s">
        <v>11</v>
      </c>
      <c r="B11" s="43" t="s">
        <v>13</v>
      </c>
      <c r="C11" s="40" t="s">
        <v>221</v>
      </c>
      <c r="D11" s="40" t="s">
        <v>222</v>
      </c>
      <c r="E11" s="40" t="s">
        <v>223</v>
      </c>
      <c r="F11" s="40" t="s">
        <v>224</v>
      </c>
      <c r="G11" s="39">
        <v>12</v>
      </c>
      <c r="H11" s="40" t="s">
        <v>225</v>
      </c>
      <c r="I11" s="40" t="s">
        <v>226</v>
      </c>
      <c r="J11" s="40" t="s">
        <v>227</v>
      </c>
      <c r="K11" s="40" t="s">
        <v>228</v>
      </c>
      <c r="L11" s="40" t="s">
        <v>229</v>
      </c>
      <c r="M11" s="45" t="s">
        <v>230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1"/>
      <c r="AA11" s="40">
        <v>25</v>
      </c>
      <c r="AB11" s="40">
        <v>26</v>
      </c>
      <c r="AC11" s="41"/>
    </row>
    <row r="12" spans="1:29" x14ac:dyDescent="0.25">
      <c r="A12" s="38" t="s">
        <v>5</v>
      </c>
      <c r="B12" s="80" t="s">
        <v>186</v>
      </c>
      <c r="C12" s="79" t="s">
        <v>188</v>
      </c>
      <c r="D12" s="80" t="s">
        <v>190</v>
      </c>
      <c r="E12" s="79" t="s">
        <v>192</v>
      </c>
      <c r="F12" s="80" t="s">
        <v>194</v>
      </c>
      <c r="G12" s="85" t="s">
        <v>196</v>
      </c>
      <c r="H12" s="80" t="s">
        <v>198</v>
      </c>
      <c r="I12" s="79" t="s">
        <v>200</v>
      </c>
      <c r="J12" s="80" t="s">
        <v>202</v>
      </c>
      <c r="K12" s="79" t="s">
        <v>204</v>
      </c>
      <c r="L12" s="80" t="s">
        <v>206</v>
      </c>
      <c r="M12" s="77" t="s">
        <v>208</v>
      </c>
      <c r="N12" s="86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8"/>
      <c r="AA12" s="80" t="s">
        <v>293</v>
      </c>
      <c r="AB12" s="79" t="s">
        <v>294</v>
      </c>
      <c r="AC12" s="41"/>
    </row>
    <row r="13" spans="1:29" x14ac:dyDescent="0.25">
      <c r="A13" s="38" t="s">
        <v>8</v>
      </c>
      <c r="B13" s="81" t="s">
        <v>49</v>
      </c>
      <c r="C13" s="75" t="s">
        <v>49</v>
      </c>
      <c r="D13" s="81" t="s">
        <v>49</v>
      </c>
      <c r="E13" s="75" t="s">
        <v>49</v>
      </c>
      <c r="F13" s="81" t="s">
        <v>49</v>
      </c>
      <c r="G13" s="89" t="s">
        <v>49</v>
      </c>
      <c r="H13" s="81" t="s">
        <v>49</v>
      </c>
      <c r="I13" s="75" t="s">
        <v>49</v>
      </c>
      <c r="J13" s="81" t="s">
        <v>49</v>
      </c>
      <c r="K13" s="75" t="s">
        <v>49</v>
      </c>
      <c r="L13" s="81" t="s">
        <v>49</v>
      </c>
      <c r="M13" s="76" t="s">
        <v>49</v>
      </c>
      <c r="N13" s="86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8"/>
      <c r="AA13" s="81" t="s">
        <v>278</v>
      </c>
      <c r="AB13" s="75" t="s">
        <v>258</v>
      </c>
      <c r="AC13" s="41"/>
    </row>
    <row r="14" spans="1:29" x14ac:dyDescent="0.25">
      <c r="A14" s="38" t="s">
        <v>19</v>
      </c>
      <c r="B14" s="81" t="s">
        <v>55</v>
      </c>
      <c r="C14" s="75" t="s">
        <v>57</v>
      </c>
      <c r="D14" s="81" t="s">
        <v>59</v>
      </c>
      <c r="E14" s="75" t="s">
        <v>61</v>
      </c>
      <c r="F14" s="81" t="s">
        <v>63</v>
      </c>
      <c r="G14" s="89" t="s">
        <v>65</v>
      </c>
      <c r="H14" s="81" t="s">
        <v>67</v>
      </c>
      <c r="I14" s="75" t="s">
        <v>69</v>
      </c>
      <c r="J14" s="81" t="s">
        <v>71</v>
      </c>
      <c r="K14" s="75" t="s">
        <v>73</v>
      </c>
      <c r="L14" s="81" t="s">
        <v>75</v>
      </c>
      <c r="M14" s="76" t="s">
        <v>77</v>
      </c>
      <c r="N14" s="86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8"/>
      <c r="AA14" s="84" t="s">
        <v>279</v>
      </c>
      <c r="AB14" s="75" t="s">
        <v>270</v>
      </c>
      <c r="AC14" s="41"/>
    </row>
    <row r="15" spans="1:29" x14ac:dyDescent="0.25">
      <c r="A15" s="38" t="s">
        <v>18</v>
      </c>
      <c r="B15" s="81" t="s">
        <v>79</v>
      </c>
      <c r="C15" s="75" t="s">
        <v>81</v>
      </c>
      <c r="D15" s="81" t="s">
        <v>83</v>
      </c>
      <c r="E15" s="75" t="s">
        <v>85</v>
      </c>
      <c r="F15" s="81" t="s">
        <v>87</v>
      </c>
      <c r="G15" s="89" t="s">
        <v>89</v>
      </c>
      <c r="H15" s="81" t="s">
        <v>91</v>
      </c>
      <c r="I15" s="75" t="s">
        <v>93</v>
      </c>
      <c r="J15" s="81" t="s">
        <v>95</v>
      </c>
      <c r="K15" s="75" t="s">
        <v>97</v>
      </c>
      <c r="L15" s="81" t="s">
        <v>99</v>
      </c>
      <c r="M15" s="76" t="s">
        <v>101</v>
      </c>
      <c r="N15" s="86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8"/>
      <c r="AA15" s="81"/>
      <c r="AB15" s="75"/>
      <c r="AC15" s="41"/>
    </row>
    <row r="16" spans="1:29" ht="13.8" thickBot="1" x14ac:dyDescent="0.3">
      <c r="A16" s="38" t="s">
        <v>7</v>
      </c>
      <c r="B16" s="92">
        <v>101</v>
      </c>
      <c r="C16" s="92">
        <v>101</v>
      </c>
      <c r="D16" s="92">
        <v>101</v>
      </c>
      <c r="E16" s="92">
        <v>101</v>
      </c>
      <c r="F16" s="92">
        <v>101</v>
      </c>
      <c r="G16" s="93">
        <v>101</v>
      </c>
      <c r="H16" s="92">
        <v>101</v>
      </c>
      <c r="I16" s="92">
        <v>101</v>
      </c>
      <c r="J16" s="92">
        <v>101</v>
      </c>
      <c r="K16" s="92">
        <v>101</v>
      </c>
      <c r="L16" s="92">
        <v>101</v>
      </c>
      <c r="M16" s="94">
        <v>101</v>
      </c>
      <c r="N16" s="86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8"/>
      <c r="AA16" s="92" t="s">
        <v>295</v>
      </c>
      <c r="AB16" s="92" t="s">
        <v>295</v>
      </c>
      <c r="AC16" s="41"/>
    </row>
    <row r="17" spans="1:29" x14ac:dyDescent="0.25">
      <c r="A17" s="49"/>
      <c r="B17" s="41"/>
      <c r="C17" s="41"/>
      <c r="D17" s="41"/>
      <c r="E17" s="41"/>
      <c r="F17" s="41"/>
      <c r="G17" s="73" t="s">
        <v>50</v>
      </c>
      <c r="H17" s="41"/>
      <c r="I17" s="41"/>
      <c r="J17" s="41"/>
      <c r="K17" s="41"/>
      <c r="L17" s="41"/>
      <c r="M17" s="41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1"/>
      <c r="AA17" s="41"/>
      <c r="AB17" s="41"/>
      <c r="AC17" s="41"/>
    </row>
    <row r="18" spans="1:29" ht="15.75" customHeight="1" x14ac:dyDescent="0.25">
      <c r="A18" s="48"/>
      <c r="B18" s="31"/>
      <c r="C18" s="33"/>
      <c r="D18" s="33"/>
      <c r="E18" s="33"/>
      <c r="F18" s="33"/>
      <c r="G18" s="62" t="s">
        <v>50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spans="1:29" ht="15.75" customHeight="1" x14ac:dyDescent="0.25">
      <c r="A19" s="48"/>
      <c r="B19" s="31"/>
      <c r="C19" s="33"/>
      <c r="D19" s="33"/>
      <c r="E19" s="33"/>
      <c r="F19" s="33"/>
      <c r="G19" s="62" t="s">
        <v>50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spans="1:29" x14ac:dyDescent="0.25">
      <c r="A20" s="32" t="s">
        <v>9</v>
      </c>
      <c r="B20" s="36" t="s">
        <v>184</v>
      </c>
      <c r="C20" s="32" t="s">
        <v>10</v>
      </c>
      <c r="D20" s="63" t="s">
        <v>280</v>
      </c>
      <c r="E20" s="32" t="s">
        <v>259</v>
      </c>
      <c r="F20" s="37" t="s">
        <v>261</v>
      </c>
      <c r="G20" s="63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3.8" thickBot="1" x14ac:dyDescent="0.3">
      <c r="A21" s="38" t="s">
        <v>11</v>
      </c>
      <c r="B21" s="39" t="s">
        <v>12</v>
      </c>
      <c r="C21" s="40" t="s">
        <v>209</v>
      </c>
      <c r="D21" s="40" t="s">
        <v>210</v>
      </c>
      <c r="E21" s="40" t="s">
        <v>211</v>
      </c>
      <c r="F21" s="40" t="s">
        <v>212</v>
      </c>
      <c r="G21" s="39">
        <v>11</v>
      </c>
      <c r="H21" s="40" t="s">
        <v>213</v>
      </c>
      <c r="I21" s="40" t="s">
        <v>214</v>
      </c>
      <c r="J21" s="40" t="s">
        <v>215</v>
      </c>
      <c r="K21" s="40" t="s">
        <v>216</v>
      </c>
      <c r="L21" s="40" t="s">
        <v>217</v>
      </c>
      <c r="M21" s="40" t="s">
        <v>218</v>
      </c>
      <c r="N21" s="40" t="s">
        <v>219</v>
      </c>
      <c r="O21" s="40" t="s">
        <v>220</v>
      </c>
      <c r="P21" s="40" t="s">
        <v>231</v>
      </c>
      <c r="Q21" s="40" t="s">
        <v>232</v>
      </c>
      <c r="R21" s="40" t="s">
        <v>233</v>
      </c>
      <c r="S21" s="40" t="s">
        <v>234</v>
      </c>
      <c r="T21" s="40" t="s">
        <v>235</v>
      </c>
      <c r="U21" s="40" t="s">
        <v>236</v>
      </c>
      <c r="V21" s="40" t="s">
        <v>237</v>
      </c>
      <c r="W21" s="40" t="s">
        <v>238</v>
      </c>
      <c r="X21" s="40" t="s">
        <v>239</v>
      </c>
      <c r="Y21" s="40" t="s">
        <v>240</v>
      </c>
      <c r="Z21" s="41"/>
      <c r="AA21" s="40" t="str">
        <f>TEXT(Y21+2,"00")</f>
        <v>49</v>
      </c>
      <c r="AB21" s="40" t="str">
        <f>TEXT(AA21+2,"00")</f>
        <v>51</v>
      </c>
      <c r="AC21" s="41"/>
    </row>
    <row r="22" spans="1:29" ht="13.35" customHeight="1" x14ac:dyDescent="0.25">
      <c r="A22" s="38" t="s">
        <v>5</v>
      </c>
      <c r="B22" s="80" t="s">
        <v>297</v>
      </c>
      <c r="C22" s="79" t="s">
        <v>310</v>
      </c>
      <c r="D22" s="80" t="s">
        <v>133</v>
      </c>
      <c r="E22" s="79" t="s">
        <v>131</v>
      </c>
      <c r="F22" s="80" t="s">
        <v>137</v>
      </c>
      <c r="G22" s="85" t="s">
        <v>146</v>
      </c>
      <c r="H22" s="80" t="s">
        <v>148</v>
      </c>
      <c r="I22" s="79" t="s">
        <v>150</v>
      </c>
      <c r="J22" s="80" t="s">
        <v>241</v>
      </c>
      <c r="K22" s="79" t="s">
        <v>243</v>
      </c>
      <c r="L22" s="80" t="s">
        <v>245</v>
      </c>
      <c r="M22" s="77" t="s">
        <v>249</v>
      </c>
      <c r="N22" s="80" t="s">
        <v>251</v>
      </c>
      <c r="O22" s="79" t="s">
        <v>253</v>
      </c>
      <c r="P22" s="80" t="s">
        <v>255</v>
      </c>
      <c r="Q22" s="79" t="s">
        <v>241</v>
      </c>
      <c r="R22" s="80" t="s">
        <v>243</v>
      </c>
      <c r="S22" s="77"/>
      <c r="T22" s="80"/>
      <c r="U22" s="79" t="s">
        <v>247</v>
      </c>
      <c r="V22" s="80" t="s">
        <v>248</v>
      </c>
      <c r="W22" s="79" t="s">
        <v>113</v>
      </c>
      <c r="X22" s="80" t="s">
        <v>113</v>
      </c>
      <c r="Y22" s="77" t="s">
        <v>115</v>
      </c>
      <c r="Z22" s="88"/>
      <c r="AA22" s="80"/>
      <c r="AB22" s="79"/>
      <c r="AC22" s="41"/>
    </row>
    <row r="23" spans="1:29" ht="13.35" customHeight="1" x14ac:dyDescent="0.25">
      <c r="A23" s="38" t="s">
        <v>8</v>
      </c>
      <c r="B23" s="81" t="s">
        <v>308</v>
      </c>
      <c r="C23" s="75" t="s">
        <v>257</v>
      </c>
      <c r="D23" s="81" t="s">
        <v>22</v>
      </c>
      <c r="E23" s="75" t="s">
        <v>22</v>
      </c>
      <c r="F23" s="81" t="s">
        <v>22</v>
      </c>
      <c r="G23" s="89" t="s">
        <v>22</v>
      </c>
      <c r="H23" s="81" t="s">
        <v>22</v>
      </c>
      <c r="I23" s="75" t="s">
        <v>22</v>
      </c>
      <c r="J23" s="81" t="s">
        <v>31</v>
      </c>
      <c r="K23" s="75" t="s">
        <v>31</v>
      </c>
      <c r="L23" s="81" t="s">
        <v>31</v>
      </c>
      <c r="M23" s="76" t="s">
        <v>31</v>
      </c>
      <c r="N23" s="81" t="s">
        <v>31</v>
      </c>
      <c r="O23" s="75" t="s">
        <v>31</v>
      </c>
      <c r="P23" s="81" t="s">
        <v>31</v>
      </c>
      <c r="Q23" s="75" t="s">
        <v>312</v>
      </c>
      <c r="R23" s="81" t="s">
        <v>312</v>
      </c>
      <c r="S23" s="76" t="s">
        <v>50</v>
      </c>
      <c r="T23" s="81" t="s">
        <v>50</v>
      </c>
      <c r="U23" s="75" t="s">
        <v>111</v>
      </c>
      <c r="V23" s="81" t="s">
        <v>111</v>
      </c>
      <c r="W23" s="75" t="s">
        <v>114</v>
      </c>
      <c r="X23" s="81" t="s">
        <v>114</v>
      </c>
      <c r="Y23" s="76" t="s">
        <v>114</v>
      </c>
      <c r="Z23" s="88"/>
      <c r="AA23" s="81" t="s">
        <v>50</v>
      </c>
      <c r="AB23" s="75" t="s">
        <v>50</v>
      </c>
      <c r="AC23" s="41"/>
    </row>
    <row r="24" spans="1:29" ht="13.35" customHeight="1" x14ac:dyDescent="0.25">
      <c r="A24" s="38" t="s">
        <v>19</v>
      </c>
      <c r="B24" s="84" t="s">
        <v>166</v>
      </c>
      <c r="C24" s="75" t="s">
        <v>271</v>
      </c>
      <c r="D24" s="81" t="s">
        <v>152</v>
      </c>
      <c r="E24" s="75" t="s">
        <v>153</v>
      </c>
      <c r="F24" s="81" t="s">
        <v>154</v>
      </c>
      <c r="G24" s="89" t="s">
        <v>155</v>
      </c>
      <c r="H24" s="81" t="s">
        <v>156</v>
      </c>
      <c r="I24" s="75" t="s">
        <v>157</v>
      </c>
      <c r="J24" s="81" t="s">
        <v>102</v>
      </c>
      <c r="K24" s="75" t="s">
        <v>104</v>
      </c>
      <c r="L24" s="81" t="s">
        <v>108</v>
      </c>
      <c r="M24" s="76" t="s">
        <v>173</v>
      </c>
      <c r="N24" s="81" t="s">
        <v>175</v>
      </c>
      <c r="O24" s="75" t="s">
        <v>177</v>
      </c>
      <c r="P24" s="81" t="s">
        <v>179</v>
      </c>
      <c r="Q24" s="91" t="s">
        <v>304</v>
      </c>
      <c r="R24" s="84" t="s">
        <v>306</v>
      </c>
      <c r="S24" s="76"/>
      <c r="T24" s="81"/>
      <c r="U24" s="75" t="s">
        <v>122</v>
      </c>
      <c r="V24" s="81" t="s">
        <v>124</v>
      </c>
      <c r="W24" s="75" t="s">
        <v>116</v>
      </c>
      <c r="X24" s="81" t="s">
        <v>118</v>
      </c>
      <c r="Y24" s="76" t="s">
        <v>120</v>
      </c>
      <c r="Z24" s="88"/>
      <c r="AA24" s="81"/>
      <c r="AB24" s="75"/>
      <c r="AC24" s="41"/>
    </row>
    <row r="25" spans="1:29" ht="13.35" customHeight="1" x14ac:dyDescent="0.25">
      <c r="A25" s="38" t="s">
        <v>18</v>
      </c>
      <c r="B25" s="81"/>
      <c r="C25" s="75"/>
      <c r="D25" s="81" t="s">
        <v>128</v>
      </c>
      <c r="E25" s="75" t="s">
        <v>130</v>
      </c>
      <c r="F25" s="81" t="s">
        <v>135</v>
      </c>
      <c r="G25" s="89" t="s">
        <v>140</v>
      </c>
      <c r="H25" s="81" t="s">
        <v>142</v>
      </c>
      <c r="I25" s="75" t="s">
        <v>144</v>
      </c>
      <c r="J25" s="81" t="s">
        <v>274</v>
      </c>
      <c r="K25" s="75" t="s">
        <v>276</v>
      </c>
      <c r="L25" s="81" t="s">
        <v>106</v>
      </c>
      <c r="M25" s="76" t="s">
        <v>158</v>
      </c>
      <c r="N25" s="81" t="s">
        <v>160</v>
      </c>
      <c r="O25" s="75" t="s">
        <v>162</v>
      </c>
      <c r="P25" s="81" t="s">
        <v>164</v>
      </c>
      <c r="Q25" s="75" t="s">
        <v>299</v>
      </c>
      <c r="R25" s="81" t="s">
        <v>301</v>
      </c>
      <c r="S25" s="76"/>
      <c r="T25" s="81"/>
      <c r="U25" s="75" t="s">
        <v>182</v>
      </c>
      <c r="V25" s="81" t="s">
        <v>183</v>
      </c>
      <c r="W25" s="75" t="s">
        <v>302</v>
      </c>
      <c r="X25" s="81" t="s">
        <v>302</v>
      </c>
      <c r="Y25" s="76" t="s">
        <v>302</v>
      </c>
      <c r="Z25" s="88"/>
      <c r="AA25" s="81"/>
      <c r="AB25" s="75"/>
      <c r="AC25" s="41"/>
    </row>
    <row r="26" spans="1:29" ht="13.35" customHeight="1" thickBot="1" x14ac:dyDescent="0.3">
      <c r="A26" s="38" t="s">
        <v>7</v>
      </c>
      <c r="B26" s="95" t="s">
        <v>172</v>
      </c>
      <c r="C26" s="96" t="s">
        <v>172</v>
      </c>
      <c r="D26" s="96" t="s">
        <v>172</v>
      </c>
      <c r="E26" s="96" t="s">
        <v>172</v>
      </c>
      <c r="F26" s="96" t="s">
        <v>172</v>
      </c>
      <c r="G26" s="97" t="s">
        <v>172</v>
      </c>
      <c r="H26" s="96" t="s">
        <v>172</v>
      </c>
      <c r="I26" s="96" t="s">
        <v>172</v>
      </c>
      <c r="J26" s="92" t="s">
        <v>172</v>
      </c>
      <c r="K26" s="92" t="s">
        <v>172</v>
      </c>
      <c r="L26" s="92" t="s">
        <v>172</v>
      </c>
      <c r="M26" s="94" t="s">
        <v>172</v>
      </c>
      <c r="N26" s="92" t="s">
        <v>172</v>
      </c>
      <c r="O26" s="92" t="s">
        <v>172</v>
      </c>
      <c r="P26" s="92" t="s">
        <v>172</v>
      </c>
      <c r="Q26" s="95">
        <v>110</v>
      </c>
      <c r="R26" s="95">
        <v>110</v>
      </c>
      <c r="S26" s="78"/>
      <c r="T26" s="95"/>
      <c r="U26" s="95">
        <v>110</v>
      </c>
      <c r="V26" s="95">
        <v>110</v>
      </c>
      <c r="W26" s="95">
        <v>110</v>
      </c>
      <c r="X26" s="95">
        <v>110</v>
      </c>
      <c r="Y26" s="99">
        <v>110</v>
      </c>
      <c r="Z26" s="88"/>
      <c r="AA26" s="83"/>
      <c r="AB26" s="82"/>
      <c r="AC26" s="41"/>
    </row>
    <row r="27" spans="1:29" x14ac:dyDescent="0.25">
      <c r="A27" s="38"/>
      <c r="B27" s="100"/>
      <c r="C27" s="42"/>
      <c r="D27" s="42"/>
      <c r="E27" s="42"/>
      <c r="F27" s="42"/>
      <c r="G27" s="72" t="s">
        <v>50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1"/>
      <c r="AA27" s="42"/>
      <c r="AB27" s="42"/>
      <c r="AC27" s="41"/>
    </row>
    <row r="28" spans="1:29" ht="13.8" thickBot="1" x14ac:dyDescent="0.3">
      <c r="A28" s="38" t="s">
        <v>11</v>
      </c>
      <c r="B28" s="43" t="s">
        <v>13</v>
      </c>
      <c r="C28" s="40" t="str">
        <f>TEXT(B28+2,"00")</f>
        <v>04</v>
      </c>
      <c r="D28" s="40" t="str">
        <f>TEXT(C28+2,"00")</f>
        <v>06</v>
      </c>
      <c r="E28" s="40" t="str">
        <f>TEXT(D28+2,"00")</f>
        <v>08</v>
      </c>
      <c r="F28" s="40" t="str">
        <f>TEXT(E28+2,"00")</f>
        <v>10</v>
      </c>
      <c r="G28" s="39">
        <v>12</v>
      </c>
      <c r="H28" s="40" t="str">
        <f t="shared" ref="H28:Y28" si="0">TEXT(G28+2,"00")</f>
        <v>14</v>
      </c>
      <c r="I28" s="40" t="str">
        <f t="shared" si="0"/>
        <v>16</v>
      </c>
      <c r="J28" s="40" t="str">
        <f t="shared" si="0"/>
        <v>18</v>
      </c>
      <c r="K28" s="40" t="str">
        <f t="shared" si="0"/>
        <v>20</v>
      </c>
      <c r="L28" s="40" t="str">
        <f t="shared" si="0"/>
        <v>22</v>
      </c>
      <c r="M28" s="40" t="str">
        <f t="shared" si="0"/>
        <v>24</v>
      </c>
      <c r="N28" s="40" t="str">
        <f t="shared" si="0"/>
        <v>26</v>
      </c>
      <c r="O28" s="40" t="str">
        <f t="shared" si="0"/>
        <v>28</v>
      </c>
      <c r="P28" s="40" t="str">
        <f t="shared" si="0"/>
        <v>30</v>
      </c>
      <c r="Q28" s="40" t="str">
        <f t="shared" si="0"/>
        <v>32</v>
      </c>
      <c r="R28" s="40" t="str">
        <f t="shared" si="0"/>
        <v>34</v>
      </c>
      <c r="S28" s="40" t="str">
        <f t="shared" si="0"/>
        <v>36</v>
      </c>
      <c r="T28" s="40" t="str">
        <f t="shared" si="0"/>
        <v>38</v>
      </c>
      <c r="U28" s="40" t="str">
        <f t="shared" si="0"/>
        <v>40</v>
      </c>
      <c r="V28" s="40" t="str">
        <f t="shared" si="0"/>
        <v>42</v>
      </c>
      <c r="W28" s="40" t="str">
        <f t="shared" si="0"/>
        <v>44</v>
      </c>
      <c r="X28" s="40" t="str">
        <f t="shared" si="0"/>
        <v>46</v>
      </c>
      <c r="Y28" s="40" t="str">
        <f t="shared" si="0"/>
        <v>48</v>
      </c>
      <c r="Z28" s="41"/>
      <c r="AA28" s="40" t="str">
        <f>TEXT(Y28+2,"00")</f>
        <v>50</v>
      </c>
      <c r="AB28" s="40" t="str">
        <f>TEXT(AA28+2,"00")</f>
        <v>52</v>
      </c>
      <c r="AC28" s="41"/>
    </row>
    <row r="29" spans="1:29" x14ac:dyDescent="0.25">
      <c r="A29" s="38" t="s">
        <v>5</v>
      </c>
      <c r="B29" s="80" t="s">
        <v>298</v>
      </c>
      <c r="C29" s="79" t="s">
        <v>311</v>
      </c>
      <c r="D29" s="80" t="s">
        <v>134</v>
      </c>
      <c r="E29" s="79" t="s">
        <v>139</v>
      </c>
      <c r="F29" s="80" t="s">
        <v>138</v>
      </c>
      <c r="G29" s="85" t="s">
        <v>147</v>
      </c>
      <c r="H29" s="80" t="s">
        <v>149</v>
      </c>
      <c r="I29" s="77" t="s">
        <v>151</v>
      </c>
      <c r="J29" s="80" t="s">
        <v>242</v>
      </c>
      <c r="K29" s="79" t="s">
        <v>244</v>
      </c>
      <c r="L29" s="80" t="s">
        <v>246</v>
      </c>
      <c r="M29" s="77" t="s">
        <v>250</v>
      </c>
      <c r="N29" s="80" t="s">
        <v>252</v>
      </c>
      <c r="O29" s="79" t="s">
        <v>254</v>
      </c>
      <c r="P29" s="80" t="s">
        <v>256</v>
      </c>
      <c r="Q29" s="79" t="s">
        <v>242</v>
      </c>
      <c r="R29" s="80" t="s">
        <v>282</v>
      </c>
      <c r="S29" s="77" t="s">
        <v>289</v>
      </c>
      <c r="T29" s="80"/>
      <c r="U29" s="79" t="s">
        <v>247</v>
      </c>
      <c r="V29" s="80" t="s">
        <v>248</v>
      </c>
      <c r="W29" s="79" t="s">
        <v>113</v>
      </c>
      <c r="X29" s="80" t="s">
        <v>115</v>
      </c>
      <c r="Y29" s="77" t="s">
        <v>115</v>
      </c>
      <c r="Z29" s="88"/>
      <c r="AA29" s="80"/>
      <c r="AB29" s="79"/>
      <c r="AC29" s="41"/>
    </row>
    <row r="30" spans="1:29" x14ac:dyDescent="0.25">
      <c r="A30" s="38" t="s">
        <v>8</v>
      </c>
      <c r="B30" s="81" t="s">
        <v>309</v>
      </c>
      <c r="C30" s="75" t="s">
        <v>257</v>
      </c>
      <c r="D30" s="81" t="s">
        <v>22</v>
      </c>
      <c r="E30" s="75" t="s">
        <v>22</v>
      </c>
      <c r="F30" s="81" t="s">
        <v>22</v>
      </c>
      <c r="G30" s="89" t="s">
        <v>22</v>
      </c>
      <c r="H30" s="81" t="s">
        <v>22</v>
      </c>
      <c r="I30" s="76" t="s">
        <v>22</v>
      </c>
      <c r="J30" s="81" t="s">
        <v>31</v>
      </c>
      <c r="K30" s="75" t="s">
        <v>31</v>
      </c>
      <c r="L30" s="81" t="s">
        <v>31</v>
      </c>
      <c r="M30" s="76" t="s">
        <v>31</v>
      </c>
      <c r="N30" s="81" t="s">
        <v>31</v>
      </c>
      <c r="O30" s="75" t="s">
        <v>31</v>
      </c>
      <c r="P30" s="81" t="s">
        <v>31</v>
      </c>
      <c r="Q30" s="75" t="s">
        <v>312</v>
      </c>
      <c r="R30" s="81" t="s">
        <v>110</v>
      </c>
      <c r="S30" s="76" t="s">
        <v>292</v>
      </c>
      <c r="T30" s="81" t="s">
        <v>50</v>
      </c>
      <c r="U30" s="75" t="s">
        <v>112</v>
      </c>
      <c r="V30" s="81" t="s">
        <v>112</v>
      </c>
      <c r="W30" s="75" t="s">
        <v>114</v>
      </c>
      <c r="X30" s="81" t="s">
        <v>114</v>
      </c>
      <c r="Y30" s="76" t="s">
        <v>114</v>
      </c>
      <c r="Z30" s="88"/>
      <c r="AA30" s="81" t="s">
        <v>50</v>
      </c>
      <c r="AB30" s="75" t="s">
        <v>50</v>
      </c>
      <c r="AC30" s="41"/>
    </row>
    <row r="31" spans="1:29" ht="13.35" customHeight="1" x14ac:dyDescent="0.25">
      <c r="A31" s="38" t="s">
        <v>19</v>
      </c>
      <c r="B31" s="84" t="s">
        <v>281</v>
      </c>
      <c r="C31" s="75" t="s">
        <v>272</v>
      </c>
      <c r="D31" s="81" t="s">
        <v>152</v>
      </c>
      <c r="E31" s="75" t="s">
        <v>153</v>
      </c>
      <c r="F31" s="81" t="s">
        <v>154</v>
      </c>
      <c r="G31" s="89" t="s">
        <v>155</v>
      </c>
      <c r="H31" s="81" t="s">
        <v>156</v>
      </c>
      <c r="I31" s="76" t="s">
        <v>157</v>
      </c>
      <c r="J31" s="81" t="s">
        <v>103</v>
      </c>
      <c r="K31" s="75" t="s">
        <v>107</v>
      </c>
      <c r="L31" s="81" t="s">
        <v>109</v>
      </c>
      <c r="M31" s="76" t="s">
        <v>174</v>
      </c>
      <c r="N31" s="81" t="s">
        <v>176</v>
      </c>
      <c r="O31" s="75" t="s">
        <v>178</v>
      </c>
      <c r="P31" s="81" t="s">
        <v>180</v>
      </c>
      <c r="Q31" s="91" t="s">
        <v>305</v>
      </c>
      <c r="R31" s="84" t="s">
        <v>181</v>
      </c>
      <c r="S31" s="76" t="s">
        <v>291</v>
      </c>
      <c r="T31" s="81"/>
      <c r="U31" s="75" t="s">
        <v>123</v>
      </c>
      <c r="V31" s="81" t="s">
        <v>125</v>
      </c>
      <c r="W31" s="75" t="s">
        <v>117</v>
      </c>
      <c r="X31" s="81" t="s">
        <v>119</v>
      </c>
      <c r="Y31" s="76" t="s">
        <v>121</v>
      </c>
      <c r="Z31" s="88"/>
      <c r="AA31" s="81"/>
      <c r="AB31" s="75"/>
      <c r="AC31" s="41"/>
    </row>
    <row r="32" spans="1:29" ht="13.35" customHeight="1" x14ac:dyDescent="0.25">
      <c r="A32" s="38" t="s">
        <v>18</v>
      </c>
      <c r="B32" s="81"/>
      <c r="C32" s="75"/>
      <c r="D32" s="81" t="s">
        <v>129</v>
      </c>
      <c r="E32" s="75" t="s">
        <v>132</v>
      </c>
      <c r="F32" s="81" t="s">
        <v>136</v>
      </c>
      <c r="G32" s="89" t="s">
        <v>141</v>
      </c>
      <c r="H32" s="81" t="s">
        <v>143</v>
      </c>
      <c r="I32" s="76" t="s">
        <v>145</v>
      </c>
      <c r="J32" s="81" t="s">
        <v>275</v>
      </c>
      <c r="K32" s="75" t="s">
        <v>105</v>
      </c>
      <c r="L32" s="81" t="s">
        <v>273</v>
      </c>
      <c r="M32" s="76" t="s">
        <v>159</v>
      </c>
      <c r="N32" s="81" t="s">
        <v>161</v>
      </c>
      <c r="O32" s="75" t="s">
        <v>163</v>
      </c>
      <c r="P32" s="81" t="s">
        <v>165</v>
      </c>
      <c r="Q32" s="75" t="s">
        <v>300</v>
      </c>
      <c r="R32" s="81" t="s">
        <v>302</v>
      </c>
      <c r="S32" s="76"/>
      <c r="T32" s="81"/>
      <c r="U32" s="75" t="s">
        <v>303</v>
      </c>
      <c r="V32" s="81" t="s">
        <v>303</v>
      </c>
      <c r="W32" s="75" t="s">
        <v>302</v>
      </c>
      <c r="X32" s="81" t="s">
        <v>302</v>
      </c>
      <c r="Y32" s="76" t="s">
        <v>302</v>
      </c>
      <c r="Z32" s="88"/>
      <c r="AA32" s="81"/>
      <c r="AB32" s="75"/>
      <c r="AC32" s="41"/>
    </row>
    <row r="33" spans="1:29" ht="13.35" customHeight="1" thickBot="1" x14ac:dyDescent="0.3">
      <c r="A33" s="38" t="s">
        <v>7</v>
      </c>
      <c r="B33" s="96">
        <v>104</v>
      </c>
      <c r="C33" s="96" t="s">
        <v>172</v>
      </c>
      <c r="D33" s="96" t="s">
        <v>172</v>
      </c>
      <c r="E33" s="96" t="s">
        <v>172</v>
      </c>
      <c r="F33" s="96" t="s">
        <v>172</v>
      </c>
      <c r="G33" s="97" t="s">
        <v>172</v>
      </c>
      <c r="H33" s="96" t="s">
        <v>172</v>
      </c>
      <c r="I33" s="98" t="s">
        <v>172</v>
      </c>
      <c r="J33" s="92" t="s">
        <v>172</v>
      </c>
      <c r="K33" s="92" t="s">
        <v>172</v>
      </c>
      <c r="L33" s="92" t="s">
        <v>172</v>
      </c>
      <c r="M33" s="94" t="s">
        <v>172</v>
      </c>
      <c r="N33" s="92" t="s">
        <v>172</v>
      </c>
      <c r="O33" s="92" t="s">
        <v>172</v>
      </c>
      <c r="P33" s="92" t="s">
        <v>172</v>
      </c>
      <c r="Q33" s="95">
        <v>110</v>
      </c>
      <c r="R33" s="95">
        <v>110</v>
      </c>
      <c r="S33" s="90" t="s">
        <v>290</v>
      </c>
      <c r="T33" s="95"/>
      <c r="U33" s="95">
        <v>110</v>
      </c>
      <c r="V33" s="95">
        <v>110</v>
      </c>
      <c r="W33" s="95">
        <v>110</v>
      </c>
      <c r="X33" s="95">
        <v>110</v>
      </c>
      <c r="Y33" s="99">
        <v>110</v>
      </c>
      <c r="Z33" s="88"/>
      <c r="AA33" s="83"/>
      <c r="AB33" s="82"/>
      <c r="AC33" s="41"/>
    </row>
    <row r="34" spans="1:29" x14ac:dyDescent="0.25">
      <c r="A34" s="49"/>
      <c r="B34" s="41"/>
      <c r="C34" s="41"/>
      <c r="D34" s="41"/>
      <c r="E34" s="41"/>
      <c r="F34" s="41"/>
      <c r="G34" s="73" t="s">
        <v>50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 spans="1:29" x14ac:dyDescent="0.25">
      <c r="G35" s="74" t="s">
        <v>50</v>
      </c>
    </row>
    <row r="36" spans="1:29" x14ac:dyDescent="0.25">
      <c r="G36" s="74" t="s">
        <v>50</v>
      </c>
    </row>
    <row r="37" spans="1:29" x14ac:dyDescent="0.25">
      <c r="G37" s="74" t="s">
        <v>50</v>
      </c>
    </row>
    <row r="38" spans="1:29" x14ac:dyDescent="0.25">
      <c r="G38" s="74" t="s">
        <v>50</v>
      </c>
    </row>
    <row r="39" spans="1:29" x14ac:dyDescent="0.25">
      <c r="G39" s="74" t="s">
        <v>50</v>
      </c>
    </row>
    <row r="40" spans="1:29" x14ac:dyDescent="0.25">
      <c r="G40" s="74" t="s">
        <v>50</v>
      </c>
    </row>
    <row r="41" spans="1:29" x14ac:dyDescent="0.25">
      <c r="G41" s="74" t="s">
        <v>50</v>
      </c>
    </row>
    <row r="42" spans="1:29" x14ac:dyDescent="0.25">
      <c r="G42" s="74" t="s">
        <v>50</v>
      </c>
    </row>
    <row r="43" spans="1:29" x14ac:dyDescent="0.25">
      <c r="G43" s="74" t="s">
        <v>50</v>
      </c>
    </row>
    <row r="44" spans="1:29" x14ac:dyDescent="0.25">
      <c r="G44" s="74" t="s">
        <v>50</v>
      </c>
    </row>
    <row r="45" spans="1:29" x14ac:dyDescent="0.25">
      <c r="G45" s="74" t="s">
        <v>50</v>
      </c>
    </row>
    <row r="46" spans="1:29" x14ac:dyDescent="0.25">
      <c r="G46" s="74" t="s">
        <v>50</v>
      </c>
    </row>
    <row r="47" spans="1:29" x14ac:dyDescent="0.25">
      <c r="G47" s="74" t="s">
        <v>50</v>
      </c>
    </row>
    <row r="48" spans="1:29" x14ac:dyDescent="0.25">
      <c r="G48" s="74" t="s">
        <v>50</v>
      </c>
    </row>
    <row r="49" spans="7:7" x14ac:dyDescent="0.25">
      <c r="G49" s="74" t="s">
        <v>50</v>
      </c>
    </row>
    <row r="50" spans="7:7" x14ac:dyDescent="0.25">
      <c r="G50" s="74" t="s">
        <v>50</v>
      </c>
    </row>
    <row r="51" spans="7:7" x14ac:dyDescent="0.25">
      <c r="G51" s="74" t="s">
        <v>50</v>
      </c>
    </row>
    <row r="52" spans="7:7" x14ac:dyDescent="0.25">
      <c r="G52" s="74" t="s">
        <v>50</v>
      </c>
    </row>
    <row r="53" spans="7:7" x14ac:dyDescent="0.25">
      <c r="G53" s="74" t="s">
        <v>50</v>
      </c>
    </row>
    <row r="54" spans="7:7" x14ac:dyDescent="0.25">
      <c r="G54" s="74" t="s">
        <v>50</v>
      </c>
    </row>
    <row r="55" spans="7:7" x14ac:dyDescent="0.25">
      <c r="G55" s="74" t="s">
        <v>50</v>
      </c>
    </row>
    <row r="56" spans="7:7" x14ac:dyDescent="0.25">
      <c r="G56" s="74" t="s">
        <v>50</v>
      </c>
    </row>
    <row r="57" spans="7:7" x14ac:dyDescent="0.25">
      <c r="G57" s="74" t="s">
        <v>50</v>
      </c>
    </row>
    <row r="58" spans="7:7" x14ac:dyDescent="0.25">
      <c r="G58" s="74" t="s">
        <v>50</v>
      </c>
    </row>
    <row r="59" spans="7:7" x14ac:dyDescent="0.25">
      <c r="G59" s="74" t="s">
        <v>50</v>
      </c>
    </row>
    <row r="60" spans="7:7" x14ac:dyDescent="0.25">
      <c r="G60" s="74" t="s">
        <v>50</v>
      </c>
    </row>
    <row r="61" spans="7:7" x14ac:dyDescent="0.25">
      <c r="G61" s="74" t="s">
        <v>50</v>
      </c>
    </row>
    <row r="62" spans="7:7" x14ac:dyDescent="0.25">
      <c r="G62" s="74" t="s">
        <v>50</v>
      </c>
    </row>
    <row r="63" spans="7:7" x14ac:dyDescent="0.25">
      <c r="G63" s="74" t="s">
        <v>50</v>
      </c>
    </row>
    <row r="64" spans="7:7" x14ac:dyDescent="0.25">
      <c r="G64" s="74" t="s">
        <v>50</v>
      </c>
    </row>
    <row r="65" spans="7:7" x14ac:dyDescent="0.25">
      <c r="G65" s="74" t="s">
        <v>50</v>
      </c>
    </row>
    <row r="66" spans="7:7" x14ac:dyDescent="0.25">
      <c r="G66" s="74" t="s">
        <v>50</v>
      </c>
    </row>
    <row r="67" spans="7:7" x14ac:dyDescent="0.25">
      <c r="G67" s="74" t="s">
        <v>50</v>
      </c>
    </row>
    <row r="68" spans="7:7" x14ac:dyDescent="0.25">
      <c r="G68" s="74" t="s">
        <v>50</v>
      </c>
    </row>
    <row r="69" spans="7:7" x14ac:dyDescent="0.25">
      <c r="G69" s="74" t="s">
        <v>50</v>
      </c>
    </row>
    <row r="70" spans="7:7" x14ac:dyDescent="0.25">
      <c r="G70" s="74" t="s">
        <v>50</v>
      </c>
    </row>
    <row r="71" spans="7:7" x14ac:dyDescent="0.25">
      <c r="G71" s="74" t="s">
        <v>50</v>
      </c>
    </row>
    <row r="72" spans="7:7" x14ac:dyDescent="0.25">
      <c r="G72" s="74" t="s">
        <v>50</v>
      </c>
    </row>
    <row r="73" spans="7:7" x14ac:dyDescent="0.25">
      <c r="G73" s="74" t="s">
        <v>50</v>
      </c>
    </row>
    <row r="74" spans="7:7" x14ac:dyDescent="0.25">
      <c r="G74" s="74" t="s">
        <v>50</v>
      </c>
    </row>
    <row r="75" spans="7:7" x14ac:dyDescent="0.25">
      <c r="G75" s="74" t="s">
        <v>50</v>
      </c>
    </row>
    <row r="76" spans="7:7" x14ac:dyDescent="0.25">
      <c r="G76" s="74" t="s">
        <v>50</v>
      </c>
    </row>
    <row r="77" spans="7:7" x14ac:dyDescent="0.25">
      <c r="G77" s="74" t="s">
        <v>50</v>
      </c>
    </row>
    <row r="78" spans="7:7" x14ac:dyDescent="0.25">
      <c r="G78" s="74" t="s">
        <v>50</v>
      </c>
    </row>
    <row r="79" spans="7:7" x14ac:dyDescent="0.25">
      <c r="G79" s="74" t="s">
        <v>50</v>
      </c>
    </row>
    <row r="80" spans="7:7" x14ac:dyDescent="0.25">
      <c r="G80" s="74" t="s">
        <v>50</v>
      </c>
    </row>
    <row r="81" spans="7:7" x14ac:dyDescent="0.25">
      <c r="G81" s="74" t="s">
        <v>50</v>
      </c>
    </row>
    <row r="82" spans="7:7" x14ac:dyDescent="0.25">
      <c r="G82" s="74" t="s">
        <v>50</v>
      </c>
    </row>
    <row r="83" spans="7:7" x14ac:dyDescent="0.25">
      <c r="G83" s="74" t="s">
        <v>50</v>
      </c>
    </row>
    <row r="84" spans="7:7" x14ac:dyDescent="0.25">
      <c r="G84" s="74" t="s">
        <v>50</v>
      </c>
    </row>
    <row r="85" spans="7:7" x14ac:dyDescent="0.25">
      <c r="G85" s="74" t="s">
        <v>50</v>
      </c>
    </row>
    <row r="86" spans="7:7" x14ac:dyDescent="0.25">
      <c r="G86" s="74" t="s">
        <v>50</v>
      </c>
    </row>
    <row r="87" spans="7:7" x14ac:dyDescent="0.25">
      <c r="G87" s="74" t="s">
        <v>50</v>
      </c>
    </row>
    <row r="88" spans="7:7" x14ac:dyDescent="0.25">
      <c r="G88" s="74" t="s">
        <v>50</v>
      </c>
    </row>
    <row r="89" spans="7:7" x14ac:dyDescent="0.25">
      <c r="G89" s="74" t="s">
        <v>50</v>
      </c>
    </row>
    <row r="90" spans="7:7" x14ac:dyDescent="0.25">
      <c r="G90" s="74" t="s">
        <v>50</v>
      </c>
    </row>
    <row r="91" spans="7:7" x14ac:dyDescent="0.25">
      <c r="G91" s="74" t="s">
        <v>50</v>
      </c>
    </row>
    <row r="92" spans="7:7" x14ac:dyDescent="0.25">
      <c r="G92" s="74" t="s">
        <v>50</v>
      </c>
    </row>
    <row r="93" spans="7:7" x14ac:dyDescent="0.25">
      <c r="G93" s="74" t="s">
        <v>50</v>
      </c>
    </row>
    <row r="94" spans="7:7" x14ac:dyDescent="0.25">
      <c r="G94" s="74" t="s">
        <v>50</v>
      </c>
    </row>
    <row r="95" spans="7:7" x14ac:dyDescent="0.25">
      <c r="G95" s="74" t="s">
        <v>50</v>
      </c>
    </row>
    <row r="96" spans="7:7" x14ac:dyDescent="0.25">
      <c r="G96" s="74" t="s">
        <v>50</v>
      </c>
    </row>
    <row r="97" spans="7:7" x14ac:dyDescent="0.25">
      <c r="G97" s="74" t="s">
        <v>50</v>
      </c>
    </row>
    <row r="98" spans="7:7" x14ac:dyDescent="0.25">
      <c r="G98" s="74" t="s">
        <v>50</v>
      </c>
    </row>
    <row r="99" spans="7:7" x14ac:dyDescent="0.25">
      <c r="G99" s="74" t="s">
        <v>50</v>
      </c>
    </row>
    <row r="100" spans="7:7" x14ac:dyDescent="0.25">
      <c r="G100" s="74" t="s">
        <v>50</v>
      </c>
    </row>
    <row r="101" spans="7:7" x14ac:dyDescent="0.25">
      <c r="G101" s="74" t="s">
        <v>50</v>
      </c>
    </row>
    <row r="102" spans="7:7" x14ac:dyDescent="0.25">
      <c r="G102" s="74" t="s">
        <v>50</v>
      </c>
    </row>
    <row r="103" spans="7:7" x14ac:dyDescent="0.25">
      <c r="G103" s="74" t="s">
        <v>50</v>
      </c>
    </row>
    <row r="104" spans="7:7" x14ac:dyDescent="0.25">
      <c r="G104" s="74" t="s">
        <v>50</v>
      </c>
    </row>
    <row r="105" spans="7:7" x14ac:dyDescent="0.25">
      <c r="G105" s="74" t="s">
        <v>50</v>
      </c>
    </row>
    <row r="106" spans="7:7" x14ac:dyDescent="0.25">
      <c r="G106" s="74" t="s">
        <v>50</v>
      </c>
    </row>
    <row r="107" spans="7:7" x14ac:dyDescent="0.25">
      <c r="G107" s="74" t="s">
        <v>50</v>
      </c>
    </row>
    <row r="108" spans="7:7" x14ac:dyDescent="0.25">
      <c r="G108" s="74" t="s">
        <v>50</v>
      </c>
    </row>
    <row r="109" spans="7:7" x14ac:dyDescent="0.25">
      <c r="G109" s="74" t="s">
        <v>50</v>
      </c>
    </row>
    <row r="110" spans="7:7" x14ac:dyDescent="0.25">
      <c r="G110" s="74" t="s">
        <v>50</v>
      </c>
    </row>
    <row r="111" spans="7:7" x14ac:dyDescent="0.25">
      <c r="G111" s="74" t="s">
        <v>50</v>
      </c>
    </row>
    <row r="112" spans="7:7" x14ac:dyDescent="0.25">
      <c r="G112" s="74" t="s">
        <v>50</v>
      </c>
    </row>
    <row r="113" spans="7:7" x14ac:dyDescent="0.25">
      <c r="G113" s="74" t="s">
        <v>50</v>
      </c>
    </row>
    <row r="114" spans="7:7" x14ac:dyDescent="0.25">
      <c r="G114" s="74" t="s">
        <v>50</v>
      </c>
    </row>
    <row r="115" spans="7:7" x14ac:dyDescent="0.25">
      <c r="G115" s="74" t="s">
        <v>50</v>
      </c>
    </row>
    <row r="116" spans="7:7" x14ac:dyDescent="0.25">
      <c r="G116" s="74" t="s">
        <v>50</v>
      </c>
    </row>
    <row r="117" spans="7:7" x14ac:dyDescent="0.25">
      <c r="G117" s="74" t="s">
        <v>50</v>
      </c>
    </row>
    <row r="118" spans="7:7" x14ac:dyDescent="0.25">
      <c r="G118" s="74" t="s">
        <v>50</v>
      </c>
    </row>
    <row r="119" spans="7:7" x14ac:dyDescent="0.25">
      <c r="G119" s="74" t="s">
        <v>50</v>
      </c>
    </row>
    <row r="120" spans="7:7" x14ac:dyDescent="0.25">
      <c r="G120" s="74" t="s">
        <v>50</v>
      </c>
    </row>
    <row r="121" spans="7:7" x14ac:dyDescent="0.25">
      <c r="G121" s="74" t="s">
        <v>50</v>
      </c>
    </row>
    <row r="122" spans="7:7" x14ac:dyDescent="0.25">
      <c r="G122" s="74" t="s">
        <v>50</v>
      </c>
    </row>
    <row r="123" spans="7:7" x14ac:dyDescent="0.25">
      <c r="G123" s="74" t="s">
        <v>50</v>
      </c>
    </row>
    <row r="124" spans="7:7" x14ac:dyDescent="0.25">
      <c r="G124" s="74" t="s">
        <v>50</v>
      </c>
    </row>
    <row r="125" spans="7:7" x14ac:dyDescent="0.25">
      <c r="G125" s="74" t="s">
        <v>50</v>
      </c>
    </row>
    <row r="126" spans="7:7" x14ac:dyDescent="0.25">
      <c r="G126" s="74" t="s">
        <v>50</v>
      </c>
    </row>
    <row r="127" spans="7:7" x14ac:dyDescent="0.25">
      <c r="G127" s="74" t="s">
        <v>50</v>
      </c>
    </row>
    <row r="128" spans="7:7" x14ac:dyDescent="0.25">
      <c r="G128" s="74" t="s">
        <v>50</v>
      </c>
    </row>
    <row r="129" spans="7:7" x14ac:dyDescent="0.25">
      <c r="G129" s="74" t="s">
        <v>50</v>
      </c>
    </row>
    <row r="130" spans="7:7" x14ac:dyDescent="0.25">
      <c r="G130" s="74" t="s">
        <v>50</v>
      </c>
    </row>
    <row r="131" spans="7:7" x14ac:dyDescent="0.25">
      <c r="G131" s="74" t="s">
        <v>50</v>
      </c>
    </row>
    <row r="132" spans="7:7" x14ac:dyDescent="0.25">
      <c r="G132" s="74" t="s">
        <v>50</v>
      </c>
    </row>
    <row r="133" spans="7:7" x14ac:dyDescent="0.25">
      <c r="G133" s="74" t="s">
        <v>50</v>
      </c>
    </row>
    <row r="134" spans="7:7" x14ac:dyDescent="0.25">
      <c r="G134" s="74" t="s">
        <v>50</v>
      </c>
    </row>
    <row r="135" spans="7:7" x14ac:dyDescent="0.25">
      <c r="G135" s="74" t="s">
        <v>50</v>
      </c>
    </row>
    <row r="136" spans="7:7" x14ac:dyDescent="0.25">
      <c r="G136" s="74" t="s">
        <v>50</v>
      </c>
    </row>
    <row r="137" spans="7:7" x14ac:dyDescent="0.25">
      <c r="G137" s="74" t="s">
        <v>50</v>
      </c>
    </row>
    <row r="138" spans="7:7" x14ac:dyDescent="0.25">
      <c r="G138" s="74" t="s">
        <v>50</v>
      </c>
    </row>
    <row r="139" spans="7:7" x14ac:dyDescent="0.25">
      <c r="G139" s="74" t="s">
        <v>50</v>
      </c>
    </row>
    <row r="140" spans="7:7" x14ac:dyDescent="0.25">
      <c r="G140" s="74" t="s">
        <v>50</v>
      </c>
    </row>
    <row r="141" spans="7:7" x14ac:dyDescent="0.25">
      <c r="G141" s="74" t="s">
        <v>50</v>
      </c>
    </row>
    <row r="142" spans="7:7" x14ac:dyDescent="0.25">
      <c r="G142" s="74" t="s">
        <v>50</v>
      </c>
    </row>
    <row r="143" spans="7:7" x14ac:dyDescent="0.25">
      <c r="G143" s="74" t="s">
        <v>50</v>
      </c>
    </row>
    <row r="144" spans="7:7" x14ac:dyDescent="0.25">
      <c r="G144" s="74" t="s">
        <v>50</v>
      </c>
    </row>
    <row r="145" spans="7:7" x14ac:dyDescent="0.25">
      <c r="G145" s="74" t="s">
        <v>50</v>
      </c>
    </row>
    <row r="146" spans="7:7" x14ac:dyDescent="0.25">
      <c r="G146" s="74" t="s">
        <v>50</v>
      </c>
    </row>
    <row r="147" spans="7:7" x14ac:dyDescent="0.25">
      <c r="G147" s="74" t="s">
        <v>50</v>
      </c>
    </row>
    <row r="148" spans="7:7" x14ac:dyDescent="0.25">
      <c r="G148" s="74" t="s">
        <v>50</v>
      </c>
    </row>
    <row r="149" spans="7:7" x14ac:dyDescent="0.25">
      <c r="G149" s="74" t="s">
        <v>50</v>
      </c>
    </row>
    <row r="150" spans="7:7" x14ac:dyDescent="0.25">
      <c r="G150" s="74" t="s">
        <v>50</v>
      </c>
    </row>
    <row r="151" spans="7:7" x14ac:dyDescent="0.25">
      <c r="G151" s="74" t="s">
        <v>50</v>
      </c>
    </row>
    <row r="152" spans="7:7" x14ac:dyDescent="0.25">
      <c r="G152" s="74" t="s">
        <v>50</v>
      </c>
    </row>
    <row r="153" spans="7:7" x14ac:dyDescent="0.25">
      <c r="G153" s="74" t="s">
        <v>50</v>
      </c>
    </row>
    <row r="154" spans="7:7" x14ac:dyDescent="0.25">
      <c r="G154" s="74" t="s">
        <v>50</v>
      </c>
    </row>
    <row r="155" spans="7:7" x14ac:dyDescent="0.25">
      <c r="G155" s="74" t="s">
        <v>50</v>
      </c>
    </row>
    <row r="156" spans="7:7" x14ac:dyDescent="0.25">
      <c r="G156" s="74" t="s">
        <v>50</v>
      </c>
    </row>
    <row r="157" spans="7:7" x14ac:dyDescent="0.25">
      <c r="G157" s="74" t="s">
        <v>50</v>
      </c>
    </row>
    <row r="158" spans="7:7" x14ac:dyDescent="0.25">
      <c r="G158" s="74" t="s">
        <v>50</v>
      </c>
    </row>
    <row r="159" spans="7:7" x14ac:dyDescent="0.25">
      <c r="G159" s="74" t="s">
        <v>50</v>
      </c>
    </row>
    <row r="160" spans="7:7" x14ac:dyDescent="0.25">
      <c r="G160" s="74" t="s">
        <v>50</v>
      </c>
    </row>
    <row r="161" spans="7:7" x14ac:dyDescent="0.25">
      <c r="G161" s="74" t="s">
        <v>50</v>
      </c>
    </row>
    <row r="162" spans="7:7" x14ac:dyDescent="0.25">
      <c r="G162" s="74" t="s">
        <v>50</v>
      </c>
    </row>
    <row r="163" spans="7:7" x14ac:dyDescent="0.25">
      <c r="G163" s="74" t="s">
        <v>50</v>
      </c>
    </row>
    <row r="164" spans="7:7" x14ac:dyDescent="0.25">
      <c r="G164" s="74" t="s">
        <v>50</v>
      </c>
    </row>
    <row r="165" spans="7:7" x14ac:dyDescent="0.25">
      <c r="G165" s="74" t="s">
        <v>50</v>
      </c>
    </row>
    <row r="166" spans="7:7" x14ac:dyDescent="0.25">
      <c r="G166" s="74" t="s">
        <v>50</v>
      </c>
    </row>
    <row r="167" spans="7:7" x14ac:dyDescent="0.25">
      <c r="G167" s="74" t="s">
        <v>50</v>
      </c>
    </row>
    <row r="168" spans="7:7" x14ac:dyDescent="0.25">
      <c r="G168" s="74" t="s">
        <v>50</v>
      </c>
    </row>
    <row r="169" spans="7:7" x14ac:dyDescent="0.25">
      <c r="G169" s="74" t="s">
        <v>50</v>
      </c>
    </row>
    <row r="170" spans="7:7" x14ac:dyDescent="0.25">
      <c r="G170" s="74" t="s">
        <v>50</v>
      </c>
    </row>
    <row r="171" spans="7:7" x14ac:dyDescent="0.25">
      <c r="G171" s="74" t="s">
        <v>50</v>
      </c>
    </row>
    <row r="172" spans="7:7" x14ac:dyDescent="0.25">
      <c r="G172" s="74" t="s">
        <v>50</v>
      </c>
    </row>
    <row r="173" spans="7:7" x14ac:dyDescent="0.25">
      <c r="G173" s="74" t="s">
        <v>50</v>
      </c>
    </row>
    <row r="174" spans="7:7" x14ac:dyDescent="0.25">
      <c r="G174" s="74" t="s">
        <v>50</v>
      </c>
    </row>
    <row r="175" spans="7:7" x14ac:dyDescent="0.25">
      <c r="G175" s="74" t="s">
        <v>50</v>
      </c>
    </row>
    <row r="176" spans="7:7" x14ac:dyDescent="0.25">
      <c r="G176" s="74" t="s">
        <v>50</v>
      </c>
    </row>
    <row r="177" spans="7:7" x14ac:dyDescent="0.25">
      <c r="G177" s="74" t="s">
        <v>50</v>
      </c>
    </row>
    <row r="178" spans="7:7" x14ac:dyDescent="0.25">
      <c r="G178" s="74" t="s">
        <v>50</v>
      </c>
    </row>
    <row r="179" spans="7:7" x14ac:dyDescent="0.25">
      <c r="G179" s="74" t="s">
        <v>50</v>
      </c>
    </row>
    <row r="180" spans="7:7" x14ac:dyDescent="0.25">
      <c r="G180" s="74" t="s">
        <v>50</v>
      </c>
    </row>
    <row r="181" spans="7:7" x14ac:dyDescent="0.25">
      <c r="G181" s="74" t="s">
        <v>50</v>
      </c>
    </row>
    <row r="182" spans="7:7" x14ac:dyDescent="0.25">
      <c r="G182" s="74" t="s">
        <v>50</v>
      </c>
    </row>
    <row r="183" spans="7:7" x14ac:dyDescent="0.25">
      <c r="G183" s="74" t="s">
        <v>50</v>
      </c>
    </row>
    <row r="184" spans="7:7" x14ac:dyDescent="0.25">
      <c r="G184" s="74" t="s">
        <v>50</v>
      </c>
    </row>
    <row r="185" spans="7:7" x14ac:dyDescent="0.25">
      <c r="G185" s="74" t="s">
        <v>50</v>
      </c>
    </row>
    <row r="186" spans="7:7" x14ac:dyDescent="0.25">
      <c r="G186" s="74" t="s">
        <v>50</v>
      </c>
    </row>
    <row r="187" spans="7:7" x14ac:dyDescent="0.25">
      <c r="G187" s="74" t="s">
        <v>50</v>
      </c>
    </row>
    <row r="188" spans="7:7" x14ac:dyDescent="0.25">
      <c r="G188" s="74" t="s">
        <v>50</v>
      </c>
    </row>
    <row r="189" spans="7:7" x14ac:dyDescent="0.25">
      <c r="G189" s="74" t="s">
        <v>50</v>
      </c>
    </row>
    <row r="190" spans="7:7" x14ac:dyDescent="0.25">
      <c r="G190" s="74" t="s">
        <v>50</v>
      </c>
    </row>
    <row r="191" spans="7:7" x14ac:dyDescent="0.25">
      <c r="G191" s="74" t="s">
        <v>50</v>
      </c>
    </row>
    <row r="192" spans="7:7" x14ac:dyDescent="0.25">
      <c r="G192" s="74" t="s">
        <v>50</v>
      </c>
    </row>
    <row r="193" spans="7:7" x14ac:dyDescent="0.25">
      <c r="G193" s="74" t="s">
        <v>50</v>
      </c>
    </row>
    <row r="194" spans="7:7" x14ac:dyDescent="0.25">
      <c r="G194" s="74" t="s">
        <v>50</v>
      </c>
    </row>
    <row r="195" spans="7:7" x14ac:dyDescent="0.25">
      <c r="G195" s="74" t="s">
        <v>50</v>
      </c>
    </row>
    <row r="196" spans="7:7" x14ac:dyDescent="0.25">
      <c r="G196" s="74" t="s">
        <v>50</v>
      </c>
    </row>
    <row r="197" spans="7:7" x14ac:dyDescent="0.25">
      <c r="G197" s="74" t="s">
        <v>50</v>
      </c>
    </row>
    <row r="198" spans="7:7" x14ac:dyDescent="0.25">
      <c r="G198" s="74" t="s">
        <v>50</v>
      </c>
    </row>
    <row r="199" spans="7:7" x14ac:dyDescent="0.25">
      <c r="G199" s="74" t="s">
        <v>50</v>
      </c>
    </row>
    <row r="200" spans="7:7" x14ac:dyDescent="0.25">
      <c r="G200" s="74" t="s">
        <v>50</v>
      </c>
    </row>
    <row r="201" spans="7:7" x14ac:dyDescent="0.25">
      <c r="G201" s="74" t="s">
        <v>50</v>
      </c>
    </row>
    <row r="202" spans="7:7" x14ac:dyDescent="0.25">
      <c r="G202" s="74" t="s">
        <v>50</v>
      </c>
    </row>
    <row r="203" spans="7:7" x14ac:dyDescent="0.25">
      <c r="G203" s="74" t="s">
        <v>50</v>
      </c>
    </row>
    <row r="204" spans="7:7" x14ac:dyDescent="0.25">
      <c r="G204" s="74" t="s">
        <v>50</v>
      </c>
    </row>
    <row r="205" spans="7:7" x14ac:dyDescent="0.25">
      <c r="G205" s="74" t="s">
        <v>50</v>
      </c>
    </row>
    <row r="206" spans="7:7" x14ac:dyDescent="0.25">
      <c r="G206" s="74" t="s">
        <v>50</v>
      </c>
    </row>
    <row r="207" spans="7:7" x14ac:dyDescent="0.25">
      <c r="G207" s="74" t="s">
        <v>50</v>
      </c>
    </row>
    <row r="208" spans="7:7" x14ac:dyDescent="0.25">
      <c r="G208" s="74" t="s">
        <v>50</v>
      </c>
    </row>
    <row r="209" spans="7:7" x14ac:dyDescent="0.25">
      <c r="G209" s="74" t="s">
        <v>50</v>
      </c>
    </row>
    <row r="210" spans="7:7" x14ac:dyDescent="0.25">
      <c r="G210" s="74" t="s">
        <v>50</v>
      </c>
    </row>
    <row r="211" spans="7:7" x14ac:dyDescent="0.25">
      <c r="G211" s="74" t="s">
        <v>50</v>
      </c>
    </row>
    <row r="212" spans="7:7" x14ac:dyDescent="0.25">
      <c r="G212" s="74" t="s">
        <v>50</v>
      </c>
    </row>
    <row r="213" spans="7:7" x14ac:dyDescent="0.25">
      <c r="G213" s="74" t="s">
        <v>50</v>
      </c>
    </row>
    <row r="214" spans="7:7" x14ac:dyDescent="0.25">
      <c r="G214" s="74" t="s">
        <v>50</v>
      </c>
    </row>
    <row r="215" spans="7:7" x14ac:dyDescent="0.25">
      <c r="G215" s="74" t="s">
        <v>50</v>
      </c>
    </row>
    <row r="216" spans="7:7" x14ac:dyDescent="0.25">
      <c r="G216" s="74" t="s">
        <v>50</v>
      </c>
    </row>
    <row r="217" spans="7:7" x14ac:dyDescent="0.25">
      <c r="G217" s="74" t="s">
        <v>50</v>
      </c>
    </row>
    <row r="218" spans="7:7" x14ac:dyDescent="0.25">
      <c r="G218" s="74" t="s">
        <v>50</v>
      </c>
    </row>
    <row r="219" spans="7:7" x14ac:dyDescent="0.25">
      <c r="G219" s="74" t="s">
        <v>50</v>
      </c>
    </row>
    <row r="220" spans="7:7" x14ac:dyDescent="0.25">
      <c r="G220" s="74" t="s">
        <v>50</v>
      </c>
    </row>
    <row r="221" spans="7:7" x14ac:dyDescent="0.25">
      <c r="G221" s="74" t="s">
        <v>50</v>
      </c>
    </row>
    <row r="222" spans="7:7" x14ac:dyDescent="0.25">
      <c r="G222" s="74" t="s">
        <v>50</v>
      </c>
    </row>
    <row r="223" spans="7:7" x14ac:dyDescent="0.25">
      <c r="G223" s="74" t="s">
        <v>50</v>
      </c>
    </row>
    <row r="224" spans="7:7" x14ac:dyDescent="0.25">
      <c r="G224" s="74" t="s">
        <v>50</v>
      </c>
    </row>
    <row r="225" spans="7:7" x14ac:dyDescent="0.25">
      <c r="G225" s="74" t="s">
        <v>50</v>
      </c>
    </row>
    <row r="226" spans="7:7" x14ac:dyDescent="0.25">
      <c r="G226" s="74" t="s">
        <v>50</v>
      </c>
    </row>
    <row r="227" spans="7:7" x14ac:dyDescent="0.25">
      <c r="G227" s="74" t="s">
        <v>50</v>
      </c>
    </row>
    <row r="228" spans="7:7" x14ac:dyDescent="0.25">
      <c r="G228" s="74" t="s">
        <v>50</v>
      </c>
    </row>
    <row r="229" spans="7:7" x14ac:dyDescent="0.25">
      <c r="G229" s="74" t="s">
        <v>50</v>
      </c>
    </row>
    <row r="230" spans="7:7" x14ac:dyDescent="0.25">
      <c r="G230" s="74" t="s">
        <v>50</v>
      </c>
    </row>
    <row r="231" spans="7:7" x14ac:dyDescent="0.25">
      <c r="G231" s="74" t="s">
        <v>50</v>
      </c>
    </row>
    <row r="232" spans="7:7" x14ac:dyDescent="0.25">
      <c r="G232" s="74" t="s">
        <v>50</v>
      </c>
    </row>
    <row r="233" spans="7:7" x14ac:dyDescent="0.25">
      <c r="G233" s="74" t="s">
        <v>50</v>
      </c>
    </row>
    <row r="234" spans="7:7" x14ac:dyDescent="0.25">
      <c r="G234" s="74" t="s">
        <v>50</v>
      </c>
    </row>
    <row r="235" spans="7:7" x14ac:dyDescent="0.25">
      <c r="G235" s="74" t="s">
        <v>50</v>
      </c>
    </row>
    <row r="236" spans="7:7" x14ac:dyDescent="0.25">
      <c r="G236" s="74" t="s">
        <v>50</v>
      </c>
    </row>
    <row r="237" spans="7:7" x14ac:dyDescent="0.25">
      <c r="G237" s="74" t="s">
        <v>50</v>
      </c>
    </row>
    <row r="238" spans="7:7" x14ac:dyDescent="0.25">
      <c r="G238" s="74" t="s">
        <v>50</v>
      </c>
    </row>
    <row r="239" spans="7:7" x14ac:dyDescent="0.25">
      <c r="G239" s="74" t="s">
        <v>50</v>
      </c>
    </row>
    <row r="240" spans="7:7" x14ac:dyDescent="0.25">
      <c r="G240" s="74" t="s">
        <v>50</v>
      </c>
    </row>
    <row r="241" spans="7:7" x14ac:dyDescent="0.25">
      <c r="G241" s="74" t="s">
        <v>50</v>
      </c>
    </row>
    <row r="242" spans="7:7" x14ac:dyDescent="0.25">
      <c r="G242" s="74" t="s">
        <v>50</v>
      </c>
    </row>
    <row r="243" spans="7:7" x14ac:dyDescent="0.25">
      <c r="G243" s="74" t="s">
        <v>50</v>
      </c>
    </row>
    <row r="244" spans="7:7" x14ac:dyDescent="0.25">
      <c r="G244" s="74" t="s">
        <v>50</v>
      </c>
    </row>
    <row r="245" spans="7:7" x14ac:dyDescent="0.25">
      <c r="G245" s="74" t="s">
        <v>50</v>
      </c>
    </row>
    <row r="246" spans="7:7" x14ac:dyDescent="0.25">
      <c r="G246" s="74" t="s">
        <v>50</v>
      </c>
    </row>
    <row r="247" spans="7:7" x14ac:dyDescent="0.25">
      <c r="G247" s="74" t="s">
        <v>50</v>
      </c>
    </row>
    <row r="248" spans="7:7" x14ac:dyDescent="0.25">
      <c r="G248" s="74" t="s">
        <v>50</v>
      </c>
    </row>
    <row r="249" spans="7:7" x14ac:dyDescent="0.25">
      <c r="G249" s="74" t="s">
        <v>50</v>
      </c>
    </row>
    <row r="250" spans="7:7" x14ac:dyDescent="0.25">
      <c r="G250" s="74" t="s">
        <v>50</v>
      </c>
    </row>
    <row r="251" spans="7:7" x14ac:dyDescent="0.25">
      <c r="G251" s="74" t="s">
        <v>50</v>
      </c>
    </row>
    <row r="252" spans="7:7" x14ac:dyDescent="0.25">
      <c r="G252" s="74" t="s">
        <v>50</v>
      </c>
    </row>
    <row r="253" spans="7:7" x14ac:dyDescent="0.25">
      <c r="G253" s="74" t="s">
        <v>50</v>
      </c>
    </row>
    <row r="254" spans="7:7" x14ac:dyDescent="0.25">
      <c r="G254" s="74" t="s">
        <v>50</v>
      </c>
    </row>
    <row r="255" spans="7:7" x14ac:dyDescent="0.25">
      <c r="G255" s="74" t="s">
        <v>50</v>
      </c>
    </row>
    <row r="256" spans="7:7" x14ac:dyDescent="0.25">
      <c r="G256" s="74" t="s">
        <v>50</v>
      </c>
    </row>
    <row r="257" spans="7:7" x14ac:dyDescent="0.25">
      <c r="G257" s="74" t="s">
        <v>50</v>
      </c>
    </row>
    <row r="258" spans="7:7" x14ac:dyDescent="0.25">
      <c r="G258" s="74" t="s">
        <v>50</v>
      </c>
    </row>
    <row r="259" spans="7:7" x14ac:dyDescent="0.25">
      <c r="G259" s="74" t="s">
        <v>50</v>
      </c>
    </row>
    <row r="260" spans="7:7" x14ac:dyDescent="0.25">
      <c r="G260" s="74" t="s">
        <v>50</v>
      </c>
    </row>
    <row r="261" spans="7:7" x14ac:dyDescent="0.25">
      <c r="G261" s="74" t="s">
        <v>50</v>
      </c>
    </row>
    <row r="262" spans="7:7" x14ac:dyDescent="0.25">
      <c r="G262" s="74" t="s">
        <v>50</v>
      </c>
    </row>
    <row r="263" spans="7:7" x14ac:dyDescent="0.25">
      <c r="G263" s="74" t="s">
        <v>50</v>
      </c>
    </row>
    <row r="264" spans="7:7" x14ac:dyDescent="0.25">
      <c r="G264" s="74" t="s">
        <v>50</v>
      </c>
    </row>
    <row r="265" spans="7:7" x14ac:dyDescent="0.25">
      <c r="G265" s="74" t="s">
        <v>50</v>
      </c>
    </row>
    <row r="266" spans="7:7" x14ac:dyDescent="0.25">
      <c r="G266" s="74" t="s">
        <v>50</v>
      </c>
    </row>
    <row r="267" spans="7:7" x14ac:dyDescent="0.25">
      <c r="G267" s="74" t="s">
        <v>50</v>
      </c>
    </row>
    <row r="268" spans="7:7" x14ac:dyDescent="0.25">
      <c r="G268" s="74" t="s">
        <v>50</v>
      </c>
    </row>
    <row r="269" spans="7:7" x14ac:dyDescent="0.25">
      <c r="G269" s="74" t="s">
        <v>50</v>
      </c>
    </row>
    <row r="270" spans="7:7" x14ac:dyDescent="0.25">
      <c r="G270" s="74" t="s">
        <v>50</v>
      </c>
    </row>
    <row r="271" spans="7:7" x14ac:dyDescent="0.25">
      <c r="G271" s="74" t="s">
        <v>50</v>
      </c>
    </row>
    <row r="272" spans="7:7" x14ac:dyDescent="0.25">
      <c r="G272" s="74" t="s">
        <v>50</v>
      </c>
    </row>
    <row r="273" spans="7:7" x14ac:dyDescent="0.25">
      <c r="G273" s="74" t="s">
        <v>50</v>
      </c>
    </row>
    <row r="274" spans="7:7" x14ac:dyDescent="0.25">
      <c r="G274" s="74" t="s">
        <v>50</v>
      </c>
    </row>
    <row r="275" spans="7:7" x14ac:dyDescent="0.25">
      <c r="G275" s="74" t="s">
        <v>50</v>
      </c>
    </row>
    <row r="276" spans="7:7" x14ac:dyDescent="0.25">
      <c r="G276" s="74" t="s">
        <v>50</v>
      </c>
    </row>
    <row r="277" spans="7:7" x14ac:dyDescent="0.25">
      <c r="G277" s="74" t="s">
        <v>50</v>
      </c>
    </row>
    <row r="278" spans="7:7" x14ac:dyDescent="0.25">
      <c r="G278" s="74" t="s">
        <v>50</v>
      </c>
    </row>
    <row r="279" spans="7:7" x14ac:dyDescent="0.25">
      <c r="G279" s="74" t="s">
        <v>50</v>
      </c>
    </row>
    <row r="280" spans="7:7" x14ac:dyDescent="0.25">
      <c r="G280" s="74" t="s">
        <v>50</v>
      </c>
    </row>
    <row r="281" spans="7:7" x14ac:dyDescent="0.25">
      <c r="G281" s="74" t="s">
        <v>50</v>
      </c>
    </row>
    <row r="282" spans="7:7" x14ac:dyDescent="0.25">
      <c r="G282" s="74" t="s">
        <v>50</v>
      </c>
    </row>
    <row r="283" spans="7:7" x14ac:dyDescent="0.25">
      <c r="G283" s="74" t="s">
        <v>50</v>
      </c>
    </row>
    <row r="284" spans="7:7" x14ac:dyDescent="0.25">
      <c r="G284" s="74" t="s">
        <v>50</v>
      </c>
    </row>
    <row r="285" spans="7:7" x14ac:dyDescent="0.25">
      <c r="G285" s="74" t="s">
        <v>50</v>
      </c>
    </row>
    <row r="286" spans="7:7" x14ac:dyDescent="0.25">
      <c r="G286" s="74" t="s">
        <v>50</v>
      </c>
    </row>
    <row r="287" spans="7:7" x14ac:dyDescent="0.25">
      <c r="G287" s="74" t="s">
        <v>50</v>
      </c>
    </row>
    <row r="288" spans="7:7" x14ac:dyDescent="0.25">
      <c r="G288" s="74" t="s">
        <v>50</v>
      </c>
    </row>
    <row r="289" spans="7:7" x14ac:dyDescent="0.25">
      <c r="G289" s="74" t="s">
        <v>50</v>
      </c>
    </row>
    <row r="290" spans="7:7" x14ac:dyDescent="0.25">
      <c r="G290" s="74" t="s">
        <v>50</v>
      </c>
    </row>
    <row r="291" spans="7:7" x14ac:dyDescent="0.25">
      <c r="G291" s="74" t="s">
        <v>50</v>
      </c>
    </row>
    <row r="292" spans="7:7" x14ac:dyDescent="0.25">
      <c r="G292" s="74" t="s">
        <v>50</v>
      </c>
    </row>
    <row r="293" spans="7:7" x14ac:dyDescent="0.25">
      <c r="G293" s="74" t="s">
        <v>50</v>
      </c>
    </row>
    <row r="294" spans="7:7" x14ac:dyDescent="0.25">
      <c r="G294" s="74" t="s">
        <v>50</v>
      </c>
    </row>
    <row r="295" spans="7:7" x14ac:dyDescent="0.25">
      <c r="G295" s="74" t="s">
        <v>50</v>
      </c>
    </row>
    <row r="296" spans="7:7" x14ac:dyDescent="0.25">
      <c r="G296" s="74" t="s">
        <v>50</v>
      </c>
    </row>
    <row r="297" spans="7:7" x14ac:dyDescent="0.25">
      <c r="G297" s="74" t="s">
        <v>50</v>
      </c>
    </row>
    <row r="298" spans="7:7" x14ac:dyDescent="0.25">
      <c r="G298" s="74" t="s">
        <v>50</v>
      </c>
    </row>
    <row r="299" spans="7:7" x14ac:dyDescent="0.25">
      <c r="G299" s="74" t="s">
        <v>50</v>
      </c>
    </row>
    <row r="300" spans="7:7" x14ac:dyDescent="0.25">
      <c r="G300" s="74" t="s">
        <v>50</v>
      </c>
    </row>
    <row r="301" spans="7:7" x14ac:dyDescent="0.25">
      <c r="G301" s="74" t="s">
        <v>50</v>
      </c>
    </row>
    <row r="302" spans="7:7" x14ac:dyDescent="0.25">
      <c r="G302" s="74" t="s">
        <v>50</v>
      </c>
    </row>
    <row r="303" spans="7:7" x14ac:dyDescent="0.25">
      <c r="G303" s="74" t="s">
        <v>50</v>
      </c>
    </row>
    <row r="304" spans="7:7" x14ac:dyDescent="0.25">
      <c r="G304" s="74" t="s">
        <v>50</v>
      </c>
    </row>
    <row r="305" spans="7:7" x14ac:dyDescent="0.25">
      <c r="G305" s="74" t="s">
        <v>50</v>
      </c>
    </row>
    <row r="306" spans="7:7" x14ac:dyDescent="0.25">
      <c r="G306" s="74" t="s">
        <v>50</v>
      </c>
    </row>
    <row r="307" spans="7:7" x14ac:dyDescent="0.25">
      <c r="G307" s="74" t="s">
        <v>50</v>
      </c>
    </row>
    <row r="308" spans="7:7" x14ac:dyDescent="0.25">
      <c r="G308" s="74" t="s">
        <v>50</v>
      </c>
    </row>
    <row r="309" spans="7:7" x14ac:dyDescent="0.25">
      <c r="G309" s="74" t="s">
        <v>50</v>
      </c>
    </row>
    <row r="310" spans="7:7" x14ac:dyDescent="0.25">
      <c r="G310" s="74" t="s">
        <v>50</v>
      </c>
    </row>
    <row r="311" spans="7:7" x14ac:dyDescent="0.25">
      <c r="G311" s="74" t="s">
        <v>50</v>
      </c>
    </row>
    <row r="312" spans="7:7" x14ac:dyDescent="0.25">
      <c r="G312" s="74" t="s">
        <v>50</v>
      </c>
    </row>
    <row r="313" spans="7:7" x14ac:dyDescent="0.25">
      <c r="G313" s="74" t="s">
        <v>50</v>
      </c>
    </row>
    <row r="314" spans="7:7" x14ac:dyDescent="0.25">
      <c r="G314" s="74" t="s">
        <v>50</v>
      </c>
    </row>
    <row r="315" spans="7:7" x14ac:dyDescent="0.25">
      <c r="G315" s="74" t="s">
        <v>50</v>
      </c>
    </row>
    <row r="316" spans="7:7" x14ac:dyDescent="0.25">
      <c r="G316" s="74" t="s">
        <v>50</v>
      </c>
    </row>
    <row r="317" spans="7:7" x14ac:dyDescent="0.25">
      <c r="G317" s="74" t="s">
        <v>50</v>
      </c>
    </row>
    <row r="318" spans="7:7" x14ac:dyDescent="0.25">
      <c r="G318" s="74" t="s">
        <v>50</v>
      </c>
    </row>
    <row r="319" spans="7:7" x14ac:dyDescent="0.25">
      <c r="G319" s="74" t="s">
        <v>50</v>
      </c>
    </row>
    <row r="320" spans="7:7" x14ac:dyDescent="0.25">
      <c r="G320" s="74" t="s">
        <v>50</v>
      </c>
    </row>
    <row r="321" spans="7:7" x14ac:dyDescent="0.25">
      <c r="G321" s="74" t="s">
        <v>50</v>
      </c>
    </row>
    <row r="322" spans="7:7" x14ac:dyDescent="0.25">
      <c r="G322" s="74" t="s">
        <v>50</v>
      </c>
    </row>
    <row r="323" spans="7:7" x14ac:dyDescent="0.25">
      <c r="G323" s="74" t="s">
        <v>50</v>
      </c>
    </row>
    <row r="324" spans="7:7" x14ac:dyDescent="0.25">
      <c r="G324" s="74" t="s">
        <v>50</v>
      </c>
    </row>
    <row r="325" spans="7:7" x14ac:dyDescent="0.25">
      <c r="G325" s="74" t="s">
        <v>50</v>
      </c>
    </row>
    <row r="326" spans="7:7" x14ac:dyDescent="0.25">
      <c r="G326" s="74" t="s">
        <v>50</v>
      </c>
    </row>
    <row r="327" spans="7:7" x14ac:dyDescent="0.25">
      <c r="G327" s="74" t="s">
        <v>50</v>
      </c>
    </row>
    <row r="328" spans="7:7" x14ac:dyDescent="0.25">
      <c r="G328" s="74" t="s">
        <v>50</v>
      </c>
    </row>
    <row r="329" spans="7:7" x14ac:dyDescent="0.25">
      <c r="G329" s="74" t="s">
        <v>50</v>
      </c>
    </row>
    <row r="330" spans="7:7" x14ac:dyDescent="0.25">
      <c r="G330" s="74" t="s">
        <v>50</v>
      </c>
    </row>
    <row r="331" spans="7:7" x14ac:dyDescent="0.25">
      <c r="G331" s="74" t="s">
        <v>50</v>
      </c>
    </row>
    <row r="332" spans="7:7" x14ac:dyDescent="0.25">
      <c r="G332" s="74" t="s">
        <v>50</v>
      </c>
    </row>
    <row r="333" spans="7:7" x14ac:dyDescent="0.25">
      <c r="G333" s="74" t="s">
        <v>50</v>
      </c>
    </row>
    <row r="334" spans="7:7" x14ac:dyDescent="0.25">
      <c r="G334" s="74" t="s">
        <v>50</v>
      </c>
    </row>
    <row r="335" spans="7:7" x14ac:dyDescent="0.25">
      <c r="G335" s="74" t="s">
        <v>50</v>
      </c>
    </row>
    <row r="336" spans="7:7" x14ac:dyDescent="0.25">
      <c r="G336" s="74" t="s">
        <v>50</v>
      </c>
    </row>
    <row r="337" spans="7:7" x14ac:dyDescent="0.25">
      <c r="G337" s="74" t="s">
        <v>50</v>
      </c>
    </row>
    <row r="338" spans="7:7" x14ac:dyDescent="0.25">
      <c r="G338" s="74" t="s">
        <v>50</v>
      </c>
    </row>
    <row r="339" spans="7:7" x14ac:dyDescent="0.25">
      <c r="G339" s="74" t="s">
        <v>50</v>
      </c>
    </row>
    <row r="340" spans="7:7" x14ac:dyDescent="0.25">
      <c r="G340" s="74" t="s">
        <v>50</v>
      </c>
    </row>
    <row r="341" spans="7:7" x14ac:dyDescent="0.25">
      <c r="G341" s="74" t="s">
        <v>50</v>
      </c>
    </row>
    <row r="342" spans="7:7" x14ac:dyDescent="0.25">
      <c r="G342" s="74" t="s">
        <v>50</v>
      </c>
    </row>
    <row r="343" spans="7:7" x14ac:dyDescent="0.25">
      <c r="G343" s="74" t="s">
        <v>50</v>
      </c>
    </row>
    <row r="344" spans="7:7" x14ac:dyDescent="0.25">
      <c r="G344" s="74" t="s">
        <v>50</v>
      </c>
    </row>
    <row r="345" spans="7:7" x14ac:dyDescent="0.25">
      <c r="G345" s="74" t="s">
        <v>50</v>
      </c>
    </row>
    <row r="346" spans="7:7" x14ac:dyDescent="0.25">
      <c r="G346" s="74" t="s">
        <v>50</v>
      </c>
    </row>
    <row r="347" spans="7:7" x14ac:dyDescent="0.25">
      <c r="G347" s="74" t="s">
        <v>50</v>
      </c>
    </row>
    <row r="348" spans="7:7" x14ac:dyDescent="0.25">
      <c r="G348" s="74" t="s">
        <v>50</v>
      </c>
    </row>
    <row r="349" spans="7:7" x14ac:dyDescent="0.25">
      <c r="G349" s="74" t="s">
        <v>50</v>
      </c>
    </row>
    <row r="350" spans="7:7" x14ac:dyDescent="0.25">
      <c r="G350" s="74" t="s">
        <v>50</v>
      </c>
    </row>
    <row r="351" spans="7:7" x14ac:dyDescent="0.25">
      <c r="G351" s="74" t="s">
        <v>50</v>
      </c>
    </row>
    <row r="352" spans="7:7" x14ac:dyDescent="0.25">
      <c r="G352" s="74" t="s">
        <v>50</v>
      </c>
    </row>
    <row r="353" spans="7:7" x14ac:dyDescent="0.25">
      <c r="G353" s="74" t="s">
        <v>50</v>
      </c>
    </row>
    <row r="354" spans="7:7" x14ac:dyDescent="0.25">
      <c r="G354" s="74" t="s">
        <v>50</v>
      </c>
    </row>
    <row r="355" spans="7:7" x14ac:dyDescent="0.25">
      <c r="G355" s="74" t="s">
        <v>50</v>
      </c>
    </row>
    <row r="356" spans="7:7" x14ac:dyDescent="0.25">
      <c r="G356" s="74" t="s">
        <v>50</v>
      </c>
    </row>
    <row r="357" spans="7:7" x14ac:dyDescent="0.25">
      <c r="G357" s="74" t="s">
        <v>50</v>
      </c>
    </row>
    <row r="358" spans="7:7" x14ac:dyDescent="0.25">
      <c r="G358" s="74" t="s">
        <v>50</v>
      </c>
    </row>
    <row r="359" spans="7:7" x14ac:dyDescent="0.25">
      <c r="G359" s="74" t="s">
        <v>50</v>
      </c>
    </row>
    <row r="360" spans="7:7" x14ac:dyDescent="0.25">
      <c r="G360" s="74" t="s">
        <v>50</v>
      </c>
    </row>
    <row r="361" spans="7:7" x14ac:dyDescent="0.25">
      <c r="G361" s="74" t="s">
        <v>50</v>
      </c>
    </row>
    <row r="362" spans="7:7" x14ac:dyDescent="0.25">
      <c r="G362" s="74" t="s">
        <v>50</v>
      </c>
    </row>
    <row r="363" spans="7:7" x14ac:dyDescent="0.25">
      <c r="G363" s="74" t="s">
        <v>50</v>
      </c>
    </row>
    <row r="364" spans="7:7" x14ac:dyDescent="0.25">
      <c r="G364" s="74" t="s">
        <v>50</v>
      </c>
    </row>
    <row r="365" spans="7:7" x14ac:dyDescent="0.25">
      <c r="G365" s="74" t="s">
        <v>50</v>
      </c>
    </row>
    <row r="366" spans="7:7" x14ac:dyDescent="0.25">
      <c r="G366" s="74" t="s">
        <v>50</v>
      </c>
    </row>
    <row r="367" spans="7:7" x14ac:dyDescent="0.25">
      <c r="G367" s="74" t="s">
        <v>50</v>
      </c>
    </row>
    <row r="368" spans="7:7" x14ac:dyDescent="0.25">
      <c r="G368" s="74" t="s">
        <v>50</v>
      </c>
    </row>
    <row r="369" spans="7:7" x14ac:dyDescent="0.25">
      <c r="G369" s="74" t="s">
        <v>50</v>
      </c>
    </row>
    <row r="370" spans="7:7" x14ac:dyDescent="0.25">
      <c r="G370" s="74" t="s">
        <v>50</v>
      </c>
    </row>
    <row r="371" spans="7:7" x14ac:dyDescent="0.25">
      <c r="G371" s="74" t="s">
        <v>50</v>
      </c>
    </row>
    <row r="372" spans="7:7" x14ac:dyDescent="0.25">
      <c r="G372" s="74" t="s">
        <v>50</v>
      </c>
    </row>
    <row r="373" spans="7:7" x14ac:dyDescent="0.25">
      <c r="G373" s="74" t="s">
        <v>50</v>
      </c>
    </row>
    <row r="374" spans="7:7" x14ac:dyDescent="0.25">
      <c r="G374" s="74" t="s">
        <v>50</v>
      </c>
    </row>
    <row r="375" spans="7:7" x14ac:dyDescent="0.25">
      <c r="G375" s="74" t="s">
        <v>50</v>
      </c>
    </row>
    <row r="376" spans="7:7" x14ac:dyDescent="0.25">
      <c r="G376" s="74" t="s">
        <v>50</v>
      </c>
    </row>
    <row r="377" spans="7:7" x14ac:dyDescent="0.25">
      <c r="G377" s="74" t="s">
        <v>50</v>
      </c>
    </row>
    <row r="378" spans="7:7" x14ac:dyDescent="0.25">
      <c r="G378" s="74" t="s">
        <v>50</v>
      </c>
    </row>
    <row r="379" spans="7:7" x14ac:dyDescent="0.25">
      <c r="G379" s="74" t="s">
        <v>50</v>
      </c>
    </row>
    <row r="380" spans="7:7" x14ac:dyDescent="0.25">
      <c r="G380" s="74" t="s">
        <v>50</v>
      </c>
    </row>
    <row r="381" spans="7:7" x14ac:dyDescent="0.25">
      <c r="G381" s="74" t="s">
        <v>50</v>
      </c>
    </row>
    <row r="382" spans="7:7" x14ac:dyDescent="0.25">
      <c r="G382" s="74" t="s">
        <v>50</v>
      </c>
    </row>
    <row r="383" spans="7:7" x14ac:dyDescent="0.25">
      <c r="G383" s="74" t="s">
        <v>50</v>
      </c>
    </row>
    <row r="384" spans="7:7" x14ac:dyDescent="0.25">
      <c r="G384" s="74" t="s">
        <v>50</v>
      </c>
    </row>
    <row r="385" spans="7:7" x14ac:dyDescent="0.25">
      <c r="G385" s="74" t="s">
        <v>50</v>
      </c>
    </row>
    <row r="386" spans="7:7" x14ac:dyDescent="0.25">
      <c r="G386" s="74" t="s">
        <v>50</v>
      </c>
    </row>
    <row r="387" spans="7:7" x14ac:dyDescent="0.25">
      <c r="G387" s="74" t="s">
        <v>50</v>
      </c>
    </row>
    <row r="388" spans="7:7" x14ac:dyDescent="0.25">
      <c r="G388" s="74" t="s">
        <v>50</v>
      </c>
    </row>
    <row r="389" spans="7:7" x14ac:dyDescent="0.25">
      <c r="G389" s="74" t="s">
        <v>50</v>
      </c>
    </row>
    <row r="390" spans="7:7" x14ac:dyDescent="0.25">
      <c r="G390" s="74" t="s">
        <v>50</v>
      </c>
    </row>
    <row r="391" spans="7:7" x14ac:dyDescent="0.25">
      <c r="G391" s="74" t="s">
        <v>50</v>
      </c>
    </row>
    <row r="392" spans="7:7" x14ac:dyDescent="0.25">
      <c r="G392" s="74" t="s">
        <v>50</v>
      </c>
    </row>
    <row r="393" spans="7:7" x14ac:dyDescent="0.25">
      <c r="G393" s="74" t="s">
        <v>50</v>
      </c>
    </row>
    <row r="394" spans="7:7" x14ac:dyDescent="0.25">
      <c r="G394" s="74" t="s">
        <v>50</v>
      </c>
    </row>
    <row r="395" spans="7:7" x14ac:dyDescent="0.25">
      <c r="G395" s="74" t="s">
        <v>50</v>
      </c>
    </row>
    <row r="396" spans="7:7" x14ac:dyDescent="0.25">
      <c r="G396" s="74" t="s">
        <v>50</v>
      </c>
    </row>
    <row r="397" spans="7:7" x14ac:dyDescent="0.25">
      <c r="G397" s="74" t="s">
        <v>50</v>
      </c>
    </row>
    <row r="398" spans="7:7" x14ac:dyDescent="0.25">
      <c r="G398" s="74" t="s">
        <v>50</v>
      </c>
    </row>
    <row r="399" spans="7:7" x14ac:dyDescent="0.25">
      <c r="G399" s="74" t="s">
        <v>50</v>
      </c>
    </row>
    <row r="400" spans="7:7" x14ac:dyDescent="0.25">
      <c r="G400" s="74" t="s">
        <v>50</v>
      </c>
    </row>
    <row r="401" spans="7:7" x14ac:dyDescent="0.25">
      <c r="G401" s="74" t="s">
        <v>50</v>
      </c>
    </row>
    <row r="402" spans="7:7" x14ac:dyDescent="0.25">
      <c r="G402" s="74" t="s">
        <v>50</v>
      </c>
    </row>
    <row r="403" spans="7:7" x14ac:dyDescent="0.25">
      <c r="G403" s="74" t="s">
        <v>50</v>
      </c>
    </row>
    <row r="404" spans="7:7" x14ac:dyDescent="0.25">
      <c r="G404" s="74" t="s">
        <v>50</v>
      </c>
    </row>
    <row r="405" spans="7:7" x14ac:dyDescent="0.25">
      <c r="G405" s="74" t="s">
        <v>50</v>
      </c>
    </row>
    <row r="406" spans="7:7" x14ac:dyDescent="0.25">
      <c r="G406" s="74" t="s">
        <v>50</v>
      </c>
    </row>
    <row r="407" spans="7:7" x14ac:dyDescent="0.25">
      <c r="G407" s="74" t="s">
        <v>50</v>
      </c>
    </row>
    <row r="408" spans="7:7" x14ac:dyDescent="0.25">
      <c r="G408" s="74" t="s">
        <v>50</v>
      </c>
    </row>
    <row r="409" spans="7:7" x14ac:dyDescent="0.25">
      <c r="G409" s="74" t="s">
        <v>50</v>
      </c>
    </row>
    <row r="410" spans="7:7" x14ac:dyDescent="0.25">
      <c r="G410" s="74" t="s">
        <v>50</v>
      </c>
    </row>
    <row r="411" spans="7:7" x14ac:dyDescent="0.25">
      <c r="G411" s="74" t="s">
        <v>50</v>
      </c>
    </row>
    <row r="412" spans="7:7" x14ac:dyDescent="0.25">
      <c r="G412" s="74" t="s">
        <v>50</v>
      </c>
    </row>
    <row r="413" spans="7:7" x14ac:dyDescent="0.25">
      <c r="G413" s="74" t="s">
        <v>50</v>
      </c>
    </row>
    <row r="414" spans="7:7" x14ac:dyDescent="0.25">
      <c r="G414" s="74" t="s">
        <v>50</v>
      </c>
    </row>
    <row r="415" spans="7:7" x14ac:dyDescent="0.25">
      <c r="G415" s="74" t="s">
        <v>50</v>
      </c>
    </row>
    <row r="416" spans="7:7" x14ac:dyDescent="0.25">
      <c r="G416" s="74" t="s">
        <v>50</v>
      </c>
    </row>
    <row r="417" spans="7:7" x14ac:dyDescent="0.25">
      <c r="G417" s="74" t="s">
        <v>50</v>
      </c>
    </row>
    <row r="418" spans="7:7" x14ac:dyDescent="0.25">
      <c r="G418" s="74" t="s">
        <v>50</v>
      </c>
    </row>
    <row r="419" spans="7:7" x14ac:dyDescent="0.25">
      <c r="G419" s="74" t="s">
        <v>50</v>
      </c>
    </row>
    <row r="420" spans="7:7" x14ac:dyDescent="0.25">
      <c r="G420" s="74" t="s">
        <v>50</v>
      </c>
    </row>
    <row r="421" spans="7:7" x14ac:dyDescent="0.25">
      <c r="G421" s="74" t="s">
        <v>50</v>
      </c>
    </row>
    <row r="422" spans="7:7" x14ac:dyDescent="0.25">
      <c r="G422" s="74" t="s">
        <v>50</v>
      </c>
    </row>
    <row r="423" spans="7:7" x14ac:dyDescent="0.25">
      <c r="G423" s="74" t="s">
        <v>50</v>
      </c>
    </row>
    <row r="424" spans="7:7" x14ac:dyDescent="0.25">
      <c r="G424" s="74" t="s">
        <v>50</v>
      </c>
    </row>
    <row r="425" spans="7:7" x14ac:dyDescent="0.25">
      <c r="G425" s="74" t="s">
        <v>50</v>
      </c>
    </row>
    <row r="426" spans="7:7" x14ac:dyDescent="0.25">
      <c r="G426" s="74" t="s">
        <v>50</v>
      </c>
    </row>
    <row r="427" spans="7:7" x14ac:dyDescent="0.25">
      <c r="G427" s="74" t="s">
        <v>50</v>
      </c>
    </row>
    <row r="428" spans="7:7" x14ac:dyDescent="0.25">
      <c r="G428" s="74" t="s">
        <v>50</v>
      </c>
    </row>
    <row r="429" spans="7:7" x14ac:dyDescent="0.25">
      <c r="G429" s="74" t="s">
        <v>50</v>
      </c>
    </row>
    <row r="430" spans="7:7" x14ac:dyDescent="0.25">
      <c r="G430" s="74" t="s">
        <v>50</v>
      </c>
    </row>
    <row r="431" spans="7:7" x14ac:dyDescent="0.25">
      <c r="G431" s="74" t="s">
        <v>50</v>
      </c>
    </row>
    <row r="432" spans="7:7" x14ac:dyDescent="0.25">
      <c r="G432" s="74" t="s">
        <v>50</v>
      </c>
    </row>
    <row r="433" spans="7:7" x14ac:dyDescent="0.25">
      <c r="G433" s="74" t="s">
        <v>50</v>
      </c>
    </row>
    <row r="434" spans="7:7" x14ac:dyDescent="0.25">
      <c r="G434" s="74" t="s">
        <v>50</v>
      </c>
    </row>
    <row r="435" spans="7:7" x14ac:dyDescent="0.25">
      <c r="G435" s="74" t="s">
        <v>50</v>
      </c>
    </row>
    <row r="436" spans="7:7" x14ac:dyDescent="0.25">
      <c r="G436" s="74" t="s">
        <v>50</v>
      </c>
    </row>
    <row r="437" spans="7:7" x14ac:dyDescent="0.25">
      <c r="G437" s="74" t="s">
        <v>50</v>
      </c>
    </row>
    <row r="438" spans="7:7" x14ac:dyDescent="0.25">
      <c r="G438" s="74" t="s">
        <v>50</v>
      </c>
    </row>
    <row r="439" spans="7:7" x14ac:dyDescent="0.25">
      <c r="G439" s="74" t="s">
        <v>50</v>
      </c>
    </row>
    <row r="440" spans="7:7" x14ac:dyDescent="0.25">
      <c r="G440" s="74" t="s">
        <v>50</v>
      </c>
    </row>
    <row r="441" spans="7:7" x14ac:dyDescent="0.25">
      <c r="G441" s="74" t="s">
        <v>50</v>
      </c>
    </row>
    <row r="442" spans="7:7" x14ac:dyDescent="0.25">
      <c r="G442" s="74" t="s">
        <v>50</v>
      </c>
    </row>
    <row r="443" spans="7:7" x14ac:dyDescent="0.25">
      <c r="G443" s="74" t="s">
        <v>50</v>
      </c>
    </row>
    <row r="444" spans="7:7" x14ac:dyDescent="0.25">
      <c r="G444" s="74" t="s">
        <v>50</v>
      </c>
    </row>
    <row r="445" spans="7:7" x14ac:dyDescent="0.25">
      <c r="G445" s="74" t="s">
        <v>50</v>
      </c>
    </row>
    <row r="446" spans="7:7" x14ac:dyDescent="0.25">
      <c r="G446" s="74" t="s">
        <v>50</v>
      </c>
    </row>
    <row r="447" spans="7:7" x14ac:dyDescent="0.25">
      <c r="G447" s="74" t="s">
        <v>50</v>
      </c>
    </row>
    <row r="448" spans="7:7" x14ac:dyDescent="0.25">
      <c r="G448" s="74" t="s">
        <v>50</v>
      </c>
    </row>
    <row r="449" spans="7:7" x14ac:dyDescent="0.25">
      <c r="G449" s="74" t="s">
        <v>50</v>
      </c>
    </row>
    <row r="450" spans="7:7" x14ac:dyDescent="0.25">
      <c r="G450" s="74" t="s">
        <v>50</v>
      </c>
    </row>
    <row r="451" spans="7:7" x14ac:dyDescent="0.25">
      <c r="G451" s="74" t="s">
        <v>50</v>
      </c>
    </row>
    <row r="452" spans="7:7" x14ac:dyDescent="0.25">
      <c r="G452" s="74" t="s">
        <v>50</v>
      </c>
    </row>
    <row r="453" spans="7:7" x14ac:dyDescent="0.25">
      <c r="G453" s="74" t="s">
        <v>50</v>
      </c>
    </row>
    <row r="454" spans="7:7" x14ac:dyDescent="0.25">
      <c r="G454" s="74" t="s">
        <v>50</v>
      </c>
    </row>
    <row r="455" spans="7:7" x14ac:dyDescent="0.25">
      <c r="G455" s="74" t="s">
        <v>50</v>
      </c>
    </row>
    <row r="456" spans="7:7" x14ac:dyDescent="0.25">
      <c r="G456" s="74" t="s">
        <v>50</v>
      </c>
    </row>
    <row r="457" spans="7:7" x14ac:dyDescent="0.25">
      <c r="G457" s="74" t="s">
        <v>50</v>
      </c>
    </row>
    <row r="458" spans="7:7" x14ac:dyDescent="0.25">
      <c r="G458" s="74" t="s">
        <v>50</v>
      </c>
    </row>
    <row r="459" spans="7:7" x14ac:dyDescent="0.25">
      <c r="G459" s="74" t="s">
        <v>50</v>
      </c>
    </row>
    <row r="460" spans="7:7" x14ac:dyDescent="0.25">
      <c r="G460" s="74" t="s">
        <v>50</v>
      </c>
    </row>
    <row r="461" spans="7:7" x14ac:dyDescent="0.25">
      <c r="G461" s="74" t="s">
        <v>50</v>
      </c>
    </row>
    <row r="462" spans="7:7" x14ac:dyDescent="0.25">
      <c r="G462" s="74" t="s">
        <v>50</v>
      </c>
    </row>
    <row r="463" spans="7:7" x14ac:dyDescent="0.25">
      <c r="G463" s="74" t="s">
        <v>50</v>
      </c>
    </row>
    <row r="464" spans="7:7" x14ac:dyDescent="0.25">
      <c r="G464" s="74" t="s">
        <v>50</v>
      </c>
    </row>
    <row r="465" spans="7:7" x14ac:dyDescent="0.25">
      <c r="G465" s="74" t="s">
        <v>50</v>
      </c>
    </row>
    <row r="466" spans="7:7" x14ac:dyDescent="0.25">
      <c r="G466" s="74" t="s">
        <v>50</v>
      </c>
    </row>
    <row r="467" spans="7:7" x14ac:dyDescent="0.25">
      <c r="G467" s="74" t="s">
        <v>50</v>
      </c>
    </row>
    <row r="468" spans="7:7" x14ac:dyDescent="0.25">
      <c r="G468" s="74" t="s">
        <v>50</v>
      </c>
    </row>
    <row r="469" spans="7:7" x14ac:dyDescent="0.25">
      <c r="G469" s="74" t="s">
        <v>50</v>
      </c>
    </row>
    <row r="470" spans="7:7" x14ac:dyDescent="0.25">
      <c r="G470" s="74" t="s">
        <v>50</v>
      </c>
    </row>
    <row r="471" spans="7:7" x14ac:dyDescent="0.25">
      <c r="G471" s="74" t="s">
        <v>50</v>
      </c>
    </row>
    <row r="472" spans="7:7" x14ac:dyDescent="0.25">
      <c r="G472" s="74" t="s">
        <v>50</v>
      </c>
    </row>
    <row r="473" spans="7:7" x14ac:dyDescent="0.25">
      <c r="G473" s="74" t="s">
        <v>50</v>
      </c>
    </row>
    <row r="474" spans="7:7" x14ac:dyDescent="0.25">
      <c r="G474" s="74" t="s">
        <v>50</v>
      </c>
    </row>
    <row r="475" spans="7:7" x14ac:dyDescent="0.25">
      <c r="G475" s="74" t="s">
        <v>50</v>
      </c>
    </row>
    <row r="476" spans="7:7" x14ac:dyDescent="0.25">
      <c r="G476" s="74" t="s">
        <v>50</v>
      </c>
    </row>
    <row r="477" spans="7:7" x14ac:dyDescent="0.25">
      <c r="G477" s="74" t="s">
        <v>50</v>
      </c>
    </row>
    <row r="478" spans="7:7" x14ac:dyDescent="0.25">
      <c r="G478" s="74" t="s">
        <v>50</v>
      </c>
    </row>
    <row r="479" spans="7:7" x14ac:dyDescent="0.25">
      <c r="G479" s="74" t="s">
        <v>50</v>
      </c>
    </row>
    <row r="480" spans="7:7" x14ac:dyDescent="0.25">
      <c r="G480" s="74" t="s">
        <v>50</v>
      </c>
    </row>
    <row r="481" spans="7:7" x14ac:dyDescent="0.25">
      <c r="G481" s="74" t="s">
        <v>50</v>
      </c>
    </row>
    <row r="482" spans="7:7" x14ac:dyDescent="0.25">
      <c r="G482" s="74" t="s">
        <v>50</v>
      </c>
    </row>
    <row r="483" spans="7:7" x14ac:dyDescent="0.25">
      <c r="G483" s="74" t="s">
        <v>50</v>
      </c>
    </row>
    <row r="484" spans="7:7" x14ac:dyDescent="0.25">
      <c r="G484" s="74" t="s">
        <v>50</v>
      </c>
    </row>
    <row r="485" spans="7:7" x14ac:dyDescent="0.25">
      <c r="G485" s="74" t="s">
        <v>50</v>
      </c>
    </row>
    <row r="486" spans="7:7" x14ac:dyDescent="0.25">
      <c r="G486" s="74" t="s">
        <v>50</v>
      </c>
    </row>
    <row r="487" spans="7:7" x14ac:dyDescent="0.25">
      <c r="G487" s="74" t="s">
        <v>50</v>
      </c>
    </row>
    <row r="488" spans="7:7" x14ac:dyDescent="0.25">
      <c r="G488" s="74" t="s">
        <v>50</v>
      </c>
    </row>
    <row r="489" spans="7:7" x14ac:dyDescent="0.25">
      <c r="G489" s="74" t="s">
        <v>50</v>
      </c>
    </row>
    <row r="490" spans="7:7" x14ac:dyDescent="0.25">
      <c r="G490" s="74" t="s">
        <v>50</v>
      </c>
    </row>
    <row r="491" spans="7:7" x14ac:dyDescent="0.25">
      <c r="G491" s="74" t="s">
        <v>50</v>
      </c>
    </row>
    <row r="492" spans="7:7" x14ac:dyDescent="0.25">
      <c r="G492" s="74" t="s">
        <v>50</v>
      </c>
    </row>
    <row r="493" spans="7:7" x14ac:dyDescent="0.25">
      <c r="G493" s="74" t="s">
        <v>50</v>
      </c>
    </row>
    <row r="494" spans="7:7" x14ac:dyDescent="0.25">
      <c r="G494" s="74" t="s">
        <v>50</v>
      </c>
    </row>
    <row r="495" spans="7:7" x14ac:dyDescent="0.25">
      <c r="G495" s="74" t="s">
        <v>50</v>
      </c>
    </row>
    <row r="496" spans="7:7" x14ac:dyDescent="0.25">
      <c r="G496" s="74" t="s">
        <v>50</v>
      </c>
    </row>
    <row r="497" spans="7:7" x14ac:dyDescent="0.25">
      <c r="G497" s="74" t="s">
        <v>50</v>
      </c>
    </row>
    <row r="498" spans="7:7" x14ac:dyDescent="0.25">
      <c r="G498" s="74" t="s">
        <v>50</v>
      </c>
    </row>
    <row r="499" spans="7:7" x14ac:dyDescent="0.25">
      <c r="G499" s="74" t="s">
        <v>50</v>
      </c>
    </row>
    <row r="500" spans="7:7" x14ac:dyDescent="0.25">
      <c r="G500" s="74" t="s">
        <v>50</v>
      </c>
    </row>
    <row r="501" spans="7:7" x14ac:dyDescent="0.25">
      <c r="G501" s="74" t="s">
        <v>50</v>
      </c>
    </row>
    <row r="502" spans="7:7" x14ac:dyDescent="0.25">
      <c r="G502" s="74" t="s">
        <v>50</v>
      </c>
    </row>
    <row r="503" spans="7:7" x14ac:dyDescent="0.25">
      <c r="G503" s="74" t="s">
        <v>50</v>
      </c>
    </row>
    <row r="504" spans="7:7" x14ac:dyDescent="0.25">
      <c r="G504" s="74" t="s">
        <v>50</v>
      </c>
    </row>
    <row r="505" spans="7:7" x14ac:dyDescent="0.25">
      <c r="G505" s="74" t="s">
        <v>50</v>
      </c>
    </row>
    <row r="506" spans="7:7" x14ac:dyDescent="0.25">
      <c r="G506" s="74" t="s">
        <v>50</v>
      </c>
    </row>
    <row r="507" spans="7:7" x14ac:dyDescent="0.25">
      <c r="G507" s="74" t="s">
        <v>50</v>
      </c>
    </row>
    <row r="508" spans="7:7" x14ac:dyDescent="0.25">
      <c r="G508" s="74" t="s">
        <v>50</v>
      </c>
    </row>
    <row r="509" spans="7:7" x14ac:dyDescent="0.25">
      <c r="G509" s="74" t="s">
        <v>50</v>
      </c>
    </row>
    <row r="510" spans="7:7" x14ac:dyDescent="0.25">
      <c r="G510" s="74" t="s">
        <v>50</v>
      </c>
    </row>
    <row r="511" spans="7:7" x14ac:dyDescent="0.25">
      <c r="G511" s="74" t="s">
        <v>50</v>
      </c>
    </row>
    <row r="512" spans="7:7" x14ac:dyDescent="0.25">
      <c r="G512" s="74" t="s">
        <v>50</v>
      </c>
    </row>
    <row r="513" spans="7:7" x14ac:dyDescent="0.25">
      <c r="G513" s="74" t="s">
        <v>50</v>
      </c>
    </row>
    <row r="514" spans="7:7" x14ac:dyDescent="0.25">
      <c r="G514" s="74" t="s">
        <v>50</v>
      </c>
    </row>
    <row r="515" spans="7:7" x14ac:dyDescent="0.25">
      <c r="G515" s="74" t="s">
        <v>50</v>
      </c>
    </row>
    <row r="516" spans="7:7" x14ac:dyDescent="0.25">
      <c r="G516" s="74" t="s">
        <v>50</v>
      </c>
    </row>
    <row r="517" spans="7:7" x14ac:dyDescent="0.25">
      <c r="G517" s="74" t="s">
        <v>50</v>
      </c>
    </row>
    <row r="518" spans="7:7" x14ac:dyDescent="0.25">
      <c r="G518" s="74" t="s">
        <v>50</v>
      </c>
    </row>
    <row r="519" spans="7:7" x14ac:dyDescent="0.25">
      <c r="G519" s="74" t="s">
        <v>50</v>
      </c>
    </row>
    <row r="520" spans="7:7" x14ac:dyDescent="0.25">
      <c r="G520" s="74" t="s">
        <v>50</v>
      </c>
    </row>
    <row r="521" spans="7:7" x14ac:dyDescent="0.25">
      <c r="G521" s="74" t="s">
        <v>50</v>
      </c>
    </row>
    <row r="522" spans="7:7" x14ac:dyDescent="0.25">
      <c r="G522" s="74" t="s">
        <v>50</v>
      </c>
    </row>
    <row r="523" spans="7:7" x14ac:dyDescent="0.25">
      <c r="G523" s="74" t="s">
        <v>50</v>
      </c>
    </row>
    <row r="524" spans="7:7" x14ac:dyDescent="0.25">
      <c r="G524" s="74" t="s">
        <v>50</v>
      </c>
    </row>
    <row r="525" spans="7:7" x14ac:dyDescent="0.25">
      <c r="G525" s="74" t="s">
        <v>50</v>
      </c>
    </row>
    <row r="526" spans="7:7" x14ac:dyDescent="0.25">
      <c r="G526" s="74" t="s">
        <v>50</v>
      </c>
    </row>
    <row r="527" spans="7:7" x14ac:dyDescent="0.25">
      <c r="G527" s="74" t="s">
        <v>50</v>
      </c>
    </row>
    <row r="528" spans="7:7" x14ac:dyDescent="0.25">
      <c r="G528" s="74" t="s">
        <v>50</v>
      </c>
    </row>
    <row r="529" spans="7:7" x14ac:dyDescent="0.25">
      <c r="G529" s="74" t="s">
        <v>50</v>
      </c>
    </row>
    <row r="530" spans="7:7" x14ac:dyDescent="0.25">
      <c r="G530" s="74" t="s">
        <v>50</v>
      </c>
    </row>
    <row r="531" spans="7:7" x14ac:dyDescent="0.25">
      <c r="G531" s="74" t="s">
        <v>50</v>
      </c>
    </row>
    <row r="532" spans="7:7" x14ac:dyDescent="0.25">
      <c r="G532" s="74" t="s">
        <v>50</v>
      </c>
    </row>
    <row r="533" spans="7:7" x14ac:dyDescent="0.25">
      <c r="G533" s="74" t="s">
        <v>50</v>
      </c>
    </row>
    <row r="534" spans="7:7" x14ac:dyDescent="0.25">
      <c r="G534" s="74" t="s">
        <v>50</v>
      </c>
    </row>
    <row r="535" spans="7:7" x14ac:dyDescent="0.25">
      <c r="G535" s="74" t="s">
        <v>50</v>
      </c>
    </row>
    <row r="536" spans="7:7" x14ac:dyDescent="0.25">
      <c r="G536" s="74" t="s">
        <v>50</v>
      </c>
    </row>
    <row r="537" spans="7:7" x14ac:dyDescent="0.25">
      <c r="G537" s="74" t="s">
        <v>50</v>
      </c>
    </row>
    <row r="538" spans="7:7" x14ac:dyDescent="0.25">
      <c r="G538" s="74" t="s">
        <v>50</v>
      </c>
    </row>
    <row r="539" spans="7:7" x14ac:dyDescent="0.25">
      <c r="G539" s="74" t="s">
        <v>50</v>
      </c>
    </row>
    <row r="540" spans="7:7" x14ac:dyDescent="0.25">
      <c r="G540" s="74" t="s">
        <v>50</v>
      </c>
    </row>
    <row r="541" spans="7:7" x14ac:dyDescent="0.25">
      <c r="G541" s="74" t="s">
        <v>50</v>
      </c>
    </row>
    <row r="542" spans="7:7" x14ac:dyDescent="0.25">
      <c r="G542" s="74" t="s">
        <v>50</v>
      </c>
    </row>
    <row r="543" spans="7:7" x14ac:dyDescent="0.25">
      <c r="G543" s="74" t="s">
        <v>50</v>
      </c>
    </row>
    <row r="544" spans="7:7" x14ac:dyDescent="0.25">
      <c r="G544" s="74" t="s">
        <v>50</v>
      </c>
    </row>
    <row r="545" spans="7:7" x14ac:dyDescent="0.25">
      <c r="G545" s="74" t="s">
        <v>50</v>
      </c>
    </row>
    <row r="546" spans="7:7" x14ac:dyDescent="0.25">
      <c r="G546" s="74" t="s">
        <v>50</v>
      </c>
    </row>
    <row r="547" spans="7:7" x14ac:dyDescent="0.25">
      <c r="G547" s="74" t="s">
        <v>50</v>
      </c>
    </row>
    <row r="548" spans="7:7" x14ac:dyDescent="0.25">
      <c r="G548" s="74" t="s">
        <v>50</v>
      </c>
    </row>
    <row r="549" spans="7:7" x14ac:dyDescent="0.25">
      <c r="G549" s="74" t="s">
        <v>50</v>
      </c>
    </row>
    <row r="550" spans="7:7" x14ac:dyDescent="0.25">
      <c r="G550" s="74" t="s">
        <v>50</v>
      </c>
    </row>
    <row r="551" spans="7:7" x14ac:dyDescent="0.25">
      <c r="G551" s="74" t="s">
        <v>50</v>
      </c>
    </row>
    <row r="552" spans="7:7" x14ac:dyDescent="0.25">
      <c r="G552" s="74" t="s">
        <v>50</v>
      </c>
    </row>
    <row r="553" spans="7:7" x14ac:dyDescent="0.25">
      <c r="G553" s="74" t="s">
        <v>50</v>
      </c>
    </row>
    <row r="554" spans="7:7" x14ac:dyDescent="0.25">
      <c r="G554" s="74" t="s">
        <v>50</v>
      </c>
    </row>
    <row r="555" spans="7:7" x14ac:dyDescent="0.25">
      <c r="G555" s="74" t="s">
        <v>50</v>
      </c>
    </row>
    <row r="556" spans="7:7" x14ac:dyDescent="0.25">
      <c r="G556" s="74" t="s">
        <v>50</v>
      </c>
    </row>
    <row r="557" spans="7:7" x14ac:dyDescent="0.25">
      <c r="G557" s="74" t="s">
        <v>50</v>
      </c>
    </row>
    <row r="558" spans="7:7" x14ac:dyDescent="0.25">
      <c r="G558" s="74" t="s">
        <v>50</v>
      </c>
    </row>
    <row r="559" spans="7:7" x14ac:dyDescent="0.25">
      <c r="G559" s="74" t="s">
        <v>50</v>
      </c>
    </row>
    <row r="560" spans="7:7" x14ac:dyDescent="0.25">
      <c r="G560" s="74" t="s">
        <v>50</v>
      </c>
    </row>
    <row r="561" spans="7:7" x14ac:dyDescent="0.25">
      <c r="G561" s="74" t="s">
        <v>50</v>
      </c>
    </row>
    <row r="562" spans="7:7" x14ac:dyDescent="0.25">
      <c r="G562" s="74" t="s">
        <v>50</v>
      </c>
    </row>
    <row r="563" spans="7:7" x14ac:dyDescent="0.25">
      <c r="G563" s="74" t="s">
        <v>50</v>
      </c>
    </row>
    <row r="564" spans="7:7" x14ac:dyDescent="0.25">
      <c r="G564" s="74" t="s">
        <v>50</v>
      </c>
    </row>
    <row r="565" spans="7:7" x14ac:dyDescent="0.25">
      <c r="G565" s="74" t="s">
        <v>50</v>
      </c>
    </row>
    <row r="566" spans="7:7" x14ac:dyDescent="0.25">
      <c r="G566" s="74" t="s">
        <v>50</v>
      </c>
    </row>
    <row r="567" spans="7:7" x14ac:dyDescent="0.25">
      <c r="G567" s="74" t="s">
        <v>50</v>
      </c>
    </row>
    <row r="568" spans="7:7" x14ac:dyDescent="0.25">
      <c r="G568" s="74" t="s">
        <v>50</v>
      </c>
    </row>
    <row r="569" spans="7:7" x14ac:dyDescent="0.25">
      <c r="G569" s="74" t="s">
        <v>50</v>
      </c>
    </row>
    <row r="570" spans="7:7" x14ac:dyDescent="0.25">
      <c r="G570" s="74" t="s">
        <v>50</v>
      </c>
    </row>
    <row r="571" spans="7:7" x14ac:dyDescent="0.25">
      <c r="G571" s="74" t="s">
        <v>50</v>
      </c>
    </row>
    <row r="572" spans="7:7" x14ac:dyDescent="0.25">
      <c r="G572" s="74" t="s">
        <v>50</v>
      </c>
    </row>
    <row r="573" spans="7:7" x14ac:dyDescent="0.25">
      <c r="G573" s="74" t="s">
        <v>50</v>
      </c>
    </row>
    <row r="574" spans="7:7" x14ac:dyDescent="0.25">
      <c r="G574" s="74" t="s">
        <v>50</v>
      </c>
    </row>
    <row r="575" spans="7:7" x14ac:dyDescent="0.25">
      <c r="G575" s="74" t="s">
        <v>50</v>
      </c>
    </row>
    <row r="576" spans="7:7" x14ac:dyDescent="0.25">
      <c r="G576" s="74" t="s">
        <v>50</v>
      </c>
    </row>
    <row r="577" spans="7:7" x14ac:dyDescent="0.25">
      <c r="G577" s="74" t="s">
        <v>50</v>
      </c>
    </row>
    <row r="578" spans="7:7" x14ac:dyDescent="0.25">
      <c r="G578" s="74" t="s">
        <v>50</v>
      </c>
    </row>
    <row r="579" spans="7:7" x14ac:dyDescent="0.25">
      <c r="G579" s="74" t="s">
        <v>50</v>
      </c>
    </row>
    <row r="580" spans="7:7" x14ac:dyDescent="0.25">
      <c r="G580" s="74" t="s">
        <v>50</v>
      </c>
    </row>
    <row r="581" spans="7:7" x14ac:dyDescent="0.25">
      <c r="G581" s="74" t="s">
        <v>50</v>
      </c>
    </row>
    <row r="582" spans="7:7" x14ac:dyDescent="0.25">
      <c r="G582" s="74" t="s">
        <v>50</v>
      </c>
    </row>
    <row r="583" spans="7:7" x14ac:dyDescent="0.25">
      <c r="G583" s="74" t="s">
        <v>50</v>
      </c>
    </row>
    <row r="584" spans="7:7" x14ac:dyDescent="0.25">
      <c r="G584" s="74" t="s">
        <v>50</v>
      </c>
    </row>
    <row r="585" spans="7:7" x14ac:dyDescent="0.25">
      <c r="G585" s="74" t="s">
        <v>50</v>
      </c>
    </row>
    <row r="586" spans="7:7" x14ac:dyDescent="0.25">
      <c r="G586" s="74" t="s">
        <v>50</v>
      </c>
    </row>
    <row r="587" spans="7:7" x14ac:dyDescent="0.25">
      <c r="G587" s="74" t="s">
        <v>50</v>
      </c>
    </row>
    <row r="588" spans="7:7" x14ac:dyDescent="0.25">
      <c r="G588" s="74" t="s">
        <v>50</v>
      </c>
    </row>
    <row r="589" spans="7:7" x14ac:dyDescent="0.25">
      <c r="G589" s="74" t="s">
        <v>50</v>
      </c>
    </row>
    <row r="590" spans="7:7" x14ac:dyDescent="0.25">
      <c r="G590" s="74" t="s">
        <v>50</v>
      </c>
    </row>
    <row r="591" spans="7:7" x14ac:dyDescent="0.25">
      <c r="G591" s="74" t="s">
        <v>50</v>
      </c>
    </row>
    <row r="592" spans="7:7" x14ac:dyDescent="0.25">
      <c r="G592" s="74" t="s">
        <v>50</v>
      </c>
    </row>
    <row r="593" spans="7:7" x14ac:dyDescent="0.25">
      <c r="G593" s="74" t="s">
        <v>50</v>
      </c>
    </row>
    <row r="594" spans="7:7" x14ac:dyDescent="0.25">
      <c r="G594" s="74" t="s">
        <v>50</v>
      </c>
    </row>
    <row r="595" spans="7:7" x14ac:dyDescent="0.25">
      <c r="G595" s="74" t="s">
        <v>50</v>
      </c>
    </row>
    <row r="596" spans="7:7" x14ac:dyDescent="0.25">
      <c r="G596" s="74" t="s">
        <v>50</v>
      </c>
    </row>
    <row r="597" spans="7:7" x14ac:dyDescent="0.25">
      <c r="G597" s="74" t="s">
        <v>50</v>
      </c>
    </row>
    <row r="598" spans="7:7" x14ac:dyDescent="0.25">
      <c r="G598" s="74" t="s">
        <v>50</v>
      </c>
    </row>
    <row r="599" spans="7:7" x14ac:dyDescent="0.25">
      <c r="G599" s="74" t="s">
        <v>50</v>
      </c>
    </row>
    <row r="600" spans="7:7" x14ac:dyDescent="0.25">
      <c r="G600" s="74" t="s">
        <v>50</v>
      </c>
    </row>
    <row r="601" spans="7:7" x14ac:dyDescent="0.25">
      <c r="G601" s="74" t="s">
        <v>50</v>
      </c>
    </row>
    <row r="602" spans="7:7" x14ac:dyDescent="0.25">
      <c r="G602" s="74" t="s">
        <v>50</v>
      </c>
    </row>
    <row r="603" spans="7:7" x14ac:dyDescent="0.25">
      <c r="G603" s="74" t="s">
        <v>50</v>
      </c>
    </row>
    <row r="604" spans="7:7" x14ac:dyDescent="0.25">
      <c r="G604" s="74" t="s">
        <v>50</v>
      </c>
    </row>
    <row r="605" spans="7:7" x14ac:dyDescent="0.25">
      <c r="G605" s="74" t="s">
        <v>50</v>
      </c>
    </row>
    <row r="606" spans="7:7" x14ac:dyDescent="0.25">
      <c r="G606" s="74" t="s">
        <v>50</v>
      </c>
    </row>
    <row r="607" spans="7:7" x14ac:dyDescent="0.25">
      <c r="G607" s="74" t="s">
        <v>50</v>
      </c>
    </row>
    <row r="608" spans="7:7" x14ac:dyDescent="0.25">
      <c r="G608" s="74" t="s">
        <v>50</v>
      </c>
    </row>
    <row r="609" spans="7:7" x14ac:dyDescent="0.25">
      <c r="G609" s="74" t="s">
        <v>50</v>
      </c>
    </row>
    <row r="610" spans="7:7" x14ac:dyDescent="0.25">
      <c r="G610" s="74" t="s">
        <v>50</v>
      </c>
    </row>
    <row r="611" spans="7:7" x14ac:dyDescent="0.25">
      <c r="G611" s="74" t="s">
        <v>50</v>
      </c>
    </row>
    <row r="612" spans="7:7" x14ac:dyDescent="0.25">
      <c r="G612" s="74" t="s">
        <v>50</v>
      </c>
    </row>
    <row r="613" spans="7:7" x14ac:dyDescent="0.25">
      <c r="G613" s="74" t="s">
        <v>50</v>
      </c>
    </row>
    <row r="614" spans="7:7" x14ac:dyDescent="0.25">
      <c r="G614" s="74" t="s">
        <v>50</v>
      </c>
    </row>
    <row r="615" spans="7:7" x14ac:dyDescent="0.25">
      <c r="G615" s="74" t="s">
        <v>50</v>
      </c>
    </row>
    <row r="616" spans="7:7" x14ac:dyDescent="0.25">
      <c r="G616" s="74" t="s">
        <v>50</v>
      </c>
    </row>
    <row r="617" spans="7:7" x14ac:dyDescent="0.25">
      <c r="G617" s="74" t="s">
        <v>50</v>
      </c>
    </row>
    <row r="618" spans="7:7" x14ac:dyDescent="0.25">
      <c r="G618" s="74" t="s">
        <v>50</v>
      </c>
    </row>
    <row r="619" spans="7:7" x14ac:dyDescent="0.25">
      <c r="G619" s="74" t="s">
        <v>50</v>
      </c>
    </row>
    <row r="620" spans="7:7" x14ac:dyDescent="0.25">
      <c r="G620" s="74" t="s">
        <v>50</v>
      </c>
    </row>
    <row r="621" spans="7:7" x14ac:dyDescent="0.25">
      <c r="G621" s="74" t="s">
        <v>50</v>
      </c>
    </row>
    <row r="622" spans="7:7" x14ac:dyDescent="0.25">
      <c r="G622" s="74" t="s">
        <v>50</v>
      </c>
    </row>
    <row r="623" spans="7:7" x14ac:dyDescent="0.25">
      <c r="G623" s="74" t="s">
        <v>50</v>
      </c>
    </row>
    <row r="624" spans="7:7" x14ac:dyDescent="0.25">
      <c r="G624" s="74" t="s">
        <v>50</v>
      </c>
    </row>
    <row r="625" spans="7:7" x14ac:dyDescent="0.25">
      <c r="G625" s="74" t="s">
        <v>50</v>
      </c>
    </row>
    <row r="626" spans="7:7" x14ac:dyDescent="0.25">
      <c r="G626" s="74" t="s">
        <v>50</v>
      </c>
    </row>
    <row r="627" spans="7:7" x14ac:dyDescent="0.25">
      <c r="G627" s="74" t="s">
        <v>50</v>
      </c>
    </row>
    <row r="628" spans="7:7" x14ac:dyDescent="0.25">
      <c r="G628" s="74" t="s">
        <v>50</v>
      </c>
    </row>
    <row r="629" spans="7:7" x14ac:dyDescent="0.25">
      <c r="G629" s="74" t="s">
        <v>50</v>
      </c>
    </row>
    <row r="630" spans="7:7" x14ac:dyDescent="0.25">
      <c r="G630" s="74" t="s">
        <v>50</v>
      </c>
    </row>
    <row r="631" spans="7:7" x14ac:dyDescent="0.25">
      <c r="G631" s="74" t="s">
        <v>50</v>
      </c>
    </row>
    <row r="632" spans="7:7" x14ac:dyDescent="0.25">
      <c r="G632" s="74" t="s">
        <v>50</v>
      </c>
    </row>
    <row r="633" spans="7:7" x14ac:dyDescent="0.25">
      <c r="G633" s="74" t="s">
        <v>50</v>
      </c>
    </row>
    <row r="634" spans="7:7" x14ac:dyDescent="0.25">
      <c r="G634" s="74" t="s">
        <v>50</v>
      </c>
    </row>
    <row r="635" spans="7:7" x14ac:dyDescent="0.25">
      <c r="G635" s="74" t="s">
        <v>50</v>
      </c>
    </row>
    <row r="636" spans="7:7" x14ac:dyDescent="0.25">
      <c r="G636" s="74" t="s">
        <v>50</v>
      </c>
    </row>
    <row r="637" spans="7:7" x14ac:dyDescent="0.25">
      <c r="G637" s="74" t="s">
        <v>50</v>
      </c>
    </row>
    <row r="638" spans="7:7" x14ac:dyDescent="0.25">
      <c r="G638" s="74" t="s">
        <v>50</v>
      </c>
    </row>
    <row r="639" spans="7:7" x14ac:dyDescent="0.25">
      <c r="G639" s="74" t="s">
        <v>50</v>
      </c>
    </row>
    <row r="640" spans="7:7" x14ac:dyDescent="0.25">
      <c r="G640" s="74" t="s">
        <v>50</v>
      </c>
    </row>
    <row r="641" spans="7:7" x14ac:dyDescent="0.25">
      <c r="G641" s="74" t="s">
        <v>50</v>
      </c>
    </row>
    <row r="642" spans="7:7" x14ac:dyDescent="0.25">
      <c r="G642" s="74" t="s">
        <v>50</v>
      </c>
    </row>
    <row r="643" spans="7:7" x14ac:dyDescent="0.25">
      <c r="G643" s="74" t="s">
        <v>50</v>
      </c>
    </row>
    <row r="644" spans="7:7" x14ac:dyDescent="0.25">
      <c r="G644" s="74" t="s">
        <v>50</v>
      </c>
    </row>
    <row r="645" spans="7:7" x14ac:dyDescent="0.25">
      <c r="G645" s="74" t="s">
        <v>50</v>
      </c>
    </row>
    <row r="646" spans="7:7" x14ac:dyDescent="0.25">
      <c r="G646" s="74" t="s">
        <v>50</v>
      </c>
    </row>
    <row r="647" spans="7:7" x14ac:dyDescent="0.25">
      <c r="G647" s="74" t="s">
        <v>50</v>
      </c>
    </row>
    <row r="648" spans="7:7" x14ac:dyDescent="0.25">
      <c r="G648" s="74" t="s">
        <v>50</v>
      </c>
    </row>
    <row r="649" spans="7:7" x14ac:dyDescent="0.25">
      <c r="G649" s="74" t="s">
        <v>50</v>
      </c>
    </row>
    <row r="650" spans="7:7" x14ac:dyDescent="0.25">
      <c r="G650" s="74" t="s">
        <v>50</v>
      </c>
    </row>
    <row r="651" spans="7:7" x14ac:dyDescent="0.25">
      <c r="G651" s="74" t="s">
        <v>50</v>
      </c>
    </row>
    <row r="652" spans="7:7" x14ac:dyDescent="0.25">
      <c r="G652" s="74" t="s">
        <v>50</v>
      </c>
    </row>
    <row r="653" spans="7:7" x14ac:dyDescent="0.25">
      <c r="G653" s="74" t="s">
        <v>50</v>
      </c>
    </row>
    <row r="654" spans="7:7" x14ac:dyDescent="0.25">
      <c r="G654" s="74" t="s">
        <v>50</v>
      </c>
    </row>
    <row r="655" spans="7:7" x14ac:dyDescent="0.25">
      <c r="G655" s="74" t="s">
        <v>50</v>
      </c>
    </row>
    <row r="656" spans="7:7" x14ac:dyDescent="0.25">
      <c r="G656" s="74" t="s">
        <v>50</v>
      </c>
    </row>
    <row r="657" spans="7:7" x14ac:dyDescent="0.25">
      <c r="G657" s="74" t="s">
        <v>50</v>
      </c>
    </row>
    <row r="658" spans="7:7" x14ac:dyDescent="0.25">
      <c r="G658" s="74" t="s">
        <v>50</v>
      </c>
    </row>
    <row r="659" spans="7:7" x14ac:dyDescent="0.25">
      <c r="G659" s="74" t="s">
        <v>50</v>
      </c>
    </row>
    <row r="660" spans="7:7" x14ac:dyDescent="0.25">
      <c r="G660" s="74" t="s">
        <v>50</v>
      </c>
    </row>
    <row r="661" spans="7:7" x14ac:dyDescent="0.25">
      <c r="G661" s="74" t="s">
        <v>50</v>
      </c>
    </row>
    <row r="662" spans="7:7" x14ac:dyDescent="0.25">
      <c r="G662" s="74" t="s">
        <v>50</v>
      </c>
    </row>
    <row r="663" spans="7:7" x14ac:dyDescent="0.25">
      <c r="G663" s="74" t="s">
        <v>50</v>
      </c>
    </row>
    <row r="664" spans="7:7" x14ac:dyDescent="0.25">
      <c r="G664" s="74" t="s">
        <v>50</v>
      </c>
    </row>
    <row r="665" spans="7:7" x14ac:dyDescent="0.25">
      <c r="G665" s="74" t="s">
        <v>50</v>
      </c>
    </row>
    <row r="666" spans="7:7" x14ac:dyDescent="0.25">
      <c r="G666" s="74" t="s">
        <v>50</v>
      </c>
    </row>
    <row r="667" spans="7:7" x14ac:dyDescent="0.25">
      <c r="G667" s="74" t="s">
        <v>50</v>
      </c>
    </row>
    <row r="668" spans="7:7" x14ac:dyDescent="0.25">
      <c r="G668" s="74" t="s">
        <v>50</v>
      </c>
    </row>
    <row r="669" spans="7:7" x14ac:dyDescent="0.25">
      <c r="G669" s="74" t="s">
        <v>50</v>
      </c>
    </row>
    <row r="670" spans="7:7" x14ac:dyDescent="0.25">
      <c r="G670" s="74" t="s">
        <v>50</v>
      </c>
    </row>
    <row r="671" spans="7:7" x14ac:dyDescent="0.25">
      <c r="G671" s="74" t="s">
        <v>50</v>
      </c>
    </row>
    <row r="672" spans="7:7" x14ac:dyDescent="0.25">
      <c r="G672" s="74" t="s">
        <v>50</v>
      </c>
    </row>
    <row r="673" spans="7:7" x14ac:dyDescent="0.25">
      <c r="G673" s="74" t="s">
        <v>50</v>
      </c>
    </row>
    <row r="674" spans="7:7" x14ac:dyDescent="0.25">
      <c r="G674" s="74" t="s">
        <v>50</v>
      </c>
    </row>
    <row r="675" spans="7:7" x14ac:dyDescent="0.25">
      <c r="G675" s="74" t="s">
        <v>50</v>
      </c>
    </row>
    <row r="676" spans="7:7" x14ac:dyDescent="0.25">
      <c r="G676" s="74" t="s">
        <v>50</v>
      </c>
    </row>
    <row r="677" spans="7:7" x14ac:dyDescent="0.25">
      <c r="G677" s="74" t="s">
        <v>50</v>
      </c>
    </row>
    <row r="678" spans="7:7" x14ac:dyDescent="0.25">
      <c r="G678" s="74" t="s">
        <v>50</v>
      </c>
    </row>
    <row r="679" spans="7:7" x14ac:dyDescent="0.25">
      <c r="G679" s="74" t="s">
        <v>50</v>
      </c>
    </row>
    <row r="680" spans="7:7" x14ac:dyDescent="0.25">
      <c r="G680" s="74" t="s">
        <v>50</v>
      </c>
    </row>
    <row r="681" spans="7:7" x14ac:dyDescent="0.25">
      <c r="G681" s="74" t="s">
        <v>50</v>
      </c>
    </row>
    <row r="682" spans="7:7" x14ac:dyDescent="0.25">
      <c r="G682" s="74" t="s">
        <v>50</v>
      </c>
    </row>
    <row r="683" spans="7:7" x14ac:dyDescent="0.25">
      <c r="G683" s="74" t="s">
        <v>50</v>
      </c>
    </row>
    <row r="684" spans="7:7" x14ac:dyDescent="0.25">
      <c r="G684" s="74" t="s">
        <v>50</v>
      </c>
    </row>
    <row r="685" spans="7:7" x14ac:dyDescent="0.25">
      <c r="G685" s="74" t="s">
        <v>50</v>
      </c>
    </row>
    <row r="686" spans="7:7" x14ac:dyDescent="0.25">
      <c r="G686" s="74" t="s">
        <v>50</v>
      </c>
    </row>
    <row r="687" spans="7:7" x14ac:dyDescent="0.25">
      <c r="G687" s="74" t="s">
        <v>50</v>
      </c>
    </row>
    <row r="688" spans="7:7" x14ac:dyDescent="0.25">
      <c r="G688" s="74" t="s">
        <v>50</v>
      </c>
    </row>
    <row r="689" spans="7:7" x14ac:dyDescent="0.25">
      <c r="G689" s="74" t="s">
        <v>50</v>
      </c>
    </row>
    <row r="690" spans="7:7" x14ac:dyDescent="0.25">
      <c r="G690" s="74" t="s">
        <v>50</v>
      </c>
    </row>
    <row r="691" spans="7:7" x14ac:dyDescent="0.25">
      <c r="G691" s="74" t="s">
        <v>50</v>
      </c>
    </row>
    <row r="692" spans="7:7" x14ac:dyDescent="0.25">
      <c r="G692" s="74" t="s">
        <v>50</v>
      </c>
    </row>
    <row r="693" spans="7:7" x14ac:dyDescent="0.25">
      <c r="G693" s="74" t="s">
        <v>50</v>
      </c>
    </row>
    <row r="694" spans="7:7" x14ac:dyDescent="0.25">
      <c r="G694" s="74" t="s">
        <v>50</v>
      </c>
    </row>
    <row r="695" spans="7:7" x14ac:dyDescent="0.25">
      <c r="G695" s="74" t="s">
        <v>50</v>
      </c>
    </row>
    <row r="696" spans="7:7" x14ac:dyDescent="0.25">
      <c r="G696" s="74" t="s">
        <v>50</v>
      </c>
    </row>
    <row r="697" spans="7:7" x14ac:dyDescent="0.25">
      <c r="G697" s="74" t="s">
        <v>50</v>
      </c>
    </row>
    <row r="698" spans="7:7" x14ac:dyDescent="0.25">
      <c r="G698" s="74" t="s">
        <v>50</v>
      </c>
    </row>
    <row r="699" spans="7:7" x14ac:dyDescent="0.25">
      <c r="G699" s="74" t="s">
        <v>50</v>
      </c>
    </row>
    <row r="700" spans="7:7" x14ac:dyDescent="0.25">
      <c r="G700" s="74" t="s">
        <v>50</v>
      </c>
    </row>
    <row r="701" spans="7:7" x14ac:dyDescent="0.25">
      <c r="G701" s="74" t="s">
        <v>50</v>
      </c>
    </row>
    <row r="702" spans="7:7" x14ac:dyDescent="0.25">
      <c r="G702" s="74" t="s">
        <v>50</v>
      </c>
    </row>
    <row r="703" spans="7:7" x14ac:dyDescent="0.25">
      <c r="G703" s="74" t="s">
        <v>50</v>
      </c>
    </row>
    <row r="704" spans="7:7" x14ac:dyDescent="0.25">
      <c r="G704" s="74" t="s">
        <v>50</v>
      </c>
    </row>
    <row r="705" spans="7:7" x14ac:dyDescent="0.25">
      <c r="G705" s="74" t="s">
        <v>50</v>
      </c>
    </row>
    <row r="706" spans="7:7" x14ac:dyDescent="0.25">
      <c r="G706" s="74" t="s">
        <v>50</v>
      </c>
    </row>
    <row r="707" spans="7:7" x14ac:dyDescent="0.25">
      <c r="G707" s="74" t="s">
        <v>50</v>
      </c>
    </row>
    <row r="708" spans="7:7" x14ac:dyDescent="0.25">
      <c r="G708" s="74" t="s">
        <v>50</v>
      </c>
    </row>
    <row r="709" spans="7:7" x14ac:dyDescent="0.25">
      <c r="G709" s="74" t="s">
        <v>50</v>
      </c>
    </row>
    <row r="710" spans="7:7" x14ac:dyDescent="0.25">
      <c r="G710" s="74" t="s">
        <v>50</v>
      </c>
    </row>
    <row r="711" spans="7:7" x14ac:dyDescent="0.25">
      <c r="G711" s="74" t="s">
        <v>50</v>
      </c>
    </row>
    <row r="712" spans="7:7" x14ac:dyDescent="0.25">
      <c r="G712" s="74" t="s">
        <v>50</v>
      </c>
    </row>
    <row r="713" spans="7:7" x14ac:dyDescent="0.25">
      <c r="G713" s="74" t="s">
        <v>50</v>
      </c>
    </row>
    <row r="714" spans="7:7" x14ac:dyDescent="0.25">
      <c r="G714" s="74" t="s">
        <v>50</v>
      </c>
    </row>
    <row r="715" spans="7:7" x14ac:dyDescent="0.25">
      <c r="G715" s="74" t="s">
        <v>50</v>
      </c>
    </row>
    <row r="716" spans="7:7" x14ac:dyDescent="0.25">
      <c r="G716" s="74" t="s">
        <v>50</v>
      </c>
    </row>
    <row r="717" spans="7:7" x14ac:dyDescent="0.25">
      <c r="G717" s="74" t="s">
        <v>50</v>
      </c>
    </row>
    <row r="718" spans="7:7" x14ac:dyDescent="0.25">
      <c r="G718" s="74" t="s">
        <v>50</v>
      </c>
    </row>
    <row r="719" spans="7:7" x14ac:dyDescent="0.25">
      <c r="G719" s="74" t="s">
        <v>50</v>
      </c>
    </row>
    <row r="720" spans="7:7" x14ac:dyDescent="0.25">
      <c r="G720" s="74" t="s">
        <v>50</v>
      </c>
    </row>
    <row r="721" spans="7:7" x14ac:dyDescent="0.25">
      <c r="G721" s="74" t="s">
        <v>50</v>
      </c>
    </row>
    <row r="722" spans="7:7" x14ac:dyDescent="0.25">
      <c r="G722" s="74" t="s">
        <v>50</v>
      </c>
    </row>
    <row r="723" spans="7:7" x14ac:dyDescent="0.25">
      <c r="G723" s="74" t="s">
        <v>50</v>
      </c>
    </row>
    <row r="724" spans="7:7" x14ac:dyDescent="0.25">
      <c r="G724" s="74" t="s">
        <v>50</v>
      </c>
    </row>
    <row r="725" spans="7:7" x14ac:dyDescent="0.25">
      <c r="G725" s="74" t="s">
        <v>50</v>
      </c>
    </row>
    <row r="726" spans="7:7" x14ac:dyDescent="0.25">
      <c r="G726" s="74" t="s">
        <v>50</v>
      </c>
    </row>
    <row r="727" spans="7:7" x14ac:dyDescent="0.25">
      <c r="G727" s="74" t="s">
        <v>50</v>
      </c>
    </row>
    <row r="728" spans="7:7" x14ac:dyDescent="0.25">
      <c r="G728" s="74" t="s">
        <v>50</v>
      </c>
    </row>
    <row r="729" spans="7:7" x14ac:dyDescent="0.25">
      <c r="G729" s="74" t="s">
        <v>50</v>
      </c>
    </row>
    <row r="730" spans="7:7" x14ac:dyDescent="0.25">
      <c r="G730" s="74" t="s">
        <v>50</v>
      </c>
    </row>
    <row r="731" spans="7:7" x14ac:dyDescent="0.25">
      <c r="G731" s="74" t="s">
        <v>50</v>
      </c>
    </row>
    <row r="732" spans="7:7" x14ac:dyDescent="0.25">
      <c r="G732" s="74" t="s">
        <v>50</v>
      </c>
    </row>
    <row r="733" spans="7:7" x14ac:dyDescent="0.25">
      <c r="G733" s="74" t="s">
        <v>50</v>
      </c>
    </row>
    <row r="734" spans="7:7" x14ac:dyDescent="0.25">
      <c r="G734" s="74" t="s">
        <v>50</v>
      </c>
    </row>
    <row r="735" spans="7:7" x14ac:dyDescent="0.25">
      <c r="G735" s="74" t="s">
        <v>50</v>
      </c>
    </row>
    <row r="736" spans="7:7" x14ac:dyDescent="0.25">
      <c r="G736" s="74" t="s">
        <v>50</v>
      </c>
    </row>
    <row r="737" spans="7:7" x14ac:dyDescent="0.25">
      <c r="G737" s="74" t="s">
        <v>50</v>
      </c>
    </row>
    <row r="738" spans="7:7" x14ac:dyDescent="0.25">
      <c r="G738" s="74" t="s">
        <v>50</v>
      </c>
    </row>
    <row r="739" spans="7:7" x14ac:dyDescent="0.25">
      <c r="G739" s="74" t="s">
        <v>50</v>
      </c>
    </row>
    <row r="740" spans="7:7" x14ac:dyDescent="0.25">
      <c r="G740" s="74" t="s">
        <v>50</v>
      </c>
    </row>
    <row r="741" spans="7:7" x14ac:dyDescent="0.25">
      <c r="G741" s="74" t="s">
        <v>50</v>
      </c>
    </row>
    <row r="742" spans="7:7" x14ac:dyDescent="0.25">
      <c r="G742" s="74" t="s">
        <v>50</v>
      </c>
    </row>
    <row r="743" spans="7:7" x14ac:dyDescent="0.25">
      <c r="G743" s="74" t="s">
        <v>50</v>
      </c>
    </row>
    <row r="744" spans="7:7" x14ac:dyDescent="0.25">
      <c r="G744" s="74" t="s">
        <v>50</v>
      </c>
    </row>
    <row r="745" spans="7:7" x14ac:dyDescent="0.25">
      <c r="G745" s="74" t="s">
        <v>50</v>
      </c>
    </row>
    <row r="746" spans="7:7" x14ac:dyDescent="0.25">
      <c r="G746" s="74" t="s">
        <v>50</v>
      </c>
    </row>
    <row r="747" spans="7:7" x14ac:dyDescent="0.25">
      <c r="G747" s="74" t="s">
        <v>50</v>
      </c>
    </row>
    <row r="748" spans="7:7" x14ac:dyDescent="0.25">
      <c r="G748" s="74" t="s">
        <v>50</v>
      </c>
    </row>
    <row r="749" spans="7:7" x14ac:dyDescent="0.25">
      <c r="G749" s="74" t="s">
        <v>50</v>
      </c>
    </row>
    <row r="750" spans="7:7" x14ac:dyDescent="0.25">
      <c r="G750" s="74" t="s">
        <v>50</v>
      </c>
    </row>
    <row r="751" spans="7:7" x14ac:dyDescent="0.25">
      <c r="G751" s="74" t="s">
        <v>50</v>
      </c>
    </row>
    <row r="752" spans="7:7" x14ac:dyDescent="0.25">
      <c r="G752" s="74" t="s">
        <v>50</v>
      </c>
    </row>
    <row r="753" spans="7:7" x14ac:dyDescent="0.25">
      <c r="G753" s="74" t="s">
        <v>50</v>
      </c>
    </row>
    <row r="754" spans="7:7" x14ac:dyDescent="0.25">
      <c r="G754" s="74" t="s">
        <v>50</v>
      </c>
    </row>
    <row r="755" spans="7:7" x14ac:dyDescent="0.25">
      <c r="G755" s="74" t="s">
        <v>50</v>
      </c>
    </row>
    <row r="756" spans="7:7" x14ac:dyDescent="0.25">
      <c r="G756" s="74" t="s">
        <v>50</v>
      </c>
    </row>
    <row r="757" spans="7:7" x14ac:dyDescent="0.25">
      <c r="G757" s="74" t="s">
        <v>50</v>
      </c>
    </row>
    <row r="758" spans="7:7" x14ac:dyDescent="0.25">
      <c r="G758" s="74" t="s">
        <v>50</v>
      </c>
    </row>
    <row r="759" spans="7:7" x14ac:dyDescent="0.25">
      <c r="G759" s="74" t="s">
        <v>50</v>
      </c>
    </row>
    <row r="760" spans="7:7" x14ac:dyDescent="0.25">
      <c r="G760" s="74" t="s">
        <v>50</v>
      </c>
    </row>
    <row r="761" spans="7:7" x14ac:dyDescent="0.25">
      <c r="G761" s="74" t="s">
        <v>50</v>
      </c>
    </row>
    <row r="762" spans="7:7" x14ac:dyDescent="0.25">
      <c r="G762" s="74" t="s">
        <v>50</v>
      </c>
    </row>
    <row r="763" spans="7:7" x14ac:dyDescent="0.25">
      <c r="G763" s="74" t="s">
        <v>50</v>
      </c>
    </row>
    <row r="764" spans="7:7" x14ac:dyDescent="0.25">
      <c r="G764" s="74" t="s">
        <v>50</v>
      </c>
    </row>
    <row r="765" spans="7:7" x14ac:dyDescent="0.25">
      <c r="G765" s="74" t="s">
        <v>50</v>
      </c>
    </row>
    <row r="766" spans="7:7" x14ac:dyDescent="0.25">
      <c r="G766" s="74" t="s">
        <v>50</v>
      </c>
    </row>
    <row r="767" spans="7:7" x14ac:dyDescent="0.25">
      <c r="G767" s="74" t="s">
        <v>50</v>
      </c>
    </row>
    <row r="768" spans="7:7" x14ac:dyDescent="0.25">
      <c r="G768" s="74" t="s">
        <v>50</v>
      </c>
    </row>
    <row r="769" spans="7:7" x14ac:dyDescent="0.25">
      <c r="G769" s="74" t="s">
        <v>50</v>
      </c>
    </row>
    <row r="770" spans="7:7" x14ac:dyDescent="0.25">
      <c r="G770" s="74" t="s">
        <v>50</v>
      </c>
    </row>
    <row r="771" spans="7:7" x14ac:dyDescent="0.25">
      <c r="G771" s="74" t="s">
        <v>50</v>
      </c>
    </row>
    <row r="772" spans="7:7" x14ac:dyDescent="0.25">
      <c r="G772" s="74" t="s">
        <v>50</v>
      </c>
    </row>
    <row r="773" spans="7:7" x14ac:dyDescent="0.25">
      <c r="G773" s="74" t="s">
        <v>50</v>
      </c>
    </row>
    <row r="774" spans="7:7" x14ac:dyDescent="0.25">
      <c r="G774" s="74" t="s">
        <v>50</v>
      </c>
    </row>
    <row r="775" spans="7:7" x14ac:dyDescent="0.25">
      <c r="G775" s="74" t="s">
        <v>50</v>
      </c>
    </row>
    <row r="776" spans="7:7" x14ac:dyDescent="0.25">
      <c r="G776" s="74" t="s">
        <v>50</v>
      </c>
    </row>
    <row r="777" spans="7:7" x14ac:dyDescent="0.25">
      <c r="G777" s="74" t="s">
        <v>50</v>
      </c>
    </row>
    <row r="778" spans="7:7" x14ac:dyDescent="0.25">
      <c r="G778" s="74" t="s">
        <v>50</v>
      </c>
    </row>
    <row r="779" spans="7:7" x14ac:dyDescent="0.25">
      <c r="G779" s="74" t="s">
        <v>50</v>
      </c>
    </row>
    <row r="780" spans="7:7" x14ac:dyDescent="0.25">
      <c r="G780" s="74" t="s">
        <v>50</v>
      </c>
    </row>
    <row r="781" spans="7:7" x14ac:dyDescent="0.25">
      <c r="G781" s="74" t="s">
        <v>50</v>
      </c>
    </row>
    <row r="782" spans="7:7" x14ac:dyDescent="0.25">
      <c r="G782" s="74" t="s">
        <v>50</v>
      </c>
    </row>
    <row r="783" spans="7:7" x14ac:dyDescent="0.25">
      <c r="G783" s="74" t="s">
        <v>50</v>
      </c>
    </row>
    <row r="784" spans="7:7" x14ac:dyDescent="0.25">
      <c r="G784" s="74" t="s">
        <v>50</v>
      </c>
    </row>
    <row r="785" spans="7:7" x14ac:dyDescent="0.25">
      <c r="G785" s="74" t="s">
        <v>50</v>
      </c>
    </row>
    <row r="786" spans="7:7" x14ac:dyDescent="0.25">
      <c r="G786" s="74" t="s">
        <v>50</v>
      </c>
    </row>
    <row r="787" spans="7:7" x14ac:dyDescent="0.25">
      <c r="G787" s="74" t="s">
        <v>50</v>
      </c>
    </row>
    <row r="788" spans="7:7" x14ac:dyDescent="0.25">
      <c r="G788" s="74" t="s">
        <v>50</v>
      </c>
    </row>
    <row r="789" spans="7:7" x14ac:dyDescent="0.25">
      <c r="G789" s="74" t="s">
        <v>50</v>
      </c>
    </row>
    <row r="790" spans="7:7" x14ac:dyDescent="0.25">
      <c r="G790" s="74" t="s">
        <v>50</v>
      </c>
    </row>
    <row r="791" spans="7:7" x14ac:dyDescent="0.25">
      <c r="G791" s="74" t="s">
        <v>50</v>
      </c>
    </row>
    <row r="792" spans="7:7" x14ac:dyDescent="0.25">
      <c r="G792" s="74" t="s">
        <v>50</v>
      </c>
    </row>
    <row r="793" spans="7:7" x14ac:dyDescent="0.25">
      <c r="G793" s="74" t="s">
        <v>50</v>
      </c>
    </row>
    <row r="794" spans="7:7" x14ac:dyDescent="0.25">
      <c r="G794" s="74" t="s">
        <v>50</v>
      </c>
    </row>
    <row r="795" spans="7:7" x14ac:dyDescent="0.25">
      <c r="G795" s="74" t="s">
        <v>50</v>
      </c>
    </row>
    <row r="796" spans="7:7" x14ac:dyDescent="0.25">
      <c r="G796" s="74" t="s">
        <v>50</v>
      </c>
    </row>
    <row r="797" spans="7:7" x14ac:dyDescent="0.25">
      <c r="G797" s="74" t="s">
        <v>50</v>
      </c>
    </row>
    <row r="798" spans="7:7" x14ac:dyDescent="0.25">
      <c r="G798" s="74" t="s">
        <v>50</v>
      </c>
    </row>
    <row r="799" spans="7:7" x14ac:dyDescent="0.25">
      <c r="G799" s="74" t="s">
        <v>50</v>
      </c>
    </row>
    <row r="800" spans="7:7" x14ac:dyDescent="0.25">
      <c r="G800" s="74" t="s">
        <v>50</v>
      </c>
    </row>
    <row r="801" spans="7:7" x14ac:dyDescent="0.25">
      <c r="G801" s="74" t="s">
        <v>50</v>
      </c>
    </row>
    <row r="802" spans="7:7" x14ac:dyDescent="0.25">
      <c r="G802" s="74" t="s">
        <v>50</v>
      </c>
    </row>
    <row r="803" spans="7:7" x14ac:dyDescent="0.25">
      <c r="G803" s="74" t="s">
        <v>50</v>
      </c>
    </row>
    <row r="804" spans="7:7" x14ac:dyDescent="0.25">
      <c r="G804" s="74" t="s">
        <v>50</v>
      </c>
    </row>
    <row r="805" spans="7:7" x14ac:dyDescent="0.25">
      <c r="G805" s="74" t="s">
        <v>50</v>
      </c>
    </row>
    <row r="806" spans="7:7" x14ac:dyDescent="0.25">
      <c r="G806" s="74" t="s">
        <v>50</v>
      </c>
    </row>
    <row r="807" spans="7:7" x14ac:dyDescent="0.25">
      <c r="G807" s="74" t="s">
        <v>50</v>
      </c>
    </row>
    <row r="808" spans="7:7" x14ac:dyDescent="0.25">
      <c r="G808" s="74" t="s">
        <v>50</v>
      </c>
    </row>
    <row r="809" spans="7:7" x14ac:dyDescent="0.25">
      <c r="G809" s="74" t="s">
        <v>50</v>
      </c>
    </row>
    <row r="810" spans="7:7" x14ac:dyDescent="0.25">
      <c r="G810" s="74" t="s">
        <v>50</v>
      </c>
    </row>
    <row r="811" spans="7:7" x14ac:dyDescent="0.25">
      <c r="G811" s="74" t="s">
        <v>50</v>
      </c>
    </row>
    <row r="812" spans="7:7" x14ac:dyDescent="0.25">
      <c r="G812" s="74" t="s">
        <v>50</v>
      </c>
    </row>
    <row r="813" spans="7:7" x14ac:dyDescent="0.25">
      <c r="G813" s="74" t="s">
        <v>50</v>
      </c>
    </row>
    <row r="814" spans="7:7" x14ac:dyDescent="0.25">
      <c r="G814" s="74" t="s">
        <v>50</v>
      </c>
    </row>
    <row r="815" spans="7:7" x14ac:dyDescent="0.25">
      <c r="G815" s="74" t="s">
        <v>50</v>
      </c>
    </row>
    <row r="816" spans="7:7" x14ac:dyDescent="0.25">
      <c r="G816" s="74" t="s">
        <v>50</v>
      </c>
    </row>
    <row r="817" spans="7:7" x14ac:dyDescent="0.25">
      <c r="G817" s="74" t="s">
        <v>50</v>
      </c>
    </row>
    <row r="818" spans="7:7" x14ac:dyDescent="0.25">
      <c r="G818" s="74" t="s">
        <v>50</v>
      </c>
    </row>
    <row r="819" spans="7:7" x14ac:dyDescent="0.25">
      <c r="G819" s="74" t="s">
        <v>50</v>
      </c>
    </row>
    <row r="820" spans="7:7" x14ac:dyDescent="0.25">
      <c r="G820" s="74" t="s">
        <v>50</v>
      </c>
    </row>
    <row r="821" spans="7:7" x14ac:dyDescent="0.25">
      <c r="G821" s="74" t="s">
        <v>50</v>
      </c>
    </row>
    <row r="822" spans="7:7" x14ac:dyDescent="0.25">
      <c r="G822" s="74" t="s">
        <v>50</v>
      </c>
    </row>
    <row r="823" spans="7:7" x14ac:dyDescent="0.25">
      <c r="G823" s="74" t="s">
        <v>50</v>
      </c>
    </row>
    <row r="824" spans="7:7" x14ac:dyDescent="0.25">
      <c r="G824" s="74" t="s">
        <v>50</v>
      </c>
    </row>
    <row r="825" spans="7:7" x14ac:dyDescent="0.25">
      <c r="G825" s="74" t="s">
        <v>50</v>
      </c>
    </row>
    <row r="826" spans="7:7" x14ac:dyDescent="0.25">
      <c r="G826" s="74" t="s">
        <v>50</v>
      </c>
    </row>
    <row r="827" spans="7:7" x14ac:dyDescent="0.25">
      <c r="G827" s="74" t="s">
        <v>50</v>
      </c>
    </row>
    <row r="828" spans="7:7" x14ac:dyDescent="0.25">
      <c r="G828" s="74" t="s">
        <v>50</v>
      </c>
    </row>
    <row r="829" spans="7:7" x14ac:dyDescent="0.25">
      <c r="G829" s="74" t="s">
        <v>50</v>
      </c>
    </row>
    <row r="830" spans="7:7" x14ac:dyDescent="0.25">
      <c r="G830" s="74" t="s">
        <v>50</v>
      </c>
    </row>
    <row r="831" spans="7:7" x14ac:dyDescent="0.25">
      <c r="G831" s="74" t="s">
        <v>50</v>
      </c>
    </row>
    <row r="832" spans="7:7" x14ac:dyDescent="0.25">
      <c r="G832" s="74" t="s">
        <v>50</v>
      </c>
    </row>
    <row r="833" spans="7:7" x14ac:dyDescent="0.25">
      <c r="G833" s="74" t="s">
        <v>50</v>
      </c>
    </row>
    <row r="834" spans="7:7" x14ac:dyDescent="0.25">
      <c r="G834" s="74" t="s">
        <v>50</v>
      </c>
    </row>
    <row r="835" spans="7:7" x14ac:dyDescent="0.25">
      <c r="G835" s="74" t="s">
        <v>50</v>
      </c>
    </row>
    <row r="836" spans="7:7" x14ac:dyDescent="0.25">
      <c r="G836" s="74" t="s">
        <v>50</v>
      </c>
    </row>
    <row r="837" spans="7:7" x14ac:dyDescent="0.25">
      <c r="G837" s="74" t="s">
        <v>50</v>
      </c>
    </row>
    <row r="838" spans="7:7" x14ac:dyDescent="0.25">
      <c r="G838" s="74" t="s">
        <v>50</v>
      </c>
    </row>
    <row r="839" spans="7:7" x14ac:dyDescent="0.25">
      <c r="G839" s="74" t="s">
        <v>50</v>
      </c>
    </row>
    <row r="840" spans="7:7" x14ac:dyDescent="0.25">
      <c r="G840" s="74" t="s">
        <v>50</v>
      </c>
    </row>
    <row r="841" spans="7:7" x14ac:dyDescent="0.25">
      <c r="G841" s="74" t="s">
        <v>50</v>
      </c>
    </row>
    <row r="842" spans="7:7" x14ac:dyDescent="0.25">
      <c r="G842" s="74" t="s">
        <v>50</v>
      </c>
    </row>
    <row r="843" spans="7:7" x14ac:dyDescent="0.25">
      <c r="G843" s="74" t="s">
        <v>50</v>
      </c>
    </row>
    <row r="844" spans="7:7" x14ac:dyDescent="0.25">
      <c r="G844" s="74" t="s">
        <v>50</v>
      </c>
    </row>
    <row r="845" spans="7:7" x14ac:dyDescent="0.25">
      <c r="G845" s="74" t="s">
        <v>50</v>
      </c>
    </row>
    <row r="846" spans="7:7" x14ac:dyDescent="0.25">
      <c r="G846" s="74" t="s">
        <v>50</v>
      </c>
    </row>
    <row r="847" spans="7:7" x14ac:dyDescent="0.25">
      <c r="G847" s="74" t="s">
        <v>50</v>
      </c>
    </row>
    <row r="848" spans="7:7" x14ac:dyDescent="0.25">
      <c r="G848" s="74" t="s">
        <v>50</v>
      </c>
    </row>
    <row r="849" spans="7:7" x14ac:dyDescent="0.25">
      <c r="G849" s="74" t="s">
        <v>50</v>
      </c>
    </row>
    <row r="850" spans="7:7" x14ac:dyDescent="0.25">
      <c r="G850" s="74" t="s">
        <v>50</v>
      </c>
    </row>
    <row r="851" spans="7:7" x14ac:dyDescent="0.25">
      <c r="G851" s="74" t="s">
        <v>50</v>
      </c>
    </row>
    <row r="852" spans="7:7" x14ac:dyDescent="0.25">
      <c r="G852" s="74" t="s">
        <v>50</v>
      </c>
    </row>
    <row r="853" spans="7:7" x14ac:dyDescent="0.25">
      <c r="G853" s="74" t="s">
        <v>50</v>
      </c>
    </row>
    <row r="854" spans="7:7" x14ac:dyDescent="0.25">
      <c r="G854" s="74" t="s">
        <v>50</v>
      </c>
    </row>
    <row r="855" spans="7:7" x14ac:dyDescent="0.25">
      <c r="G855" s="74" t="s">
        <v>50</v>
      </c>
    </row>
    <row r="856" spans="7:7" x14ac:dyDescent="0.25">
      <c r="G856" s="74" t="s">
        <v>50</v>
      </c>
    </row>
    <row r="857" spans="7:7" x14ac:dyDescent="0.25">
      <c r="G857" s="74" t="s">
        <v>50</v>
      </c>
    </row>
    <row r="858" spans="7:7" x14ac:dyDescent="0.25">
      <c r="G858" s="74" t="s">
        <v>50</v>
      </c>
    </row>
    <row r="859" spans="7:7" x14ac:dyDescent="0.25">
      <c r="G859" s="74" t="s">
        <v>50</v>
      </c>
    </row>
    <row r="860" spans="7:7" x14ac:dyDescent="0.25">
      <c r="G860" s="74" t="s">
        <v>50</v>
      </c>
    </row>
    <row r="861" spans="7:7" x14ac:dyDescent="0.25">
      <c r="G861" s="74" t="s">
        <v>50</v>
      </c>
    </row>
    <row r="862" spans="7:7" x14ac:dyDescent="0.25">
      <c r="G862" s="74" t="s">
        <v>50</v>
      </c>
    </row>
    <row r="863" spans="7:7" x14ac:dyDescent="0.25">
      <c r="G863" s="74" t="s">
        <v>50</v>
      </c>
    </row>
    <row r="864" spans="7:7" x14ac:dyDescent="0.25">
      <c r="G864" s="74" t="s">
        <v>50</v>
      </c>
    </row>
    <row r="865" spans="7:7" x14ac:dyDescent="0.25">
      <c r="G865" s="74" t="s">
        <v>50</v>
      </c>
    </row>
    <row r="866" spans="7:7" x14ac:dyDescent="0.25">
      <c r="G866" s="74" t="s">
        <v>50</v>
      </c>
    </row>
    <row r="867" spans="7:7" x14ac:dyDescent="0.25">
      <c r="G867" s="74" t="s">
        <v>50</v>
      </c>
    </row>
    <row r="868" spans="7:7" x14ac:dyDescent="0.25">
      <c r="G868" s="74" t="s">
        <v>50</v>
      </c>
    </row>
    <row r="869" spans="7:7" x14ac:dyDescent="0.25">
      <c r="G869" s="74" t="s">
        <v>50</v>
      </c>
    </row>
    <row r="870" spans="7:7" x14ac:dyDescent="0.25">
      <c r="G870" s="74" t="s">
        <v>50</v>
      </c>
    </row>
    <row r="871" spans="7:7" x14ac:dyDescent="0.25">
      <c r="G871" s="74" t="s">
        <v>50</v>
      </c>
    </row>
    <row r="872" spans="7:7" x14ac:dyDescent="0.25">
      <c r="G872" s="74" t="s">
        <v>50</v>
      </c>
    </row>
    <row r="873" spans="7:7" x14ac:dyDescent="0.25">
      <c r="G873" s="74" t="s">
        <v>50</v>
      </c>
    </row>
    <row r="874" spans="7:7" x14ac:dyDescent="0.25">
      <c r="G874" s="74" t="s">
        <v>50</v>
      </c>
    </row>
    <row r="875" spans="7:7" x14ac:dyDescent="0.25">
      <c r="G875" s="74" t="s">
        <v>50</v>
      </c>
    </row>
    <row r="876" spans="7:7" x14ac:dyDescent="0.25">
      <c r="G876" s="74" t="s">
        <v>50</v>
      </c>
    </row>
    <row r="877" spans="7:7" x14ac:dyDescent="0.25">
      <c r="G877" s="74" t="s">
        <v>50</v>
      </c>
    </row>
    <row r="878" spans="7:7" x14ac:dyDescent="0.25">
      <c r="G878" s="74" t="s">
        <v>50</v>
      </c>
    </row>
    <row r="879" spans="7:7" x14ac:dyDescent="0.25">
      <c r="G879" s="74" t="s">
        <v>50</v>
      </c>
    </row>
    <row r="880" spans="7:7" x14ac:dyDescent="0.25">
      <c r="G880" s="74" t="s">
        <v>50</v>
      </c>
    </row>
    <row r="881" spans="7:7" x14ac:dyDescent="0.25">
      <c r="G881" s="74" t="s">
        <v>50</v>
      </c>
    </row>
    <row r="882" spans="7:7" x14ac:dyDescent="0.25">
      <c r="G882" s="74" t="s">
        <v>50</v>
      </c>
    </row>
    <row r="883" spans="7:7" x14ac:dyDescent="0.25">
      <c r="G883" s="74" t="s">
        <v>50</v>
      </c>
    </row>
    <row r="884" spans="7:7" x14ac:dyDescent="0.25">
      <c r="G884" s="74" t="s">
        <v>50</v>
      </c>
    </row>
    <row r="885" spans="7:7" x14ac:dyDescent="0.25">
      <c r="G885" s="74" t="s">
        <v>50</v>
      </c>
    </row>
    <row r="886" spans="7:7" x14ac:dyDescent="0.25">
      <c r="G886" s="74" t="s">
        <v>50</v>
      </c>
    </row>
    <row r="887" spans="7:7" x14ac:dyDescent="0.25">
      <c r="G887" s="74" t="s">
        <v>50</v>
      </c>
    </row>
    <row r="888" spans="7:7" x14ac:dyDescent="0.25">
      <c r="G888" s="74" t="s">
        <v>50</v>
      </c>
    </row>
    <row r="889" spans="7:7" x14ac:dyDescent="0.25">
      <c r="G889" s="74" t="s">
        <v>50</v>
      </c>
    </row>
    <row r="890" spans="7:7" x14ac:dyDescent="0.25">
      <c r="G890" s="74" t="s">
        <v>50</v>
      </c>
    </row>
    <row r="891" spans="7:7" x14ac:dyDescent="0.25">
      <c r="G891" s="74" t="s">
        <v>50</v>
      </c>
    </row>
    <row r="892" spans="7:7" x14ac:dyDescent="0.25">
      <c r="G892" s="74" t="s">
        <v>50</v>
      </c>
    </row>
    <row r="893" spans="7:7" x14ac:dyDescent="0.25">
      <c r="G893" s="74" t="s">
        <v>50</v>
      </c>
    </row>
    <row r="894" spans="7:7" x14ac:dyDescent="0.25">
      <c r="G894" s="74" t="s">
        <v>50</v>
      </c>
    </row>
    <row r="895" spans="7:7" x14ac:dyDescent="0.25">
      <c r="G895" s="74" t="s">
        <v>50</v>
      </c>
    </row>
    <row r="896" spans="7:7" x14ac:dyDescent="0.25">
      <c r="G896" s="74" t="s">
        <v>50</v>
      </c>
    </row>
    <row r="897" spans="7:7" x14ac:dyDescent="0.25">
      <c r="G897" s="74" t="s">
        <v>50</v>
      </c>
    </row>
    <row r="898" spans="7:7" x14ac:dyDescent="0.25">
      <c r="G898" s="74" t="s">
        <v>50</v>
      </c>
    </row>
    <row r="899" spans="7:7" x14ac:dyDescent="0.25">
      <c r="G899" s="74" t="s">
        <v>50</v>
      </c>
    </row>
    <row r="900" spans="7:7" x14ac:dyDescent="0.25">
      <c r="G900" s="74" t="s">
        <v>50</v>
      </c>
    </row>
    <row r="901" spans="7:7" x14ac:dyDescent="0.25">
      <c r="G901" s="74" t="s">
        <v>50</v>
      </c>
    </row>
    <row r="902" spans="7:7" x14ac:dyDescent="0.25">
      <c r="G902" s="74" t="s">
        <v>50</v>
      </c>
    </row>
    <row r="903" spans="7:7" x14ac:dyDescent="0.25">
      <c r="G903" s="74" t="s">
        <v>50</v>
      </c>
    </row>
    <row r="904" spans="7:7" x14ac:dyDescent="0.25">
      <c r="G904" s="74" t="s">
        <v>50</v>
      </c>
    </row>
    <row r="905" spans="7:7" x14ac:dyDescent="0.25">
      <c r="G905" s="74" t="s">
        <v>50</v>
      </c>
    </row>
    <row r="906" spans="7:7" x14ac:dyDescent="0.25">
      <c r="G906" s="74" t="s">
        <v>50</v>
      </c>
    </row>
    <row r="907" spans="7:7" x14ac:dyDescent="0.25">
      <c r="G907" s="74" t="s">
        <v>50</v>
      </c>
    </row>
    <row r="908" spans="7:7" x14ac:dyDescent="0.25">
      <c r="G908" s="74" t="s">
        <v>50</v>
      </c>
    </row>
    <row r="909" spans="7:7" x14ac:dyDescent="0.25">
      <c r="G909" s="74" t="s">
        <v>50</v>
      </c>
    </row>
    <row r="910" spans="7:7" x14ac:dyDescent="0.25">
      <c r="G910" s="74" t="s">
        <v>50</v>
      </c>
    </row>
    <row r="911" spans="7:7" x14ac:dyDescent="0.25">
      <c r="G911" s="74" t="s">
        <v>50</v>
      </c>
    </row>
    <row r="912" spans="7:7" x14ac:dyDescent="0.25">
      <c r="G912" s="74" t="s">
        <v>50</v>
      </c>
    </row>
    <row r="913" spans="7:7" x14ac:dyDescent="0.25">
      <c r="G913" s="74" t="s">
        <v>50</v>
      </c>
    </row>
    <row r="914" spans="7:7" x14ac:dyDescent="0.25">
      <c r="G914" s="74" t="s">
        <v>50</v>
      </c>
    </row>
    <row r="915" spans="7:7" x14ac:dyDescent="0.25">
      <c r="G915" s="74" t="s">
        <v>50</v>
      </c>
    </row>
    <row r="916" spans="7:7" x14ac:dyDescent="0.25">
      <c r="G916" s="74" t="s">
        <v>50</v>
      </c>
    </row>
    <row r="917" spans="7:7" x14ac:dyDescent="0.25">
      <c r="G917" s="74" t="s">
        <v>50</v>
      </c>
    </row>
    <row r="918" spans="7:7" x14ac:dyDescent="0.25">
      <c r="G918" s="74" t="s">
        <v>50</v>
      </c>
    </row>
    <row r="919" spans="7:7" x14ac:dyDescent="0.25">
      <c r="G919" s="74" t="s">
        <v>50</v>
      </c>
    </row>
    <row r="920" spans="7:7" x14ac:dyDescent="0.25">
      <c r="G920" s="74" t="s">
        <v>50</v>
      </c>
    </row>
    <row r="921" spans="7:7" x14ac:dyDescent="0.25">
      <c r="G921" s="74" t="s">
        <v>50</v>
      </c>
    </row>
    <row r="922" spans="7:7" x14ac:dyDescent="0.25">
      <c r="G922" s="74" t="s">
        <v>50</v>
      </c>
    </row>
    <row r="923" spans="7:7" x14ac:dyDescent="0.25">
      <c r="G923" s="74" t="s">
        <v>50</v>
      </c>
    </row>
    <row r="924" spans="7:7" x14ac:dyDescent="0.25">
      <c r="G924" s="74" t="s">
        <v>50</v>
      </c>
    </row>
    <row r="925" spans="7:7" x14ac:dyDescent="0.25">
      <c r="G925" s="74" t="s">
        <v>50</v>
      </c>
    </row>
    <row r="926" spans="7:7" x14ac:dyDescent="0.25">
      <c r="G926" s="74" t="s">
        <v>50</v>
      </c>
    </row>
    <row r="927" spans="7:7" x14ac:dyDescent="0.25">
      <c r="G927" s="74" t="s">
        <v>50</v>
      </c>
    </row>
    <row r="928" spans="7:7" x14ac:dyDescent="0.25">
      <c r="G928" s="74" t="s">
        <v>50</v>
      </c>
    </row>
    <row r="929" spans="7:7" x14ac:dyDescent="0.25">
      <c r="G929" s="74" t="s">
        <v>50</v>
      </c>
    </row>
    <row r="930" spans="7:7" x14ac:dyDescent="0.25">
      <c r="G930" s="74" t="s">
        <v>50</v>
      </c>
    </row>
    <row r="931" spans="7:7" x14ac:dyDescent="0.25">
      <c r="G931" s="74" t="s">
        <v>50</v>
      </c>
    </row>
    <row r="932" spans="7:7" x14ac:dyDescent="0.25">
      <c r="G932" s="74" t="s">
        <v>50</v>
      </c>
    </row>
    <row r="933" spans="7:7" x14ac:dyDescent="0.25">
      <c r="G933" s="74" t="s">
        <v>50</v>
      </c>
    </row>
    <row r="934" spans="7:7" x14ac:dyDescent="0.25">
      <c r="G934" s="74" t="s">
        <v>50</v>
      </c>
    </row>
    <row r="935" spans="7:7" x14ac:dyDescent="0.25">
      <c r="G935" s="74" t="s">
        <v>50</v>
      </c>
    </row>
    <row r="936" spans="7:7" x14ac:dyDescent="0.25">
      <c r="G936" s="74" t="s">
        <v>50</v>
      </c>
    </row>
    <row r="937" spans="7:7" x14ac:dyDescent="0.25">
      <c r="G937" s="74" t="s">
        <v>50</v>
      </c>
    </row>
    <row r="938" spans="7:7" x14ac:dyDescent="0.25">
      <c r="G938" s="74" t="s">
        <v>50</v>
      </c>
    </row>
    <row r="939" spans="7:7" x14ac:dyDescent="0.25">
      <c r="G939" s="74" t="s">
        <v>50</v>
      </c>
    </row>
    <row r="940" spans="7:7" x14ac:dyDescent="0.25">
      <c r="G940" s="74" t="s">
        <v>50</v>
      </c>
    </row>
    <row r="941" spans="7:7" x14ac:dyDescent="0.25">
      <c r="G941" s="74" t="s">
        <v>50</v>
      </c>
    </row>
    <row r="942" spans="7:7" x14ac:dyDescent="0.25">
      <c r="G942" s="74" t="s">
        <v>50</v>
      </c>
    </row>
    <row r="943" spans="7:7" x14ac:dyDescent="0.25">
      <c r="G943" s="74" t="s">
        <v>50</v>
      </c>
    </row>
    <row r="944" spans="7:7" x14ac:dyDescent="0.25">
      <c r="G944" s="74" t="s">
        <v>50</v>
      </c>
    </row>
    <row r="945" spans="7:7" x14ac:dyDescent="0.25">
      <c r="G945" s="74" t="s">
        <v>50</v>
      </c>
    </row>
    <row r="946" spans="7:7" x14ac:dyDescent="0.25">
      <c r="G946" s="74" t="s">
        <v>50</v>
      </c>
    </row>
    <row r="947" spans="7:7" x14ac:dyDescent="0.25">
      <c r="G947" s="74" t="s">
        <v>50</v>
      </c>
    </row>
    <row r="948" spans="7:7" x14ac:dyDescent="0.25">
      <c r="G948" s="74" t="s">
        <v>50</v>
      </c>
    </row>
    <row r="949" spans="7:7" x14ac:dyDescent="0.25">
      <c r="G949" s="74" t="s">
        <v>50</v>
      </c>
    </row>
    <row r="950" spans="7:7" x14ac:dyDescent="0.25">
      <c r="G950" s="74" t="s">
        <v>50</v>
      </c>
    </row>
    <row r="951" spans="7:7" x14ac:dyDescent="0.25">
      <c r="G951" s="74" t="s">
        <v>50</v>
      </c>
    </row>
    <row r="952" spans="7:7" x14ac:dyDescent="0.25">
      <c r="G952" s="74" t="s">
        <v>50</v>
      </c>
    </row>
    <row r="953" spans="7:7" x14ac:dyDescent="0.25">
      <c r="G953" s="74" t="s">
        <v>50</v>
      </c>
    </row>
    <row r="954" spans="7:7" x14ac:dyDescent="0.25">
      <c r="G954" s="74" t="s">
        <v>50</v>
      </c>
    </row>
    <row r="955" spans="7:7" x14ac:dyDescent="0.25">
      <c r="G955" s="74" t="s">
        <v>50</v>
      </c>
    </row>
    <row r="956" spans="7:7" x14ac:dyDescent="0.25">
      <c r="G956" s="74" t="s">
        <v>50</v>
      </c>
    </row>
    <row r="957" spans="7:7" x14ac:dyDescent="0.25">
      <c r="G957" s="74" t="s">
        <v>50</v>
      </c>
    </row>
    <row r="958" spans="7:7" x14ac:dyDescent="0.25">
      <c r="G958" s="74" t="s">
        <v>50</v>
      </c>
    </row>
    <row r="959" spans="7:7" x14ac:dyDescent="0.25">
      <c r="G959" s="74" t="s">
        <v>50</v>
      </c>
    </row>
    <row r="960" spans="7:7" x14ac:dyDescent="0.25">
      <c r="G960" s="74" t="s">
        <v>50</v>
      </c>
    </row>
    <row r="961" spans="7:7" x14ac:dyDescent="0.25">
      <c r="G961" s="74" t="s">
        <v>50</v>
      </c>
    </row>
    <row r="962" spans="7:7" x14ac:dyDescent="0.25">
      <c r="G962" s="74" t="s">
        <v>50</v>
      </c>
    </row>
    <row r="963" spans="7:7" x14ac:dyDescent="0.25">
      <c r="G963" s="74" t="s">
        <v>50</v>
      </c>
    </row>
    <row r="964" spans="7:7" x14ac:dyDescent="0.25">
      <c r="G964" s="74" t="s">
        <v>50</v>
      </c>
    </row>
    <row r="965" spans="7:7" x14ac:dyDescent="0.25">
      <c r="G965" s="74" t="s">
        <v>50</v>
      </c>
    </row>
    <row r="966" spans="7:7" x14ac:dyDescent="0.25">
      <c r="G966" s="74" t="s">
        <v>50</v>
      </c>
    </row>
    <row r="967" spans="7:7" x14ac:dyDescent="0.25">
      <c r="G967" s="74" t="s">
        <v>50</v>
      </c>
    </row>
    <row r="968" spans="7:7" x14ac:dyDescent="0.25">
      <c r="G968" s="74" t="s">
        <v>50</v>
      </c>
    </row>
    <row r="969" spans="7:7" x14ac:dyDescent="0.25">
      <c r="G969" s="74" t="s">
        <v>50</v>
      </c>
    </row>
    <row r="970" spans="7:7" x14ac:dyDescent="0.25">
      <c r="G970" s="74" t="s">
        <v>50</v>
      </c>
    </row>
    <row r="971" spans="7:7" x14ac:dyDescent="0.25">
      <c r="G971" s="74" t="s">
        <v>50</v>
      </c>
    </row>
    <row r="972" spans="7:7" x14ac:dyDescent="0.25">
      <c r="G972" s="74" t="s">
        <v>50</v>
      </c>
    </row>
    <row r="973" spans="7:7" x14ac:dyDescent="0.25">
      <c r="G973" s="74" t="s">
        <v>50</v>
      </c>
    </row>
    <row r="974" spans="7:7" x14ac:dyDescent="0.25">
      <c r="G974" s="74" t="s">
        <v>50</v>
      </c>
    </row>
    <row r="975" spans="7:7" x14ac:dyDescent="0.25">
      <c r="G975" s="74" t="s">
        <v>50</v>
      </c>
    </row>
    <row r="976" spans="7:7" x14ac:dyDescent="0.25">
      <c r="G976" s="74" t="s">
        <v>50</v>
      </c>
    </row>
    <row r="977" spans="7:7" x14ac:dyDescent="0.25">
      <c r="G977" s="74" t="s">
        <v>50</v>
      </c>
    </row>
    <row r="978" spans="7:7" x14ac:dyDescent="0.25">
      <c r="G978" s="74" t="s">
        <v>50</v>
      </c>
    </row>
    <row r="979" spans="7:7" x14ac:dyDescent="0.25">
      <c r="G979" s="74" t="s">
        <v>50</v>
      </c>
    </row>
    <row r="980" spans="7:7" x14ac:dyDescent="0.25">
      <c r="G980" s="74" t="s">
        <v>50</v>
      </c>
    </row>
    <row r="981" spans="7:7" x14ac:dyDescent="0.25">
      <c r="G981" s="74" t="s">
        <v>50</v>
      </c>
    </row>
    <row r="982" spans="7:7" x14ac:dyDescent="0.25">
      <c r="G982" s="74" t="s">
        <v>50</v>
      </c>
    </row>
    <row r="983" spans="7:7" x14ac:dyDescent="0.25">
      <c r="G983" s="74" t="s">
        <v>50</v>
      </c>
    </row>
    <row r="984" spans="7:7" x14ac:dyDescent="0.25">
      <c r="G984" s="74" t="s">
        <v>50</v>
      </c>
    </row>
    <row r="985" spans="7:7" x14ac:dyDescent="0.25">
      <c r="G985" s="74" t="s">
        <v>50</v>
      </c>
    </row>
    <row r="986" spans="7:7" x14ac:dyDescent="0.25">
      <c r="G986" s="74" t="s">
        <v>50</v>
      </c>
    </row>
    <row r="987" spans="7:7" x14ac:dyDescent="0.25">
      <c r="G987" s="74" t="s">
        <v>50</v>
      </c>
    </row>
    <row r="988" spans="7:7" x14ac:dyDescent="0.25">
      <c r="G988" s="74" t="s">
        <v>50</v>
      </c>
    </row>
    <row r="989" spans="7:7" x14ac:dyDescent="0.25">
      <c r="G989" s="74" t="s">
        <v>50</v>
      </c>
    </row>
    <row r="990" spans="7:7" x14ac:dyDescent="0.25">
      <c r="G990" s="74" t="s">
        <v>50</v>
      </c>
    </row>
    <row r="991" spans="7:7" x14ac:dyDescent="0.25">
      <c r="G991" s="74" t="s">
        <v>50</v>
      </c>
    </row>
    <row r="992" spans="7:7" x14ac:dyDescent="0.25">
      <c r="G992" s="74" t="s">
        <v>50</v>
      </c>
    </row>
    <row r="993" spans="7:7" x14ac:dyDescent="0.25">
      <c r="G993" s="74" t="s">
        <v>50</v>
      </c>
    </row>
    <row r="994" spans="7:7" x14ac:dyDescent="0.25">
      <c r="G994" s="74" t="s">
        <v>50</v>
      </c>
    </row>
    <row r="995" spans="7:7" x14ac:dyDescent="0.25">
      <c r="G995" s="74" t="s">
        <v>50</v>
      </c>
    </row>
    <row r="996" spans="7:7" x14ac:dyDescent="0.25">
      <c r="G996" s="74" t="s">
        <v>50</v>
      </c>
    </row>
    <row r="997" spans="7:7" x14ac:dyDescent="0.25">
      <c r="G997" s="74" t="s">
        <v>50</v>
      </c>
    </row>
    <row r="998" spans="7:7" x14ac:dyDescent="0.25">
      <c r="G998" s="74" t="s">
        <v>50</v>
      </c>
    </row>
    <row r="999" spans="7:7" x14ac:dyDescent="0.25">
      <c r="G999" s="74" t="s">
        <v>50</v>
      </c>
    </row>
    <row r="1000" spans="7:7" x14ac:dyDescent="0.25">
      <c r="G1000" s="74" t="s">
        <v>50</v>
      </c>
    </row>
    <row r="1001" spans="7:7" x14ac:dyDescent="0.25">
      <c r="G1001" s="74" t="s">
        <v>50</v>
      </c>
    </row>
    <row r="1002" spans="7:7" x14ac:dyDescent="0.25">
      <c r="G1002" s="74" t="s">
        <v>50</v>
      </c>
    </row>
    <row r="1003" spans="7:7" x14ac:dyDescent="0.25">
      <c r="G1003" s="74" t="s">
        <v>50</v>
      </c>
    </row>
    <row r="1004" spans="7:7" x14ac:dyDescent="0.25">
      <c r="G1004" s="74" t="s">
        <v>50</v>
      </c>
    </row>
    <row r="1005" spans="7:7" x14ac:dyDescent="0.25">
      <c r="G1005" s="74" t="s">
        <v>50</v>
      </c>
    </row>
    <row r="1006" spans="7:7" x14ac:dyDescent="0.25">
      <c r="G1006" s="74" t="s">
        <v>50</v>
      </c>
    </row>
    <row r="1007" spans="7:7" x14ac:dyDescent="0.25">
      <c r="G1007" s="74" t="s">
        <v>50</v>
      </c>
    </row>
    <row r="1008" spans="7:7" x14ac:dyDescent="0.25">
      <c r="G1008" s="74" t="s">
        <v>50</v>
      </c>
    </row>
    <row r="1009" spans="7:7" x14ac:dyDescent="0.25">
      <c r="G1009" s="74" t="s">
        <v>50</v>
      </c>
    </row>
    <row r="1010" spans="7:7" x14ac:dyDescent="0.25">
      <c r="G1010" s="74" t="s">
        <v>50</v>
      </c>
    </row>
    <row r="1011" spans="7:7" x14ac:dyDescent="0.25">
      <c r="G1011" s="74" t="s">
        <v>50</v>
      </c>
    </row>
    <row r="1012" spans="7:7" x14ac:dyDescent="0.25">
      <c r="G1012" s="74" t="s">
        <v>50</v>
      </c>
    </row>
    <row r="1013" spans="7:7" x14ac:dyDescent="0.25">
      <c r="G1013" s="74" t="s">
        <v>50</v>
      </c>
    </row>
    <row r="1014" spans="7:7" x14ac:dyDescent="0.25">
      <c r="G1014" s="74" t="s">
        <v>50</v>
      </c>
    </row>
    <row r="1015" spans="7:7" x14ac:dyDescent="0.25">
      <c r="G1015" s="74" t="s">
        <v>50</v>
      </c>
    </row>
    <row r="1016" spans="7:7" x14ac:dyDescent="0.25">
      <c r="G1016" s="74" t="s">
        <v>50</v>
      </c>
    </row>
    <row r="1017" spans="7:7" x14ac:dyDescent="0.25">
      <c r="G1017" s="74" t="s">
        <v>50</v>
      </c>
    </row>
    <row r="1018" spans="7:7" x14ac:dyDescent="0.25">
      <c r="G1018" s="74" t="s">
        <v>50</v>
      </c>
    </row>
    <row r="1019" spans="7:7" x14ac:dyDescent="0.25">
      <c r="G1019" s="74" t="s">
        <v>50</v>
      </c>
    </row>
    <row r="1020" spans="7:7" x14ac:dyDescent="0.25">
      <c r="G1020" s="74" t="s">
        <v>50</v>
      </c>
    </row>
    <row r="1021" spans="7:7" x14ac:dyDescent="0.25">
      <c r="G1021" s="74" t="s">
        <v>50</v>
      </c>
    </row>
    <row r="1022" spans="7:7" x14ac:dyDescent="0.25">
      <c r="G1022" s="74" t="s">
        <v>50</v>
      </c>
    </row>
    <row r="1023" spans="7:7" x14ac:dyDescent="0.25">
      <c r="G1023" s="74" t="s">
        <v>50</v>
      </c>
    </row>
    <row r="1024" spans="7:7" x14ac:dyDescent="0.25">
      <c r="G1024" s="74" t="s">
        <v>50</v>
      </c>
    </row>
    <row r="1025" spans="7:7" x14ac:dyDescent="0.25">
      <c r="G1025" s="74" t="s">
        <v>50</v>
      </c>
    </row>
    <row r="1026" spans="7:7" x14ac:dyDescent="0.25">
      <c r="G1026" s="74" t="s">
        <v>50</v>
      </c>
    </row>
    <row r="1027" spans="7:7" x14ac:dyDescent="0.25">
      <c r="G1027" s="74" t="s">
        <v>50</v>
      </c>
    </row>
    <row r="1028" spans="7:7" x14ac:dyDescent="0.25">
      <c r="G1028" s="74" t="s">
        <v>50</v>
      </c>
    </row>
    <row r="1029" spans="7:7" x14ac:dyDescent="0.25">
      <c r="G1029" s="74" t="s">
        <v>50</v>
      </c>
    </row>
    <row r="1030" spans="7:7" x14ac:dyDescent="0.25">
      <c r="G1030" s="74" t="s">
        <v>50</v>
      </c>
    </row>
    <row r="1031" spans="7:7" x14ac:dyDescent="0.25">
      <c r="G1031" s="74" t="s">
        <v>50</v>
      </c>
    </row>
    <row r="1032" spans="7:7" x14ac:dyDescent="0.25">
      <c r="G1032" s="74" t="s">
        <v>50</v>
      </c>
    </row>
    <row r="1033" spans="7:7" x14ac:dyDescent="0.25">
      <c r="G1033" s="74" t="s">
        <v>50</v>
      </c>
    </row>
    <row r="1034" spans="7:7" x14ac:dyDescent="0.25">
      <c r="G1034" s="74" t="s">
        <v>50</v>
      </c>
    </row>
    <row r="1035" spans="7:7" x14ac:dyDescent="0.25">
      <c r="G1035" s="74" t="s">
        <v>50</v>
      </c>
    </row>
    <row r="1036" spans="7:7" x14ac:dyDescent="0.25">
      <c r="G1036" s="74" t="s">
        <v>50</v>
      </c>
    </row>
    <row r="1037" spans="7:7" x14ac:dyDescent="0.25">
      <c r="G1037" s="74" t="s">
        <v>50</v>
      </c>
    </row>
    <row r="1038" spans="7:7" x14ac:dyDescent="0.25">
      <c r="G1038" s="74" t="s">
        <v>50</v>
      </c>
    </row>
    <row r="1039" spans="7:7" x14ac:dyDescent="0.25">
      <c r="G1039" s="74" t="s">
        <v>50</v>
      </c>
    </row>
    <row r="1040" spans="7:7" x14ac:dyDescent="0.25">
      <c r="G1040" s="74" t="s">
        <v>50</v>
      </c>
    </row>
    <row r="1041" spans="7:7" x14ac:dyDescent="0.25">
      <c r="G1041" s="74" t="s">
        <v>50</v>
      </c>
    </row>
    <row r="1042" spans="7:7" x14ac:dyDescent="0.25">
      <c r="G1042" s="74" t="s">
        <v>50</v>
      </c>
    </row>
    <row r="1043" spans="7:7" x14ac:dyDescent="0.25">
      <c r="G1043" s="74" t="s">
        <v>50</v>
      </c>
    </row>
    <row r="1044" spans="7:7" x14ac:dyDescent="0.25">
      <c r="G1044" s="74" t="s">
        <v>50</v>
      </c>
    </row>
    <row r="1045" spans="7:7" x14ac:dyDescent="0.25">
      <c r="G1045" s="74" t="s">
        <v>50</v>
      </c>
    </row>
    <row r="1046" spans="7:7" x14ac:dyDescent="0.25">
      <c r="G1046" s="74" t="s">
        <v>50</v>
      </c>
    </row>
    <row r="1047" spans="7:7" x14ac:dyDescent="0.25">
      <c r="G1047" s="74" t="s">
        <v>50</v>
      </c>
    </row>
    <row r="1048" spans="7:7" x14ac:dyDescent="0.25">
      <c r="G1048" s="74" t="s">
        <v>50</v>
      </c>
    </row>
    <row r="1049" spans="7:7" x14ac:dyDescent="0.25">
      <c r="G1049" s="74" t="s">
        <v>50</v>
      </c>
    </row>
    <row r="1050" spans="7:7" x14ac:dyDescent="0.25">
      <c r="G1050" s="74" t="s">
        <v>50</v>
      </c>
    </row>
    <row r="1051" spans="7:7" x14ac:dyDescent="0.25">
      <c r="G1051" s="74" t="s">
        <v>50</v>
      </c>
    </row>
    <row r="1052" spans="7:7" x14ac:dyDescent="0.25">
      <c r="G1052" s="74" t="s">
        <v>50</v>
      </c>
    </row>
    <row r="1053" spans="7:7" x14ac:dyDescent="0.25">
      <c r="G1053" s="74" t="s">
        <v>50</v>
      </c>
    </row>
    <row r="1054" spans="7:7" x14ac:dyDescent="0.25">
      <c r="G1054" s="74" t="s">
        <v>50</v>
      </c>
    </row>
    <row r="1055" spans="7:7" x14ac:dyDescent="0.25">
      <c r="G1055" s="74" t="s">
        <v>50</v>
      </c>
    </row>
    <row r="1056" spans="7:7" x14ac:dyDescent="0.25">
      <c r="G1056" s="74" t="s">
        <v>50</v>
      </c>
    </row>
    <row r="1057" spans="7:7" x14ac:dyDescent="0.25">
      <c r="G1057" s="74" t="s">
        <v>50</v>
      </c>
    </row>
    <row r="1058" spans="7:7" x14ac:dyDescent="0.25">
      <c r="G1058" s="74" t="s">
        <v>50</v>
      </c>
    </row>
    <row r="1059" spans="7:7" x14ac:dyDescent="0.25">
      <c r="G1059" s="74" t="s">
        <v>50</v>
      </c>
    </row>
    <row r="1060" spans="7:7" x14ac:dyDescent="0.25">
      <c r="G1060" s="74" t="s">
        <v>50</v>
      </c>
    </row>
    <row r="1061" spans="7:7" x14ac:dyDescent="0.25">
      <c r="G1061" s="74" t="s">
        <v>50</v>
      </c>
    </row>
    <row r="1062" spans="7:7" x14ac:dyDescent="0.25">
      <c r="G1062" s="74" t="s">
        <v>50</v>
      </c>
    </row>
    <row r="1063" spans="7:7" x14ac:dyDescent="0.25">
      <c r="G1063" s="74" t="s">
        <v>50</v>
      </c>
    </row>
    <row r="1064" spans="7:7" x14ac:dyDescent="0.25">
      <c r="G1064" s="74" t="s">
        <v>50</v>
      </c>
    </row>
    <row r="1065" spans="7:7" x14ac:dyDescent="0.25">
      <c r="G1065" s="74" t="s">
        <v>50</v>
      </c>
    </row>
    <row r="1066" spans="7:7" x14ac:dyDescent="0.25">
      <c r="G1066" s="74" t="s">
        <v>50</v>
      </c>
    </row>
    <row r="1067" spans="7:7" x14ac:dyDescent="0.25">
      <c r="G1067" s="74" t="s">
        <v>50</v>
      </c>
    </row>
    <row r="1068" spans="7:7" x14ac:dyDescent="0.25">
      <c r="G1068" s="74" t="s">
        <v>50</v>
      </c>
    </row>
    <row r="1069" spans="7:7" x14ac:dyDescent="0.25">
      <c r="G1069" s="74" t="s">
        <v>50</v>
      </c>
    </row>
    <row r="1070" spans="7:7" x14ac:dyDescent="0.25">
      <c r="G1070" s="74" t="s">
        <v>50</v>
      </c>
    </row>
    <row r="1071" spans="7:7" x14ac:dyDescent="0.25">
      <c r="G1071" s="74" t="s">
        <v>50</v>
      </c>
    </row>
    <row r="1072" spans="7:7" x14ac:dyDescent="0.25">
      <c r="G1072" s="74" t="s">
        <v>50</v>
      </c>
    </row>
    <row r="1073" spans="7:7" x14ac:dyDescent="0.25">
      <c r="G1073" s="74" t="s">
        <v>50</v>
      </c>
    </row>
    <row r="1074" spans="7:7" x14ac:dyDescent="0.25">
      <c r="G1074" s="74" t="s">
        <v>50</v>
      </c>
    </row>
    <row r="1075" spans="7:7" x14ac:dyDescent="0.25">
      <c r="G1075" s="74" t="s">
        <v>50</v>
      </c>
    </row>
    <row r="1076" spans="7:7" x14ac:dyDescent="0.25">
      <c r="G1076" s="74" t="s">
        <v>50</v>
      </c>
    </row>
    <row r="1077" spans="7:7" x14ac:dyDescent="0.25">
      <c r="G1077" s="74" t="s">
        <v>50</v>
      </c>
    </row>
    <row r="1078" spans="7:7" x14ac:dyDescent="0.25">
      <c r="G1078" s="74" t="s">
        <v>50</v>
      </c>
    </row>
    <row r="1079" spans="7:7" x14ac:dyDescent="0.25">
      <c r="G1079" s="74" t="s">
        <v>50</v>
      </c>
    </row>
    <row r="1080" spans="7:7" x14ac:dyDescent="0.25">
      <c r="G1080" s="74" t="s">
        <v>50</v>
      </c>
    </row>
    <row r="1081" spans="7:7" x14ac:dyDescent="0.25">
      <c r="G1081" s="74" t="s">
        <v>50</v>
      </c>
    </row>
    <row r="1082" spans="7:7" x14ac:dyDescent="0.25">
      <c r="G1082" s="74" t="s">
        <v>50</v>
      </c>
    </row>
    <row r="1083" spans="7:7" x14ac:dyDescent="0.25">
      <c r="G1083" s="74" t="s">
        <v>50</v>
      </c>
    </row>
    <row r="1084" spans="7:7" x14ac:dyDescent="0.25">
      <c r="G1084" s="74" t="s">
        <v>50</v>
      </c>
    </row>
    <row r="1085" spans="7:7" x14ac:dyDescent="0.25">
      <c r="G1085" s="74" t="s">
        <v>50</v>
      </c>
    </row>
    <row r="1086" spans="7:7" x14ac:dyDescent="0.25">
      <c r="G1086" s="74" t="s">
        <v>50</v>
      </c>
    </row>
    <row r="1087" spans="7:7" x14ac:dyDescent="0.25">
      <c r="G1087" s="74" t="s">
        <v>50</v>
      </c>
    </row>
    <row r="1088" spans="7:7" x14ac:dyDescent="0.25">
      <c r="G1088" s="74" t="s">
        <v>50</v>
      </c>
    </row>
    <row r="1089" spans="7:7" x14ac:dyDescent="0.25">
      <c r="G1089" s="74" t="s">
        <v>50</v>
      </c>
    </row>
    <row r="1090" spans="7:7" x14ac:dyDescent="0.25">
      <c r="G1090" s="74" t="s">
        <v>50</v>
      </c>
    </row>
    <row r="1091" spans="7:7" x14ac:dyDescent="0.25">
      <c r="G1091" s="74" t="s">
        <v>50</v>
      </c>
    </row>
    <row r="1092" spans="7:7" x14ac:dyDescent="0.25">
      <c r="G1092" s="74" t="s">
        <v>50</v>
      </c>
    </row>
    <row r="1093" spans="7:7" x14ac:dyDescent="0.25">
      <c r="G1093" s="74" t="s">
        <v>50</v>
      </c>
    </row>
    <row r="1094" spans="7:7" x14ac:dyDescent="0.25">
      <c r="G1094" s="74" t="s">
        <v>50</v>
      </c>
    </row>
    <row r="1095" spans="7:7" x14ac:dyDescent="0.25">
      <c r="G1095" s="74" t="s">
        <v>50</v>
      </c>
    </row>
    <row r="1096" spans="7:7" x14ac:dyDescent="0.25">
      <c r="G1096" s="74" t="s">
        <v>50</v>
      </c>
    </row>
    <row r="1097" spans="7:7" x14ac:dyDescent="0.25">
      <c r="G1097" s="74" t="s">
        <v>50</v>
      </c>
    </row>
    <row r="1098" spans="7:7" x14ac:dyDescent="0.25">
      <c r="G1098" s="74" t="s">
        <v>50</v>
      </c>
    </row>
    <row r="1099" spans="7:7" x14ac:dyDescent="0.25">
      <c r="G1099" s="74" t="s">
        <v>50</v>
      </c>
    </row>
    <row r="1100" spans="7:7" x14ac:dyDescent="0.25">
      <c r="G1100" s="74" t="s">
        <v>50</v>
      </c>
    </row>
    <row r="1101" spans="7:7" x14ac:dyDescent="0.25">
      <c r="G1101" s="74" t="s">
        <v>50</v>
      </c>
    </row>
    <row r="1102" spans="7:7" x14ac:dyDescent="0.25">
      <c r="G1102" s="74" t="s">
        <v>50</v>
      </c>
    </row>
    <row r="1103" spans="7:7" x14ac:dyDescent="0.25">
      <c r="G1103" s="74" t="s">
        <v>50</v>
      </c>
    </row>
    <row r="1104" spans="7:7" x14ac:dyDescent="0.25">
      <c r="G1104" s="74" t="s">
        <v>50</v>
      </c>
    </row>
    <row r="1105" spans="7:7" x14ac:dyDescent="0.25">
      <c r="G1105" s="74" t="s">
        <v>50</v>
      </c>
    </row>
    <row r="1106" spans="7:7" x14ac:dyDescent="0.25">
      <c r="G1106" s="74" t="s">
        <v>50</v>
      </c>
    </row>
    <row r="1107" spans="7:7" x14ac:dyDescent="0.25">
      <c r="G1107" s="74" t="s">
        <v>50</v>
      </c>
    </row>
    <row r="1108" spans="7:7" x14ac:dyDescent="0.25">
      <c r="G1108" s="74" t="s">
        <v>50</v>
      </c>
    </row>
    <row r="1109" spans="7:7" x14ac:dyDescent="0.25">
      <c r="G1109" s="74" t="s">
        <v>50</v>
      </c>
    </row>
    <row r="1110" spans="7:7" x14ac:dyDescent="0.25">
      <c r="G1110" s="74" t="s">
        <v>50</v>
      </c>
    </row>
    <row r="1111" spans="7:7" x14ac:dyDescent="0.25">
      <c r="G1111" s="74" t="s">
        <v>50</v>
      </c>
    </row>
    <row r="1112" spans="7:7" x14ac:dyDescent="0.25">
      <c r="G1112" s="74" t="s">
        <v>50</v>
      </c>
    </row>
    <row r="1113" spans="7:7" x14ac:dyDescent="0.25">
      <c r="G1113" s="74" t="s">
        <v>50</v>
      </c>
    </row>
    <row r="1114" spans="7:7" x14ac:dyDescent="0.25">
      <c r="G1114" s="74" t="s">
        <v>50</v>
      </c>
    </row>
    <row r="1115" spans="7:7" x14ac:dyDescent="0.25">
      <c r="G1115" s="74" t="s">
        <v>50</v>
      </c>
    </row>
    <row r="1116" spans="7:7" x14ac:dyDescent="0.25">
      <c r="G1116" s="74" t="s">
        <v>50</v>
      </c>
    </row>
    <row r="1117" spans="7:7" x14ac:dyDescent="0.25">
      <c r="G1117" s="74" t="s">
        <v>50</v>
      </c>
    </row>
    <row r="1118" spans="7:7" x14ac:dyDescent="0.25">
      <c r="G1118" s="74" t="s">
        <v>50</v>
      </c>
    </row>
    <row r="1119" spans="7:7" x14ac:dyDescent="0.25">
      <c r="G1119" s="74" t="s">
        <v>50</v>
      </c>
    </row>
    <row r="1120" spans="7:7" x14ac:dyDescent="0.25">
      <c r="G1120" s="74" t="s">
        <v>50</v>
      </c>
    </row>
    <row r="1121" spans="7:7" x14ac:dyDescent="0.25">
      <c r="G1121" s="74" t="s">
        <v>50</v>
      </c>
    </row>
    <row r="1122" spans="7:7" x14ac:dyDescent="0.25">
      <c r="G1122" s="74" t="s">
        <v>50</v>
      </c>
    </row>
    <row r="1123" spans="7:7" x14ac:dyDescent="0.25">
      <c r="G1123" s="74" t="s">
        <v>50</v>
      </c>
    </row>
    <row r="1124" spans="7:7" x14ac:dyDescent="0.25">
      <c r="G1124" s="74" t="s">
        <v>50</v>
      </c>
    </row>
    <row r="1125" spans="7:7" x14ac:dyDescent="0.25">
      <c r="G1125" s="74" t="s">
        <v>50</v>
      </c>
    </row>
    <row r="1126" spans="7:7" x14ac:dyDescent="0.25">
      <c r="G1126" s="74" t="s">
        <v>50</v>
      </c>
    </row>
    <row r="1127" spans="7:7" x14ac:dyDescent="0.25">
      <c r="G1127" s="74" t="s">
        <v>50</v>
      </c>
    </row>
    <row r="1128" spans="7:7" x14ac:dyDescent="0.25">
      <c r="G1128" s="74" t="s">
        <v>50</v>
      </c>
    </row>
    <row r="1129" spans="7:7" x14ac:dyDescent="0.25">
      <c r="G1129" s="74" t="s">
        <v>50</v>
      </c>
    </row>
    <row r="1130" spans="7:7" x14ac:dyDescent="0.25">
      <c r="G1130" s="74" t="s">
        <v>50</v>
      </c>
    </row>
    <row r="1131" spans="7:7" x14ac:dyDescent="0.25">
      <c r="G1131" s="74" t="s">
        <v>50</v>
      </c>
    </row>
    <row r="1132" spans="7:7" x14ac:dyDescent="0.25">
      <c r="G1132" s="74" t="s">
        <v>50</v>
      </c>
    </row>
    <row r="1133" spans="7:7" x14ac:dyDescent="0.25">
      <c r="G1133" s="74" t="s">
        <v>50</v>
      </c>
    </row>
    <row r="1134" spans="7:7" x14ac:dyDescent="0.25">
      <c r="G1134" s="74" t="s">
        <v>50</v>
      </c>
    </row>
    <row r="1135" spans="7:7" x14ac:dyDescent="0.25">
      <c r="G1135" s="74" t="s">
        <v>50</v>
      </c>
    </row>
    <row r="1136" spans="7:7" x14ac:dyDescent="0.25">
      <c r="G1136" s="74" t="s">
        <v>50</v>
      </c>
    </row>
    <row r="1137" spans="7:7" x14ac:dyDescent="0.25">
      <c r="G1137" s="74" t="s">
        <v>50</v>
      </c>
    </row>
    <row r="1138" spans="7:7" x14ac:dyDescent="0.25">
      <c r="G1138" s="74" t="s">
        <v>50</v>
      </c>
    </row>
    <row r="1139" spans="7:7" x14ac:dyDescent="0.25">
      <c r="G1139" s="74" t="s">
        <v>50</v>
      </c>
    </row>
    <row r="1140" spans="7:7" x14ac:dyDescent="0.25">
      <c r="G1140" s="74" t="s">
        <v>50</v>
      </c>
    </row>
    <row r="1141" spans="7:7" x14ac:dyDescent="0.25">
      <c r="G1141" s="74" t="s">
        <v>50</v>
      </c>
    </row>
    <row r="1142" spans="7:7" x14ac:dyDescent="0.25">
      <c r="G1142" s="74" t="s">
        <v>50</v>
      </c>
    </row>
    <row r="1143" spans="7:7" x14ac:dyDescent="0.25">
      <c r="G1143" s="74" t="s">
        <v>50</v>
      </c>
    </row>
    <row r="1144" spans="7:7" x14ac:dyDescent="0.25">
      <c r="G1144" s="74" t="s">
        <v>50</v>
      </c>
    </row>
    <row r="1145" spans="7:7" x14ac:dyDescent="0.25">
      <c r="G1145" s="74" t="s">
        <v>50</v>
      </c>
    </row>
    <row r="1146" spans="7:7" x14ac:dyDescent="0.25">
      <c r="G1146" s="74" t="s">
        <v>50</v>
      </c>
    </row>
    <row r="1147" spans="7:7" x14ac:dyDescent="0.25">
      <c r="G1147" s="74" t="s">
        <v>50</v>
      </c>
    </row>
    <row r="1148" spans="7:7" x14ac:dyDescent="0.25">
      <c r="G1148" s="74" t="s">
        <v>50</v>
      </c>
    </row>
    <row r="1149" spans="7:7" x14ac:dyDescent="0.25">
      <c r="G1149" s="74" t="s">
        <v>50</v>
      </c>
    </row>
    <row r="1150" spans="7:7" x14ac:dyDescent="0.25">
      <c r="G1150" s="74" t="s">
        <v>50</v>
      </c>
    </row>
    <row r="1151" spans="7:7" x14ac:dyDescent="0.25">
      <c r="G1151" s="74" t="s">
        <v>50</v>
      </c>
    </row>
    <row r="1152" spans="7:7" x14ac:dyDescent="0.25">
      <c r="G1152" s="74" t="s">
        <v>50</v>
      </c>
    </row>
    <row r="1153" spans="7:7" x14ac:dyDescent="0.25">
      <c r="G1153" s="74" t="s">
        <v>50</v>
      </c>
    </row>
    <row r="1154" spans="7:7" x14ac:dyDescent="0.25">
      <c r="G1154" s="74" t="s">
        <v>50</v>
      </c>
    </row>
    <row r="1155" spans="7:7" x14ac:dyDescent="0.25">
      <c r="G1155" s="74" t="s">
        <v>50</v>
      </c>
    </row>
    <row r="1156" spans="7:7" x14ac:dyDescent="0.25">
      <c r="G1156" s="74" t="s">
        <v>50</v>
      </c>
    </row>
    <row r="1157" spans="7:7" x14ac:dyDescent="0.25">
      <c r="G1157" s="74" t="s">
        <v>50</v>
      </c>
    </row>
    <row r="1158" spans="7:7" x14ac:dyDescent="0.25">
      <c r="G1158" s="74" t="s">
        <v>50</v>
      </c>
    </row>
    <row r="1159" spans="7:7" x14ac:dyDescent="0.25">
      <c r="G1159" s="74" t="s">
        <v>50</v>
      </c>
    </row>
    <row r="1160" spans="7:7" x14ac:dyDescent="0.25">
      <c r="G1160" s="74" t="s">
        <v>50</v>
      </c>
    </row>
    <row r="1161" spans="7:7" x14ac:dyDescent="0.25">
      <c r="G1161" s="74" t="s">
        <v>50</v>
      </c>
    </row>
    <row r="1162" spans="7:7" x14ac:dyDescent="0.25">
      <c r="G1162" s="74" t="s">
        <v>50</v>
      </c>
    </row>
    <row r="1163" spans="7:7" x14ac:dyDescent="0.25">
      <c r="G1163" s="74" t="s">
        <v>50</v>
      </c>
    </row>
    <row r="1164" spans="7:7" x14ac:dyDescent="0.25">
      <c r="G1164" s="74" t="s">
        <v>50</v>
      </c>
    </row>
    <row r="1165" spans="7:7" x14ac:dyDescent="0.25">
      <c r="G1165" s="74" t="s">
        <v>50</v>
      </c>
    </row>
    <row r="1166" spans="7:7" x14ac:dyDescent="0.25">
      <c r="G1166" s="74" t="s">
        <v>50</v>
      </c>
    </row>
    <row r="1167" spans="7:7" x14ac:dyDescent="0.25">
      <c r="G1167" s="74" t="s">
        <v>50</v>
      </c>
    </row>
    <row r="1168" spans="7:7" x14ac:dyDescent="0.25">
      <c r="G1168" s="74" t="s">
        <v>50</v>
      </c>
    </row>
    <row r="1169" spans="7:7" x14ac:dyDescent="0.25">
      <c r="G1169" s="74" t="s">
        <v>50</v>
      </c>
    </row>
    <row r="1170" spans="7:7" x14ac:dyDescent="0.25">
      <c r="G1170" s="74" t="s">
        <v>50</v>
      </c>
    </row>
    <row r="1171" spans="7:7" x14ac:dyDescent="0.25">
      <c r="G1171" s="74" t="s">
        <v>50</v>
      </c>
    </row>
    <row r="1172" spans="7:7" x14ac:dyDescent="0.25">
      <c r="G1172" s="74" t="s">
        <v>50</v>
      </c>
    </row>
    <row r="1173" spans="7:7" x14ac:dyDescent="0.25">
      <c r="G1173" s="74" t="s">
        <v>50</v>
      </c>
    </row>
    <row r="1174" spans="7:7" x14ac:dyDescent="0.25">
      <c r="G1174" s="74" t="s">
        <v>50</v>
      </c>
    </row>
    <row r="1175" spans="7:7" x14ac:dyDescent="0.25">
      <c r="G1175" s="74" t="s">
        <v>50</v>
      </c>
    </row>
    <row r="1176" spans="7:7" x14ac:dyDescent="0.25">
      <c r="G1176" s="74" t="s">
        <v>50</v>
      </c>
    </row>
    <row r="1177" spans="7:7" x14ac:dyDescent="0.25">
      <c r="G1177" s="74" t="s">
        <v>50</v>
      </c>
    </row>
    <row r="1178" spans="7:7" x14ac:dyDescent="0.25">
      <c r="G1178" s="74" t="s">
        <v>50</v>
      </c>
    </row>
    <row r="1179" spans="7:7" x14ac:dyDescent="0.25">
      <c r="G1179" s="74" t="s">
        <v>50</v>
      </c>
    </row>
    <row r="1180" spans="7:7" x14ac:dyDescent="0.25">
      <c r="G1180" s="74" t="s">
        <v>50</v>
      </c>
    </row>
    <row r="1181" spans="7:7" x14ac:dyDescent="0.25">
      <c r="G1181" s="74" t="s">
        <v>50</v>
      </c>
    </row>
    <row r="1182" spans="7:7" x14ac:dyDescent="0.25">
      <c r="G1182" s="74" t="s">
        <v>50</v>
      </c>
    </row>
    <row r="1183" spans="7:7" x14ac:dyDescent="0.25">
      <c r="G1183" s="74" t="s">
        <v>50</v>
      </c>
    </row>
    <row r="1184" spans="7:7" x14ac:dyDescent="0.25">
      <c r="G1184" s="74" t="s">
        <v>50</v>
      </c>
    </row>
    <row r="1185" spans="7:7" x14ac:dyDescent="0.25">
      <c r="G1185" s="74" t="s">
        <v>50</v>
      </c>
    </row>
    <row r="1186" spans="7:7" x14ac:dyDescent="0.25">
      <c r="G1186" s="74" t="s">
        <v>50</v>
      </c>
    </row>
    <row r="1187" spans="7:7" x14ac:dyDescent="0.25">
      <c r="G1187" s="74" t="s">
        <v>50</v>
      </c>
    </row>
    <row r="1188" spans="7:7" x14ac:dyDescent="0.25">
      <c r="G1188" s="74" t="s">
        <v>50</v>
      </c>
    </row>
    <row r="1189" spans="7:7" x14ac:dyDescent="0.25">
      <c r="G1189" s="74" t="s">
        <v>50</v>
      </c>
    </row>
    <row r="1190" spans="7:7" x14ac:dyDescent="0.25">
      <c r="G1190" s="74" t="s">
        <v>50</v>
      </c>
    </row>
    <row r="1191" spans="7:7" x14ac:dyDescent="0.25">
      <c r="G1191" s="74" t="s">
        <v>50</v>
      </c>
    </row>
    <row r="1192" spans="7:7" x14ac:dyDescent="0.25">
      <c r="G1192" s="74" t="s">
        <v>50</v>
      </c>
    </row>
    <row r="1193" spans="7:7" x14ac:dyDescent="0.25">
      <c r="G1193" s="74" t="s">
        <v>50</v>
      </c>
    </row>
    <row r="1194" spans="7:7" x14ac:dyDescent="0.25">
      <c r="G1194" s="74" t="s">
        <v>50</v>
      </c>
    </row>
    <row r="1195" spans="7:7" x14ac:dyDescent="0.25">
      <c r="G1195" s="74" t="s">
        <v>50</v>
      </c>
    </row>
    <row r="1196" spans="7:7" x14ac:dyDescent="0.25">
      <c r="G1196" s="74" t="s">
        <v>50</v>
      </c>
    </row>
    <row r="1197" spans="7:7" x14ac:dyDescent="0.25">
      <c r="G1197" s="74" t="s">
        <v>50</v>
      </c>
    </row>
    <row r="1198" spans="7:7" x14ac:dyDescent="0.25">
      <c r="G1198" s="74" t="s">
        <v>50</v>
      </c>
    </row>
    <row r="1199" spans="7:7" x14ac:dyDescent="0.25">
      <c r="G1199" s="74" t="s">
        <v>50</v>
      </c>
    </row>
    <row r="1200" spans="7:7" x14ac:dyDescent="0.25">
      <c r="G1200" s="74" t="s">
        <v>50</v>
      </c>
    </row>
    <row r="1201" spans="7:7" x14ac:dyDescent="0.25">
      <c r="G1201" s="74" t="s">
        <v>50</v>
      </c>
    </row>
    <row r="1202" spans="7:7" x14ac:dyDescent="0.25">
      <c r="G1202" s="74" t="s">
        <v>50</v>
      </c>
    </row>
    <row r="1203" spans="7:7" x14ac:dyDescent="0.25">
      <c r="G1203" s="74" t="s">
        <v>50</v>
      </c>
    </row>
    <row r="1204" spans="7:7" x14ac:dyDescent="0.25">
      <c r="G1204" s="74" t="s">
        <v>50</v>
      </c>
    </row>
    <row r="1205" spans="7:7" x14ac:dyDescent="0.25">
      <c r="G1205" s="74" t="s">
        <v>50</v>
      </c>
    </row>
    <row r="1206" spans="7:7" x14ac:dyDescent="0.25">
      <c r="G1206" s="74" t="s">
        <v>50</v>
      </c>
    </row>
    <row r="1207" spans="7:7" x14ac:dyDescent="0.25">
      <c r="G1207" s="74" t="s">
        <v>50</v>
      </c>
    </row>
    <row r="1208" spans="7:7" x14ac:dyDescent="0.25">
      <c r="G1208" s="74" t="s">
        <v>50</v>
      </c>
    </row>
    <row r="1209" spans="7:7" x14ac:dyDescent="0.25">
      <c r="G1209" s="74" t="s">
        <v>50</v>
      </c>
    </row>
    <row r="1210" spans="7:7" x14ac:dyDescent="0.25">
      <c r="G1210" s="74" t="s">
        <v>50</v>
      </c>
    </row>
    <row r="1211" spans="7:7" x14ac:dyDescent="0.25">
      <c r="G1211" s="74" t="s">
        <v>50</v>
      </c>
    </row>
    <row r="1212" spans="7:7" x14ac:dyDescent="0.25">
      <c r="G1212" s="74" t="s">
        <v>50</v>
      </c>
    </row>
    <row r="1213" spans="7:7" x14ac:dyDescent="0.25">
      <c r="G1213" s="74" t="s">
        <v>50</v>
      </c>
    </row>
    <row r="1214" spans="7:7" x14ac:dyDescent="0.25">
      <c r="G1214" s="74" t="s">
        <v>50</v>
      </c>
    </row>
    <row r="1215" spans="7:7" x14ac:dyDescent="0.25">
      <c r="G1215" s="74" t="s">
        <v>50</v>
      </c>
    </row>
    <row r="1216" spans="7:7" x14ac:dyDescent="0.25">
      <c r="G1216" s="74" t="s">
        <v>50</v>
      </c>
    </row>
    <row r="1217" spans="7:7" x14ac:dyDescent="0.25">
      <c r="G1217" s="74" t="s">
        <v>50</v>
      </c>
    </row>
    <row r="1218" spans="7:7" x14ac:dyDescent="0.25">
      <c r="G1218" s="74" t="s">
        <v>50</v>
      </c>
    </row>
    <row r="1219" spans="7:7" x14ac:dyDescent="0.25">
      <c r="G1219" s="74" t="s">
        <v>50</v>
      </c>
    </row>
    <row r="1220" spans="7:7" x14ac:dyDescent="0.25">
      <c r="G1220" s="74" t="s">
        <v>50</v>
      </c>
    </row>
    <row r="1221" spans="7:7" x14ac:dyDescent="0.25">
      <c r="G1221" s="74" t="s">
        <v>50</v>
      </c>
    </row>
    <row r="1222" spans="7:7" x14ac:dyDescent="0.25">
      <c r="G1222" s="74" t="s">
        <v>50</v>
      </c>
    </row>
    <row r="1223" spans="7:7" x14ac:dyDescent="0.25">
      <c r="G1223" s="74" t="s">
        <v>50</v>
      </c>
    </row>
    <row r="1224" spans="7:7" x14ac:dyDescent="0.25">
      <c r="G1224" s="74" t="s">
        <v>50</v>
      </c>
    </row>
    <row r="1225" spans="7:7" x14ac:dyDescent="0.25">
      <c r="G1225" s="74" t="s">
        <v>50</v>
      </c>
    </row>
    <row r="1226" spans="7:7" x14ac:dyDescent="0.25">
      <c r="G1226" s="74" t="s">
        <v>50</v>
      </c>
    </row>
    <row r="1227" spans="7:7" x14ac:dyDescent="0.25">
      <c r="G1227" s="74" t="s">
        <v>50</v>
      </c>
    </row>
    <row r="1228" spans="7:7" x14ac:dyDescent="0.25">
      <c r="G1228" s="74" t="s">
        <v>50</v>
      </c>
    </row>
    <row r="1229" spans="7:7" x14ac:dyDescent="0.25">
      <c r="G1229" s="74" t="s">
        <v>50</v>
      </c>
    </row>
    <row r="1230" spans="7:7" x14ac:dyDescent="0.25">
      <c r="G1230" s="74" t="s">
        <v>50</v>
      </c>
    </row>
    <row r="1231" spans="7:7" x14ac:dyDescent="0.25">
      <c r="G1231" s="74" t="s">
        <v>50</v>
      </c>
    </row>
    <row r="1232" spans="7:7" x14ac:dyDescent="0.25">
      <c r="G1232" s="74" t="s">
        <v>50</v>
      </c>
    </row>
    <row r="1233" spans="7:7" x14ac:dyDescent="0.25">
      <c r="G1233" s="74" t="s">
        <v>50</v>
      </c>
    </row>
    <row r="1234" spans="7:7" x14ac:dyDescent="0.25">
      <c r="G1234" s="74" t="s">
        <v>50</v>
      </c>
    </row>
    <row r="1235" spans="7:7" x14ac:dyDescent="0.25">
      <c r="G1235" s="74" t="s">
        <v>50</v>
      </c>
    </row>
    <row r="1236" spans="7:7" x14ac:dyDescent="0.25">
      <c r="G1236" s="74" t="s">
        <v>50</v>
      </c>
    </row>
    <row r="1237" spans="7:7" x14ac:dyDescent="0.25">
      <c r="G1237" s="74" t="s">
        <v>50</v>
      </c>
    </row>
    <row r="1238" spans="7:7" x14ac:dyDescent="0.25">
      <c r="G1238" s="74" t="s">
        <v>50</v>
      </c>
    </row>
    <row r="1239" spans="7:7" x14ac:dyDescent="0.25">
      <c r="G1239" s="74" t="s">
        <v>50</v>
      </c>
    </row>
    <row r="1240" spans="7:7" x14ac:dyDescent="0.25">
      <c r="G1240" s="74" t="s">
        <v>50</v>
      </c>
    </row>
    <row r="1241" spans="7:7" x14ac:dyDescent="0.25">
      <c r="G1241" s="74" t="s">
        <v>50</v>
      </c>
    </row>
    <row r="1242" spans="7:7" x14ac:dyDescent="0.25">
      <c r="G1242" s="74" t="s">
        <v>50</v>
      </c>
    </row>
    <row r="1243" spans="7:7" x14ac:dyDescent="0.25">
      <c r="G1243" s="74" t="s">
        <v>50</v>
      </c>
    </row>
    <row r="1244" spans="7:7" x14ac:dyDescent="0.25">
      <c r="G1244" s="74" t="s">
        <v>50</v>
      </c>
    </row>
    <row r="1245" spans="7:7" x14ac:dyDescent="0.25">
      <c r="G1245" s="74" t="s">
        <v>50</v>
      </c>
    </row>
    <row r="1246" spans="7:7" x14ac:dyDescent="0.25">
      <c r="G1246" s="74" t="s">
        <v>50</v>
      </c>
    </row>
    <row r="1247" spans="7:7" x14ac:dyDescent="0.25">
      <c r="G1247" s="74" t="s">
        <v>50</v>
      </c>
    </row>
    <row r="1248" spans="7:7" x14ac:dyDescent="0.25">
      <c r="G1248" s="74" t="s">
        <v>50</v>
      </c>
    </row>
    <row r="1249" spans="7:7" x14ac:dyDescent="0.25">
      <c r="G1249" s="74" t="s">
        <v>50</v>
      </c>
    </row>
    <row r="1250" spans="7:7" x14ac:dyDescent="0.25">
      <c r="G1250" s="74" t="s">
        <v>50</v>
      </c>
    </row>
    <row r="1251" spans="7:7" x14ac:dyDescent="0.25">
      <c r="G1251" s="74" t="s">
        <v>50</v>
      </c>
    </row>
    <row r="1252" spans="7:7" x14ac:dyDescent="0.25">
      <c r="G1252" s="74" t="s">
        <v>50</v>
      </c>
    </row>
    <row r="1253" spans="7:7" x14ac:dyDescent="0.25">
      <c r="G1253" s="74" t="s">
        <v>50</v>
      </c>
    </row>
    <row r="1254" spans="7:7" x14ac:dyDescent="0.25">
      <c r="G1254" s="74" t="s">
        <v>50</v>
      </c>
    </row>
    <row r="1255" spans="7:7" x14ac:dyDescent="0.25">
      <c r="G1255" s="74" t="s">
        <v>50</v>
      </c>
    </row>
    <row r="1256" spans="7:7" x14ac:dyDescent="0.25">
      <c r="G1256" s="74" t="s">
        <v>50</v>
      </c>
    </row>
    <row r="1257" spans="7:7" x14ac:dyDescent="0.25">
      <c r="G1257" s="74" t="s">
        <v>50</v>
      </c>
    </row>
    <row r="1258" spans="7:7" x14ac:dyDescent="0.25">
      <c r="G1258" s="74" t="s">
        <v>50</v>
      </c>
    </row>
    <row r="1259" spans="7:7" x14ac:dyDescent="0.25">
      <c r="G1259" s="74" t="s">
        <v>50</v>
      </c>
    </row>
    <row r="1260" spans="7:7" x14ac:dyDescent="0.25">
      <c r="G1260" s="74" t="s">
        <v>50</v>
      </c>
    </row>
    <row r="1261" spans="7:7" x14ac:dyDescent="0.25">
      <c r="G1261" s="74" t="s">
        <v>50</v>
      </c>
    </row>
    <row r="1262" spans="7:7" x14ac:dyDescent="0.25">
      <c r="G1262" s="74" t="s">
        <v>50</v>
      </c>
    </row>
    <row r="1263" spans="7:7" x14ac:dyDescent="0.25">
      <c r="G1263" s="74" t="s">
        <v>50</v>
      </c>
    </row>
    <row r="1264" spans="7:7" x14ac:dyDescent="0.25">
      <c r="G1264" s="74" t="s">
        <v>50</v>
      </c>
    </row>
    <row r="1265" spans="7:7" x14ac:dyDescent="0.25">
      <c r="G1265" s="74" t="s">
        <v>50</v>
      </c>
    </row>
    <row r="1266" spans="7:7" x14ac:dyDescent="0.25">
      <c r="G1266" s="74" t="s">
        <v>50</v>
      </c>
    </row>
    <row r="1267" spans="7:7" x14ac:dyDescent="0.25">
      <c r="G1267" s="74" t="s">
        <v>50</v>
      </c>
    </row>
    <row r="1268" spans="7:7" x14ac:dyDescent="0.25">
      <c r="G1268" s="74" t="s">
        <v>50</v>
      </c>
    </row>
    <row r="1269" spans="7:7" x14ac:dyDescent="0.25">
      <c r="G1269" s="74" t="s">
        <v>50</v>
      </c>
    </row>
    <row r="1270" spans="7:7" x14ac:dyDescent="0.25">
      <c r="G1270" s="74" t="s">
        <v>50</v>
      </c>
    </row>
    <row r="1271" spans="7:7" x14ac:dyDescent="0.25">
      <c r="G1271" s="74" t="s">
        <v>50</v>
      </c>
    </row>
    <row r="1272" spans="7:7" x14ac:dyDescent="0.25">
      <c r="G1272" s="74" t="s">
        <v>50</v>
      </c>
    </row>
    <row r="1273" spans="7:7" x14ac:dyDescent="0.25">
      <c r="G1273" s="74" t="s">
        <v>50</v>
      </c>
    </row>
    <row r="1274" spans="7:7" x14ac:dyDescent="0.25">
      <c r="G1274" s="74" t="s">
        <v>50</v>
      </c>
    </row>
    <row r="1275" spans="7:7" x14ac:dyDescent="0.25">
      <c r="G1275" s="74" t="s">
        <v>50</v>
      </c>
    </row>
    <row r="1276" spans="7:7" x14ac:dyDescent="0.25">
      <c r="G1276" s="74" t="s">
        <v>50</v>
      </c>
    </row>
    <row r="1277" spans="7:7" x14ac:dyDescent="0.25">
      <c r="G1277" s="74" t="s">
        <v>50</v>
      </c>
    </row>
    <row r="1278" spans="7:7" x14ac:dyDescent="0.25">
      <c r="G1278" s="74" t="s">
        <v>50</v>
      </c>
    </row>
    <row r="1279" spans="7:7" x14ac:dyDescent="0.25">
      <c r="G1279" s="74" t="s">
        <v>50</v>
      </c>
    </row>
    <row r="1280" spans="7:7" x14ac:dyDescent="0.25">
      <c r="G1280" s="74" t="s">
        <v>50</v>
      </c>
    </row>
    <row r="1281" spans="7:7" x14ac:dyDescent="0.25">
      <c r="G1281" s="74" t="s">
        <v>50</v>
      </c>
    </row>
    <row r="1282" spans="7:7" x14ac:dyDescent="0.25">
      <c r="G1282" s="74" t="s">
        <v>50</v>
      </c>
    </row>
    <row r="1283" spans="7:7" x14ac:dyDescent="0.25">
      <c r="G1283" s="74" t="s">
        <v>50</v>
      </c>
    </row>
    <row r="1284" spans="7:7" x14ac:dyDescent="0.25">
      <c r="G1284" s="74" t="s">
        <v>50</v>
      </c>
    </row>
    <row r="1285" spans="7:7" x14ac:dyDescent="0.25">
      <c r="G1285" s="74" t="s">
        <v>50</v>
      </c>
    </row>
    <row r="1286" spans="7:7" x14ac:dyDescent="0.25">
      <c r="G1286" s="74" t="s">
        <v>50</v>
      </c>
    </row>
    <row r="1287" spans="7:7" x14ac:dyDescent="0.25">
      <c r="G1287" s="74" t="s">
        <v>50</v>
      </c>
    </row>
    <row r="1288" spans="7:7" x14ac:dyDescent="0.25">
      <c r="G1288" s="74" t="s">
        <v>50</v>
      </c>
    </row>
    <row r="1289" spans="7:7" x14ac:dyDescent="0.25">
      <c r="G1289" s="74" t="s">
        <v>50</v>
      </c>
    </row>
    <row r="1290" spans="7:7" x14ac:dyDescent="0.25">
      <c r="G1290" s="74" t="s">
        <v>50</v>
      </c>
    </row>
    <row r="1291" spans="7:7" x14ac:dyDescent="0.25">
      <c r="G1291" s="74" t="s">
        <v>50</v>
      </c>
    </row>
    <row r="1292" spans="7:7" x14ac:dyDescent="0.25">
      <c r="G1292" s="74" t="s">
        <v>50</v>
      </c>
    </row>
    <row r="1293" spans="7:7" x14ac:dyDescent="0.25">
      <c r="G1293" s="74" t="s">
        <v>50</v>
      </c>
    </row>
    <row r="1294" spans="7:7" x14ac:dyDescent="0.25">
      <c r="G1294" s="74" t="s">
        <v>50</v>
      </c>
    </row>
    <row r="1295" spans="7:7" x14ac:dyDescent="0.25">
      <c r="G1295" s="74" t="s">
        <v>50</v>
      </c>
    </row>
    <row r="1296" spans="7:7" x14ac:dyDescent="0.25">
      <c r="G1296" s="74" t="s">
        <v>50</v>
      </c>
    </row>
    <row r="1297" spans="7:7" x14ac:dyDescent="0.25">
      <c r="G1297" s="74" t="s">
        <v>50</v>
      </c>
    </row>
    <row r="1298" spans="7:7" x14ac:dyDescent="0.25">
      <c r="G1298" s="74" t="s">
        <v>50</v>
      </c>
    </row>
    <row r="1299" spans="7:7" x14ac:dyDescent="0.25">
      <c r="G1299" s="74" t="s">
        <v>50</v>
      </c>
    </row>
    <row r="1300" spans="7:7" x14ac:dyDescent="0.25">
      <c r="G1300" s="74" t="s">
        <v>50</v>
      </c>
    </row>
    <row r="1301" spans="7:7" x14ac:dyDescent="0.25">
      <c r="G1301" s="74" t="s">
        <v>50</v>
      </c>
    </row>
    <row r="1302" spans="7:7" x14ac:dyDescent="0.25">
      <c r="G1302" s="74" t="s">
        <v>50</v>
      </c>
    </row>
    <row r="1303" spans="7:7" x14ac:dyDescent="0.25">
      <c r="G1303" s="74" t="s">
        <v>50</v>
      </c>
    </row>
    <row r="1304" spans="7:7" x14ac:dyDescent="0.25">
      <c r="G1304" s="74" t="s">
        <v>50</v>
      </c>
    </row>
    <row r="1305" spans="7:7" x14ac:dyDescent="0.25">
      <c r="G1305" s="74" t="s">
        <v>50</v>
      </c>
    </row>
    <row r="1306" spans="7:7" x14ac:dyDescent="0.25">
      <c r="G1306" s="74" t="s">
        <v>50</v>
      </c>
    </row>
    <row r="1307" spans="7:7" x14ac:dyDescent="0.25">
      <c r="G1307" s="74" t="s">
        <v>50</v>
      </c>
    </row>
    <row r="1308" spans="7:7" x14ac:dyDescent="0.25">
      <c r="G1308" s="74" t="s">
        <v>50</v>
      </c>
    </row>
    <row r="1309" spans="7:7" x14ac:dyDescent="0.25">
      <c r="G1309" s="74" t="s">
        <v>50</v>
      </c>
    </row>
    <row r="1310" spans="7:7" x14ac:dyDescent="0.25">
      <c r="G1310" s="74" t="s">
        <v>50</v>
      </c>
    </row>
    <row r="1311" spans="7:7" x14ac:dyDescent="0.25">
      <c r="G1311" s="74" t="s">
        <v>50</v>
      </c>
    </row>
    <row r="1312" spans="7:7" x14ac:dyDescent="0.25">
      <c r="G1312" s="74" t="s">
        <v>50</v>
      </c>
    </row>
    <row r="1313" spans="7:7" x14ac:dyDescent="0.25">
      <c r="G1313" s="74" t="s">
        <v>50</v>
      </c>
    </row>
    <row r="1314" spans="7:7" x14ac:dyDescent="0.25">
      <c r="G1314" s="74" t="s">
        <v>50</v>
      </c>
    </row>
    <row r="1315" spans="7:7" x14ac:dyDescent="0.25">
      <c r="G1315" s="74" t="s">
        <v>50</v>
      </c>
    </row>
    <row r="1316" spans="7:7" x14ac:dyDescent="0.25">
      <c r="G1316" s="74" t="s">
        <v>50</v>
      </c>
    </row>
    <row r="1317" spans="7:7" x14ac:dyDescent="0.25">
      <c r="G1317" s="74" t="s">
        <v>50</v>
      </c>
    </row>
    <row r="1318" spans="7:7" x14ac:dyDescent="0.25">
      <c r="G1318" s="74" t="s">
        <v>50</v>
      </c>
    </row>
    <row r="1319" spans="7:7" x14ac:dyDescent="0.25">
      <c r="G1319" s="74" t="s">
        <v>50</v>
      </c>
    </row>
    <row r="1320" spans="7:7" x14ac:dyDescent="0.25">
      <c r="G1320" s="74" t="s">
        <v>50</v>
      </c>
    </row>
    <row r="1321" spans="7:7" x14ac:dyDescent="0.25">
      <c r="G1321" s="74" t="s">
        <v>50</v>
      </c>
    </row>
    <row r="1322" spans="7:7" x14ac:dyDescent="0.25">
      <c r="G1322" s="74" t="s">
        <v>50</v>
      </c>
    </row>
    <row r="1323" spans="7:7" x14ac:dyDescent="0.25">
      <c r="G1323" s="74" t="s">
        <v>50</v>
      </c>
    </row>
    <row r="1324" spans="7:7" x14ac:dyDescent="0.25">
      <c r="G1324" s="74" t="s">
        <v>50</v>
      </c>
    </row>
    <row r="1325" spans="7:7" x14ac:dyDescent="0.25">
      <c r="G1325" s="74" t="s">
        <v>50</v>
      </c>
    </row>
    <row r="1326" spans="7:7" x14ac:dyDescent="0.25">
      <c r="G1326" s="74" t="s">
        <v>50</v>
      </c>
    </row>
    <row r="1327" spans="7:7" x14ac:dyDescent="0.25">
      <c r="G1327" s="74" t="s">
        <v>50</v>
      </c>
    </row>
    <row r="1328" spans="7:7" x14ac:dyDescent="0.25">
      <c r="G1328" s="74" t="s">
        <v>50</v>
      </c>
    </row>
    <row r="1329" spans="7:7" x14ac:dyDescent="0.25">
      <c r="G1329" s="74" t="s">
        <v>50</v>
      </c>
    </row>
    <row r="1330" spans="7:7" x14ac:dyDescent="0.25">
      <c r="G1330" s="74" t="s">
        <v>50</v>
      </c>
    </row>
    <row r="1331" spans="7:7" x14ac:dyDescent="0.25">
      <c r="G1331" s="74" t="s">
        <v>50</v>
      </c>
    </row>
    <row r="1332" spans="7:7" x14ac:dyDescent="0.25">
      <c r="G1332" s="74" t="s">
        <v>50</v>
      </c>
    </row>
    <row r="1333" spans="7:7" x14ac:dyDescent="0.25">
      <c r="G1333" s="74" t="s">
        <v>50</v>
      </c>
    </row>
    <row r="1334" spans="7:7" x14ac:dyDescent="0.25">
      <c r="G1334" s="74" t="s">
        <v>50</v>
      </c>
    </row>
    <row r="1335" spans="7:7" x14ac:dyDescent="0.25">
      <c r="G1335" s="74" t="s">
        <v>50</v>
      </c>
    </row>
    <row r="1336" spans="7:7" x14ac:dyDescent="0.25">
      <c r="G1336" s="74" t="s">
        <v>50</v>
      </c>
    </row>
    <row r="1337" spans="7:7" x14ac:dyDescent="0.25">
      <c r="G1337" s="74" t="s">
        <v>50</v>
      </c>
    </row>
    <row r="1338" spans="7:7" x14ac:dyDescent="0.25">
      <c r="G1338" s="74" t="s">
        <v>50</v>
      </c>
    </row>
    <row r="1339" spans="7:7" x14ac:dyDescent="0.25">
      <c r="G1339" s="74" t="s">
        <v>50</v>
      </c>
    </row>
    <row r="1340" spans="7:7" x14ac:dyDescent="0.25">
      <c r="G1340" s="74" t="s">
        <v>50</v>
      </c>
    </row>
    <row r="1341" spans="7:7" x14ac:dyDescent="0.25">
      <c r="G1341" s="74" t="s">
        <v>50</v>
      </c>
    </row>
    <row r="1342" spans="7:7" x14ac:dyDescent="0.25">
      <c r="G1342" s="74" t="s">
        <v>50</v>
      </c>
    </row>
    <row r="1343" spans="7:7" x14ac:dyDescent="0.25">
      <c r="G1343" s="74" t="s">
        <v>50</v>
      </c>
    </row>
    <row r="1344" spans="7:7" x14ac:dyDescent="0.25">
      <c r="G1344" s="74" t="s">
        <v>50</v>
      </c>
    </row>
    <row r="1345" spans="7:7" x14ac:dyDescent="0.25">
      <c r="G1345" s="74" t="s">
        <v>50</v>
      </c>
    </row>
    <row r="1346" spans="7:7" x14ac:dyDescent="0.25">
      <c r="G1346" s="74" t="s">
        <v>50</v>
      </c>
    </row>
    <row r="1347" spans="7:7" x14ac:dyDescent="0.25">
      <c r="G1347" s="74" t="s">
        <v>50</v>
      </c>
    </row>
    <row r="1348" spans="7:7" x14ac:dyDescent="0.25">
      <c r="G1348" s="74" t="s">
        <v>50</v>
      </c>
    </row>
    <row r="1349" spans="7:7" x14ac:dyDescent="0.25">
      <c r="G1349" s="74" t="s">
        <v>50</v>
      </c>
    </row>
    <row r="1350" spans="7:7" x14ac:dyDescent="0.25">
      <c r="G1350" s="74" t="s">
        <v>50</v>
      </c>
    </row>
    <row r="1351" spans="7:7" x14ac:dyDescent="0.25">
      <c r="G1351" s="74" t="s">
        <v>50</v>
      </c>
    </row>
    <row r="1352" spans="7:7" x14ac:dyDescent="0.25">
      <c r="G1352" s="74" t="s">
        <v>50</v>
      </c>
    </row>
    <row r="1353" spans="7:7" x14ac:dyDescent="0.25">
      <c r="G1353" s="74" t="s">
        <v>50</v>
      </c>
    </row>
    <row r="1354" spans="7:7" x14ac:dyDescent="0.25">
      <c r="G1354" s="74" t="s">
        <v>50</v>
      </c>
    </row>
    <row r="1355" spans="7:7" x14ac:dyDescent="0.25">
      <c r="G1355" s="74" t="s">
        <v>50</v>
      </c>
    </row>
    <row r="1356" spans="7:7" x14ac:dyDescent="0.25">
      <c r="G1356" s="74" t="s">
        <v>50</v>
      </c>
    </row>
    <row r="1357" spans="7:7" x14ac:dyDescent="0.25">
      <c r="G1357" s="74" t="s">
        <v>50</v>
      </c>
    </row>
    <row r="1358" spans="7:7" x14ac:dyDescent="0.25">
      <c r="G1358" s="74" t="s">
        <v>50</v>
      </c>
    </row>
    <row r="1359" spans="7:7" x14ac:dyDescent="0.25">
      <c r="G1359" s="74" t="s">
        <v>50</v>
      </c>
    </row>
    <row r="1360" spans="7:7" x14ac:dyDescent="0.25">
      <c r="G1360" s="74" t="s">
        <v>50</v>
      </c>
    </row>
    <row r="1361" spans="7:7" x14ac:dyDescent="0.25">
      <c r="G1361" s="74" t="s">
        <v>50</v>
      </c>
    </row>
    <row r="1362" spans="7:7" x14ac:dyDescent="0.25">
      <c r="G1362" s="74" t="s">
        <v>50</v>
      </c>
    </row>
    <row r="1363" spans="7:7" x14ac:dyDescent="0.25">
      <c r="G1363" s="74" t="s">
        <v>50</v>
      </c>
    </row>
    <row r="1364" spans="7:7" x14ac:dyDescent="0.25">
      <c r="G1364" s="74" t="s">
        <v>50</v>
      </c>
    </row>
    <row r="1365" spans="7:7" x14ac:dyDescent="0.25">
      <c r="G1365" s="74" t="s">
        <v>50</v>
      </c>
    </row>
    <row r="1366" spans="7:7" x14ac:dyDescent="0.25">
      <c r="G1366" s="74" t="s">
        <v>50</v>
      </c>
    </row>
    <row r="1367" spans="7:7" x14ac:dyDescent="0.25">
      <c r="G1367" s="74" t="s">
        <v>50</v>
      </c>
    </row>
    <row r="1368" spans="7:7" x14ac:dyDescent="0.25">
      <c r="G1368" s="74" t="s">
        <v>50</v>
      </c>
    </row>
    <row r="1369" spans="7:7" x14ac:dyDescent="0.25">
      <c r="G1369" s="74" t="s">
        <v>50</v>
      </c>
    </row>
    <row r="1370" spans="7:7" x14ac:dyDescent="0.25">
      <c r="G1370" s="74" t="s">
        <v>50</v>
      </c>
    </row>
    <row r="1371" spans="7:7" x14ac:dyDescent="0.25">
      <c r="G1371" s="74" t="s">
        <v>50</v>
      </c>
    </row>
    <row r="1372" spans="7:7" x14ac:dyDescent="0.25">
      <c r="G1372" s="74" t="s">
        <v>50</v>
      </c>
    </row>
    <row r="1373" spans="7:7" x14ac:dyDescent="0.25">
      <c r="G1373" s="74" t="s">
        <v>50</v>
      </c>
    </row>
    <row r="1374" spans="7:7" x14ac:dyDescent="0.25">
      <c r="G1374" s="74" t="s">
        <v>50</v>
      </c>
    </row>
    <row r="1375" spans="7:7" x14ac:dyDescent="0.25">
      <c r="G1375" s="74" t="s">
        <v>50</v>
      </c>
    </row>
    <row r="1376" spans="7:7" x14ac:dyDescent="0.25">
      <c r="G1376" s="74" t="s">
        <v>50</v>
      </c>
    </row>
    <row r="1377" spans="7:7" x14ac:dyDescent="0.25">
      <c r="G1377" s="74" t="s">
        <v>50</v>
      </c>
    </row>
    <row r="1378" spans="7:7" x14ac:dyDescent="0.25">
      <c r="G1378" s="74" t="s">
        <v>50</v>
      </c>
    </row>
    <row r="1379" spans="7:7" x14ac:dyDescent="0.25">
      <c r="G1379" s="74" t="s">
        <v>50</v>
      </c>
    </row>
    <row r="1380" spans="7:7" x14ac:dyDescent="0.25">
      <c r="G1380" s="74" t="s">
        <v>50</v>
      </c>
    </row>
    <row r="1381" spans="7:7" x14ac:dyDescent="0.25">
      <c r="G1381" s="74" t="s">
        <v>50</v>
      </c>
    </row>
    <row r="1382" spans="7:7" x14ac:dyDescent="0.25">
      <c r="G1382" s="74" t="s">
        <v>50</v>
      </c>
    </row>
    <row r="1383" spans="7:7" x14ac:dyDescent="0.25">
      <c r="G1383" s="74" t="s">
        <v>50</v>
      </c>
    </row>
    <row r="1384" spans="7:7" x14ac:dyDescent="0.25">
      <c r="G1384" s="74" t="s">
        <v>50</v>
      </c>
    </row>
    <row r="1385" spans="7:7" x14ac:dyDescent="0.25">
      <c r="G1385" s="74" t="s">
        <v>50</v>
      </c>
    </row>
    <row r="1386" spans="7:7" x14ac:dyDescent="0.25">
      <c r="G1386" s="74" t="s">
        <v>50</v>
      </c>
    </row>
    <row r="1387" spans="7:7" x14ac:dyDescent="0.25">
      <c r="G1387" s="74" t="s">
        <v>50</v>
      </c>
    </row>
    <row r="1388" spans="7:7" x14ac:dyDescent="0.25">
      <c r="G1388" s="74" t="s">
        <v>50</v>
      </c>
    </row>
    <row r="1389" spans="7:7" x14ac:dyDescent="0.25">
      <c r="G1389" s="74" t="s">
        <v>50</v>
      </c>
    </row>
    <row r="1390" spans="7:7" x14ac:dyDescent="0.25">
      <c r="G1390" s="74" t="s">
        <v>50</v>
      </c>
    </row>
    <row r="1391" spans="7:7" x14ac:dyDescent="0.25">
      <c r="G1391" s="74" t="s">
        <v>50</v>
      </c>
    </row>
    <row r="1392" spans="7:7" x14ac:dyDescent="0.25">
      <c r="G1392" s="74" t="s">
        <v>50</v>
      </c>
    </row>
    <row r="1393" spans="7:7" x14ac:dyDescent="0.25">
      <c r="G1393" s="74" t="s">
        <v>50</v>
      </c>
    </row>
    <row r="1394" spans="7:7" x14ac:dyDescent="0.25">
      <c r="G1394" s="74" t="s">
        <v>50</v>
      </c>
    </row>
    <row r="1395" spans="7:7" x14ac:dyDescent="0.25">
      <c r="G1395" s="74" t="s">
        <v>50</v>
      </c>
    </row>
    <row r="1396" spans="7:7" x14ac:dyDescent="0.25">
      <c r="G1396" s="74" t="s">
        <v>50</v>
      </c>
    </row>
    <row r="1397" spans="7:7" x14ac:dyDescent="0.25">
      <c r="G1397" s="74" t="s">
        <v>50</v>
      </c>
    </row>
    <row r="1398" spans="7:7" x14ac:dyDescent="0.25">
      <c r="G1398" s="74" t="s">
        <v>50</v>
      </c>
    </row>
    <row r="1399" spans="7:7" x14ac:dyDescent="0.25">
      <c r="G1399" s="74" t="s">
        <v>50</v>
      </c>
    </row>
    <row r="1400" spans="7:7" x14ac:dyDescent="0.25">
      <c r="G1400" s="74" t="s">
        <v>50</v>
      </c>
    </row>
    <row r="1401" spans="7:7" x14ac:dyDescent="0.25">
      <c r="G1401" s="74" t="s">
        <v>50</v>
      </c>
    </row>
    <row r="1402" spans="7:7" x14ac:dyDescent="0.25">
      <c r="G1402" s="74" t="s">
        <v>50</v>
      </c>
    </row>
    <row r="1403" spans="7:7" x14ac:dyDescent="0.25">
      <c r="G1403" s="74" t="s">
        <v>50</v>
      </c>
    </row>
    <row r="1404" spans="7:7" x14ac:dyDescent="0.25">
      <c r="G1404" s="74" t="s">
        <v>50</v>
      </c>
    </row>
    <row r="1405" spans="7:7" x14ac:dyDescent="0.25">
      <c r="G1405" s="74" t="s">
        <v>50</v>
      </c>
    </row>
    <row r="1406" spans="7:7" x14ac:dyDescent="0.25">
      <c r="G1406" s="74" t="s">
        <v>50</v>
      </c>
    </row>
    <row r="1407" spans="7:7" x14ac:dyDescent="0.25">
      <c r="G1407" s="74" t="s">
        <v>50</v>
      </c>
    </row>
    <row r="1408" spans="7:7" x14ac:dyDescent="0.25">
      <c r="G1408" s="74" t="s">
        <v>50</v>
      </c>
    </row>
    <row r="1409" spans="7:7" x14ac:dyDescent="0.25">
      <c r="G1409" s="74" t="s">
        <v>50</v>
      </c>
    </row>
    <row r="1410" spans="7:7" x14ac:dyDescent="0.25">
      <c r="G1410" s="74" t="s">
        <v>50</v>
      </c>
    </row>
    <row r="1411" spans="7:7" x14ac:dyDescent="0.25">
      <c r="G1411" s="74" t="s">
        <v>50</v>
      </c>
    </row>
    <row r="1412" spans="7:7" x14ac:dyDescent="0.25">
      <c r="G1412" s="74" t="s">
        <v>50</v>
      </c>
    </row>
    <row r="1413" spans="7:7" x14ac:dyDescent="0.25">
      <c r="G1413" s="74" t="s">
        <v>50</v>
      </c>
    </row>
    <row r="1414" spans="7:7" x14ac:dyDescent="0.25">
      <c r="G1414" s="74" t="s">
        <v>50</v>
      </c>
    </row>
    <row r="1415" spans="7:7" x14ac:dyDescent="0.25">
      <c r="G1415" s="74" t="s">
        <v>50</v>
      </c>
    </row>
    <row r="1416" spans="7:7" x14ac:dyDescent="0.25">
      <c r="G1416" s="74" t="s">
        <v>50</v>
      </c>
    </row>
    <row r="1417" spans="7:7" x14ac:dyDescent="0.25">
      <c r="G1417" s="74" t="s">
        <v>50</v>
      </c>
    </row>
    <row r="1418" spans="7:7" x14ac:dyDescent="0.25">
      <c r="G1418" s="74" t="s">
        <v>50</v>
      </c>
    </row>
    <row r="1419" spans="7:7" x14ac:dyDescent="0.25">
      <c r="G1419" s="74" t="s">
        <v>50</v>
      </c>
    </row>
    <row r="1420" spans="7:7" x14ac:dyDescent="0.25">
      <c r="G1420" s="74" t="s">
        <v>50</v>
      </c>
    </row>
    <row r="1421" spans="7:7" x14ac:dyDescent="0.25">
      <c r="G1421" s="74" t="s">
        <v>50</v>
      </c>
    </row>
    <row r="1422" spans="7:7" x14ac:dyDescent="0.25">
      <c r="G1422" s="74" t="s">
        <v>50</v>
      </c>
    </row>
    <row r="1423" spans="7:7" x14ac:dyDescent="0.25">
      <c r="G1423" s="74" t="s">
        <v>50</v>
      </c>
    </row>
    <row r="1424" spans="7:7" x14ac:dyDescent="0.25">
      <c r="G1424" s="74" t="s">
        <v>50</v>
      </c>
    </row>
    <row r="1425" spans="7:7" x14ac:dyDescent="0.25">
      <c r="G1425" s="74" t="s">
        <v>50</v>
      </c>
    </row>
    <row r="1426" spans="7:7" x14ac:dyDescent="0.25">
      <c r="G1426" s="74" t="s">
        <v>50</v>
      </c>
    </row>
    <row r="1427" spans="7:7" x14ac:dyDescent="0.25">
      <c r="G1427" s="74" t="s">
        <v>50</v>
      </c>
    </row>
    <row r="1428" spans="7:7" x14ac:dyDescent="0.25">
      <c r="G1428" s="74" t="s">
        <v>50</v>
      </c>
    </row>
    <row r="1429" spans="7:7" x14ac:dyDescent="0.25">
      <c r="G1429" s="74" t="s">
        <v>50</v>
      </c>
    </row>
    <row r="1430" spans="7:7" x14ac:dyDescent="0.25">
      <c r="G1430" s="74" t="s">
        <v>50</v>
      </c>
    </row>
    <row r="1431" spans="7:7" x14ac:dyDescent="0.25">
      <c r="G1431" s="74" t="s">
        <v>50</v>
      </c>
    </row>
    <row r="1432" spans="7:7" x14ac:dyDescent="0.25">
      <c r="G1432" s="74" t="s">
        <v>50</v>
      </c>
    </row>
    <row r="1433" spans="7:7" x14ac:dyDescent="0.25">
      <c r="G1433" s="74" t="s">
        <v>50</v>
      </c>
    </row>
    <row r="1434" spans="7:7" x14ac:dyDescent="0.25">
      <c r="G1434" s="74" t="s">
        <v>50</v>
      </c>
    </row>
    <row r="1435" spans="7:7" x14ac:dyDescent="0.25">
      <c r="G1435" s="74" t="s">
        <v>50</v>
      </c>
    </row>
    <row r="1436" spans="7:7" x14ac:dyDescent="0.25">
      <c r="G1436" s="74" t="s">
        <v>50</v>
      </c>
    </row>
    <row r="1437" spans="7:7" x14ac:dyDescent="0.25">
      <c r="G1437" s="74" t="s">
        <v>50</v>
      </c>
    </row>
    <row r="1438" spans="7:7" x14ac:dyDescent="0.25">
      <c r="G1438" s="74" t="s">
        <v>50</v>
      </c>
    </row>
    <row r="1439" spans="7:7" x14ac:dyDescent="0.25">
      <c r="G1439" s="74" t="s">
        <v>50</v>
      </c>
    </row>
    <row r="1440" spans="7:7" x14ac:dyDescent="0.25">
      <c r="G1440" s="74" t="s">
        <v>50</v>
      </c>
    </row>
    <row r="1441" spans="7:7" x14ac:dyDescent="0.25">
      <c r="G1441" s="74" t="s">
        <v>50</v>
      </c>
    </row>
    <row r="1442" spans="7:7" x14ac:dyDescent="0.25">
      <c r="G1442" s="74" t="s">
        <v>50</v>
      </c>
    </row>
    <row r="1443" spans="7:7" x14ac:dyDescent="0.25">
      <c r="G1443" s="74" t="s">
        <v>50</v>
      </c>
    </row>
    <row r="1444" spans="7:7" x14ac:dyDescent="0.25">
      <c r="G1444" s="74" t="s">
        <v>50</v>
      </c>
    </row>
    <row r="1445" spans="7:7" x14ac:dyDescent="0.25">
      <c r="G1445" s="74" t="s">
        <v>50</v>
      </c>
    </row>
    <row r="1446" spans="7:7" x14ac:dyDescent="0.25">
      <c r="G1446" s="74" t="s">
        <v>50</v>
      </c>
    </row>
    <row r="1447" spans="7:7" x14ac:dyDescent="0.25">
      <c r="G1447" s="74" t="s">
        <v>50</v>
      </c>
    </row>
    <row r="1448" spans="7:7" x14ac:dyDescent="0.25">
      <c r="G1448" s="74" t="s">
        <v>50</v>
      </c>
    </row>
    <row r="1449" spans="7:7" x14ac:dyDescent="0.25">
      <c r="G1449" s="74" t="s">
        <v>50</v>
      </c>
    </row>
    <row r="1450" spans="7:7" x14ac:dyDescent="0.25">
      <c r="G1450" s="74" t="s">
        <v>50</v>
      </c>
    </row>
    <row r="1451" spans="7:7" x14ac:dyDescent="0.25">
      <c r="G1451" s="74" t="s">
        <v>50</v>
      </c>
    </row>
    <row r="1452" spans="7:7" x14ac:dyDescent="0.25">
      <c r="G1452" s="74" t="s">
        <v>50</v>
      </c>
    </row>
    <row r="1453" spans="7:7" x14ac:dyDescent="0.25">
      <c r="G1453" s="74" t="s">
        <v>50</v>
      </c>
    </row>
    <row r="1454" spans="7:7" x14ac:dyDescent="0.25">
      <c r="G1454" s="74" t="s">
        <v>50</v>
      </c>
    </row>
    <row r="1455" spans="7:7" x14ac:dyDescent="0.25">
      <c r="G1455" s="74" t="s">
        <v>50</v>
      </c>
    </row>
    <row r="1456" spans="7:7" x14ac:dyDescent="0.25">
      <c r="G1456" s="74" t="s">
        <v>50</v>
      </c>
    </row>
    <row r="1457" spans="7:7" x14ac:dyDescent="0.25">
      <c r="G1457" s="74" t="s">
        <v>50</v>
      </c>
    </row>
    <row r="1458" spans="7:7" x14ac:dyDescent="0.25">
      <c r="G1458" s="74" t="s">
        <v>50</v>
      </c>
    </row>
    <row r="1459" spans="7:7" x14ac:dyDescent="0.25">
      <c r="G1459" s="74" t="s">
        <v>50</v>
      </c>
    </row>
    <row r="1460" spans="7:7" x14ac:dyDescent="0.25">
      <c r="G1460" s="74" t="s">
        <v>50</v>
      </c>
    </row>
    <row r="1461" spans="7:7" x14ac:dyDescent="0.25">
      <c r="G1461" s="74" t="s">
        <v>50</v>
      </c>
    </row>
    <row r="1462" spans="7:7" x14ac:dyDescent="0.25">
      <c r="G1462" s="74" t="s">
        <v>50</v>
      </c>
    </row>
    <row r="1463" spans="7:7" x14ac:dyDescent="0.25">
      <c r="G1463" s="74" t="s">
        <v>50</v>
      </c>
    </row>
    <row r="1464" spans="7:7" x14ac:dyDescent="0.25">
      <c r="G1464" s="74" t="s">
        <v>50</v>
      </c>
    </row>
    <row r="1465" spans="7:7" x14ac:dyDescent="0.25">
      <c r="G1465" s="74" t="s">
        <v>50</v>
      </c>
    </row>
    <row r="1466" spans="7:7" x14ac:dyDescent="0.25">
      <c r="G1466" s="74" t="s">
        <v>50</v>
      </c>
    </row>
    <row r="1467" spans="7:7" x14ac:dyDescent="0.25">
      <c r="G1467" s="74" t="s">
        <v>50</v>
      </c>
    </row>
    <row r="1468" spans="7:7" x14ac:dyDescent="0.25">
      <c r="G1468" s="74" t="s">
        <v>50</v>
      </c>
    </row>
    <row r="1469" spans="7:7" x14ac:dyDescent="0.25">
      <c r="G1469" s="74" t="s">
        <v>50</v>
      </c>
    </row>
    <row r="1470" spans="7:7" x14ac:dyDescent="0.25">
      <c r="G1470" s="74" t="s">
        <v>50</v>
      </c>
    </row>
    <row r="1471" spans="7:7" x14ac:dyDescent="0.25">
      <c r="G1471" s="74" t="s">
        <v>50</v>
      </c>
    </row>
    <row r="1472" spans="7:7" x14ac:dyDescent="0.25">
      <c r="G1472" s="74" t="s">
        <v>50</v>
      </c>
    </row>
    <row r="1473" spans="7:7" x14ac:dyDescent="0.25">
      <c r="G1473" s="74" t="s">
        <v>50</v>
      </c>
    </row>
    <row r="1474" spans="7:7" x14ac:dyDescent="0.25">
      <c r="G1474" s="74" t="s">
        <v>50</v>
      </c>
    </row>
    <row r="1475" spans="7:7" x14ac:dyDescent="0.25">
      <c r="G1475" s="74" t="s">
        <v>50</v>
      </c>
    </row>
    <row r="1476" spans="7:7" x14ac:dyDescent="0.25">
      <c r="G1476" s="74" t="s">
        <v>50</v>
      </c>
    </row>
    <row r="1477" spans="7:7" x14ac:dyDescent="0.25">
      <c r="G1477" s="74" t="s">
        <v>50</v>
      </c>
    </row>
    <row r="1478" spans="7:7" x14ac:dyDescent="0.25">
      <c r="G1478" s="74" t="s">
        <v>50</v>
      </c>
    </row>
    <row r="1479" spans="7:7" x14ac:dyDescent="0.25">
      <c r="G1479" s="74" t="s">
        <v>50</v>
      </c>
    </row>
    <row r="1480" spans="7:7" x14ac:dyDescent="0.25">
      <c r="G1480" s="74" t="s">
        <v>50</v>
      </c>
    </row>
    <row r="1481" spans="7:7" x14ac:dyDescent="0.25">
      <c r="G1481" s="74" t="s">
        <v>50</v>
      </c>
    </row>
    <row r="1482" spans="7:7" x14ac:dyDescent="0.25">
      <c r="G1482" s="74" t="s">
        <v>50</v>
      </c>
    </row>
    <row r="1483" spans="7:7" x14ac:dyDescent="0.25">
      <c r="G1483" s="74" t="s">
        <v>50</v>
      </c>
    </row>
    <row r="1484" spans="7:7" x14ac:dyDescent="0.25">
      <c r="G1484" s="74" t="s">
        <v>50</v>
      </c>
    </row>
    <row r="1485" spans="7:7" x14ac:dyDescent="0.25">
      <c r="G1485" s="74" t="s">
        <v>50</v>
      </c>
    </row>
    <row r="1486" spans="7:7" x14ac:dyDescent="0.25">
      <c r="G1486" s="74" t="s">
        <v>50</v>
      </c>
    </row>
    <row r="1487" spans="7:7" x14ac:dyDescent="0.25">
      <c r="G1487" s="74" t="s">
        <v>50</v>
      </c>
    </row>
    <row r="1488" spans="7:7" x14ac:dyDescent="0.25">
      <c r="G1488" s="74" t="s">
        <v>50</v>
      </c>
    </row>
    <row r="1489" spans="7:7" x14ac:dyDescent="0.25">
      <c r="G1489" s="74" t="s">
        <v>50</v>
      </c>
    </row>
    <row r="1490" spans="7:7" x14ac:dyDescent="0.25">
      <c r="G1490" s="74" t="s">
        <v>50</v>
      </c>
    </row>
    <row r="1491" spans="7:7" x14ac:dyDescent="0.25">
      <c r="G1491" s="74" t="s">
        <v>50</v>
      </c>
    </row>
    <row r="1492" spans="7:7" x14ac:dyDescent="0.25">
      <c r="G1492" s="74" t="s">
        <v>50</v>
      </c>
    </row>
    <row r="1493" spans="7:7" x14ac:dyDescent="0.25">
      <c r="G1493" s="74" t="s">
        <v>50</v>
      </c>
    </row>
    <row r="1494" spans="7:7" x14ac:dyDescent="0.25">
      <c r="G1494" s="74" t="s">
        <v>50</v>
      </c>
    </row>
    <row r="1495" spans="7:7" x14ac:dyDescent="0.25">
      <c r="G1495" s="74" t="s">
        <v>50</v>
      </c>
    </row>
    <row r="1496" spans="7:7" x14ac:dyDescent="0.25">
      <c r="G1496" s="74" t="s">
        <v>50</v>
      </c>
    </row>
    <row r="1497" spans="7:7" x14ac:dyDescent="0.25">
      <c r="G1497" s="74" t="s">
        <v>50</v>
      </c>
    </row>
    <row r="1498" spans="7:7" x14ac:dyDescent="0.25">
      <c r="G1498" s="74" t="s">
        <v>50</v>
      </c>
    </row>
    <row r="1499" spans="7:7" x14ac:dyDescent="0.25">
      <c r="G1499" s="74" t="s">
        <v>50</v>
      </c>
    </row>
    <row r="1500" spans="7:7" x14ac:dyDescent="0.25">
      <c r="G1500" s="74" t="s">
        <v>50</v>
      </c>
    </row>
    <row r="1501" spans="7:7" x14ac:dyDescent="0.25">
      <c r="G1501" s="74" t="s">
        <v>50</v>
      </c>
    </row>
    <row r="1502" spans="7:7" x14ac:dyDescent="0.25">
      <c r="G1502" s="74" t="s">
        <v>50</v>
      </c>
    </row>
    <row r="1503" spans="7:7" x14ac:dyDescent="0.25">
      <c r="G1503" s="74" t="s">
        <v>50</v>
      </c>
    </row>
    <row r="1504" spans="7:7" x14ac:dyDescent="0.25">
      <c r="G1504" s="74" t="s">
        <v>50</v>
      </c>
    </row>
    <row r="1505" spans="7:7" x14ac:dyDescent="0.25">
      <c r="G1505" s="74" t="s">
        <v>50</v>
      </c>
    </row>
    <row r="1506" spans="7:7" x14ac:dyDescent="0.25">
      <c r="G1506" s="74" t="s">
        <v>50</v>
      </c>
    </row>
    <row r="1507" spans="7:7" x14ac:dyDescent="0.25">
      <c r="G1507" s="74" t="s">
        <v>50</v>
      </c>
    </row>
    <row r="1508" spans="7:7" x14ac:dyDescent="0.25">
      <c r="G1508" s="74" t="s">
        <v>50</v>
      </c>
    </row>
    <row r="1509" spans="7:7" x14ac:dyDescent="0.25">
      <c r="G1509" s="74" t="s">
        <v>50</v>
      </c>
    </row>
    <row r="1510" spans="7:7" x14ac:dyDescent="0.25">
      <c r="G1510" s="74" t="s">
        <v>50</v>
      </c>
    </row>
    <row r="1511" spans="7:7" x14ac:dyDescent="0.25">
      <c r="G1511" s="74" t="s">
        <v>50</v>
      </c>
    </row>
    <row r="1512" spans="7:7" x14ac:dyDescent="0.25">
      <c r="G1512" s="74" t="s">
        <v>50</v>
      </c>
    </row>
    <row r="1513" spans="7:7" x14ac:dyDescent="0.25">
      <c r="G1513" s="74" t="s">
        <v>50</v>
      </c>
    </row>
    <row r="1514" spans="7:7" x14ac:dyDescent="0.25">
      <c r="G1514" s="74" t="s">
        <v>50</v>
      </c>
    </row>
    <row r="1515" spans="7:7" x14ac:dyDescent="0.25">
      <c r="G1515" s="74" t="s">
        <v>50</v>
      </c>
    </row>
    <row r="1516" spans="7:7" x14ac:dyDescent="0.25">
      <c r="G1516" s="74" t="s">
        <v>50</v>
      </c>
    </row>
    <row r="1517" spans="7:7" x14ac:dyDescent="0.25">
      <c r="G1517" s="74" t="s">
        <v>50</v>
      </c>
    </row>
    <row r="1518" spans="7:7" x14ac:dyDescent="0.25">
      <c r="G1518" s="74" t="s">
        <v>50</v>
      </c>
    </row>
    <row r="1519" spans="7:7" x14ac:dyDescent="0.25">
      <c r="G1519" s="74" t="s">
        <v>50</v>
      </c>
    </row>
    <row r="1520" spans="7:7" x14ac:dyDescent="0.25">
      <c r="G1520" s="74" t="s">
        <v>50</v>
      </c>
    </row>
    <row r="1521" spans="7:7" x14ac:dyDescent="0.25">
      <c r="G1521" s="74" t="s">
        <v>50</v>
      </c>
    </row>
    <row r="1522" spans="7:7" x14ac:dyDescent="0.25">
      <c r="G1522" s="74" t="s">
        <v>50</v>
      </c>
    </row>
    <row r="1523" spans="7:7" x14ac:dyDescent="0.25">
      <c r="G1523" s="74" t="s">
        <v>50</v>
      </c>
    </row>
    <row r="1524" spans="7:7" x14ac:dyDescent="0.25">
      <c r="G1524" s="74" t="s">
        <v>50</v>
      </c>
    </row>
    <row r="1525" spans="7:7" x14ac:dyDescent="0.25">
      <c r="G1525" s="74" t="s">
        <v>50</v>
      </c>
    </row>
    <row r="1526" spans="7:7" x14ac:dyDescent="0.25">
      <c r="G1526" s="74" t="s">
        <v>50</v>
      </c>
    </row>
    <row r="1527" spans="7:7" x14ac:dyDescent="0.25">
      <c r="G1527" s="74" t="s">
        <v>50</v>
      </c>
    </row>
    <row r="1528" spans="7:7" x14ac:dyDescent="0.25">
      <c r="G1528" s="74" t="s">
        <v>50</v>
      </c>
    </row>
    <row r="1529" spans="7:7" x14ac:dyDescent="0.25">
      <c r="G1529" s="74" t="s">
        <v>50</v>
      </c>
    </row>
    <row r="1530" spans="7:7" x14ac:dyDescent="0.25">
      <c r="G1530" s="74" t="s">
        <v>50</v>
      </c>
    </row>
    <row r="1531" spans="7:7" x14ac:dyDescent="0.25">
      <c r="G1531" s="74" t="s">
        <v>50</v>
      </c>
    </row>
    <row r="1532" spans="7:7" x14ac:dyDescent="0.25">
      <c r="G1532" s="74" t="s">
        <v>50</v>
      </c>
    </row>
    <row r="1533" spans="7:7" x14ac:dyDescent="0.25">
      <c r="G1533" s="74" t="s">
        <v>50</v>
      </c>
    </row>
    <row r="1534" spans="7:7" x14ac:dyDescent="0.25">
      <c r="G1534" s="74" t="s">
        <v>50</v>
      </c>
    </row>
    <row r="1535" spans="7:7" x14ac:dyDescent="0.25">
      <c r="G1535" s="74" t="s">
        <v>50</v>
      </c>
    </row>
    <row r="1536" spans="7:7" x14ac:dyDescent="0.25">
      <c r="G1536" s="74" t="s">
        <v>50</v>
      </c>
    </row>
    <row r="1537" spans="7:7" x14ac:dyDescent="0.25">
      <c r="G1537" s="74" t="s">
        <v>50</v>
      </c>
    </row>
    <row r="1538" spans="7:7" x14ac:dyDescent="0.25">
      <c r="G1538" s="74" t="s">
        <v>50</v>
      </c>
    </row>
    <row r="1539" spans="7:7" x14ac:dyDescent="0.25">
      <c r="G1539" s="74" t="s">
        <v>50</v>
      </c>
    </row>
    <row r="1540" spans="7:7" x14ac:dyDescent="0.25">
      <c r="G1540" s="74" t="s">
        <v>50</v>
      </c>
    </row>
    <row r="1541" spans="7:7" x14ac:dyDescent="0.25">
      <c r="G1541" s="74" t="s">
        <v>50</v>
      </c>
    </row>
    <row r="1542" spans="7:7" x14ac:dyDescent="0.25">
      <c r="G1542" s="74" t="s">
        <v>50</v>
      </c>
    </row>
    <row r="1543" spans="7:7" x14ac:dyDescent="0.25">
      <c r="G1543" s="74" t="s">
        <v>50</v>
      </c>
    </row>
    <row r="1544" spans="7:7" x14ac:dyDescent="0.25">
      <c r="G1544" s="74" t="s">
        <v>50</v>
      </c>
    </row>
    <row r="1545" spans="7:7" x14ac:dyDescent="0.25">
      <c r="G1545" s="74" t="s">
        <v>50</v>
      </c>
    </row>
    <row r="1546" spans="7:7" x14ac:dyDescent="0.25">
      <c r="G1546" s="74" t="s">
        <v>50</v>
      </c>
    </row>
    <row r="1547" spans="7:7" x14ac:dyDescent="0.25">
      <c r="G1547" s="74" t="s">
        <v>50</v>
      </c>
    </row>
    <row r="1548" spans="7:7" x14ac:dyDescent="0.25">
      <c r="G1548" s="74" t="s">
        <v>50</v>
      </c>
    </row>
    <row r="1549" spans="7:7" x14ac:dyDescent="0.25">
      <c r="G1549" s="74" t="s">
        <v>50</v>
      </c>
    </row>
    <row r="1550" spans="7:7" x14ac:dyDescent="0.25">
      <c r="G1550" s="74" t="s">
        <v>50</v>
      </c>
    </row>
    <row r="1551" spans="7:7" x14ac:dyDescent="0.25">
      <c r="G1551" s="74" t="s">
        <v>50</v>
      </c>
    </row>
    <row r="1552" spans="7:7" x14ac:dyDescent="0.25">
      <c r="G1552" s="74" t="s">
        <v>50</v>
      </c>
    </row>
    <row r="1553" spans="7:7" x14ac:dyDescent="0.25">
      <c r="G1553" s="74" t="s">
        <v>50</v>
      </c>
    </row>
    <row r="1554" spans="7:7" x14ac:dyDescent="0.25">
      <c r="G1554" s="74" t="s">
        <v>50</v>
      </c>
    </row>
    <row r="1555" spans="7:7" x14ac:dyDescent="0.25">
      <c r="G1555" s="74" t="s">
        <v>50</v>
      </c>
    </row>
    <row r="1556" spans="7:7" x14ac:dyDescent="0.25">
      <c r="G1556" s="74" t="s">
        <v>50</v>
      </c>
    </row>
    <row r="1557" spans="7:7" x14ac:dyDescent="0.25">
      <c r="G1557" s="74" t="s">
        <v>50</v>
      </c>
    </row>
    <row r="1558" spans="7:7" x14ac:dyDescent="0.25">
      <c r="G1558" s="74" t="s">
        <v>50</v>
      </c>
    </row>
    <row r="1559" spans="7:7" x14ac:dyDescent="0.25">
      <c r="G1559" s="74" t="s">
        <v>50</v>
      </c>
    </row>
    <row r="1560" spans="7:7" x14ac:dyDescent="0.25">
      <c r="G1560" s="74" t="s">
        <v>50</v>
      </c>
    </row>
    <row r="1561" spans="7:7" x14ac:dyDescent="0.25">
      <c r="G1561" s="74" t="s">
        <v>50</v>
      </c>
    </row>
    <row r="1562" spans="7:7" x14ac:dyDescent="0.25">
      <c r="G1562" s="74" t="s">
        <v>50</v>
      </c>
    </row>
    <row r="1563" spans="7:7" x14ac:dyDescent="0.25">
      <c r="G1563" s="74" t="s">
        <v>50</v>
      </c>
    </row>
    <row r="1564" spans="7:7" x14ac:dyDescent="0.25">
      <c r="G1564" s="74" t="s">
        <v>50</v>
      </c>
    </row>
    <row r="1565" spans="7:7" x14ac:dyDescent="0.25">
      <c r="G1565" s="74" t="s">
        <v>50</v>
      </c>
    </row>
    <row r="1566" spans="7:7" x14ac:dyDescent="0.25">
      <c r="G1566" s="74" t="s">
        <v>50</v>
      </c>
    </row>
    <row r="1567" spans="7:7" x14ac:dyDescent="0.25">
      <c r="G1567" s="74" t="s">
        <v>50</v>
      </c>
    </row>
    <row r="1568" spans="7:7" x14ac:dyDescent="0.25">
      <c r="G1568" s="74" t="s">
        <v>50</v>
      </c>
    </row>
    <row r="1569" spans="7:7" x14ac:dyDescent="0.25">
      <c r="G1569" s="74" t="s">
        <v>50</v>
      </c>
    </row>
    <row r="1570" spans="7:7" x14ac:dyDescent="0.25">
      <c r="G1570" s="74" t="s">
        <v>50</v>
      </c>
    </row>
    <row r="1571" spans="7:7" x14ac:dyDescent="0.25">
      <c r="G1571" s="74" t="s">
        <v>50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325"/>
  <sheetViews>
    <sheetView workbookViewId="0">
      <selection sqref="A1:O1"/>
    </sheetView>
  </sheetViews>
  <sheetFormatPr defaultColWidth="9.109375" defaultRowHeight="13.2" x14ac:dyDescent="0.25"/>
  <cols>
    <col min="1" max="1" width="11.6640625" style="115" bestFit="1" customWidth="1"/>
    <col min="2" max="2" width="7.44140625" style="172" customWidth="1"/>
    <col min="3" max="3" width="12.44140625" style="172" customWidth="1"/>
    <col min="4" max="4" width="6.44140625" style="172" customWidth="1"/>
    <col min="5" max="5" width="16" style="172" customWidth="1"/>
    <col min="6" max="8" width="19.109375" style="172" customWidth="1"/>
    <col min="9" max="9" width="16.44140625" style="115" bestFit="1" customWidth="1"/>
    <col min="10" max="10" width="7" style="173" bestFit="1" customWidth="1"/>
    <col min="11" max="11" width="14.44140625" style="174" bestFit="1" customWidth="1"/>
    <col min="12" max="12" width="6.44140625" style="115" bestFit="1" customWidth="1"/>
    <col min="13" max="13" width="38.44140625" style="115" bestFit="1" customWidth="1"/>
    <col min="14" max="14" width="33.44140625" style="115" bestFit="1" customWidth="1"/>
    <col min="15" max="15" width="67.33203125" style="115" bestFit="1" customWidth="1"/>
    <col min="16" max="16384" width="9.109375" style="115"/>
  </cols>
  <sheetData>
    <row r="1" spans="1:15" s="101" customFormat="1" ht="25.2" x14ac:dyDescent="0.45">
      <c r="A1" s="492" t="e">
        <f ca="1">_PROJECTNAME_&amp;" - v"&amp;#REF!&amp;" - "&amp;MID(CELL("filename",A1),FIND("]",CELL("filename",A1))+1,255)</f>
        <v>#REF!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3"/>
      <c r="O1" s="493"/>
    </row>
    <row r="2" spans="1:15" s="108" customFormat="1" ht="27.6" x14ac:dyDescent="0.25">
      <c r="A2" s="102" t="s">
        <v>474</v>
      </c>
      <c r="B2" s="103" t="s">
        <v>476</v>
      </c>
      <c r="C2" s="103" t="s">
        <v>475</v>
      </c>
      <c r="D2" s="104" t="s">
        <v>468</v>
      </c>
      <c r="E2" s="104" t="s">
        <v>469</v>
      </c>
      <c r="F2" s="104" t="s">
        <v>470</v>
      </c>
      <c r="G2" s="104" t="s">
        <v>471</v>
      </c>
      <c r="H2" s="104" t="s">
        <v>472</v>
      </c>
      <c r="I2" s="105" t="s">
        <v>18</v>
      </c>
      <c r="J2" s="106" t="s">
        <v>7</v>
      </c>
      <c r="K2" s="107" t="s">
        <v>5</v>
      </c>
      <c r="L2" s="105" t="s">
        <v>19</v>
      </c>
      <c r="M2" s="105" t="s">
        <v>8</v>
      </c>
      <c r="N2" s="105" t="s">
        <v>3</v>
      </c>
      <c r="O2" s="105" t="s">
        <v>323</v>
      </c>
    </row>
    <row r="3" spans="1:15" x14ac:dyDescent="0.25">
      <c r="A3" s="109" t="s">
        <v>473</v>
      </c>
      <c r="B3" s="110">
        <v>24</v>
      </c>
      <c r="C3" s="110" t="str">
        <f>LOOKUP(B3,{24,25,26,27,28,29,30},{"255.255.255.0","255.255.255.128","255.255.255.192","255.255.255.224","255.255.255.240","255.255.255.248","255.255.255.252"})</f>
        <v>255.255.255.0</v>
      </c>
      <c r="D3" s="110">
        <f>LOOKUP(B3,{24,25,26,27,28,29,30},{254,126,62,30,14,6,2})</f>
        <v>254</v>
      </c>
      <c r="E3" s="110" t="str">
        <f>A3</f>
        <v>10.188.186.0</v>
      </c>
      <c r="F3" s="110" t="str">
        <f>IFERROR((LEFT(A3,FIND("~",SUBSTITUTE(A3,".","~",LEN(A3)-LEN(SUBSTITUTE(A3,".",""))))))&amp;RIGHT(A3,LEN(A3)-FIND("~",SUBSTITUTE(A3,".","~",LEN(A3)-LEN(SUBSTITUTE(A3,".","")))))+(D3+1),"")</f>
        <v>10.188.186.255</v>
      </c>
      <c r="G3" s="110" t="str">
        <f>IFERROR((LEFT(A3,FIND("~",SUBSTITUTE(A3,".","~",LEN(A3)-LEN(SUBSTITUTE(A3,".",""))))))&amp;RIGHT(A3,LEN(A3)-FIND("~",SUBSTITUTE(A3,".","~",LEN(A3)-LEN(SUBSTITUTE(A3,".","")))))+1,"")</f>
        <v>10.188.186.1</v>
      </c>
      <c r="H3" s="110" t="str">
        <f>IFERROR((LEFT(A3,FIND("~",SUBSTITUTE(A3,".","~",LEN(A3)-LEN(SUBSTITUTE(A3,".",""))))))&amp;RIGHT(A3,LEN(A3)-FIND("~",SUBSTITUTE(A3,".","~",LEN(A3)-LEN(SUBSTITUTE(A3,".","")))))+D3,"")</f>
        <v>10.188.186.254</v>
      </c>
      <c r="I3" s="111" t="s">
        <v>343</v>
      </c>
      <c r="J3" s="112" t="s">
        <v>332</v>
      </c>
      <c r="K3" s="113"/>
      <c r="L3" s="114"/>
      <c r="M3" s="114" t="s">
        <v>344</v>
      </c>
      <c r="N3" s="114"/>
      <c r="O3" s="114"/>
    </row>
    <row r="4" spans="1:15" x14ac:dyDescent="0.25">
      <c r="A4" s="116" t="str">
        <f t="shared" ref="A4:H4" ca="1" si="0">INDIRECT("R[-1]",FALSE)</f>
        <v>10.188.186.0</v>
      </c>
      <c r="B4" s="117">
        <f t="shared" ca="1" si="0"/>
        <v>24</v>
      </c>
      <c r="C4" s="117" t="str">
        <f t="shared" ca="1" si="0"/>
        <v>255.255.255.0</v>
      </c>
      <c r="D4" s="117">
        <f t="shared" ca="1" si="0"/>
        <v>254</v>
      </c>
      <c r="E4" s="117" t="str">
        <f t="shared" ca="1" si="0"/>
        <v>10.188.186.0</v>
      </c>
      <c r="F4" s="117" t="str">
        <f t="shared" ca="1" si="0"/>
        <v>10.188.186.255</v>
      </c>
      <c r="G4" s="117" t="str">
        <f t="shared" ca="1" si="0"/>
        <v>10.188.186.1</v>
      </c>
      <c r="H4" s="117" t="str">
        <f t="shared" ca="1" si="0"/>
        <v>10.188.186.254</v>
      </c>
      <c r="I4" s="121" t="s">
        <v>544</v>
      </c>
      <c r="J4" s="119" t="str">
        <f ca="1">INDIRECT("R[-1]",FALSE)</f>
        <v>186</v>
      </c>
      <c r="K4" s="113" t="s">
        <v>491</v>
      </c>
      <c r="L4" s="114" t="s">
        <v>21</v>
      </c>
      <c r="M4" s="114" t="s">
        <v>462</v>
      </c>
      <c r="N4" s="114" t="s">
        <v>462</v>
      </c>
      <c r="O4" s="114"/>
    </row>
    <row r="5" spans="1:15" x14ac:dyDescent="0.25">
      <c r="A5" s="116" t="str">
        <f t="shared" ref="A5:H22" ca="1" si="1">INDIRECT("R[-1]",FALSE)</f>
        <v>10.188.186.0</v>
      </c>
      <c r="B5" s="117">
        <f t="shared" ca="1" si="1"/>
        <v>24</v>
      </c>
      <c r="C5" s="117" t="str">
        <f t="shared" ca="1" si="1"/>
        <v>255.255.255.0</v>
      </c>
      <c r="D5" s="117">
        <f t="shared" ca="1" si="1"/>
        <v>254</v>
      </c>
      <c r="E5" s="117" t="str">
        <f t="shared" ca="1" si="1"/>
        <v>10.188.186.0</v>
      </c>
      <c r="F5" s="117" t="str">
        <f t="shared" ca="1" si="1"/>
        <v>10.188.186.255</v>
      </c>
      <c r="G5" s="117" t="str">
        <f t="shared" ca="1" si="1"/>
        <v>10.188.186.1</v>
      </c>
      <c r="H5" s="117" t="str">
        <f t="shared" ca="1" si="1"/>
        <v>10.188.186.254</v>
      </c>
      <c r="I5" s="118"/>
      <c r="J5" s="119" t="str">
        <f ca="1">INDIRECT("R[-1]",FALSE)</f>
        <v>186</v>
      </c>
      <c r="K5" s="113"/>
      <c r="L5" s="114"/>
      <c r="M5" s="114"/>
      <c r="N5" s="114"/>
      <c r="O5" s="114"/>
    </row>
    <row r="6" spans="1:15" x14ac:dyDescent="0.25">
      <c r="A6" s="116" t="str">
        <f t="shared" ca="1" si="1"/>
        <v>10.188.186.0</v>
      </c>
      <c r="B6" s="117">
        <f t="shared" ca="1" si="1"/>
        <v>24</v>
      </c>
      <c r="C6" s="117" t="str">
        <f t="shared" ca="1" si="1"/>
        <v>255.255.255.0</v>
      </c>
      <c r="D6" s="117">
        <f t="shared" ca="1" si="1"/>
        <v>254</v>
      </c>
      <c r="E6" s="117" t="str">
        <f t="shared" ca="1" si="1"/>
        <v>10.188.186.0</v>
      </c>
      <c r="F6" s="117" t="str">
        <f t="shared" ca="1" si="1"/>
        <v>10.188.186.255</v>
      </c>
      <c r="G6" s="117" t="str">
        <f t="shared" ca="1" si="1"/>
        <v>10.188.186.1</v>
      </c>
      <c r="H6" s="117" t="str">
        <f t="shared" ca="1" si="1"/>
        <v>10.188.186.254</v>
      </c>
      <c r="I6" s="118" t="s">
        <v>350</v>
      </c>
      <c r="J6" s="119" t="str">
        <f t="shared" ref="J6:J37" ca="1" si="2">INDIRECT("R[-1]",FALSE)</f>
        <v>186</v>
      </c>
      <c r="K6" s="113"/>
      <c r="L6" s="114"/>
      <c r="M6" s="114" t="s">
        <v>322</v>
      </c>
      <c r="N6" s="114" t="s">
        <v>328</v>
      </c>
      <c r="O6" s="114"/>
    </row>
    <row r="7" spans="1:15" x14ac:dyDescent="0.25">
      <c r="A7" s="116" t="str">
        <f t="shared" ca="1" si="1"/>
        <v>10.188.186.0</v>
      </c>
      <c r="B7" s="117">
        <f t="shared" ca="1" si="1"/>
        <v>24</v>
      </c>
      <c r="C7" s="117" t="str">
        <f t="shared" ca="1" si="1"/>
        <v>255.255.255.0</v>
      </c>
      <c r="D7" s="117">
        <f t="shared" ca="1" si="1"/>
        <v>254</v>
      </c>
      <c r="E7" s="117" t="str">
        <f t="shared" ca="1" si="1"/>
        <v>10.188.186.0</v>
      </c>
      <c r="F7" s="117" t="str">
        <f t="shared" ca="1" si="1"/>
        <v>10.188.186.255</v>
      </c>
      <c r="G7" s="117" t="str">
        <f t="shared" ca="1" si="1"/>
        <v>10.188.186.1</v>
      </c>
      <c r="H7" s="117" t="str">
        <f t="shared" ca="1" si="1"/>
        <v>10.188.186.254</v>
      </c>
      <c r="I7" s="120" t="str">
        <f ca="1">IFERROR((LEFT(A6,FIND("~",SUBSTITUTE(A6,".","~",LEN(A6)-LEN(SUBSTITUTE(A6,".",""))))))&amp;TEXT(RIGHT(A6,LEN(A6)-FIND("~",SUBSTITUTE(A6,".","~",LEN(A6)-LEN(SUBSTITUTE(A6,".","")))))+8,"000"),"")</f>
        <v>10.188.186.008</v>
      </c>
      <c r="J7" s="119" t="str">
        <f t="shared" ca="1" si="2"/>
        <v>186</v>
      </c>
      <c r="K7" s="113" t="s">
        <v>779</v>
      </c>
      <c r="L7" s="114" t="s">
        <v>20</v>
      </c>
      <c r="M7" s="114" t="s">
        <v>360</v>
      </c>
      <c r="N7" s="114" t="s">
        <v>328</v>
      </c>
      <c r="O7" s="114"/>
    </row>
    <row r="8" spans="1:15" x14ac:dyDescent="0.25">
      <c r="A8" s="116" t="str">
        <f t="shared" ca="1" si="1"/>
        <v>10.188.186.0</v>
      </c>
      <c r="B8" s="117">
        <f t="shared" ca="1" si="1"/>
        <v>24</v>
      </c>
      <c r="C8" s="117" t="str">
        <f t="shared" ca="1" si="1"/>
        <v>255.255.255.0</v>
      </c>
      <c r="D8" s="117">
        <f t="shared" ca="1" si="1"/>
        <v>254</v>
      </c>
      <c r="E8" s="117" t="str">
        <f t="shared" ca="1" si="1"/>
        <v>10.188.186.0</v>
      </c>
      <c r="F8" s="117" t="str">
        <f t="shared" ca="1" si="1"/>
        <v>10.188.186.255</v>
      </c>
      <c r="G8" s="117" t="str">
        <f t="shared" ca="1" si="1"/>
        <v>10.188.186.1</v>
      </c>
      <c r="H8" s="117" t="str">
        <f t="shared" ca="1" si="1"/>
        <v>10.188.186.254</v>
      </c>
      <c r="I8" s="121" t="str">
        <f t="shared" ref="I8:I21" ca="1" si="3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10.188.186.009</v>
      </c>
      <c r="J8" s="119" t="str">
        <f t="shared" ca="1" si="2"/>
        <v>186</v>
      </c>
      <c r="K8" s="113" t="s">
        <v>780</v>
      </c>
      <c r="L8" s="114" t="s">
        <v>20</v>
      </c>
      <c r="M8" s="114" t="s">
        <v>361</v>
      </c>
      <c r="N8" s="114" t="s">
        <v>328</v>
      </c>
      <c r="O8" s="114"/>
    </row>
    <row r="9" spans="1:15" x14ac:dyDescent="0.25">
      <c r="A9" s="116" t="str">
        <f t="shared" ca="1" si="1"/>
        <v>10.188.186.0</v>
      </c>
      <c r="B9" s="117">
        <f t="shared" ca="1" si="1"/>
        <v>24</v>
      </c>
      <c r="C9" s="117" t="str">
        <f t="shared" ca="1" si="1"/>
        <v>255.255.255.0</v>
      </c>
      <c r="D9" s="117">
        <f t="shared" ca="1" si="1"/>
        <v>254</v>
      </c>
      <c r="E9" s="117" t="str">
        <f t="shared" ca="1" si="1"/>
        <v>10.188.186.0</v>
      </c>
      <c r="F9" s="117" t="str">
        <f t="shared" ca="1" si="1"/>
        <v>10.188.186.255</v>
      </c>
      <c r="G9" s="117" t="str">
        <f t="shared" ca="1" si="1"/>
        <v>10.188.186.1</v>
      </c>
      <c r="H9" s="117" t="str">
        <f t="shared" ca="1" si="1"/>
        <v>10.188.186.254</v>
      </c>
      <c r="I9" s="121" t="str">
        <f t="shared" ca="1" si="3"/>
        <v>10.188.186.010</v>
      </c>
      <c r="J9" s="119" t="str">
        <f t="shared" ca="1" si="2"/>
        <v>186</v>
      </c>
      <c r="K9" s="113" t="s">
        <v>382</v>
      </c>
      <c r="L9" s="114" t="s">
        <v>382</v>
      </c>
      <c r="M9" s="114" t="s">
        <v>362</v>
      </c>
      <c r="N9" s="114" t="s">
        <v>328</v>
      </c>
      <c r="O9" s="114"/>
    </row>
    <row r="10" spans="1:15" x14ac:dyDescent="0.25">
      <c r="A10" s="116" t="str">
        <f t="shared" ca="1" si="1"/>
        <v>10.188.186.0</v>
      </c>
      <c r="B10" s="117">
        <f t="shared" ca="1" si="1"/>
        <v>24</v>
      </c>
      <c r="C10" s="117" t="str">
        <f t="shared" ca="1" si="1"/>
        <v>255.255.255.0</v>
      </c>
      <c r="D10" s="117">
        <f t="shared" ca="1" si="1"/>
        <v>254</v>
      </c>
      <c r="E10" s="117" t="str">
        <f t="shared" ca="1" si="1"/>
        <v>10.188.186.0</v>
      </c>
      <c r="F10" s="117" t="str">
        <f t="shared" ca="1" si="1"/>
        <v>10.188.186.255</v>
      </c>
      <c r="G10" s="117" t="str">
        <f t="shared" ca="1" si="1"/>
        <v>10.188.186.1</v>
      </c>
      <c r="H10" s="117" t="str">
        <f t="shared" ca="1" si="1"/>
        <v>10.188.186.254</v>
      </c>
      <c r="I10" s="121" t="str">
        <f t="shared" ca="1" si="3"/>
        <v>10.188.186.011</v>
      </c>
      <c r="J10" s="119" t="str">
        <f t="shared" ca="1" si="2"/>
        <v>186</v>
      </c>
      <c r="K10" s="113" t="s">
        <v>529</v>
      </c>
      <c r="L10" s="114" t="s">
        <v>126</v>
      </c>
      <c r="M10" s="114" t="s">
        <v>363</v>
      </c>
      <c r="N10" s="114" t="s">
        <v>328</v>
      </c>
      <c r="O10" s="114"/>
    </row>
    <row r="11" spans="1:15" x14ac:dyDescent="0.25">
      <c r="A11" s="116" t="str">
        <f t="shared" ca="1" si="1"/>
        <v>10.188.186.0</v>
      </c>
      <c r="B11" s="117">
        <f t="shared" ca="1" si="1"/>
        <v>24</v>
      </c>
      <c r="C11" s="117" t="str">
        <f t="shared" ca="1" si="1"/>
        <v>255.255.255.0</v>
      </c>
      <c r="D11" s="117">
        <f t="shared" ca="1" si="1"/>
        <v>254</v>
      </c>
      <c r="E11" s="117" t="str">
        <f t="shared" ca="1" si="1"/>
        <v>10.188.186.0</v>
      </c>
      <c r="F11" s="117" t="str">
        <f t="shared" ca="1" si="1"/>
        <v>10.188.186.255</v>
      </c>
      <c r="G11" s="117" t="str">
        <f t="shared" ca="1" si="1"/>
        <v>10.188.186.1</v>
      </c>
      <c r="H11" s="117" t="str">
        <f t="shared" ca="1" si="1"/>
        <v>10.188.186.254</v>
      </c>
      <c r="I11" s="121" t="str">
        <f t="shared" ca="1" si="3"/>
        <v>10.188.186.012</v>
      </c>
      <c r="J11" s="119" t="str">
        <f t="shared" ca="1" si="2"/>
        <v>186</v>
      </c>
      <c r="K11" s="113" t="s">
        <v>535</v>
      </c>
      <c r="L11" s="114" t="s">
        <v>126</v>
      </c>
      <c r="M11" s="114" t="s">
        <v>363</v>
      </c>
      <c r="N11" s="114" t="s">
        <v>328</v>
      </c>
      <c r="O11" s="114"/>
    </row>
    <row r="12" spans="1:15" x14ac:dyDescent="0.25">
      <c r="A12" s="116" t="str">
        <f t="shared" ca="1" si="1"/>
        <v>10.188.186.0</v>
      </c>
      <c r="B12" s="117">
        <f t="shared" ca="1" si="1"/>
        <v>24</v>
      </c>
      <c r="C12" s="117" t="str">
        <f t="shared" ca="1" si="1"/>
        <v>255.255.255.0</v>
      </c>
      <c r="D12" s="117">
        <f t="shared" ca="1" si="1"/>
        <v>254</v>
      </c>
      <c r="E12" s="117" t="str">
        <f t="shared" ca="1" si="1"/>
        <v>10.188.186.0</v>
      </c>
      <c r="F12" s="117" t="str">
        <f t="shared" ca="1" si="1"/>
        <v>10.188.186.255</v>
      </c>
      <c r="G12" s="117" t="str">
        <f t="shared" ca="1" si="1"/>
        <v>10.188.186.1</v>
      </c>
      <c r="H12" s="117" t="str">
        <f t="shared" ca="1" si="1"/>
        <v>10.188.186.254</v>
      </c>
      <c r="I12" s="121" t="str">
        <f t="shared" ca="1" si="3"/>
        <v>10.188.186.013</v>
      </c>
      <c r="J12" s="119" t="str">
        <f t="shared" ca="1" si="2"/>
        <v>186</v>
      </c>
      <c r="K12" s="113" t="s">
        <v>530</v>
      </c>
      <c r="L12" s="114" t="s">
        <v>126</v>
      </c>
      <c r="M12" s="114" t="s">
        <v>363</v>
      </c>
      <c r="N12" s="114" t="s">
        <v>328</v>
      </c>
      <c r="O12" s="114"/>
    </row>
    <row r="13" spans="1:15" x14ac:dyDescent="0.25">
      <c r="A13" s="116" t="str">
        <f t="shared" ca="1" si="1"/>
        <v>10.188.186.0</v>
      </c>
      <c r="B13" s="117">
        <f t="shared" ca="1" si="1"/>
        <v>24</v>
      </c>
      <c r="C13" s="117" t="str">
        <f t="shared" ca="1" si="1"/>
        <v>255.255.255.0</v>
      </c>
      <c r="D13" s="117">
        <f t="shared" ca="1" si="1"/>
        <v>254</v>
      </c>
      <c r="E13" s="117" t="str">
        <f t="shared" ca="1" si="1"/>
        <v>10.188.186.0</v>
      </c>
      <c r="F13" s="117" t="str">
        <f t="shared" ca="1" si="1"/>
        <v>10.188.186.255</v>
      </c>
      <c r="G13" s="117" t="str">
        <f t="shared" ca="1" si="1"/>
        <v>10.188.186.1</v>
      </c>
      <c r="H13" s="117" t="str">
        <f t="shared" ca="1" si="1"/>
        <v>10.188.186.254</v>
      </c>
      <c r="I13" s="121" t="str">
        <f t="shared" ca="1" si="3"/>
        <v>10.188.186.014</v>
      </c>
      <c r="J13" s="119" t="str">
        <f t="shared" ca="1" si="2"/>
        <v>186</v>
      </c>
      <c r="K13" s="113" t="s">
        <v>536</v>
      </c>
      <c r="L13" s="114" t="s">
        <v>126</v>
      </c>
      <c r="M13" s="114" t="s">
        <v>363</v>
      </c>
      <c r="N13" s="114" t="s">
        <v>328</v>
      </c>
      <c r="O13" s="114"/>
    </row>
    <row r="14" spans="1:15" x14ac:dyDescent="0.25">
      <c r="A14" s="116" t="str">
        <f t="shared" ca="1" si="1"/>
        <v>10.188.186.0</v>
      </c>
      <c r="B14" s="117">
        <f t="shared" ca="1" si="1"/>
        <v>24</v>
      </c>
      <c r="C14" s="117" t="str">
        <f t="shared" ca="1" si="1"/>
        <v>255.255.255.0</v>
      </c>
      <c r="D14" s="117">
        <f t="shared" ca="1" si="1"/>
        <v>254</v>
      </c>
      <c r="E14" s="117" t="str">
        <f t="shared" ca="1" si="1"/>
        <v>10.188.186.0</v>
      </c>
      <c r="F14" s="117" t="str">
        <f t="shared" ca="1" si="1"/>
        <v>10.188.186.255</v>
      </c>
      <c r="G14" s="117" t="str">
        <f t="shared" ca="1" si="1"/>
        <v>10.188.186.1</v>
      </c>
      <c r="H14" s="117" t="str">
        <f t="shared" ca="1" si="1"/>
        <v>10.188.186.254</v>
      </c>
      <c r="I14" s="121" t="str">
        <f t="shared" ca="1" si="3"/>
        <v>10.188.186.015</v>
      </c>
      <c r="J14" s="119" t="str">
        <f t="shared" ca="1" si="2"/>
        <v>186</v>
      </c>
      <c r="K14" s="113" t="s">
        <v>531</v>
      </c>
      <c r="L14" s="114" t="s">
        <v>126</v>
      </c>
      <c r="M14" s="114" t="s">
        <v>363</v>
      </c>
      <c r="N14" s="114" t="s">
        <v>328</v>
      </c>
      <c r="O14" s="114"/>
    </row>
    <row r="15" spans="1:15" x14ac:dyDescent="0.25">
      <c r="A15" s="116" t="str">
        <f t="shared" ca="1" si="1"/>
        <v>10.188.186.0</v>
      </c>
      <c r="B15" s="117">
        <f t="shared" ca="1" si="1"/>
        <v>24</v>
      </c>
      <c r="C15" s="117" t="str">
        <f t="shared" ca="1" si="1"/>
        <v>255.255.255.0</v>
      </c>
      <c r="D15" s="117">
        <f t="shared" ca="1" si="1"/>
        <v>254</v>
      </c>
      <c r="E15" s="117" t="str">
        <f t="shared" ca="1" si="1"/>
        <v>10.188.186.0</v>
      </c>
      <c r="F15" s="117" t="str">
        <f t="shared" ca="1" si="1"/>
        <v>10.188.186.255</v>
      </c>
      <c r="G15" s="117" t="str">
        <f t="shared" ca="1" si="1"/>
        <v>10.188.186.1</v>
      </c>
      <c r="H15" s="117" t="str">
        <f t="shared" ca="1" si="1"/>
        <v>10.188.186.254</v>
      </c>
      <c r="I15" s="121" t="str">
        <f t="shared" ca="1" si="3"/>
        <v>10.188.186.016</v>
      </c>
      <c r="J15" s="119" t="str">
        <f t="shared" ca="1" si="2"/>
        <v>186</v>
      </c>
      <c r="K15" s="113" t="s">
        <v>537</v>
      </c>
      <c r="L15" s="114" t="s">
        <v>126</v>
      </c>
      <c r="M15" s="114" t="s">
        <v>363</v>
      </c>
      <c r="N15" s="114" t="s">
        <v>328</v>
      </c>
      <c r="O15" s="114"/>
    </row>
    <row r="16" spans="1:15" x14ac:dyDescent="0.25">
      <c r="A16" s="116" t="str">
        <f t="shared" ca="1" si="1"/>
        <v>10.188.186.0</v>
      </c>
      <c r="B16" s="117">
        <f t="shared" ca="1" si="1"/>
        <v>24</v>
      </c>
      <c r="C16" s="117" t="str">
        <f t="shared" ca="1" si="1"/>
        <v>255.255.255.0</v>
      </c>
      <c r="D16" s="117">
        <f t="shared" ca="1" si="1"/>
        <v>254</v>
      </c>
      <c r="E16" s="117" t="str">
        <f t="shared" ca="1" si="1"/>
        <v>10.188.186.0</v>
      </c>
      <c r="F16" s="117" t="str">
        <f t="shared" ca="1" si="1"/>
        <v>10.188.186.255</v>
      </c>
      <c r="G16" s="117" t="str">
        <f t="shared" ca="1" si="1"/>
        <v>10.188.186.1</v>
      </c>
      <c r="H16" s="117" t="str">
        <f t="shared" ca="1" si="1"/>
        <v>10.188.186.254</v>
      </c>
      <c r="I16" s="121" t="str">
        <f t="shared" ca="1" si="3"/>
        <v>10.188.186.017</v>
      </c>
      <c r="J16" s="119" t="str">
        <f t="shared" ca="1" si="2"/>
        <v>186</v>
      </c>
      <c r="K16" s="113" t="s">
        <v>532</v>
      </c>
      <c r="L16" s="114" t="s">
        <v>126</v>
      </c>
      <c r="M16" s="114" t="s">
        <v>363</v>
      </c>
      <c r="N16" s="114" t="s">
        <v>328</v>
      </c>
      <c r="O16" s="114"/>
    </row>
    <row r="17" spans="1:15" x14ac:dyDescent="0.25">
      <c r="A17" s="116" t="str">
        <f t="shared" ca="1" si="1"/>
        <v>10.188.186.0</v>
      </c>
      <c r="B17" s="117">
        <f t="shared" ca="1" si="1"/>
        <v>24</v>
      </c>
      <c r="C17" s="117" t="str">
        <f t="shared" ca="1" si="1"/>
        <v>255.255.255.0</v>
      </c>
      <c r="D17" s="117">
        <f t="shared" ca="1" si="1"/>
        <v>254</v>
      </c>
      <c r="E17" s="117" t="str">
        <f t="shared" ca="1" si="1"/>
        <v>10.188.186.0</v>
      </c>
      <c r="F17" s="117" t="str">
        <f t="shared" ca="1" si="1"/>
        <v>10.188.186.255</v>
      </c>
      <c r="G17" s="117" t="str">
        <f t="shared" ca="1" si="1"/>
        <v>10.188.186.1</v>
      </c>
      <c r="H17" s="117" t="str">
        <f t="shared" ca="1" si="1"/>
        <v>10.188.186.254</v>
      </c>
      <c r="I17" s="121" t="str">
        <f t="shared" ca="1" si="3"/>
        <v>10.188.186.018</v>
      </c>
      <c r="J17" s="119" t="str">
        <f t="shared" ca="1" si="2"/>
        <v>186</v>
      </c>
      <c r="K17" s="113" t="s">
        <v>538</v>
      </c>
      <c r="L17" s="114" t="s">
        <v>126</v>
      </c>
      <c r="M17" s="114" t="s">
        <v>363</v>
      </c>
      <c r="N17" s="114" t="s">
        <v>328</v>
      </c>
      <c r="O17" s="114"/>
    </row>
    <row r="18" spans="1:15" x14ac:dyDescent="0.25">
      <c r="A18" s="116" t="str">
        <f t="shared" ca="1" si="1"/>
        <v>10.188.186.0</v>
      </c>
      <c r="B18" s="117">
        <f t="shared" ca="1" si="1"/>
        <v>24</v>
      </c>
      <c r="C18" s="117" t="str">
        <f t="shared" ca="1" si="1"/>
        <v>255.255.255.0</v>
      </c>
      <c r="D18" s="117">
        <f t="shared" ca="1" si="1"/>
        <v>254</v>
      </c>
      <c r="E18" s="117" t="str">
        <f t="shared" ca="1" si="1"/>
        <v>10.188.186.0</v>
      </c>
      <c r="F18" s="117" t="str">
        <f t="shared" ca="1" si="1"/>
        <v>10.188.186.255</v>
      </c>
      <c r="G18" s="117" t="str">
        <f t="shared" ca="1" si="1"/>
        <v>10.188.186.1</v>
      </c>
      <c r="H18" s="117" t="str">
        <f t="shared" ca="1" si="1"/>
        <v>10.188.186.254</v>
      </c>
      <c r="I18" s="121" t="str">
        <f t="shared" ca="1" si="3"/>
        <v>10.188.186.019</v>
      </c>
      <c r="J18" s="119" t="str">
        <f t="shared" ca="1" si="2"/>
        <v>186</v>
      </c>
      <c r="K18" s="113" t="s">
        <v>533</v>
      </c>
      <c r="L18" s="114" t="s">
        <v>126</v>
      </c>
      <c r="M18" s="114" t="s">
        <v>363</v>
      </c>
      <c r="N18" s="114" t="s">
        <v>328</v>
      </c>
      <c r="O18" s="114"/>
    </row>
    <row r="19" spans="1:15" x14ac:dyDescent="0.25">
      <c r="A19" s="116" t="str">
        <f t="shared" ca="1" si="1"/>
        <v>10.188.186.0</v>
      </c>
      <c r="B19" s="117">
        <f t="shared" ca="1" si="1"/>
        <v>24</v>
      </c>
      <c r="C19" s="117" t="str">
        <f t="shared" ca="1" si="1"/>
        <v>255.255.255.0</v>
      </c>
      <c r="D19" s="117">
        <f t="shared" ca="1" si="1"/>
        <v>254</v>
      </c>
      <c r="E19" s="117" t="str">
        <f t="shared" ca="1" si="1"/>
        <v>10.188.186.0</v>
      </c>
      <c r="F19" s="117" t="str">
        <f t="shared" ca="1" si="1"/>
        <v>10.188.186.255</v>
      </c>
      <c r="G19" s="117" t="str">
        <f t="shared" ca="1" si="1"/>
        <v>10.188.186.1</v>
      </c>
      <c r="H19" s="117" t="str">
        <f t="shared" ca="1" si="1"/>
        <v>10.188.186.254</v>
      </c>
      <c r="I19" s="121" t="str">
        <f t="shared" ca="1" si="3"/>
        <v>10.188.186.020</v>
      </c>
      <c r="J19" s="119" t="str">
        <f t="shared" ca="1" si="2"/>
        <v>186</v>
      </c>
      <c r="K19" s="113" t="s">
        <v>539</v>
      </c>
      <c r="L19" s="114" t="s">
        <v>126</v>
      </c>
      <c r="M19" s="114" t="s">
        <v>363</v>
      </c>
      <c r="N19" s="114" t="s">
        <v>328</v>
      </c>
      <c r="O19" s="114"/>
    </row>
    <row r="20" spans="1:15" x14ac:dyDescent="0.25">
      <c r="A20" s="116" t="str">
        <f t="shared" ca="1" si="1"/>
        <v>10.188.186.0</v>
      </c>
      <c r="B20" s="117">
        <f t="shared" ca="1" si="1"/>
        <v>24</v>
      </c>
      <c r="C20" s="117" t="str">
        <f t="shared" ca="1" si="1"/>
        <v>255.255.255.0</v>
      </c>
      <c r="D20" s="117">
        <f t="shared" ca="1" si="1"/>
        <v>254</v>
      </c>
      <c r="E20" s="117" t="str">
        <f t="shared" ca="1" si="1"/>
        <v>10.188.186.0</v>
      </c>
      <c r="F20" s="117" t="str">
        <f t="shared" ca="1" si="1"/>
        <v>10.188.186.255</v>
      </c>
      <c r="G20" s="117" t="str">
        <f t="shared" ca="1" si="1"/>
        <v>10.188.186.1</v>
      </c>
      <c r="H20" s="117" t="str">
        <f t="shared" ca="1" si="1"/>
        <v>10.188.186.254</v>
      </c>
      <c r="I20" s="121" t="str">
        <f t="shared" ca="1" si="3"/>
        <v>10.188.186.021</v>
      </c>
      <c r="J20" s="119" t="str">
        <f t="shared" ca="1" si="2"/>
        <v>186</v>
      </c>
      <c r="K20" s="113" t="s">
        <v>534</v>
      </c>
      <c r="L20" s="114" t="s">
        <v>126</v>
      </c>
      <c r="M20" s="114" t="s">
        <v>363</v>
      </c>
      <c r="N20" s="114" t="s">
        <v>328</v>
      </c>
      <c r="O20" s="114"/>
    </row>
    <row r="21" spans="1:15" x14ac:dyDescent="0.25">
      <c r="A21" s="116" t="str">
        <f t="shared" ca="1" si="1"/>
        <v>10.188.186.0</v>
      </c>
      <c r="B21" s="117">
        <f t="shared" ca="1" si="1"/>
        <v>24</v>
      </c>
      <c r="C21" s="117" t="str">
        <f t="shared" ca="1" si="1"/>
        <v>255.255.255.0</v>
      </c>
      <c r="D21" s="117">
        <f t="shared" ca="1" si="1"/>
        <v>254</v>
      </c>
      <c r="E21" s="117" t="str">
        <f t="shared" ca="1" si="1"/>
        <v>10.188.186.0</v>
      </c>
      <c r="F21" s="117" t="str">
        <f t="shared" ca="1" si="1"/>
        <v>10.188.186.255</v>
      </c>
      <c r="G21" s="117" t="str">
        <f t="shared" ca="1" si="1"/>
        <v>10.188.186.1</v>
      </c>
      <c r="H21" s="117" t="str">
        <f t="shared" ca="1" si="1"/>
        <v>10.188.186.254</v>
      </c>
      <c r="I21" s="121" t="str">
        <f t="shared" ca="1" si="3"/>
        <v>10.188.186.022</v>
      </c>
      <c r="J21" s="119" t="str">
        <f t="shared" ca="1" si="2"/>
        <v>186</v>
      </c>
      <c r="K21" s="113" t="s">
        <v>540</v>
      </c>
      <c r="L21" s="114" t="s">
        <v>126</v>
      </c>
      <c r="M21" s="114" t="s">
        <v>363</v>
      </c>
      <c r="N21" s="114" t="s">
        <v>328</v>
      </c>
      <c r="O21" s="114"/>
    </row>
    <row r="22" spans="1:15" x14ac:dyDescent="0.25">
      <c r="A22" s="116" t="str">
        <f t="shared" ca="1" si="1"/>
        <v>10.188.186.0</v>
      </c>
      <c r="B22" s="117">
        <f t="shared" ref="A22:H53" ca="1" si="4">INDIRECT("R[-1]",FALSE)</f>
        <v>24</v>
      </c>
      <c r="C22" s="117" t="str">
        <f t="shared" ca="1" si="4"/>
        <v>255.255.255.0</v>
      </c>
      <c r="D22" s="117">
        <f t="shared" ca="1" si="4"/>
        <v>254</v>
      </c>
      <c r="E22" s="117" t="str">
        <f t="shared" ca="1" si="4"/>
        <v>10.188.186.0</v>
      </c>
      <c r="F22" s="117" t="str">
        <f t="shared" ca="1" si="4"/>
        <v>10.188.186.255</v>
      </c>
      <c r="G22" s="117" t="str">
        <f t="shared" ca="1" si="4"/>
        <v>10.188.186.1</v>
      </c>
      <c r="H22" s="117" t="str">
        <f t="shared" ca="1" si="4"/>
        <v>10.188.186.254</v>
      </c>
      <c r="I22" s="121"/>
      <c r="J22" s="119" t="str">
        <f t="shared" ca="1" si="2"/>
        <v>186</v>
      </c>
      <c r="K22" s="113"/>
      <c r="L22" s="114"/>
      <c r="M22" s="114"/>
      <c r="N22" s="114"/>
      <c r="O22" s="114"/>
    </row>
    <row r="23" spans="1:15" x14ac:dyDescent="0.25">
      <c r="A23" s="116" t="str">
        <f t="shared" ca="1" si="4"/>
        <v>10.188.186.0</v>
      </c>
      <c r="B23" s="117">
        <f t="shared" ca="1" si="4"/>
        <v>24</v>
      </c>
      <c r="C23" s="117" t="str">
        <f t="shared" ca="1" si="4"/>
        <v>255.255.255.0</v>
      </c>
      <c r="D23" s="117">
        <f t="shared" ca="1" si="4"/>
        <v>254</v>
      </c>
      <c r="E23" s="117" t="str">
        <f t="shared" ca="1" si="4"/>
        <v>10.188.186.0</v>
      </c>
      <c r="F23" s="117" t="str">
        <f t="shared" ca="1" si="4"/>
        <v>10.188.186.255</v>
      </c>
      <c r="G23" s="117" t="str">
        <f t="shared" ca="1" si="4"/>
        <v>10.188.186.1</v>
      </c>
      <c r="H23" s="117" t="str">
        <f t="shared" ca="1" si="4"/>
        <v>10.188.186.254</v>
      </c>
      <c r="I23" s="120" t="str">
        <f ca="1">IFERROR((LEFT(A22,FIND("~",SUBSTITUTE(A22,".","~",LEN(A22)-LEN(SUBSTITUTE(A22,".",""))))))&amp;TEXT(RIGHT(A22,LEN(A22)-FIND("~",SUBSTITUTE(A22,".","~",LEN(A22)-LEN(SUBSTITUTE(A22,".","")))))+31,"000"),"")</f>
        <v>10.188.186.031</v>
      </c>
      <c r="J23" s="119" t="str">
        <f t="shared" ca="1" si="2"/>
        <v>186</v>
      </c>
      <c r="K23" s="113" t="s">
        <v>488</v>
      </c>
      <c r="L23" s="114" t="s">
        <v>358</v>
      </c>
      <c r="M23" s="114" t="s">
        <v>364</v>
      </c>
      <c r="N23" s="114" t="s">
        <v>328</v>
      </c>
      <c r="O23" s="114"/>
    </row>
    <row r="24" spans="1:15" x14ac:dyDescent="0.25">
      <c r="A24" s="116" t="str">
        <f t="shared" ca="1" si="4"/>
        <v>10.188.186.0</v>
      </c>
      <c r="B24" s="117">
        <f t="shared" ca="1" si="4"/>
        <v>24</v>
      </c>
      <c r="C24" s="117" t="str">
        <f t="shared" ca="1" si="4"/>
        <v>255.255.255.0</v>
      </c>
      <c r="D24" s="117">
        <f t="shared" ca="1" si="4"/>
        <v>254</v>
      </c>
      <c r="E24" s="117" t="str">
        <f t="shared" ca="1" si="4"/>
        <v>10.188.186.0</v>
      </c>
      <c r="F24" s="117" t="str">
        <f t="shared" ca="1" si="4"/>
        <v>10.188.186.255</v>
      </c>
      <c r="G24" s="117" t="str">
        <f t="shared" ca="1" si="4"/>
        <v>10.188.186.1</v>
      </c>
      <c r="H24" s="117" t="str">
        <f t="shared" ca="1" si="4"/>
        <v>10.188.186.254</v>
      </c>
      <c r="I24" s="121" t="str">
        <f t="shared" ref="I24:I29" ca="1" si="5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10.188.186.032</v>
      </c>
      <c r="J24" s="119" t="str">
        <f t="shared" ca="1" si="2"/>
        <v>186</v>
      </c>
      <c r="K24" s="113" t="s">
        <v>609</v>
      </c>
      <c r="L24" s="114" t="s">
        <v>358</v>
      </c>
      <c r="M24" s="114" t="s">
        <v>364</v>
      </c>
      <c r="N24" s="114" t="s">
        <v>328</v>
      </c>
      <c r="O24" s="114"/>
    </row>
    <row r="25" spans="1:15" x14ac:dyDescent="0.25">
      <c r="A25" s="116" t="str">
        <f t="shared" ca="1" si="4"/>
        <v>10.188.186.0</v>
      </c>
      <c r="B25" s="117">
        <f t="shared" ca="1" si="4"/>
        <v>24</v>
      </c>
      <c r="C25" s="117" t="str">
        <f t="shared" ca="1" si="4"/>
        <v>255.255.255.0</v>
      </c>
      <c r="D25" s="117">
        <f t="shared" ca="1" si="4"/>
        <v>254</v>
      </c>
      <c r="E25" s="117" t="str">
        <f t="shared" ca="1" si="4"/>
        <v>10.188.186.0</v>
      </c>
      <c r="F25" s="117" t="str">
        <f t="shared" ca="1" si="4"/>
        <v>10.188.186.255</v>
      </c>
      <c r="G25" s="117" t="str">
        <f t="shared" ca="1" si="4"/>
        <v>10.188.186.1</v>
      </c>
      <c r="H25" s="117" t="str">
        <f t="shared" ca="1" si="4"/>
        <v>10.188.186.254</v>
      </c>
      <c r="I25" s="121" t="str">
        <f t="shared" ca="1" si="5"/>
        <v>10.188.186.033</v>
      </c>
      <c r="J25" s="119" t="str">
        <f t="shared" ca="1" si="2"/>
        <v>186</v>
      </c>
      <c r="K25" s="113" t="s">
        <v>489</v>
      </c>
      <c r="L25" s="114" t="s">
        <v>358</v>
      </c>
      <c r="M25" s="114" t="s">
        <v>364</v>
      </c>
      <c r="N25" s="114" t="s">
        <v>328</v>
      </c>
      <c r="O25" s="114"/>
    </row>
    <row r="26" spans="1:15" x14ac:dyDescent="0.25">
      <c r="A26" s="116" t="str">
        <f t="shared" ca="1" si="4"/>
        <v>10.188.186.0</v>
      </c>
      <c r="B26" s="117">
        <f t="shared" ca="1" si="4"/>
        <v>24</v>
      </c>
      <c r="C26" s="117" t="str">
        <f t="shared" ca="1" si="4"/>
        <v>255.255.255.0</v>
      </c>
      <c r="D26" s="117">
        <f t="shared" ca="1" si="4"/>
        <v>254</v>
      </c>
      <c r="E26" s="117" t="str">
        <f t="shared" ca="1" si="4"/>
        <v>10.188.186.0</v>
      </c>
      <c r="F26" s="117" t="str">
        <f t="shared" ca="1" si="4"/>
        <v>10.188.186.255</v>
      </c>
      <c r="G26" s="117" t="str">
        <f t="shared" ca="1" si="4"/>
        <v>10.188.186.1</v>
      </c>
      <c r="H26" s="117" t="str">
        <f t="shared" ca="1" si="4"/>
        <v>10.188.186.254</v>
      </c>
      <c r="I26" s="121" t="str">
        <f t="shared" ca="1" si="5"/>
        <v>10.188.186.034</v>
      </c>
      <c r="J26" s="119" t="str">
        <f t="shared" ca="1" si="2"/>
        <v>186</v>
      </c>
      <c r="K26" s="113" t="s">
        <v>695</v>
      </c>
      <c r="L26" s="114" t="s">
        <v>358</v>
      </c>
      <c r="M26" s="114" t="s">
        <v>364</v>
      </c>
      <c r="N26" s="114" t="s">
        <v>328</v>
      </c>
      <c r="O26" s="114"/>
    </row>
    <row r="27" spans="1:15" x14ac:dyDescent="0.25">
      <c r="A27" s="116" t="str">
        <f t="shared" ca="1" si="4"/>
        <v>10.188.186.0</v>
      </c>
      <c r="B27" s="117">
        <f t="shared" ca="1" si="4"/>
        <v>24</v>
      </c>
      <c r="C27" s="117" t="str">
        <f t="shared" ca="1" si="4"/>
        <v>255.255.255.0</v>
      </c>
      <c r="D27" s="117">
        <f t="shared" ca="1" si="4"/>
        <v>254</v>
      </c>
      <c r="E27" s="117" t="str">
        <f t="shared" ca="1" si="4"/>
        <v>10.188.186.0</v>
      </c>
      <c r="F27" s="117" t="str">
        <f t="shared" ca="1" si="4"/>
        <v>10.188.186.255</v>
      </c>
      <c r="G27" s="117" t="str">
        <f t="shared" ca="1" si="4"/>
        <v>10.188.186.1</v>
      </c>
      <c r="H27" s="117" t="str">
        <f t="shared" ca="1" si="4"/>
        <v>10.188.186.254</v>
      </c>
      <c r="I27" s="121" t="str">
        <f t="shared" ca="1" si="5"/>
        <v>10.188.186.035</v>
      </c>
      <c r="J27" s="119" t="str">
        <f t="shared" ca="1" si="2"/>
        <v>186</v>
      </c>
      <c r="K27" s="113" t="s">
        <v>737</v>
      </c>
      <c r="L27" s="114" t="s">
        <v>358</v>
      </c>
      <c r="M27" s="114" t="s">
        <v>364</v>
      </c>
      <c r="N27" s="114" t="s">
        <v>328</v>
      </c>
      <c r="O27" s="114"/>
    </row>
    <row r="28" spans="1:15" x14ac:dyDescent="0.25">
      <c r="A28" s="116" t="str">
        <f t="shared" ca="1" si="4"/>
        <v>10.188.186.0</v>
      </c>
      <c r="B28" s="117">
        <f t="shared" ca="1" si="4"/>
        <v>24</v>
      </c>
      <c r="C28" s="117" t="str">
        <f t="shared" ca="1" si="4"/>
        <v>255.255.255.0</v>
      </c>
      <c r="D28" s="117">
        <f t="shared" ca="1" si="4"/>
        <v>254</v>
      </c>
      <c r="E28" s="117" t="str">
        <f t="shared" ca="1" si="4"/>
        <v>10.188.186.0</v>
      </c>
      <c r="F28" s="117" t="str">
        <f t="shared" ca="1" si="4"/>
        <v>10.188.186.255</v>
      </c>
      <c r="G28" s="117" t="str">
        <f t="shared" ca="1" si="4"/>
        <v>10.188.186.1</v>
      </c>
      <c r="H28" s="117" t="str">
        <f t="shared" ca="1" si="4"/>
        <v>10.188.186.254</v>
      </c>
      <c r="I28" s="121" t="str">
        <f t="shared" ca="1" si="5"/>
        <v>10.188.186.036</v>
      </c>
      <c r="J28" s="119" t="str">
        <f t="shared" ca="1" si="2"/>
        <v>186</v>
      </c>
      <c r="K28" s="113" t="s">
        <v>490</v>
      </c>
      <c r="L28" s="114" t="s">
        <v>358</v>
      </c>
      <c r="M28" s="114" t="s">
        <v>364</v>
      </c>
      <c r="N28" s="114" t="s">
        <v>328</v>
      </c>
      <c r="O28" s="114"/>
    </row>
    <row r="29" spans="1:15" x14ac:dyDescent="0.25">
      <c r="A29" s="116" t="str">
        <f t="shared" ca="1" si="4"/>
        <v>10.188.186.0</v>
      </c>
      <c r="B29" s="117">
        <f t="shared" ca="1" si="4"/>
        <v>24</v>
      </c>
      <c r="C29" s="117" t="str">
        <f t="shared" ca="1" si="4"/>
        <v>255.255.255.0</v>
      </c>
      <c r="D29" s="117">
        <f t="shared" ca="1" si="4"/>
        <v>254</v>
      </c>
      <c r="E29" s="117" t="str">
        <f t="shared" ca="1" si="4"/>
        <v>10.188.186.0</v>
      </c>
      <c r="F29" s="117" t="str">
        <f t="shared" ca="1" si="4"/>
        <v>10.188.186.255</v>
      </c>
      <c r="G29" s="117" t="str">
        <f t="shared" ca="1" si="4"/>
        <v>10.188.186.1</v>
      </c>
      <c r="H29" s="117" t="str">
        <f t="shared" ca="1" si="4"/>
        <v>10.188.186.254</v>
      </c>
      <c r="I29" s="121" t="str">
        <f t="shared" ca="1" si="5"/>
        <v>10.188.186.037</v>
      </c>
      <c r="J29" s="119" t="str">
        <f t="shared" ca="1" si="2"/>
        <v>186</v>
      </c>
      <c r="K29" s="113" t="s">
        <v>784</v>
      </c>
      <c r="L29" s="114" t="s">
        <v>358</v>
      </c>
      <c r="M29" s="114" t="s">
        <v>364</v>
      </c>
      <c r="N29" s="114" t="s">
        <v>328</v>
      </c>
      <c r="O29" s="114"/>
    </row>
    <row r="30" spans="1:15" x14ac:dyDescent="0.25">
      <c r="A30" s="116" t="str">
        <f t="shared" ca="1" si="4"/>
        <v>10.188.186.0</v>
      </c>
      <c r="B30" s="117">
        <f t="shared" ca="1" si="4"/>
        <v>24</v>
      </c>
      <c r="C30" s="117" t="str">
        <f t="shared" ca="1" si="4"/>
        <v>255.255.255.0</v>
      </c>
      <c r="D30" s="117">
        <f t="shared" ca="1" si="4"/>
        <v>254</v>
      </c>
      <c r="E30" s="117" t="str">
        <f t="shared" ca="1" si="4"/>
        <v>10.188.186.0</v>
      </c>
      <c r="F30" s="117" t="str">
        <f t="shared" ca="1" si="4"/>
        <v>10.188.186.255</v>
      </c>
      <c r="G30" s="117" t="str">
        <f t="shared" ca="1" si="4"/>
        <v>10.188.186.1</v>
      </c>
      <c r="H30" s="117" t="str">
        <f t="shared" ca="1" si="4"/>
        <v>10.188.186.254</v>
      </c>
      <c r="I30" s="121"/>
      <c r="J30" s="119" t="str">
        <f t="shared" ca="1" si="2"/>
        <v>186</v>
      </c>
      <c r="K30" s="113"/>
      <c r="L30" s="114"/>
      <c r="M30" s="114"/>
      <c r="N30" s="114"/>
      <c r="O30" s="114"/>
    </row>
    <row r="31" spans="1:15" x14ac:dyDescent="0.25">
      <c r="A31" s="116" t="str">
        <f t="shared" ca="1" si="4"/>
        <v>10.188.186.0</v>
      </c>
      <c r="B31" s="117">
        <f t="shared" ca="1" si="4"/>
        <v>24</v>
      </c>
      <c r="C31" s="117" t="str">
        <f t="shared" ca="1" si="4"/>
        <v>255.255.255.0</v>
      </c>
      <c r="D31" s="117">
        <f t="shared" ca="1" si="4"/>
        <v>254</v>
      </c>
      <c r="E31" s="117" t="str">
        <f t="shared" ca="1" si="4"/>
        <v>10.188.186.0</v>
      </c>
      <c r="F31" s="117" t="str">
        <f t="shared" ca="1" si="4"/>
        <v>10.188.186.255</v>
      </c>
      <c r="G31" s="117" t="str">
        <f t="shared" ca="1" si="4"/>
        <v>10.188.186.1</v>
      </c>
      <c r="H31" s="117" t="str">
        <f t="shared" ca="1" si="4"/>
        <v>10.188.186.254</v>
      </c>
      <c r="I31" s="118" t="s">
        <v>342</v>
      </c>
      <c r="J31" s="119" t="str">
        <f t="shared" ca="1" si="2"/>
        <v>186</v>
      </c>
      <c r="K31" s="113"/>
      <c r="L31" s="114"/>
      <c r="M31" s="114" t="s">
        <v>336</v>
      </c>
      <c r="N31" s="114" t="s">
        <v>336</v>
      </c>
      <c r="O31" s="114"/>
    </row>
    <row r="32" spans="1:15" x14ac:dyDescent="0.25">
      <c r="A32" s="116" t="str">
        <f t="shared" ca="1" si="4"/>
        <v>10.188.186.0</v>
      </c>
      <c r="B32" s="117">
        <f t="shared" ca="1" si="4"/>
        <v>24</v>
      </c>
      <c r="C32" s="117" t="str">
        <f t="shared" ca="1" si="4"/>
        <v>255.255.255.0</v>
      </c>
      <c r="D32" s="117">
        <f t="shared" ca="1" si="4"/>
        <v>254</v>
      </c>
      <c r="E32" s="117" t="str">
        <f t="shared" ca="1" si="4"/>
        <v>10.188.186.0</v>
      </c>
      <c r="F32" s="117" t="str">
        <f t="shared" ca="1" si="4"/>
        <v>10.188.186.255</v>
      </c>
      <c r="G32" s="117" t="str">
        <f t="shared" ca="1" si="4"/>
        <v>10.188.186.1</v>
      </c>
      <c r="H32" s="117" t="str">
        <f t="shared" ca="1" si="4"/>
        <v>10.188.186.254</v>
      </c>
      <c r="I32" s="120" t="str">
        <f ca="1">IFERROR((LEFT(A31,FIND("~",SUBSTITUTE(A31,".","~",LEN(A31)-LEN(SUBSTITUTE(A31,".",""))))))&amp;TEXT(RIGHT(A31,LEN(A31)-FIND("~",SUBSTITUTE(A31,".","~",LEN(A31)-LEN(SUBSTITUTE(A31,".","")))))+61,"000"),"")</f>
        <v>10.188.186.061</v>
      </c>
      <c r="J32" s="119" t="str">
        <f t="shared" ca="1" si="2"/>
        <v>186</v>
      </c>
      <c r="K32" s="113" t="s">
        <v>541</v>
      </c>
      <c r="L32" s="114" t="s">
        <v>127</v>
      </c>
      <c r="M32" s="114" t="s">
        <v>365</v>
      </c>
      <c r="N32" s="114" t="s">
        <v>336</v>
      </c>
      <c r="O32" s="114"/>
    </row>
    <row r="33" spans="1:15" x14ac:dyDescent="0.25">
      <c r="A33" s="116" t="str">
        <f t="shared" ca="1" si="4"/>
        <v>10.188.186.0</v>
      </c>
      <c r="B33" s="117">
        <f t="shared" ca="1" si="4"/>
        <v>24</v>
      </c>
      <c r="C33" s="117" t="str">
        <f t="shared" ca="1" si="4"/>
        <v>255.255.255.0</v>
      </c>
      <c r="D33" s="117">
        <f t="shared" ca="1" si="4"/>
        <v>254</v>
      </c>
      <c r="E33" s="117" t="str">
        <f t="shared" ca="1" si="4"/>
        <v>10.188.186.0</v>
      </c>
      <c r="F33" s="117" t="str">
        <f t="shared" ca="1" si="4"/>
        <v>10.188.186.255</v>
      </c>
      <c r="G33" s="117" t="str">
        <f t="shared" ca="1" si="4"/>
        <v>10.188.186.1</v>
      </c>
      <c r="H33" s="117" t="str">
        <f t="shared" ca="1" si="4"/>
        <v>10.188.186.254</v>
      </c>
      <c r="I33" s="121" t="str">
        <f t="shared" ref="I33:I39" ca="1" si="6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10.188.186.062</v>
      </c>
      <c r="J33" s="119" t="str">
        <f t="shared" ca="1" si="2"/>
        <v>186</v>
      </c>
      <c r="K33" s="113" t="s">
        <v>827</v>
      </c>
      <c r="L33" s="114" t="s">
        <v>127</v>
      </c>
      <c r="M33" s="114" t="s">
        <v>366</v>
      </c>
      <c r="N33" s="114" t="s">
        <v>336</v>
      </c>
      <c r="O33" s="114"/>
    </row>
    <row r="34" spans="1:15" x14ac:dyDescent="0.25">
      <c r="A34" s="116" t="str">
        <f t="shared" ca="1" si="4"/>
        <v>10.188.186.0</v>
      </c>
      <c r="B34" s="117">
        <f t="shared" ca="1" si="4"/>
        <v>24</v>
      </c>
      <c r="C34" s="117" t="str">
        <f t="shared" ca="1" si="4"/>
        <v>255.255.255.0</v>
      </c>
      <c r="D34" s="117">
        <f t="shared" ca="1" si="4"/>
        <v>254</v>
      </c>
      <c r="E34" s="117" t="str">
        <f t="shared" ca="1" si="4"/>
        <v>10.188.186.0</v>
      </c>
      <c r="F34" s="117" t="str">
        <f t="shared" ca="1" si="4"/>
        <v>10.188.186.255</v>
      </c>
      <c r="G34" s="117" t="str">
        <f t="shared" ca="1" si="4"/>
        <v>10.188.186.1</v>
      </c>
      <c r="H34" s="117" t="str">
        <f t="shared" ca="1" si="4"/>
        <v>10.188.186.254</v>
      </c>
      <c r="I34" s="121" t="str">
        <f t="shared" ca="1" si="6"/>
        <v>10.188.186.063</v>
      </c>
      <c r="J34" s="119" t="str">
        <f t="shared" ca="1" si="2"/>
        <v>186</v>
      </c>
      <c r="K34" s="113" t="s">
        <v>829</v>
      </c>
      <c r="L34" s="114" t="s">
        <v>127</v>
      </c>
      <c r="M34" s="114" t="s">
        <v>365</v>
      </c>
      <c r="N34" s="114" t="s">
        <v>336</v>
      </c>
      <c r="O34" s="114"/>
    </row>
    <row r="35" spans="1:15" x14ac:dyDescent="0.25">
      <c r="A35" s="116" t="str">
        <f t="shared" ca="1" si="4"/>
        <v>10.188.186.0</v>
      </c>
      <c r="B35" s="117">
        <f t="shared" ca="1" si="4"/>
        <v>24</v>
      </c>
      <c r="C35" s="117" t="str">
        <f t="shared" ca="1" si="4"/>
        <v>255.255.255.0</v>
      </c>
      <c r="D35" s="117">
        <f t="shared" ca="1" si="4"/>
        <v>254</v>
      </c>
      <c r="E35" s="117" t="str">
        <f t="shared" ca="1" si="4"/>
        <v>10.188.186.0</v>
      </c>
      <c r="F35" s="117" t="str">
        <f t="shared" ca="1" si="4"/>
        <v>10.188.186.255</v>
      </c>
      <c r="G35" s="117" t="str">
        <f t="shared" ca="1" si="4"/>
        <v>10.188.186.1</v>
      </c>
      <c r="H35" s="117" t="str">
        <f t="shared" ca="1" si="4"/>
        <v>10.188.186.254</v>
      </c>
      <c r="I35" s="121" t="str">
        <f t="shared" ca="1" si="6"/>
        <v>10.188.186.064</v>
      </c>
      <c r="J35" s="119" t="str">
        <f t="shared" ca="1" si="2"/>
        <v>186</v>
      </c>
      <c r="K35" s="113" t="s">
        <v>828</v>
      </c>
      <c r="L35" s="114" t="s">
        <v>127</v>
      </c>
      <c r="M35" s="114" t="s">
        <v>366</v>
      </c>
      <c r="N35" s="114" t="s">
        <v>336</v>
      </c>
      <c r="O35" s="114"/>
    </row>
    <row r="36" spans="1:15" x14ac:dyDescent="0.25">
      <c r="A36" s="116" t="str">
        <f t="shared" ca="1" si="4"/>
        <v>10.188.186.0</v>
      </c>
      <c r="B36" s="117">
        <f t="shared" ca="1" si="4"/>
        <v>24</v>
      </c>
      <c r="C36" s="117" t="str">
        <f t="shared" ca="1" si="4"/>
        <v>255.255.255.0</v>
      </c>
      <c r="D36" s="117">
        <f t="shared" ca="1" si="4"/>
        <v>254</v>
      </c>
      <c r="E36" s="117" t="str">
        <f t="shared" ca="1" si="4"/>
        <v>10.188.186.0</v>
      </c>
      <c r="F36" s="117" t="str">
        <f t="shared" ca="1" si="4"/>
        <v>10.188.186.255</v>
      </c>
      <c r="G36" s="117" t="str">
        <f t="shared" ca="1" si="4"/>
        <v>10.188.186.1</v>
      </c>
      <c r="H36" s="117" t="str">
        <f t="shared" ca="1" si="4"/>
        <v>10.188.186.254</v>
      </c>
      <c r="I36" s="121" t="str">
        <f t="shared" ca="1" si="6"/>
        <v>10.188.186.065</v>
      </c>
      <c r="J36" s="119" t="str">
        <f t="shared" ca="1" si="2"/>
        <v>186</v>
      </c>
      <c r="K36" s="113" t="s">
        <v>823</v>
      </c>
      <c r="L36" s="114" t="s">
        <v>127</v>
      </c>
      <c r="M36" s="114" t="s">
        <v>367</v>
      </c>
      <c r="N36" s="114" t="s">
        <v>336</v>
      </c>
      <c r="O36" s="114"/>
    </row>
    <row r="37" spans="1:15" x14ac:dyDescent="0.25">
      <c r="A37" s="116" t="str">
        <f t="shared" ca="1" si="4"/>
        <v>10.188.186.0</v>
      </c>
      <c r="B37" s="117">
        <f t="shared" ca="1" si="4"/>
        <v>24</v>
      </c>
      <c r="C37" s="117" t="str">
        <f t="shared" ca="1" si="4"/>
        <v>255.255.255.0</v>
      </c>
      <c r="D37" s="117">
        <f t="shared" ca="1" si="4"/>
        <v>254</v>
      </c>
      <c r="E37" s="117" t="str">
        <f t="shared" ca="1" si="4"/>
        <v>10.188.186.0</v>
      </c>
      <c r="F37" s="117" t="str">
        <f t="shared" ca="1" si="4"/>
        <v>10.188.186.255</v>
      </c>
      <c r="G37" s="117" t="str">
        <f t="shared" ca="1" si="4"/>
        <v>10.188.186.1</v>
      </c>
      <c r="H37" s="117" t="str">
        <f t="shared" ca="1" si="4"/>
        <v>10.188.186.254</v>
      </c>
      <c r="I37" s="121" t="str">
        <f t="shared" ca="1" si="6"/>
        <v>10.188.186.066</v>
      </c>
      <c r="J37" s="119" t="str">
        <f t="shared" ca="1" si="2"/>
        <v>186</v>
      </c>
      <c r="K37" s="113" t="s">
        <v>824</v>
      </c>
      <c r="L37" s="114" t="s">
        <v>127</v>
      </c>
      <c r="M37" s="114" t="s">
        <v>367</v>
      </c>
      <c r="N37" s="114" t="s">
        <v>336</v>
      </c>
      <c r="O37" s="114"/>
    </row>
    <row r="38" spans="1:15" x14ac:dyDescent="0.25">
      <c r="A38" s="116" t="str">
        <f t="shared" ca="1" si="4"/>
        <v>10.188.186.0</v>
      </c>
      <c r="B38" s="117">
        <f t="shared" ca="1" si="4"/>
        <v>24</v>
      </c>
      <c r="C38" s="117" t="str">
        <f t="shared" ca="1" si="4"/>
        <v>255.255.255.0</v>
      </c>
      <c r="D38" s="117">
        <f t="shared" ca="1" si="4"/>
        <v>254</v>
      </c>
      <c r="E38" s="117" t="str">
        <f t="shared" ca="1" si="4"/>
        <v>10.188.186.0</v>
      </c>
      <c r="F38" s="117" t="str">
        <f t="shared" ca="1" si="4"/>
        <v>10.188.186.255</v>
      </c>
      <c r="G38" s="117" t="str">
        <f t="shared" ca="1" si="4"/>
        <v>10.188.186.1</v>
      </c>
      <c r="H38" s="117" t="str">
        <f t="shared" ca="1" si="4"/>
        <v>10.188.186.254</v>
      </c>
      <c r="I38" s="121" t="str">
        <f t="shared" ca="1" si="6"/>
        <v>10.188.186.067</v>
      </c>
      <c r="J38" s="119" t="str">
        <f t="shared" ref="J38:J69" ca="1" si="7">INDIRECT("R[-1]",FALSE)</f>
        <v>186</v>
      </c>
      <c r="K38" s="113" t="s">
        <v>825</v>
      </c>
      <c r="L38" s="114" t="s">
        <v>127</v>
      </c>
      <c r="M38" s="114" t="s">
        <v>367</v>
      </c>
      <c r="N38" s="114" t="s">
        <v>336</v>
      </c>
      <c r="O38" s="114"/>
    </row>
    <row r="39" spans="1:15" x14ac:dyDescent="0.25">
      <c r="A39" s="116" t="str">
        <f t="shared" ca="1" si="4"/>
        <v>10.188.186.0</v>
      </c>
      <c r="B39" s="117">
        <f t="shared" ca="1" si="4"/>
        <v>24</v>
      </c>
      <c r="C39" s="117" t="str">
        <f t="shared" ca="1" si="4"/>
        <v>255.255.255.0</v>
      </c>
      <c r="D39" s="117">
        <f t="shared" ca="1" si="4"/>
        <v>254</v>
      </c>
      <c r="E39" s="117" t="str">
        <f t="shared" ca="1" si="4"/>
        <v>10.188.186.0</v>
      </c>
      <c r="F39" s="117" t="str">
        <f t="shared" ca="1" si="4"/>
        <v>10.188.186.255</v>
      </c>
      <c r="G39" s="117" t="str">
        <f t="shared" ca="1" si="4"/>
        <v>10.188.186.1</v>
      </c>
      <c r="H39" s="117" t="str">
        <f t="shared" ca="1" si="4"/>
        <v>10.188.186.254</v>
      </c>
      <c r="I39" s="121" t="str">
        <f t="shared" ca="1" si="6"/>
        <v>10.188.186.068</v>
      </c>
      <c r="J39" s="119" t="str">
        <f t="shared" ca="1" si="7"/>
        <v>186</v>
      </c>
      <c r="K39" s="113" t="s">
        <v>826</v>
      </c>
      <c r="L39" s="114" t="s">
        <v>127</v>
      </c>
      <c r="M39" s="114" t="s">
        <v>367</v>
      </c>
      <c r="N39" s="114" t="s">
        <v>336</v>
      </c>
      <c r="O39" s="114"/>
    </row>
    <row r="40" spans="1:15" x14ac:dyDescent="0.25">
      <c r="A40" s="116" t="str">
        <f t="shared" ca="1" si="4"/>
        <v>10.188.186.0</v>
      </c>
      <c r="B40" s="117">
        <f t="shared" ca="1" si="4"/>
        <v>24</v>
      </c>
      <c r="C40" s="117" t="str">
        <f t="shared" ca="1" si="4"/>
        <v>255.255.255.0</v>
      </c>
      <c r="D40" s="117">
        <f t="shared" ca="1" si="4"/>
        <v>254</v>
      </c>
      <c r="E40" s="117" t="str">
        <f t="shared" ca="1" si="4"/>
        <v>10.188.186.0</v>
      </c>
      <c r="F40" s="117" t="str">
        <f t="shared" ca="1" si="4"/>
        <v>10.188.186.255</v>
      </c>
      <c r="G40" s="117" t="str">
        <f t="shared" ca="1" si="4"/>
        <v>10.188.186.1</v>
      </c>
      <c r="H40" s="117" t="str">
        <f t="shared" ca="1" si="4"/>
        <v>10.188.186.254</v>
      </c>
      <c r="I40" s="121"/>
      <c r="J40" s="119" t="str">
        <f t="shared" ca="1" si="7"/>
        <v>186</v>
      </c>
      <c r="K40" s="113"/>
      <c r="L40" s="114"/>
      <c r="M40" s="114"/>
      <c r="N40" s="114"/>
      <c r="O40" s="114"/>
    </row>
    <row r="41" spans="1:15" x14ac:dyDescent="0.25">
      <c r="A41" s="116" t="str">
        <f t="shared" ca="1" si="4"/>
        <v>10.188.186.0</v>
      </c>
      <c r="B41" s="117">
        <f t="shared" ca="1" si="4"/>
        <v>24</v>
      </c>
      <c r="C41" s="117" t="str">
        <f t="shared" ca="1" si="4"/>
        <v>255.255.255.0</v>
      </c>
      <c r="D41" s="117">
        <f t="shared" ca="1" si="4"/>
        <v>254</v>
      </c>
      <c r="E41" s="117" t="str">
        <f t="shared" ca="1" si="4"/>
        <v>10.188.186.0</v>
      </c>
      <c r="F41" s="117" t="str">
        <f t="shared" ca="1" si="4"/>
        <v>10.188.186.255</v>
      </c>
      <c r="G41" s="117" t="str">
        <f t="shared" ca="1" si="4"/>
        <v>10.188.186.1</v>
      </c>
      <c r="H41" s="117" t="str">
        <f t="shared" ca="1" si="4"/>
        <v>10.188.186.254</v>
      </c>
      <c r="I41" s="118" t="s">
        <v>348</v>
      </c>
      <c r="J41" s="119" t="str">
        <f t="shared" ca="1" si="7"/>
        <v>186</v>
      </c>
      <c r="K41" s="113"/>
      <c r="L41" s="114"/>
      <c r="M41" s="114" t="s">
        <v>327</v>
      </c>
      <c r="N41" s="122" t="s">
        <v>381</v>
      </c>
      <c r="O41" s="122"/>
    </row>
    <row r="42" spans="1:15" x14ac:dyDescent="0.25">
      <c r="A42" s="116" t="str">
        <f t="shared" ca="1" si="4"/>
        <v>10.188.186.0</v>
      </c>
      <c r="B42" s="117">
        <f t="shared" ca="1" si="4"/>
        <v>24</v>
      </c>
      <c r="C42" s="117" t="str">
        <f t="shared" ca="1" si="4"/>
        <v>255.255.255.0</v>
      </c>
      <c r="D42" s="117">
        <f t="shared" ca="1" si="4"/>
        <v>254</v>
      </c>
      <c r="E42" s="117" t="str">
        <f t="shared" ca="1" si="4"/>
        <v>10.188.186.0</v>
      </c>
      <c r="F42" s="117" t="str">
        <f t="shared" ca="1" si="4"/>
        <v>10.188.186.255</v>
      </c>
      <c r="G42" s="117" t="str">
        <f t="shared" ca="1" si="4"/>
        <v>10.188.186.1</v>
      </c>
      <c r="H42" s="117" t="str">
        <f t="shared" ca="1" si="4"/>
        <v>10.188.186.254</v>
      </c>
      <c r="I42" s="120" t="str">
        <f ca="1">IFERROR((LEFT(A41,FIND("~",SUBSTITUTE(A41,".","~",LEN(A41)-LEN(SUBSTITUTE(A41,".",""))))))&amp;TEXT(RIGHT(A41,LEN(A41)-FIND("~",SUBSTITUTE(A41,".","~",LEN(A41)-LEN(SUBSTITUTE(A41,".","")))))+108,"000"),"")</f>
        <v>10.188.186.108</v>
      </c>
      <c r="J42" s="119" t="str">
        <f t="shared" ca="1" si="7"/>
        <v>186</v>
      </c>
      <c r="K42" s="113" t="s">
        <v>779</v>
      </c>
      <c r="L42" s="114" t="s">
        <v>296</v>
      </c>
      <c r="M42" s="114" t="s">
        <v>368</v>
      </c>
      <c r="N42" s="114" t="s">
        <v>349</v>
      </c>
      <c r="O42" s="114"/>
    </row>
    <row r="43" spans="1:15" x14ac:dyDescent="0.25">
      <c r="A43" s="116" t="str">
        <f t="shared" ca="1" si="4"/>
        <v>10.188.186.0</v>
      </c>
      <c r="B43" s="117">
        <f t="shared" ca="1" si="4"/>
        <v>24</v>
      </c>
      <c r="C43" s="117" t="str">
        <f t="shared" ca="1" si="4"/>
        <v>255.255.255.0</v>
      </c>
      <c r="D43" s="117">
        <f t="shared" ca="1" si="4"/>
        <v>254</v>
      </c>
      <c r="E43" s="117" t="str">
        <f t="shared" ca="1" si="4"/>
        <v>10.188.186.0</v>
      </c>
      <c r="F43" s="117" t="str">
        <f t="shared" ca="1" si="4"/>
        <v>10.188.186.255</v>
      </c>
      <c r="G43" s="117" t="str">
        <f t="shared" ca="1" si="4"/>
        <v>10.188.186.1</v>
      </c>
      <c r="H43" s="117" t="str">
        <f t="shared" ca="1" si="4"/>
        <v>10.188.186.254</v>
      </c>
      <c r="I43" s="121" t="s">
        <v>346</v>
      </c>
      <c r="J43" s="119" t="str">
        <f t="shared" ca="1" si="7"/>
        <v>186</v>
      </c>
      <c r="K43" s="113" t="s">
        <v>780</v>
      </c>
      <c r="L43" s="114" t="s">
        <v>296</v>
      </c>
      <c r="M43" s="114" t="s">
        <v>369</v>
      </c>
      <c r="N43" s="114" t="s">
        <v>349</v>
      </c>
      <c r="O43" s="114"/>
    </row>
    <row r="44" spans="1:15" x14ac:dyDescent="0.25">
      <c r="A44" s="116" t="str">
        <f t="shared" ca="1" si="4"/>
        <v>10.188.186.0</v>
      </c>
      <c r="B44" s="117">
        <f t="shared" ca="1" si="4"/>
        <v>24</v>
      </c>
      <c r="C44" s="117" t="str">
        <f t="shared" ca="1" si="4"/>
        <v>255.255.255.0</v>
      </c>
      <c r="D44" s="117">
        <f t="shared" ca="1" si="4"/>
        <v>254</v>
      </c>
      <c r="E44" s="117" t="str">
        <f t="shared" ca="1" si="4"/>
        <v>10.188.186.0</v>
      </c>
      <c r="F44" s="117" t="str">
        <f t="shared" ca="1" si="4"/>
        <v>10.188.186.255</v>
      </c>
      <c r="G44" s="117" t="str">
        <f t="shared" ca="1" si="4"/>
        <v>10.188.186.1</v>
      </c>
      <c r="H44" s="117" t="str">
        <f t="shared" ca="1" si="4"/>
        <v>10.188.186.254</v>
      </c>
      <c r="I44" s="121" t="s">
        <v>347</v>
      </c>
      <c r="J44" s="119" t="str">
        <f t="shared" ca="1" si="7"/>
        <v>186</v>
      </c>
      <c r="K44" s="113"/>
      <c r="L44" s="114"/>
      <c r="M44" s="114"/>
      <c r="N44" s="114"/>
      <c r="O44" s="114"/>
    </row>
    <row r="45" spans="1:15" x14ac:dyDescent="0.25">
      <c r="A45" s="116" t="str">
        <f t="shared" ca="1" si="4"/>
        <v>10.188.186.0</v>
      </c>
      <c r="B45" s="117">
        <f t="shared" ca="1" si="4"/>
        <v>24</v>
      </c>
      <c r="C45" s="117" t="str">
        <f t="shared" ca="1" si="4"/>
        <v>255.255.255.0</v>
      </c>
      <c r="D45" s="117">
        <f t="shared" ca="1" si="4"/>
        <v>254</v>
      </c>
      <c r="E45" s="117" t="str">
        <f t="shared" ca="1" si="4"/>
        <v>10.188.186.0</v>
      </c>
      <c r="F45" s="117" t="str">
        <f t="shared" ca="1" si="4"/>
        <v>10.188.186.255</v>
      </c>
      <c r="G45" s="117" t="str">
        <f t="shared" ca="1" si="4"/>
        <v>10.188.186.1</v>
      </c>
      <c r="H45" s="117" t="str">
        <f t="shared" ca="1" si="4"/>
        <v>10.188.186.254</v>
      </c>
      <c r="I45" s="121" t="s">
        <v>345</v>
      </c>
      <c r="J45" s="119" t="str">
        <f t="shared" ca="1" si="7"/>
        <v>186</v>
      </c>
      <c r="K45" s="113" t="s">
        <v>529</v>
      </c>
      <c r="L45" s="114" t="s">
        <v>307</v>
      </c>
      <c r="M45" s="114" t="s">
        <v>370</v>
      </c>
      <c r="N45" s="114" t="s">
        <v>349</v>
      </c>
      <c r="O45" s="114"/>
    </row>
    <row r="46" spans="1:15" x14ac:dyDescent="0.25">
      <c r="A46" s="116" t="str">
        <f t="shared" ca="1" si="4"/>
        <v>10.188.186.0</v>
      </c>
      <c r="B46" s="117">
        <f t="shared" ca="1" si="4"/>
        <v>24</v>
      </c>
      <c r="C46" s="117" t="str">
        <f t="shared" ca="1" si="4"/>
        <v>255.255.255.0</v>
      </c>
      <c r="D46" s="117">
        <f t="shared" ca="1" si="4"/>
        <v>254</v>
      </c>
      <c r="E46" s="117" t="str">
        <f t="shared" ca="1" si="4"/>
        <v>10.188.186.0</v>
      </c>
      <c r="F46" s="117" t="str">
        <f t="shared" ca="1" si="4"/>
        <v>10.188.186.255</v>
      </c>
      <c r="G46" s="117" t="str">
        <f t="shared" ca="1" si="4"/>
        <v>10.188.186.1</v>
      </c>
      <c r="H46" s="117" t="str">
        <f t="shared" ca="1" si="4"/>
        <v>10.188.186.254</v>
      </c>
      <c r="I46" s="121" t="str">
        <f t="shared" ref="I46:I56" ca="1" si="8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10.188.186.112</v>
      </c>
      <c r="J46" s="119" t="str">
        <f t="shared" ca="1" si="7"/>
        <v>186</v>
      </c>
      <c r="K46" s="113" t="s">
        <v>535</v>
      </c>
      <c r="L46" s="114" t="s">
        <v>307</v>
      </c>
      <c r="M46" s="114" t="s">
        <v>370</v>
      </c>
      <c r="N46" s="114" t="s">
        <v>349</v>
      </c>
      <c r="O46" s="114"/>
    </row>
    <row r="47" spans="1:15" x14ac:dyDescent="0.25">
      <c r="A47" s="116" t="str">
        <f t="shared" ca="1" si="4"/>
        <v>10.188.186.0</v>
      </c>
      <c r="B47" s="117">
        <f t="shared" ca="1" si="4"/>
        <v>24</v>
      </c>
      <c r="C47" s="117" t="str">
        <f t="shared" ca="1" si="4"/>
        <v>255.255.255.0</v>
      </c>
      <c r="D47" s="117">
        <f t="shared" ca="1" si="4"/>
        <v>254</v>
      </c>
      <c r="E47" s="117" t="str">
        <f t="shared" ca="1" si="4"/>
        <v>10.188.186.0</v>
      </c>
      <c r="F47" s="117" t="str">
        <f t="shared" ca="1" si="4"/>
        <v>10.188.186.255</v>
      </c>
      <c r="G47" s="117" t="str">
        <f t="shared" ca="1" si="4"/>
        <v>10.188.186.1</v>
      </c>
      <c r="H47" s="117" t="str">
        <f t="shared" ca="1" si="4"/>
        <v>10.188.186.254</v>
      </c>
      <c r="I47" s="121" t="str">
        <f t="shared" ca="1" si="8"/>
        <v>10.188.186.113</v>
      </c>
      <c r="J47" s="119" t="str">
        <f t="shared" ca="1" si="7"/>
        <v>186</v>
      </c>
      <c r="K47" s="113" t="s">
        <v>530</v>
      </c>
      <c r="L47" s="114" t="s">
        <v>307</v>
      </c>
      <c r="M47" s="114" t="s">
        <v>370</v>
      </c>
      <c r="N47" s="114" t="s">
        <v>349</v>
      </c>
      <c r="O47" s="114"/>
    </row>
    <row r="48" spans="1:15" x14ac:dyDescent="0.25">
      <c r="A48" s="116" t="str">
        <f t="shared" ca="1" si="4"/>
        <v>10.188.186.0</v>
      </c>
      <c r="B48" s="117">
        <f t="shared" ca="1" si="4"/>
        <v>24</v>
      </c>
      <c r="C48" s="117" t="str">
        <f t="shared" ca="1" si="4"/>
        <v>255.255.255.0</v>
      </c>
      <c r="D48" s="117">
        <f t="shared" ca="1" si="4"/>
        <v>254</v>
      </c>
      <c r="E48" s="117" t="str">
        <f t="shared" ca="1" si="4"/>
        <v>10.188.186.0</v>
      </c>
      <c r="F48" s="117" t="str">
        <f t="shared" ca="1" si="4"/>
        <v>10.188.186.255</v>
      </c>
      <c r="G48" s="117" t="str">
        <f t="shared" ca="1" si="4"/>
        <v>10.188.186.1</v>
      </c>
      <c r="H48" s="117" t="str">
        <f t="shared" ca="1" si="4"/>
        <v>10.188.186.254</v>
      </c>
      <c r="I48" s="121" t="str">
        <f t="shared" ca="1" si="8"/>
        <v>10.188.186.114</v>
      </c>
      <c r="J48" s="119" t="str">
        <f t="shared" ca="1" si="7"/>
        <v>186</v>
      </c>
      <c r="K48" s="113" t="s">
        <v>536</v>
      </c>
      <c r="L48" s="114" t="s">
        <v>307</v>
      </c>
      <c r="M48" s="114" t="s">
        <v>370</v>
      </c>
      <c r="N48" s="114" t="s">
        <v>349</v>
      </c>
      <c r="O48" s="114"/>
    </row>
    <row r="49" spans="1:15" x14ac:dyDescent="0.25">
      <c r="A49" s="116" t="str">
        <f t="shared" ca="1" si="4"/>
        <v>10.188.186.0</v>
      </c>
      <c r="B49" s="117">
        <f t="shared" ca="1" si="4"/>
        <v>24</v>
      </c>
      <c r="C49" s="117" t="str">
        <f t="shared" ca="1" si="4"/>
        <v>255.255.255.0</v>
      </c>
      <c r="D49" s="117">
        <f t="shared" ca="1" si="4"/>
        <v>254</v>
      </c>
      <c r="E49" s="117" t="str">
        <f t="shared" ca="1" si="4"/>
        <v>10.188.186.0</v>
      </c>
      <c r="F49" s="117" t="str">
        <f t="shared" ca="1" si="4"/>
        <v>10.188.186.255</v>
      </c>
      <c r="G49" s="117" t="str">
        <f t="shared" ca="1" si="4"/>
        <v>10.188.186.1</v>
      </c>
      <c r="H49" s="117" t="str">
        <f t="shared" ca="1" si="4"/>
        <v>10.188.186.254</v>
      </c>
      <c r="I49" s="121" t="str">
        <f t="shared" ca="1" si="8"/>
        <v>10.188.186.115</v>
      </c>
      <c r="J49" s="119" t="str">
        <f t="shared" ca="1" si="7"/>
        <v>186</v>
      </c>
      <c r="K49" s="113" t="s">
        <v>531</v>
      </c>
      <c r="L49" s="114" t="s">
        <v>307</v>
      </c>
      <c r="M49" s="114" t="s">
        <v>370</v>
      </c>
      <c r="N49" s="114" t="s">
        <v>349</v>
      </c>
      <c r="O49" s="114"/>
    </row>
    <row r="50" spans="1:15" x14ac:dyDescent="0.25">
      <c r="A50" s="116" t="str">
        <f t="shared" ca="1" si="4"/>
        <v>10.188.186.0</v>
      </c>
      <c r="B50" s="117">
        <f t="shared" ca="1" si="4"/>
        <v>24</v>
      </c>
      <c r="C50" s="117" t="str">
        <f t="shared" ca="1" si="4"/>
        <v>255.255.255.0</v>
      </c>
      <c r="D50" s="117">
        <f t="shared" ca="1" si="4"/>
        <v>254</v>
      </c>
      <c r="E50" s="117" t="str">
        <f t="shared" ca="1" si="4"/>
        <v>10.188.186.0</v>
      </c>
      <c r="F50" s="117" t="str">
        <f t="shared" ca="1" si="4"/>
        <v>10.188.186.255</v>
      </c>
      <c r="G50" s="117" t="str">
        <f t="shared" ca="1" si="4"/>
        <v>10.188.186.1</v>
      </c>
      <c r="H50" s="117" t="str">
        <f t="shared" ca="1" si="4"/>
        <v>10.188.186.254</v>
      </c>
      <c r="I50" s="121" t="str">
        <f t="shared" ca="1" si="8"/>
        <v>10.188.186.116</v>
      </c>
      <c r="J50" s="119" t="str">
        <f t="shared" ca="1" si="7"/>
        <v>186</v>
      </c>
      <c r="K50" s="113" t="s">
        <v>537</v>
      </c>
      <c r="L50" s="114" t="s">
        <v>307</v>
      </c>
      <c r="M50" s="114" t="s">
        <v>370</v>
      </c>
      <c r="N50" s="114" t="s">
        <v>349</v>
      </c>
      <c r="O50" s="114"/>
    </row>
    <row r="51" spans="1:15" x14ac:dyDescent="0.25">
      <c r="A51" s="116" t="str">
        <f t="shared" ca="1" si="4"/>
        <v>10.188.186.0</v>
      </c>
      <c r="B51" s="117">
        <f t="shared" ca="1" si="4"/>
        <v>24</v>
      </c>
      <c r="C51" s="117" t="str">
        <f t="shared" ca="1" si="4"/>
        <v>255.255.255.0</v>
      </c>
      <c r="D51" s="117">
        <f t="shared" ca="1" si="4"/>
        <v>254</v>
      </c>
      <c r="E51" s="117" t="str">
        <f t="shared" ca="1" si="4"/>
        <v>10.188.186.0</v>
      </c>
      <c r="F51" s="117" t="str">
        <f t="shared" ca="1" si="4"/>
        <v>10.188.186.255</v>
      </c>
      <c r="G51" s="117" t="str">
        <f t="shared" ca="1" si="4"/>
        <v>10.188.186.1</v>
      </c>
      <c r="H51" s="117" t="str">
        <f t="shared" ca="1" si="4"/>
        <v>10.188.186.254</v>
      </c>
      <c r="I51" s="121" t="str">
        <f t="shared" ca="1" si="8"/>
        <v>10.188.186.117</v>
      </c>
      <c r="J51" s="119" t="str">
        <f t="shared" ca="1" si="7"/>
        <v>186</v>
      </c>
      <c r="K51" s="113" t="s">
        <v>532</v>
      </c>
      <c r="L51" s="114" t="s">
        <v>307</v>
      </c>
      <c r="M51" s="114" t="s">
        <v>370</v>
      </c>
      <c r="N51" s="114" t="s">
        <v>349</v>
      </c>
      <c r="O51" s="114"/>
    </row>
    <row r="52" spans="1:15" x14ac:dyDescent="0.25">
      <c r="A52" s="116" t="str">
        <f t="shared" ca="1" si="4"/>
        <v>10.188.186.0</v>
      </c>
      <c r="B52" s="117">
        <f t="shared" ca="1" si="4"/>
        <v>24</v>
      </c>
      <c r="C52" s="117" t="str">
        <f t="shared" ca="1" si="4"/>
        <v>255.255.255.0</v>
      </c>
      <c r="D52" s="117">
        <f t="shared" ca="1" si="4"/>
        <v>254</v>
      </c>
      <c r="E52" s="117" t="str">
        <f t="shared" ca="1" si="4"/>
        <v>10.188.186.0</v>
      </c>
      <c r="F52" s="117" t="str">
        <f t="shared" ca="1" si="4"/>
        <v>10.188.186.255</v>
      </c>
      <c r="G52" s="117" t="str">
        <f t="shared" ca="1" si="4"/>
        <v>10.188.186.1</v>
      </c>
      <c r="H52" s="117" t="str">
        <f t="shared" ca="1" si="4"/>
        <v>10.188.186.254</v>
      </c>
      <c r="I52" s="121" t="str">
        <f t="shared" ca="1" si="8"/>
        <v>10.188.186.118</v>
      </c>
      <c r="J52" s="119" t="str">
        <f t="shared" ca="1" si="7"/>
        <v>186</v>
      </c>
      <c r="K52" s="113" t="s">
        <v>538</v>
      </c>
      <c r="L52" s="114" t="s">
        <v>307</v>
      </c>
      <c r="M52" s="114" t="s">
        <v>370</v>
      </c>
      <c r="N52" s="114" t="s">
        <v>349</v>
      </c>
      <c r="O52" s="114"/>
    </row>
    <row r="53" spans="1:15" x14ac:dyDescent="0.25">
      <c r="A53" s="116" t="str">
        <f t="shared" ca="1" si="4"/>
        <v>10.188.186.0</v>
      </c>
      <c r="B53" s="117">
        <f t="shared" ca="1" si="4"/>
        <v>24</v>
      </c>
      <c r="C53" s="117" t="str">
        <f t="shared" ca="1" si="4"/>
        <v>255.255.255.0</v>
      </c>
      <c r="D53" s="117">
        <f t="shared" ca="1" si="4"/>
        <v>254</v>
      </c>
      <c r="E53" s="117" t="str">
        <f t="shared" ca="1" si="4"/>
        <v>10.188.186.0</v>
      </c>
      <c r="F53" s="117" t="str">
        <f t="shared" ca="1" si="4"/>
        <v>10.188.186.255</v>
      </c>
      <c r="G53" s="117" t="str">
        <f t="shared" ca="1" si="4"/>
        <v>10.188.186.1</v>
      </c>
      <c r="H53" s="117" t="str">
        <f t="shared" ca="1" si="4"/>
        <v>10.188.186.254</v>
      </c>
      <c r="I53" s="121" t="str">
        <f t="shared" ca="1" si="8"/>
        <v>10.188.186.119</v>
      </c>
      <c r="J53" s="119" t="str">
        <f t="shared" ca="1" si="7"/>
        <v>186</v>
      </c>
      <c r="K53" s="113" t="s">
        <v>533</v>
      </c>
      <c r="L53" s="114" t="s">
        <v>307</v>
      </c>
      <c r="M53" s="114" t="s">
        <v>370</v>
      </c>
      <c r="N53" s="114" t="s">
        <v>349</v>
      </c>
      <c r="O53" s="114"/>
    </row>
    <row r="54" spans="1:15" x14ac:dyDescent="0.25">
      <c r="A54" s="116" t="str">
        <f t="shared" ref="A54:H63" ca="1" si="9">INDIRECT("R[-1]",FALSE)</f>
        <v>10.188.186.0</v>
      </c>
      <c r="B54" s="117">
        <f t="shared" ca="1" si="9"/>
        <v>24</v>
      </c>
      <c r="C54" s="117" t="str">
        <f t="shared" ca="1" si="9"/>
        <v>255.255.255.0</v>
      </c>
      <c r="D54" s="117">
        <f t="shared" ca="1" si="9"/>
        <v>254</v>
      </c>
      <c r="E54" s="117" t="str">
        <f t="shared" ca="1" si="9"/>
        <v>10.188.186.0</v>
      </c>
      <c r="F54" s="117" t="str">
        <f t="shared" ca="1" si="9"/>
        <v>10.188.186.255</v>
      </c>
      <c r="G54" s="117" t="str">
        <f t="shared" ca="1" si="9"/>
        <v>10.188.186.1</v>
      </c>
      <c r="H54" s="117" t="str">
        <f t="shared" ca="1" si="9"/>
        <v>10.188.186.254</v>
      </c>
      <c r="I54" s="121" t="str">
        <f t="shared" ca="1" si="8"/>
        <v>10.188.186.120</v>
      </c>
      <c r="J54" s="119" t="str">
        <f t="shared" ca="1" si="7"/>
        <v>186</v>
      </c>
      <c r="K54" s="113" t="s">
        <v>539</v>
      </c>
      <c r="L54" s="114" t="s">
        <v>307</v>
      </c>
      <c r="M54" s="114" t="s">
        <v>370</v>
      </c>
      <c r="N54" s="114" t="s">
        <v>349</v>
      </c>
      <c r="O54" s="114"/>
    </row>
    <row r="55" spans="1:15" x14ac:dyDescent="0.25">
      <c r="A55" s="116" t="str">
        <f t="shared" ca="1" si="9"/>
        <v>10.188.186.0</v>
      </c>
      <c r="B55" s="117">
        <f t="shared" ca="1" si="9"/>
        <v>24</v>
      </c>
      <c r="C55" s="117" t="str">
        <f t="shared" ca="1" si="9"/>
        <v>255.255.255.0</v>
      </c>
      <c r="D55" s="117">
        <f t="shared" ca="1" si="9"/>
        <v>254</v>
      </c>
      <c r="E55" s="117" t="str">
        <f t="shared" ca="1" si="9"/>
        <v>10.188.186.0</v>
      </c>
      <c r="F55" s="117" t="str">
        <f t="shared" ca="1" si="9"/>
        <v>10.188.186.255</v>
      </c>
      <c r="G55" s="117" t="str">
        <f t="shared" ca="1" si="9"/>
        <v>10.188.186.1</v>
      </c>
      <c r="H55" s="117" t="str">
        <f t="shared" ca="1" si="9"/>
        <v>10.188.186.254</v>
      </c>
      <c r="I55" s="121" t="str">
        <f t="shared" ca="1" si="8"/>
        <v>10.188.186.121</v>
      </c>
      <c r="J55" s="119" t="str">
        <f t="shared" ca="1" si="7"/>
        <v>186</v>
      </c>
      <c r="K55" s="113" t="s">
        <v>534</v>
      </c>
      <c r="L55" s="114" t="s">
        <v>307</v>
      </c>
      <c r="M55" s="114" t="s">
        <v>370</v>
      </c>
      <c r="N55" s="114" t="s">
        <v>349</v>
      </c>
      <c r="O55" s="114"/>
    </row>
    <row r="56" spans="1:15" x14ac:dyDescent="0.25">
      <c r="A56" s="116" t="str">
        <f t="shared" ca="1" si="9"/>
        <v>10.188.186.0</v>
      </c>
      <c r="B56" s="117">
        <f t="shared" ca="1" si="9"/>
        <v>24</v>
      </c>
      <c r="C56" s="117" t="str">
        <f t="shared" ca="1" si="9"/>
        <v>255.255.255.0</v>
      </c>
      <c r="D56" s="117">
        <f t="shared" ca="1" si="9"/>
        <v>254</v>
      </c>
      <c r="E56" s="117" t="str">
        <f t="shared" ca="1" si="9"/>
        <v>10.188.186.0</v>
      </c>
      <c r="F56" s="117" t="str">
        <f t="shared" ca="1" si="9"/>
        <v>10.188.186.255</v>
      </c>
      <c r="G56" s="117" t="str">
        <f t="shared" ca="1" si="9"/>
        <v>10.188.186.1</v>
      </c>
      <c r="H56" s="117" t="str">
        <f t="shared" ca="1" si="9"/>
        <v>10.188.186.254</v>
      </c>
      <c r="I56" s="121" t="str">
        <f t="shared" ca="1" si="8"/>
        <v>10.188.186.122</v>
      </c>
      <c r="J56" s="119" t="str">
        <f t="shared" ca="1" si="7"/>
        <v>186</v>
      </c>
      <c r="K56" s="113" t="s">
        <v>540</v>
      </c>
      <c r="L56" s="114" t="s">
        <v>307</v>
      </c>
      <c r="M56" s="114" t="s">
        <v>370</v>
      </c>
      <c r="N56" s="114" t="s">
        <v>349</v>
      </c>
      <c r="O56" s="114"/>
    </row>
    <row r="57" spans="1:15" x14ac:dyDescent="0.25">
      <c r="A57" s="116" t="str">
        <f t="shared" ca="1" si="9"/>
        <v>10.188.186.0</v>
      </c>
      <c r="B57" s="117">
        <f t="shared" ca="1" si="9"/>
        <v>24</v>
      </c>
      <c r="C57" s="117" t="str">
        <f t="shared" ca="1" si="9"/>
        <v>255.255.255.0</v>
      </c>
      <c r="D57" s="117">
        <f t="shared" ca="1" si="9"/>
        <v>254</v>
      </c>
      <c r="E57" s="117" t="str">
        <f t="shared" ca="1" si="9"/>
        <v>10.188.186.0</v>
      </c>
      <c r="F57" s="117" t="str">
        <f t="shared" ca="1" si="9"/>
        <v>10.188.186.255</v>
      </c>
      <c r="G57" s="117" t="str">
        <f t="shared" ca="1" si="9"/>
        <v>10.188.186.1</v>
      </c>
      <c r="H57" s="117" t="str">
        <f t="shared" ca="1" si="9"/>
        <v>10.188.186.254</v>
      </c>
      <c r="I57" s="121"/>
      <c r="J57" s="119" t="str">
        <f t="shared" ca="1" si="7"/>
        <v>186</v>
      </c>
      <c r="K57" s="113"/>
      <c r="L57" s="114"/>
      <c r="M57" s="114"/>
      <c r="N57" s="114"/>
      <c r="O57" s="114"/>
    </row>
    <row r="58" spans="1:15" x14ac:dyDescent="0.25">
      <c r="A58" s="116" t="str">
        <f t="shared" ca="1" si="9"/>
        <v>10.188.186.0</v>
      </c>
      <c r="B58" s="117">
        <f t="shared" ca="1" si="9"/>
        <v>24</v>
      </c>
      <c r="C58" s="117" t="str">
        <f t="shared" ca="1" si="9"/>
        <v>255.255.255.0</v>
      </c>
      <c r="D58" s="117">
        <f t="shared" ca="1" si="9"/>
        <v>254</v>
      </c>
      <c r="E58" s="117" t="str">
        <f t="shared" ca="1" si="9"/>
        <v>10.188.186.0</v>
      </c>
      <c r="F58" s="117" t="str">
        <f t="shared" ca="1" si="9"/>
        <v>10.188.186.255</v>
      </c>
      <c r="G58" s="117" t="str">
        <f t="shared" ca="1" si="9"/>
        <v>10.188.186.1</v>
      </c>
      <c r="H58" s="117" t="str">
        <f t="shared" ca="1" si="9"/>
        <v>10.188.186.254</v>
      </c>
      <c r="I58" s="120" t="str">
        <f ca="1">IFERROR((LEFT(A57,FIND("~",SUBSTITUTE(A57,".","~",LEN(A57)-LEN(SUBSTITUTE(A57,".",""))))))&amp;TEXT(RIGHT(A57,LEN(A57)-FIND("~",SUBSTITUTE(A57,".","~",LEN(A57)-LEN(SUBSTITUTE(A57,".","")))))+131,"000"),"")</f>
        <v>10.188.186.131</v>
      </c>
      <c r="J58" s="119" t="str">
        <f t="shared" ca="1" si="7"/>
        <v>186</v>
      </c>
      <c r="K58" s="113" t="s">
        <v>488</v>
      </c>
      <c r="L58" s="114" t="s">
        <v>296</v>
      </c>
      <c r="M58" s="114" t="s">
        <v>371</v>
      </c>
      <c r="N58" s="114" t="s">
        <v>349</v>
      </c>
      <c r="O58" s="114"/>
    </row>
    <row r="59" spans="1:15" x14ac:dyDescent="0.25">
      <c r="A59" s="116" t="str">
        <f t="shared" ca="1" si="9"/>
        <v>10.188.186.0</v>
      </c>
      <c r="B59" s="117">
        <f t="shared" ca="1" si="9"/>
        <v>24</v>
      </c>
      <c r="C59" s="117" t="str">
        <f t="shared" ca="1" si="9"/>
        <v>255.255.255.0</v>
      </c>
      <c r="D59" s="117">
        <f t="shared" ca="1" si="9"/>
        <v>254</v>
      </c>
      <c r="E59" s="117" t="str">
        <f t="shared" ca="1" si="9"/>
        <v>10.188.186.0</v>
      </c>
      <c r="F59" s="117" t="str">
        <f t="shared" ca="1" si="9"/>
        <v>10.188.186.255</v>
      </c>
      <c r="G59" s="117" t="str">
        <f t="shared" ca="1" si="9"/>
        <v>10.188.186.1</v>
      </c>
      <c r="H59" s="117" t="str">
        <f t="shared" ca="1" si="9"/>
        <v>10.188.186.254</v>
      </c>
      <c r="I59" s="121" t="str">
        <f t="shared" ref="I59:I64" ca="1" si="10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10.188.186.132</v>
      </c>
      <c r="J59" s="119" t="str">
        <f t="shared" ca="1" si="7"/>
        <v>186</v>
      </c>
      <c r="K59" s="113" t="s">
        <v>609</v>
      </c>
      <c r="L59" s="114" t="s">
        <v>296</v>
      </c>
      <c r="M59" s="114" t="s">
        <v>371</v>
      </c>
      <c r="N59" s="114" t="s">
        <v>349</v>
      </c>
      <c r="O59" s="114"/>
    </row>
    <row r="60" spans="1:15" x14ac:dyDescent="0.25">
      <c r="A60" s="116" t="str">
        <f t="shared" ca="1" si="9"/>
        <v>10.188.186.0</v>
      </c>
      <c r="B60" s="117">
        <f t="shared" ca="1" si="9"/>
        <v>24</v>
      </c>
      <c r="C60" s="117" t="str">
        <f t="shared" ca="1" si="9"/>
        <v>255.255.255.0</v>
      </c>
      <c r="D60" s="117">
        <f t="shared" ca="1" si="9"/>
        <v>254</v>
      </c>
      <c r="E60" s="117" t="str">
        <f t="shared" ca="1" si="9"/>
        <v>10.188.186.0</v>
      </c>
      <c r="F60" s="117" t="str">
        <f t="shared" ca="1" si="9"/>
        <v>10.188.186.255</v>
      </c>
      <c r="G60" s="117" t="str">
        <f t="shared" ca="1" si="9"/>
        <v>10.188.186.1</v>
      </c>
      <c r="H60" s="117" t="str">
        <f t="shared" ca="1" si="9"/>
        <v>10.188.186.254</v>
      </c>
      <c r="I60" s="121" t="str">
        <f t="shared" ca="1" si="10"/>
        <v>10.188.186.133</v>
      </c>
      <c r="J60" s="119" t="str">
        <f t="shared" ca="1" si="7"/>
        <v>186</v>
      </c>
      <c r="K60" s="113" t="s">
        <v>489</v>
      </c>
      <c r="L60" s="114" t="s">
        <v>296</v>
      </c>
      <c r="M60" s="114" t="s">
        <v>371</v>
      </c>
      <c r="N60" s="114" t="s">
        <v>349</v>
      </c>
      <c r="O60" s="114"/>
    </row>
    <row r="61" spans="1:15" x14ac:dyDescent="0.25">
      <c r="A61" s="116" t="str">
        <f t="shared" ca="1" si="9"/>
        <v>10.188.186.0</v>
      </c>
      <c r="B61" s="117">
        <f t="shared" ca="1" si="9"/>
        <v>24</v>
      </c>
      <c r="C61" s="117" t="str">
        <f t="shared" ca="1" si="9"/>
        <v>255.255.255.0</v>
      </c>
      <c r="D61" s="117">
        <f t="shared" ca="1" si="9"/>
        <v>254</v>
      </c>
      <c r="E61" s="117" t="str">
        <f t="shared" ca="1" si="9"/>
        <v>10.188.186.0</v>
      </c>
      <c r="F61" s="117" t="str">
        <f t="shared" ca="1" si="9"/>
        <v>10.188.186.255</v>
      </c>
      <c r="G61" s="117" t="str">
        <f t="shared" ca="1" si="9"/>
        <v>10.188.186.1</v>
      </c>
      <c r="H61" s="117" t="str">
        <f t="shared" ca="1" si="9"/>
        <v>10.188.186.254</v>
      </c>
      <c r="I61" s="121" t="str">
        <f t="shared" ca="1" si="10"/>
        <v>10.188.186.134</v>
      </c>
      <c r="J61" s="119" t="str">
        <f t="shared" ca="1" si="7"/>
        <v>186</v>
      </c>
      <c r="K61" s="113" t="s">
        <v>695</v>
      </c>
      <c r="L61" s="114" t="s">
        <v>296</v>
      </c>
      <c r="M61" s="114" t="s">
        <v>371</v>
      </c>
      <c r="N61" s="114" t="s">
        <v>349</v>
      </c>
      <c r="O61" s="114"/>
    </row>
    <row r="62" spans="1:15" x14ac:dyDescent="0.25">
      <c r="A62" s="116" t="str">
        <f t="shared" ca="1" si="9"/>
        <v>10.188.186.0</v>
      </c>
      <c r="B62" s="117">
        <f t="shared" ca="1" si="9"/>
        <v>24</v>
      </c>
      <c r="C62" s="117" t="str">
        <f t="shared" ca="1" si="9"/>
        <v>255.255.255.0</v>
      </c>
      <c r="D62" s="117">
        <f t="shared" ca="1" si="9"/>
        <v>254</v>
      </c>
      <c r="E62" s="117" t="str">
        <f t="shared" ca="1" si="9"/>
        <v>10.188.186.0</v>
      </c>
      <c r="F62" s="117" t="str">
        <f t="shared" ca="1" si="9"/>
        <v>10.188.186.255</v>
      </c>
      <c r="G62" s="117" t="str">
        <f t="shared" ca="1" si="9"/>
        <v>10.188.186.1</v>
      </c>
      <c r="H62" s="117" t="str">
        <f t="shared" ca="1" si="9"/>
        <v>10.188.186.254</v>
      </c>
      <c r="I62" s="121" t="str">
        <f t="shared" ca="1" si="10"/>
        <v>10.188.186.135</v>
      </c>
      <c r="J62" s="119" t="str">
        <f t="shared" ca="1" si="7"/>
        <v>186</v>
      </c>
      <c r="K62" s="113" t="s">
        <v>737</v>
      </c>
      <c r="L62" s="114" t="s">
        <v>296</v>
      </c>
      <c r="M62" s="114" t="s">
        <v>371</v>
      </c>
      <c r="N62" s="114" t="s">
        <v>349</v>
      </c>
      <c r="O62" s="114"/>
    </row>
    <row r="63" spans="1:15" x14ac:dyDescent="0.25">
      <c r="A63" s="116" t="str">
        <f t="shared" ca="1" si="9"/>
        <v>10.188.186.0</v>
      </c>
      <c r="B63" s="117">
        <f t="shared" ca="1" si="9"/>
        <v>24</v>
      </c>
      <c r="C63" s="117" t="str">
        <f t="shared" ca="1" si="9"/>
        <v>255.255.255.0</v>
      </c>
      <c r="D63" s="117">
        <f t="shared" ca="1" si="9"/>
        <v>254</v>
      </c>
      <c r="E63" s="117" t="str">
        <f t="shared" ca="1" si="9"/>
        <v>10.188.186.0</v>
      </c>
      <c r="F63" s="117" t="str">
        <f t="shared" ca="1" si="9"/>
        <v>10.188.186.255</v>
      </c>
      <c r="G63" s="117" t="str">
        <f t="shared" ca="1" si="9"/>
        <v>10.188.186.1</v>
      </c>
      <c r="H63" s="117" t="str">
        <f t="shared" ca="1" si="9"/>
        <v>10.188.186.254</v>
      </c>
      <c r="I63" s="121" t="str">
        <f t="shared" ca="1" si="10"/>
        <v>10.188.186.136</v>
      </c>
      <c r="J63" s="119" t="str">
        <f t="shared" ca="1" si="7"/>
        <v>186</v>
      </c>
      <c r="K63" s="113" t="s">
        <v>490</v>
      </c>
      <c r="L63" s="114" t="s">
        <v>296</v>
      </c>
      <c r="M63" s="114" t="s">
        <v>371</v>
      </c>
      <c r="N63" s="114" t="s">
        <v>349</v>
      </c>
      <c r="O63" s="114"/>
    </row>
    <row r="64" spans="1:15" x14ac:dyDescent="0.25">
      <c r="A64" s="116" t="str">
        <f t="shared" ref="A64:H78" ca="1" si="11">INDIRECT("R[-1]",FALSE)</f>
        <v>10.188.186.0</v>
      </c>
      <c r="B64" s="117">
        <f t="shared" ca="1" si="11"/>
        <v>24</v>
      </c>
      <c r="C64" s="117" t="str">
        <f t="shared" ca="1" si="11"/>
        <v>255.255.255.0</v>
      </c>
      <c r="D64" s="117">
        <f t="shared" ca="1" si="11"/>
        <v>254</v>
      </c>
      <c r="E64" s="117" t="str">
        <f t="shared" ca="1" si="11"/>
        <v>10.188.186.0</v>
      </c>
      <c r="F64" s="117" t="str">
        <f t="shared" ca="1" si="11"/>
        <v>10.188.186.255</v>
      </c>
      <c r="G64" s="117" t="str">
        <f t="shared" ca="1" si="11"/>
        <v>10.188.186.1</v>
      </c>
      <c r="H64" s="117" t="str">
        <f t="shared" ca="1" si="11"/>
        <v>10.188.186.254</v>
      </c>
      <c r="I64" s="121" t="str">
        <f t="shared" ca="1" si="10"/>
        <v>10.188.186.137</v>
      </c>
      <c r="J64" s="119" t="str">
        <f t="shared" ca="1" si="7"/>
        <v>186</v>
      </c>
      <c r="K64" s="113" t="s">
        <v>784</v>
      </c>
      <c r="L64" s="114" t="s">
        <v>296</v>
      </c>
      <c r="M64" s="114" t="s">
        <v>371</v>
      </c>
      <c r="N64" s="114" t="s">
        <v>349</v>
      </c>
      <c r="O64" s="114"/>
    </row>
    <row r="65" spans="1:15" x14ac:dyDescent="0.25">
      <c r="A65" s="116" t="str">
        <f t="shared" ca="1" si="11"/>
        <v>10.188.186.0</v>
      </c>
      <c r="B65" s="117">
        <f t="shared" ca="1" si="11"/>
        <v>24</v>
      </c>
      <c r="C65" s="117" t="str">
        <f t="shared" ca="1" si="11"/>
        <v>255.255.255.0</v>
      </c>
      <c r="D65" s="117">
        <f t="shared" ca="1" si="11"/>
        <v>254</v>
      </c>
      <c r="E65" s="117" t="str">
        <f t="shared" ca="1" si="11"/>
        <v>10.188.186.0</v>
      </c>
      <c r="F65" s="117" t="str">
        <f t="shared" ca="1" si="11"/>
        <v>10.188.186.255</v>
      </c>
      <c r="G65" s="117" t="str">
        <f t="shared" ca="1" si="11"/>
        <v>10.188.186.1</v>
      </c>
      <c r="H65" s="117" t="str">
        <f t="shared" ca="1" si="11"/>
        <v>10.188.186.254</v>
      </c>
      <c r="I65" s="121"/>
      <c r="J65" s="119" t="str">
        <f t="shared" ca="1" si="7"/>
        <v>186</v>
      </c>
      <c r="K65" s="113"/>
      <c r="L65" s="114"/>
      <c r="M65" s="114"/>
      <c r="N65" s="114"/>
      <c r="O65" s="114"/>
    </row>
    <row r="66" spans="1:15" x14ac:dyDescent="0.25">
      <c r="A66" s="116" t="str">
        <f t="shared" ca="1" si="11"/>
        <v>10.188.186.0</v>
      </c>
      <c r="B66" s="117">
        <f t="shared" ca="1" si="11"/>
        <v>24</v>
      </c>
      <c r="C66" s="117" t="str">
        <f t="shared" ca="1" si="11"/>
        <v>255.255.255.0</v>
      </c>
      <c r="D66" s="117">
        <f t="shared" ca="1" si="11"/>
        <v>254</v>
      </c>
      <c r="E66" s="117" t="str">
        <f t="shared" ca="1" si="11"/>
        <v>10.188.186.0</v>
      </c>
      <c r="F66" s="117" t="str">
        <f t="shared" ca="1" si="11"/>
        <v>10.188.186.255</v>
      </c>
      <c r="G66" s="117" t="str">
        <f t="shared" ca="1" si="11"/>
        <v>10.188.186.1</v>
      </c>
      <c r="H66" s="117" t="str">
        <f t="shared" ca="1" si="11"/>
        <v>10.188.186.254</v>
      </c>
      <c r="I66" s="120" t="str">
        <f ca="1">IFERROR((LEFT(A65,FIND("~",SUBSTITUTE(A65,".","~",LEN(A65)-LEN(SUBSTITUTE(A65,".",""))))))&amp;TEXT(RIGHT(A65,LEN(A65)-FIND("~",SUBSTITUTE(A65,".","~",LEN(A65)-LEN(SUBSTITUTE(A65,".","")))))+161,"000"),"")</f>
        <v>10.188.186.161</v>
      </c>
      <c r="J66" s="119" t="str">
        <f t="shared" ca="1" si="7"/>
        <v>186</v>
      </c>
      <c r="K66" s="113" t="s">
        <v>541</v>
      </c>
      <c r="L66" s="114" t="s">
        <v>307</v>
      </c>
      <c r="M66" s="114" t="s">
        <v>372</v>
      </c>
      <c r="N66" s="114" t="s">
        <v>349</v>
      </c>
      <c r="O66" s="114"/>
    </row>
    <row r="67" spans="1:15" x14ac:dyDescent="0.25">
      <c r="A67" s="116" t="str">
        <f t="shared" ca="1" si="11"/>
        <v>10.188.186.0</v>
      </c>
      <c r="B67" s="117">
        <f t="shared" ca="1" si="11"/>
        <v>24</v>
      </c>
      <c r="C67" s="117" t="str">
        <f t="shared" ca="1" si="11"/>
        <v>255.255.255.0</v>
      </c>
      <c r="D67" s="117">
        <f t="shared" ca="1" si="11"/>
        <v>254</v>
      </c>
      <c r="E67" s="117" t="str">
        <f t="shared" ca="1" si="11"/>
        <v>10.188.186.0</v>
      </c>
      <c r="F67" s="117" t="str">
        <f t="shared" ca="1" si="11"/>
        <v>10.188.186.255</v>
      </c>
      <c r="G67" s="117" t="str">
        <f t="shared" ca="1" si="11"/>
        <v>10.188.186.1</v>
      </c>
      <c r="H67" s="117" t="str">
        <f t="shared" ca="1" si="11"/>
        <v>10.188.186.254</v>
      </c>
      <c r="I67" s="121" t="str">
        <f t="shared" ref="I67:I73" ca="1" si="12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10.188.186.162</v>
      </c>
      <c r="J67" s="119" t="str">
        <f t="shared" ca="1" si="7"/>
        <v>186</v>
      </c>
      <c r="K67" s="113" t="s">
        <v>827</v>
      </c>
      <c r="L67" s="114" t="s">
        <v>307</v>
      </c>
      <c r="M67" s="114" t="s">
        <v>372</v>
      </c>
      <c r="N67" s="114" t="s">
        <v>349</v>
      </c>
      <c r="O67" s="114"/>
    </row>
    <row r="68" spans="1:15" x14ac:dyDescent="0.25">
      <c r="A68" s="116" t="str">
        <f t="shared" ca="1" si="11"/>
        <v>10.188.186.0</v>
      </c>
      <c r="B68" s="117">
        <f t="shared" ca="1" si="11"/>
        <v>24</v>
      </c>
      <c r="C68" s="117" t="str">
        <f t="shared" ca="1" si="11"/>
        <v>255.255.255.0</v>
      </c>
      <c r="D68" s="117">
        <f t="shared" ca="1" si="11"/>
        <v>254</v>
      </c>
      <c r="E68" s="117" t="str">
        <f t="shared" ca="1" si="11"/>
        <v>10.188.186.0</v>
      </c>
      <c r="F68" s="117" t="str">
        <f t="shared" ca="1" si="11"/>
        <v>10.188.186.255</v>
      </c>
      <c r="G68" s="117" t="str">
        <f t="shared" ca="1" si="11"/>
        <v>10.188.186.1</v>
      </c>
      <c r="H68" s="117" t="str">
        <f t="shared" ca="1" si="11"/>
        <v>10.188.186.254</v>
      </c>
      <c r="I68" s="121" t="str">
        <f t="shared" ca="1" si="12"/>
        <v>10.188.186.163</v>
      </c>
      <c r="J68" s="119" t="str">
        <f t="shared" ca="1" si="7"/>
        <v>186</v>
      </c>
      <c r="K68" s="113" t="s">
        <v>829</v>
      </c>
      <c r="L68" s="114" t="s">
        <v>307</v>
      </c>
      <c r="M68" s="114" t="s">
        <v>372</v>
      </c>
      <c r="N68" s="114" t="s">
        <v>349</v>
      </c>
      <c r="O68" s="114"/>
    </row>
    <row r="69" spans="1:15" x14ac:dyDescent="0.25">
      <c r="A69" s="116" t="str">
        <f t="shared" ca="1" si="11"/>
        <v>10.188.186.0</v>
      </c>
      <c r="B69" s="117">
        <f t="shared" ca="1" si="11"/>
        <v>24</v>
      </c>
      <c r="C69" s="117" t="str">
        <f t="shared" ca="1" si="11"/>
        <v>255.255.255.0</v>
      </c>
      <c r="D69" s="117">
        <f t="shared" ca="1" si="11"/>
        <v>254</v>
      </c>
      <c r="E69" s="117" t="str">
        <f t="shared" ca="1" si="11"/>
        <v>10.188.186.0</v>
      </c>
      <c r="F69" s="117" t="str">
        <f t="shared" ca="1" si="11"/>
        <v>10.188.186.255</v>
      </c>
      <c r="G69" s="117" t="str">
        <f t="shared" ca="1" si="11"/>
        <v>10.188.186.1</v>
      </c>
      <c r="H69" s="117" t="str">
        <f t="shared" ca="1" si="11"/>
        <v>10.188.186.254</v>
      </c>
      <c r="I69" s="121" t="str">
        <f t="shared" ca="1" si="12"/>
        <v>10.188.186.164</v>
      </c>
      <c r="J69" s="119" t="str">
        <f t="shared" ca="1" si="7"/>
        <v>186</v>
      </c>
      <c r="K69" s="113" t="s">
        <v>828</v>
      </c>
      <c r="L69" s="114" t="s">
        <v>307</v>
      </c>
      <c r="M69" s="114" t="s">
        <v>372</v>
      </c>
      <c r="N69" s="114" t="s">
        <v>349</v>
      </c>
      <c r="O69" s="114"/>
    </row>
    <row r="70" spans="1:15" x14ac:dyDescent="0.25">
      <c r="A70" s="116" t="str">
        <f t="shared" ca="1" si="11"/>
        <v>10.188.186.0</v>
      </c>
      <c r="B70" s="117">
        <f t="shared" ca="1" si="11"/>
        <v>24</v>
      </c>
      <c r="C70" s="117" t="str">
        <f t="shared" ca="1" si="11"/>
        <v>255.255.255.0</v>
      </c>
      <c r="D70" s="117">
        <f t="shared" ca="1" si="11"/>
        <v>254</v>
      </c>
      <c r="E70" s="117" t="str">
        <f t="shared" ca="1" si="11"/>
        <v>10.188.186.0</v>
      </c>
      <c r="F70" s="117" t="str">
        <f t="shared" ca="1" si="11"/>
        <v>10.188.186.255</v>
      </c>
      <c r="G70" s="117" t="str">
        <f t="shared" ca="1" si="11"/>
        <v>10.188.186.1</v>
      </c>
      <c r="H70" s="117" t="str">
        <f t="shared" ca="1" si="11"/>
        <v>10.188.186.254</v>
      </c>
      <c r="I70" s="121" t="str">
        <f t="shared" ca="1" si="12"/>
        <v>10.188.186.165</v>
      </c>
      <c r="J70" s="119" t="str">
        <f t="shared" ref="J70:J78" ca="1" si="13">INDIRECT("R[-1]",FALSE)</f>
        <v>186</v>
      </c>
      <c r="K70" s="113" t="s">
        <v>823</v>
      </c>
      <c r="L70" s="114" t="s">
        <v>307</v>
      </c>
      <c r="M70" s="114" t="s">
        <v>372</v>
      </c>
      <c r="N70" s="114" t="s">
        <v>349</v>
      </c>
      <c r="O70" s="114"/>
    </row>
    <row r="71" spans="1:15" x14ac:dyDescent="0.25">
      <c r="A71" s="116" t="str">
        <f t="shared" ca="1" si="11"/>
        <v>10.188.186.0</v>
      </c>
      <c r="B71" s="117">
        <f t="shared" ca="1" si="11"/>
        <v>24</v>
      </c>
      <c r="C71" s="117" t="str">
        <f t="shared" ca="1" si="11"/>
        <v>255.255.255.0</v>
      </c>
      <c r="D71" s="117">
        <f t="shared" ca="1" si="11"/>
        <v>254</v>
      </c>
      <c r="E71" s="117" t="str">
        <f t="shared" ca="1" si="11"/>
        <v>10.188.186.0</v>
      </c>
      <c r="F71" s="117" t="str">
        <f t="shared" ca="1" si="11"/>
        <v>10.188.186.255</v>
      </c>
      <c r="G71" s="117" t="str">
        <f t="shared" ca="1" si="11"/>
        <v>10.188.186.1</v>
      </c>
      <c r="H71" s="117" t="str">
        <f t="shared" ca="1" si="11"/>
        <v>10.188.186.254</v>
      </c>
      <c r="I71" s="121" t="str">
        <f t="shared" ca="1" si="12"/>
        <v>10.188.186.166</v>
      </c>
      <c r="J71" s="119" t="str">
        <f t="shared" ca="1" si="13"/>
        <v>186</v>
      </c>
      <c r="K71" s="113" t="s">
        <v>824</v>
      </c>
      <c r="L71" s="114" t="s">
        <v>307</v>
      </c>
      <c r="M71" s="114" t="s">
        <v>372</v>
      </c>
      <c r="N71" s="114" t="s">
        <v>349</v>
      </c>
      <c r="O71" s="114"/>
    </row>
    <row r="72" spans="1:15" x14ac:dyDescent="0.25">
      <c r="A72" s="116" t="str">
        <f t="shared" ca="1" si="11"/>
        <v>10.188.186.0</v>
      </c>
      <c r="B72" s="117">
        <f t="shared" ca="1" si="11"/>
        <v>24</v>
      </c>
      <c r="C72" s="117" t="str">
        <f t="shared" ca="1" si="11"/>
        <v>255.255.255.0</v>
      </c>
      <c r="D72" s="117">
        <f t="shared" ca="1" si="11"/>
        <v>254</v>
      </c>
      <c r="E72" s="117" t="str">
        <f t="shared" ca="1" si="11"/>
        <v>10.188.186.0</v>
      </c>
      <c r="F72" s="117" t="str">
        <f t="shared" ca="1" si="11"/>
        <v>10.188.186.255</v>
      </c>
      <c r="G72" s="117" t="str">
        <f t="shared" ca="1" si="11"/>
        <v>10.188.186.1</v>
      </c>
      <c r="H72" s="117" t="str">
        <f t="shared" ca="1" si="11"/>
        <v>10.188.186.254</v>
      </c>
      <c r="I72" s="121" t="str">
        <f t="shared" ca="1" si="12"/>
        <v>10.188.186.167</v>
      </c>
      <c r="J72" s="119" t="str">
        <f t="shared" ca="1" si="13"/>
        <v>186</v>
      </c>
      <c r="K72" s="113" t="s">
        <v>825</v>
      </c>
      <c r="L72" s="114" t="s">
        <v>307</v>
      </c>
      <c r="M72" s="114" t="s">
        <v>372</v>
      </c>
      <c r="N72" s="114" t="s">
        <v>349</v>
      </c>
      <c r="O72" s="114"/>
    </row>
    <row r="73" spans="1:15" x14ac:dyDescent="0.25">
      <c r="A73" s="116" t="str">
        <f t="shared" ca="1" si="11"/>
        <v>10.188.186.0</v>
      </c>
      <c r="B73" s="117">
        <f t="shared" ca="1" si="11"/>
        <v>24</v>
      </c>
      <c r="C73" s="117" t="str">
        <f t="shared" ca="1" si="11"/>
        <v>255.255.255.0</v>
      </c>
      <c r="D73" s="117">
        <f t="shared" ca="1" si="11"/>
        <v>254</v>
      </c>
      <c r="E73" s="117" t="str">
        <f t="shared" ca="1" si="11"/>
        <v>10.188.186.0</v>
      </c>
      <c r="F73" s="117" t="str">
        <f t="shared" ca="1" si="11"/>
        <v>10.188.186.255</v>
      </c>
      <c r="G73" s="117" t="str">
        <f t="shared" ca="1" si="11"/>
        <v>10.188.186.1</v>
      </c>
      <c r="H73" s="117" t="str">
        <f t="shared" ca="1" si="11"/>
        <v>10.188.186.254</v>
      </c>
      <c r="I73" s="121" t="str">
        <f t="shared" ca="1" si="12"/>
        <v>10.188.186.168</v>
      </c>
      <c r="J73" s="119" t="str">
        <f t="shared" ca="1" si="13"/>
        <v>186</v>
      </c>
      <c r="K73" s="113" t="s">
        <v>826</v>
      </c>
      <c r="L73" s="114" t="s">
        <v>307</v>
      </c>
      <c r="M73" s="114" t="s">
        <v>372</v>
      </c>
      <c r="N73" s="114" t="s">
        <v>349</v>
      </c>
      <c r="O73" s="114"/>
    </row>
    <row r="74" spans="1:15" x14ac:dyDescent="0.25">
      <c r="A74" s="116" t="str">
        <f t="shared" ca="1" si="11"/>
        <v>10.188.186.0</v>
      </c>
      <c r="B74" s="117">
        <f t="shared" ca="1" si="11"/>
        <v>24</v>
      </c>
      <c r="C74" s="117" t="str">
        <f t="shared" ca="1" si="11"/>
        <v>255.255.255.0</v>
      </c>
      <c r="D74" s="117">
        <f t="shared" ca="1" si="11"/>
        <v>254</v>
      </c>
      <c r="E74" s="117" t="str">
        <f t="shared" ca="1" si="11"/>
        <v>10.188.186.0</v>
      </c>
      <c r="F74" s="117" t="str">
        <f t="shared" ca="1" si="11"/>
        <v>10.188.186.255</v>
      </c>
      <c r="G74" s="117" t="str">
        <f t="shared" ca="1" si="11"/>
        <v>10.188.186.1</v>
      </c>
      <c r="H74" s="117" t="str">
        <f t="shared" ca="1" si="11"/>
        <v>10.188.186.254</v>
      </c>
      <c r="I74" s="121"/>
      <c r="J74" s="119" t="str">
        <f t="shared" ca="1" si="13"/>
        <v>186</v>
      </c>
      <c r="K74" s="113"/>
      <c r="L74" s="114"/>
      <c r="M74" s="114"/>
      <c r="N74" s="114"/>
      <c r="O74" s="114"/>
    </row>
    <row r="75" spans="1:15" x14ac:dyDescent="0.25">
      <c r="A75" s="116" t="str">
        <f t="shared" ca="1" si="11"/>
        <v>10.188.186.0</v>
      </c>
      <c r="B75" s="117">
        <f t="shared" ca="1" si="11"/>
        <v>24</v>
      </c>
      <c r="C75" s="117" t="str">
        <f t="shared" ca="1" si="11"/>
        <v>255.255.255.0</v>
      </c>
      <c r="D75" s="117">
        <f t="shared" ca="1" si="11"/>
        <v>254</v>
      </c>
      <c r="E75" s="117" t="str">
        <f t="shared" ca="1" si="11"/>
        <v>10.188.186.0</v>
      </c>
      <c r="F75" s="117" t="str">
        <f t="shared" ca="1" si="11"/>
        <v>10.188.186.255</v>
      </c>
      <c r="G75" s="117" t="str">
        <f t="shared" ca="1" si="11"/>
        <v>10.188.186.1</v>
      </c>
      <c r="H75" s="117" t="str">
        <f t="shared" ca="1" si="11"/>
        <v>10.188.186.254</v>
      </c>
      <c r="I75" s="121"/>
      <c r="J75" s="119" t="str">
        <f t="shared" ca="1" si="13"/>
        <v>186</v>
      </c>
      <c r="K75" s="113"/>
      <c r="L75" s="114"/>
      <c r="M75" s="114"/>
      <c r="N75" s="114"/>
      <c r="O75" s="114"/>
    </row>
    <row r="76" spans="1:15" x14ac:dyDescent="0.25">
      <c r="A76" s="116" t="str">
        <f t="shared" ca="1" si="11"/>
        <v>10.188.186.0</v>
      </c>
      <c r="B76" s="117">
        <f t="shared" ca="1" si="11"/>
        <v>24</v>
      </c>
      <c r="C76" s="117" t="str">
        <f t="shared" ca="1" si="11"/>
        <v>255.255.255.0</v>
      </c>
      <c r="D76" s="117">
        <f t="shared" ca="1" si="11"/>
        <v>254</v>
      </c>
      <c r="E76" s="117" t="str">
        <f t="shared" ca="1" si="11"/>
        <v>10.188.186.0</v>
      </c>
      <c r="F76" s="117" t="str">
        <f t="shared" ca="1" si="11"/>
        <v>10.188.186.255</v>
      </c>
      <c r="G76" s="117" t="str">
        <f t="shared" ca="1" si="11"/>
        <v>10.188.186.1</v>
      </c>
      <c r="H76" s="117" t="str">
        <f t="shared" ca="1" si="11"/>
        <v>10.188.186.254</v>
      </c>
      <c r="I76" s="121" t="s">
        <v>341</v>
      </c>
      <c r="J76" s="119" t="str">
        <f t="shared" ca="1" si="13"/>
        <v>186</v>
      </c>
      <c r="K76" s="113"/>
      <c r="L76" s="114"/>
      <c r="M76" s="114" t="s">
        <v>338</v>
      </c>
      <c r="N76" s="114"/>
      <c r="O76" s="114" t="s">
        <v>485</v>
      </c>
    </row>
    <row r="77" spans="1:15" x14ac:dyDescent="0.25">
      <c r="A77" s="116" t="str">
        <f t="shared" ca="1" si="11"/>
        <v>10.188.186.0</v>
      </c>
      <c r="B77" s="117">
        <f t="shared" ca="1" si="11"/>
        <v>24</v>
      </c>
      <c r="C77" s="117" t="str">
        <f t="shared" ca="1" si="11"/>
        <v>255.255.255.0</v>
      </c>
      <c r="D77" s="117">
        <f t="shared" ca="1" si="11"/>
        <v>254</v>
      </c>
      <c r="E77" s="117" t="str">
        <f t="shared" ca="1" si="11"/>
        <v>10.188.186.0</v>
      </c>
      <c r="F77" s="117" t="str">
        <f t="shared" ca="1" si="11"/>
        <v>10.188.186.255</v>
      </c>
      <c r="G77" s="117" t="str">
        <f t="shared" ca="1" si="11"/>
        <v>10.188.186.1</v>
      </c>
      <c r="H77" s="117" t="str">
        <f t="shared" ca="1" si="11"/>
        <v>10.188.186.254</v>
      </c>
      <c r="I77" s="121" t="s">
        <v>340</v>
      </c>
      <c r="J77" s="119" t="str">
        <f t="shared" ca="1" si="13"/>
        <v>186</v>
      </c>
      <c r="K77" s="113"/>
      <c r="L77" s="114"/>
      <c r="M77" s="114" t="s">
        <v>339</v>
      </c>
      <c r="N77" s="114"/>
      <c r="O77" s="114" t="s">
        <v>486</v>
      </c>
    </row>
    <row r="78" spans="1:15" x14ac:dyDescent="0.25">
      <c r="A78" s="123" t="str">
        <f t="shared" ca="1" si="11"/>
        <v>10.188.186.0</v>
      </c>
      <c r="B78" s="117">
        <f t="shared" ca="1" si="11"/>
        <v>24</v>
      </c>
      <c r="C78" s="124" t="str">
        <f t="shared" ca="1" si="11"/>
        <v>255.255.255.0</v>
      </c>
      <c r="D78" s="124">
        <f t="shared" ca="1" si="11"/>
        <v>254</v>
      </c>
      <c r="E78" s="124" t="str">
        <f t="shared" ca="1" si="11"/>
        <v>10.188.186.0</v>
      </c>
      <c r="F78" s="124" t="str">
        <f t="shared" ca="1" si="11"/>
        <v>10.188.186.255</v>
      </c>
      <c r="G78" s="124" t="str">
        <f t="shared" ca="1" si="11"/>
        <v>10.188.186.1</v>
      </c>
      <c r="H78" s="124" t="str">
        <f t="shared" ca="1" si="11"/>
        <v>10.188.186.254</v>
      </c>
      <c r="I78" s="121" t="s">
        <v>337</v>
      </c>
      <c r="J78" s="119" t="str">
        <f t="shared" ca="1" si="13"/>
        <v>186</v>
      </c>
      <c r="K78" s="113" t="s">
        <v>6</v>
      </c>
      <c r="L78" s="114" t="s">
        <v>382</v>
      </c>
      <c r="M78" s="114" t="s">
        <v>403</v>
      </c>
      <c r="N78" s="114"/>
      <c r="O78" s="109" t="s">
        <v>487</v>
      </c>
    </row>
    <row r="79" spans="1:15" x14ac:dyDescent="0.25">
      <c r="A79" s="114"/>
      <c r="B79" s="125"/>
      <c r="C79" s="125"/>
      <c r="D79" s="126"/>
      <c r="E79" s="127"/>
      <c r="F79" s="127"/>
      <c r="G79" s="127"/>
      <c r="H79" s="127"/>
      <c r="I79" s="128"/>
      <c r="J79" s="129"/>
      <c r="K79" s="130"/>
      <c r="L79" s="131"/>
      <c r="M79" s="131"/>
      <c r="N79" s="131"/>
      <c r="O79" s="131"/>
    </row>
    <row r="80" spans="1:15" x14ac:dyDescent="0.25">
      <c r="A80" s="109" t="s">
        <v>477</v>
      </c>
      <c r="B80" s="110">
        <v>24</v>
      </c>
      <c r="C80" s="110" t="str">
        <f>LOOKUP(B80,{24,25,26,27,28,29,30},{"255.255.255.0","255.255.255.128","255.255.255.192","255.255.255.224","255.255.255.240","255.255.255.248","255.255.255.252"})</f>
        <v>255.255.255.0</v>
      </c>
      <c r="D80" s="110">
        <f>LOOKUP(B80,{24,25,26,27,28,29,30},{254,126,62,30,14,6,2})</f>
        <v>254</v>
      </c>
      <c r="E80" s="110" t="str">
        <f>A80</f>
        <v>10.188.187.0</v>
      </c>
      <c r="F80" s="110" t="str">
        <f>IFERROR((LEFT(A80,FIND("~",SUBSTITUTE(A80,".","~",LEN(A80)-LEN(SUBSTITUTE(A80,".",""))))))&amp;RIGHT(A80,LEN(A80)-FIND("~",SUBSTITUTE(A80,".","~",LEN(A80)-LEN(SUBSTITUTE(A80,".","")))))+(D80+1),"")</f>
        <v>10.188.187.255</v>
      </c>
      <c r="G80" s="110" t="str">
        <f>IFERROR((LEFT(A80,FIND("~",SUBSTITUTE(A80,".","~",LEN(A80)-LEN(SUBSTITUTE(A80,".",""))))))&amp;RIGHT(A80,LEN(A80)-FIND("~",SUBSTITUTE(A80,".","~",LEN(A80)-LEN(SUBSTITUTE(A80,".","")))))+1,"")</f>
        <v>10.188.187.1</v>
      </c>
      <c r="H80" s="110" t="str">
        <f>IFERROR((LEFT(A80,FIND("~",SUBSTITUTE(A80,".","~",LEN(A80)-LEN(SUBSTITUTE(A80,".",""))))))&amp;RIGHT(A80,LEN(A80)-FIND("~",SUBSTITUTE(A80,".","~",LEN(A80)-LEN(SUBSTITUTE(A80,".","")))))+D80,"")</f>
        <v>10.188.187.254</v>
      </c>
      <c r="I80" s="111" t="s">
        <v>383</v>
      </c>
      <c r="J80" s="112" t="s">
        <v>333</v>
      </c>
      <c r="K80" s="113"/>
      <c r="L80" s="114"/>
      <c r="M80" s="114" t="s">
        <v>380</v>
      </c>
      <c r="N80" s="114" t="s">
        <v>380</v>
      </c>
      <c r="O80" s="114"/>
    </row>
    <row r="81" spans="1:15" x14ac:dyDescent="0.25">
      <c r="A81" s="116" t="str">
        <f t="shared" ref="A81:H96" ca="1" si="14">INDIRECT("R[-1]",FALSE)</f>
        <v>10.188.187.0</v>
      </c>
      <c r="B81" s="117">
        <f t="shared" ca="1" si="14"/>
        <v>24</v>
      </c>
      <c r="C81" s="117" t="str">
        <f t="shared" ca="1" si="14"/>
        <v>255.255.255.0</v>
      </c>
      <c r="D81" s="117">
        <f t="shared" ca="1" si="14"/>
        <v>254</v>
      </c>
      <c r="E81" s="117" t="str">
        <f t="shared" ca="1" si="14"/>
        <v>10.188.187.0</v>
      </c>
      <c r="F81" s="117" t="str">
        <f t="shared" ca="1" si="14"/>
        <v>10.188.187.255</v>
      </c>
      <c r="G81" s="117" t="str">
        <f t="shared" ca="1" si="14"/>
        <v>10.188.187.1</v>
      </c>
      <c r="H81" s="117" t="str">
        <f t="shared" ca="1" si="14"/>
        <v>10.188.187.254</v>
      </c>
      <c r="I81" s="118" t="s">
        <v>351</v>
      </c>
      <c r="J81" s="119" t="str">
        <f t="shared" ref="J81:J127" ca="1" si="15">INDIRECT("R[-1]",FALSE)</f>
        <v>187</v>
      </c>
      <c r="K81" s="113"/>
      <c r="L81" s="114"/>
      <c r="M81" s="114" t="s">
        <v>373</v>
      </c>
      <c r="N81" s="114" t="s">
        <v>373</v>
      </c>
      <c r="O81" s="114"/>
    </row>
    <row r="82" spans="1:15" x14ac:dyDescent="0.25">
      <c r="A82" s="116" t="str">
        <f t="shared" ca="1" si="14"/>
        <v>10.188.187.0</v>
      </c>
      <c r="B82" s="117">
        <f t="shared" ca="1" si="14"/>
        <v>24</v>
      </c>
      <c r="C82" s="117" t="str">
        <f t="shared" ca="1" si="14"/>
        <v>255.255.255.0</v>
      </c>
      <c r="D82" s="117">
        <f t="shared" ca="1" si="14"/>
        <v>254</v>
      </c>
      <c r="E82" s="117" t="str">
        <f t="shared" ca="1" si="14"/>
        <v>10.188.187.0</v>
      </c>
      <c r="F82" s="117" t="str">
        <f t="shared" ca="1" si="14"/>
        <v>10.188.187.255</v>
      </c>
      <c r="G82" s="117" t="str">
        <f t="shared" ca="1" si="14"/>
        <v>10.188.187.1</v>
      </c>
      <c r="H82" s="117" t="str">
        <f t="shared" ca="1" si="14"/>
        <v>10.188.187.254</v>
      </c>
      <c r="I82" s="120" t="str">
        <f ca="1">IFERROR((LEFT(A81,FIND("~",SUBSTITUTE(A81,".","~",LEN(A81)-LEN(SUBSTITUTE(A81,".",""))))))&amp;TEXT(RIGHT(A81,LEN(A81)-FIND("~",SUBSTITUTE(A81,".","~",LEN(A81)-LEN(SUBSTITUTE(A81,".","")))))+11,"000"),"")</f>
        <v>10.188.187.011</v>
      </c>
      <c r="J82" s="119" t="str">
        <f t="shared" ca="1" si="15"/>
        <v>187</v>
      </c>
      <c r="K82" s="132" t="s">
        <v>529</v>
      </c>
      <c r="L82" s="114" t="s">
        <v>358</v>
      </c>
      <c r="M82" s="109" t="s">
        <v>373</v>
      </c>
      <c r="N82" s="109" t="s">
        <v>373</v>
      </c>
      <c r="O82" s="114"/>
    </row>
    <row r="83" spans="1:15" x14ac:dyDescent="0.25">
      <c r="A83" s="116" t="str">
        <f t="shared" ca="1" si="14"/>
        <v>10.188.187.0</v>
      </c>
      <c r="B83" s="117">
        <f t="shared" ca="1" si="14"/>
        <v>24</v>
      </c>
      <c r="C83" s="117" t="str">
        <f t="shared" ca="1" si="14"/>
        <v>255.255.255.0</v>
      </c>
      <c r="D83" s="117">
        <f t="shared" ca="1" si="14"/>
        <v>254</v>
      </c>
      <c r="E83" s="117" t="str">
        <f t="shared" ca="1" si="14"/>
        <v>10.188.187.0</v>
      </c>
      <c r="F83" s="117" t="str">
        <f t="shared" ca="1" si="14"/>
        <v>10.188.187.255</v>
      </c>
      <c r="G83" s="117" t="str">
        <f t="shared" ca="1" si="14"/>
        <v>10.188.187.1</v>
      </c>
      <c r="H83" s="117" t="str">
        <f t="shared" ca="1" si="14"/>
        <v>10.188.187.254</v>
      </c>
      <c r="I83" s="133" t="str">
        <f ca="1">INDIRECT("R[-1]",FALSE)</f>
        <v>10.188.187.011</v>
      </c>
      <c r="J83" s="119" t="str">
        <f t="shared" ca="1" si="15"/>
        <v>187</v>
      </c>
      <c r="K83" s="134" t="str">
        <f ca="1">INDIRECT("R[-1]",FALSE)</f>
        <v>814-1-PMLP</v>
      </c>
      <c r="L83" s="114" t="s">
        <v>359</v>
      </c>
      <c r="M83" s="135" t="str">
        <f ca="1">INDIRECT("R[-1]",FALSE)</f>
        <v>ProMedia Live/Package INGRESS</v>
      </c>
      <c r="N83" s="135" t="str">
        <f ca="1">INDIRECT("R[-1]",FALSE)</f>
        <v>ProMedia Live/Package INGRESS</v>
      </c>
      <c r="O83" s="114"/>
    </row>
    <row r="84" spans="1:15" x14ac:dyDescent="0.25">
      <c r="A84" s="116" t="str">
        <f t="shared" ca="1" si="14"/>
        <v>10.188.187.0</v>
      </c>
      <c r="B84" s="117">
        <f t="shared" ca="1" si="14"/>
        <v>24</v>
      </c>
      <c r="C84" s="117" t="str">
        <f t="shared" ca="1" si="14"/>
        <v>255.255.255.0</v>
      </c>
      <c r="D84" s="117">
        <f t="shared" ca="1" si="14"/>
        <v>254</v>
      </c>
      <c r="E84" s="117" t="str">
        <f t="shared" ca="1" si="14"/>
        <v>10.188.187.0</v>
      </c>
      <c r="F84" s="117" t="str">
        <f t="shared" ca="1" si="14"/>
        <v>10.188.187.255</v>
      </c>
      <c r="G84" s="117" t="str">
        <f t="shared" ca="1" si="14"/>
        <v>10.188.187.1</v>
      </c>
      <c r="H84" s="117" t="str">
        <f t="shared" ca="1" si="14"/>
        <v>10.188.187.254</v>
      </c>
      <c r="I8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10.188.187.012</v>
      </c>
      <c r="J84" s="119" t="str">
        <f t="shared" ca="1" si="15"/>
        <v>187</v>
      </c>
      <c r="K84" s="132" t="s">
        <v>535</v>
      </c>
      <c r="L84" s="114" t="s">
        <v>358</v>
      </c>
      <c r="M84" s="109" t="s">
        <v>373</v>
      </c>
      <c r="N84" s="109" t="s">
        <v>373</v>
      </c>
      <c r="O84" s="114"/>
    </row>
    <row r="85" spans="1:15" x14ac:dyDescent="0.25">
      <c r="A85" s="116" t="str">
        <f t="shared" ca="1" si="14"/>
        <v>10.188.187.0</v>
      </c>
      <c r="B85" s="117">
        <f t="shared" ca="1" si="14"/>
        <v>24</v>
      </c>
      <c r="C85" s="117" t="str">
        <f t="shared" ca="1" si="14"/>
        <v>255.255.255.0</v>
      </c>
      <c r="D85" s="117">
        <f t="shared" ca="1" si="14"/>
        <v>254</v>
      </c>
      <c r="E85" s="117" t="str">
        <f t="shared" ca="1" si="14"/>
        <v>10.188.187.0</v>
      </c>
      <c r="F85" s="117" t="str">
        <f t="shared" ca="1" si="14"/>
        <v>10.188.187.255</v>
      </c>
      <c r="G85" s="117" t="str">
        <f t="shared" ca="1" si="14"/>
        <v>10.188.187.1</v>
      </c>
      <c r="H85" s="117" t="str">
        <f t="shared" ca="1" si="14"/>
        <v>10.188.187.254</v>
      </c>
      <c r="I85" s="133" t="str">
        <f ca="1">INDIRECT("R[-1]",FALSE)</f>
        <v>10.188.187.012</v>
      </c>
      <c r="J85" s="119" t="str">
        <f t="shared" ca="1" si="15"/>
        <v>187</v>
      </c>
      <c r="K85" s="134" t="str">
        <f ca="1">INDIRECT("R[-1]",FALSE)</f>
        <v>814-2-PMLP</v>
      </c>
      <c r="L85" s="114" t="s">
        <v>359</v>
      </c>
      <c r="M85" s="135" t="str">
        <f ca="1">INDIRECT("R[-1]",FALSE)</f>
        <v>ProMedia Live/Package INGRESS</v>
      </c>
      <c r="N85" s="135" t="str">
        <f ca="1">INDIRECT("R[-1]",FALSE)</f>
        <v>ProMedia Live/Package INGRESS</v>
      </c>
      <c r="O85" s="114"/>
    </row>
    <row r="86" spans="1:15" x14ac:dyDescent="0.25">
      <c r="A86" s="116" t="str">
        <f t="shared" ca="1" si="14"/>
        <v>10.188.187.0</v>
      </c>
      <c r="B86" s="117">
        <f t="shared" ca="1" si="14"/>
        <v>24</v>
      </c>
      <c r="C86" s="117" t="str">
        <f t="shared" ca="1" si="14"/>
        <v>255.255.255.0</v>
      </c>
      <c r="D86" s="117">
        <f t="shared" ca="1" si="14"/>
        <v>254</v>
      </c>
      <c r="E86" s="117" t="str">
        <f t="shared" ca="1" si="14"/>
        <v>10.188.187.0</v>
      </c>
      <c r="F86" s="117" t="str">
        <f t="shared" ca="1" si="14"/>
        <v>10.188.187.255</v>
      </c>
      <c r="G86" s="117" t="str">
        <f t="shared" ca="1" si="14"/>
        <v>10.188.187.1</v>
      </c>
      <c r="H86" s="117" t="str">
        <f t="shared" ca="1" si="14"/>
        <v>10.188.187.254</v>
      </c>
      <c r="I8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10.188.187.013</v>
      </c>
      <c r="J86" s="119" t="str">
        <f t="shared" ca="1" si="15"/>
        <v>187</v>
      </c>
      <c r="K86" s="132" t="s">
        <v>530</v>
      </c>
      <c r="L86" s="114" t="s">
        <v>358</v>
      </c>
      <c r="M86" s="109" t="s">
        <v>373</v>
      </c>
      <c r="N86" s="109" t="s">
        <v>373</v>
      </c>
      <c r="O86" s="114"/>
    </row>
    <row r="87" spans="1:15" x14ac:dyDescent="0.25">
      <c r="A87" s="116" t="str">
        <f t="shared" ca="1" si="14"/>
        <v>10.188.187.0</v>
      </c>
      <c r="B87" s="117">
        <f t="shared" ca="1" si="14"/>
        <v>24</v>
      </c>
      <c r="C87" s="117" t="str">
        <f t="shared" ca="1" si="14"/>
        <v>255.255.255.0</v>
      </c>
      <c r="D87" s="117">
        <f t="shared" ca="1" si="14"/>
        <v>254</v>
      </c>
      <c r="E87" s="117" t="str">
        <f t="shared" ca="1" si="14"/>
        <v>10.188.187.0</v>
      </c>
      <c r="F87" s="117" t="str">
        <f t="shared" ca="1" si="14"/>
        <v>10.188.187.255</v>
      </c>
      <c r="G87" s="117" t="str">
        <f t="shared" ca="1" si="14"/>
        <v>10.188.187.1</v>
      </c>
      <c r="H87" s="117" t="str">
        <f t="shared" ca="1" si="14"/>
        <v>10.188.187.254</v>
      </c>
      <c r="I87" s="133" t="str">
        <f ca="1">INDIRECT("R[-1]",FALSE)</f>
        <v>10.188.187.013</v>
      </c>
      <c r="J87" s="119" t="str">
        <f t="shared" ca="1" si="15"/>
        <v>187</v>
      </c>
      <c r="K87" s="134" t="str">
        <f ca="1">INDIRECT("R[-1]",FALSE)</f>
        <v>812-1-PMLP</v>
      </c>
      <c r="L87" s="114" t="s">
        <v>359</v>
      </c>
      <c r="M87" s="135" t="str">
        <f ca="1">INDIRECT("R[-1]",FALSE)</f>
        <v>ProMedia Live/Package INGRESS</v>
      </c>
      <c r="N87" s="135" t="str">
        <f ca="1">INDIRECT("R[-1]",FALSE)</f>
        <v>ProMedia Live/Package INGRESS</v>
      </c>
      <c r="O87" s="114"/>
    </row>
    <row r="88" spans="1:15" x14ac:dyDescent="0.25">
      <c r="A88" s="116" t="str">
        <f t="shared" ca="1" si="14"/>
        <v>10.188.187.0</v>
      </c>
      <c r="B88" s="117">
        <f t="shared" ca="1" si="14"/>
        <v>24</v>
      </c>
      <c r="C88" s="117" t="str">
        <f t="shared" ca="1" si="14"/>
        <v>255.255.255.0</v>
      </c>
      <c r="D88" s="117">
        <f t="shared" ca="1" si="14"/>
        <v>254</v>
      </c>
      <c r="E88" s="117" t="str">
        <f t="shared" ca="1" si="14"/>
        <v>10.188.187.0</v>
      </c>
      <c r="F88" s="117" t="str">
        <f t="shared" ca="1" si="14"/>
        <v>10.188.187.255</v>
      </c>
      <c r="G88" s="117" t="str">
        <f t="shared" ca="1" si="14"/>
        <v>10.188.187.1</v>
      </c>
      <c r="H88" s="117" t="str">
        <f t="shared" ca="1" si="14"/>
        <v>10.188.187.254</v>
      </c>
      <c r="I8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10.188.187.014</v>
      </c>
      <c r="J88" s="119" t="str">
        <f t="shared" ca="1" si="15"/>
        <v>187</v>
      </c>
      <c r="K88" s="132" t="s">
        <v>536</v>
      </c>
      <c r="L88" s="114" t="s">
        <v>358</v>
      </c>
      <c r="M88" s="109" t="s">
        <v>373</v>
      </c>
      <c r="N88" s="109" t="s">
        <v>373</v>
      </c>
      <c r="O88" s="114"/>
    </row>
    <row r="89" spans="1:15" x14ac:dyDescent="0.25">
      <c r="A89" s="116" t="str">
        <f t="shared" ca="1" si="14"/>
        <v>10.188.187.0</v>
      </c>
      <c r="B89" s="117">
        <f t="shared" ca="1" si="14"/>
        <v>24</v>
      </c>
      <c r="C89" s="117" t="str">
        <f t="shared" ca="1" si="14"/>
        <v>255.255.255.0</v>
      </c>
      <c r="D89" s="117">
        <f t="shared" ca="1" si="14"/>
        <v>254</v>
      </c>
      <c r="E89" s="117" t="str">
        <f t="shared" ca="1" si="14"/>
        <v>10.188.187.0</v>
      </c>
      <c r="F89" s="117" t="str">
        <f t="shared" ca="1" si="14"/>
        <v>10.188.187.255</v>
      </c>
      <c r="G89" s="117" t="str">
        <f t="shared" ca="1" si="14"/>
        <v>10.188.187.1</v>
      </c>
      <c r="H89" s="117" t="str">
        <f t="shared" ca="1" si="14"/>
        <v>10.188.187.254</v>
      </c>
      <c r="I89" s="133" t="str">
        <f ca="1">INDIRECT("R[-1]",FALSE)</f>
        <v>10.188.187.014</v>
      </c>
      <c r="J89" s="119" t="str">
        <f t="shared" ca="1" si="15"/>
        <v>187</v>
      </c>
      <c r="K89" s="134" t="str">
        <f ca="1">INDIRECT("R[-1]",FALSE)</f>
        <v>812-2-PMLP</v>
      </c>
      <c r="L89" s="114" t="s">
        <v>359</v>
      </c>
      <c r="M89" s="135" t="str">
        <f ca="1">INDIRECT("R[-1]",FALSE)</f>
        <v>ProMedia Live/Package INGRESS</v>
      </c>
      <c r="N89" s="135" t="str">
        <f ca="1">INDIRECT("R[-1]",FALSE)</f>
        <v>ProMedia Live/Package INGRESS</v>
      </c>
      <c r="O89" s="114"/>
    </row>
    <row r="90" spans="1:15" x14ac:dyDescent="0.25">
      <c r="A90" s="116" t="str">
        <f t="shared" ca="1" si="14"/>
        <v>10.188.187.0</v>
      </c>
      <c r="B90" s="117">
        <f t="shared" ca="1" si="14"/>
        <v>24</v>
      </c>
      <c r="C90" s="117" t="str">
        <f t="shared" ca="1" si="14"/>
        <v>255.255.255.0</v>
      </c>
      <c r="D90" s="117">
        <f t="shared" ca="1" si="14"/>
        <v>254</v>
      </c>
      <c r="E90" s="117" t="str">
        <f t="shared" ca="1" si="14"/>
        <v>10.188.187.0</v>
      </c>
      <c r="F90" s="117" t="str">
        <f t="shared" ca="1" si="14"/>
        <v>10.188.187.255</v>
      </c>
      <c r="G90" s="117" t="str">
        <f t="shared" ca="1" si="14"/>
        <v>10.188.187.1</v>
      </c>
      <c r="H90" s="117" t="str">
        <f t="shared" ca="1" si="14"/>
        <v>10.188.187.254</v>
      </c>
      <c r="I9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10.188.187.015</v>
      </c>
      <c r="J90" s="119" t="str">
        <f t="shared" ca="1" si="15"/>
        <v>187</v>
      </c>
      <c r="K90" s="132" t="s">
        <v>531</v>
      </c>
      <c r="L90" s="114" t="s">
        <v>358</v>
      </c>
      <c r="M90" s="109" t="s">
        <v>373</v>
      </c>
      <c r="N90" s="109" t="s">
        <v>373</v>
      </c>
      <c r="O90" s="114"/>
    </row>
    <row r="91" spans="1:15" x14ac:dyDescent="0.25">
      <c r="A91" s="116" t="str">
        <f t="shared" ca="1" si="14"/>
        <v>10.188.187.0</v>
      </c>
      <c r="B91" s="117">
        <f t="shared" ca="1" si="14"/>
        <v>24</v>
      </c>
      <c r="C91" s="117" t="str">
        <f t="shared" ca="1" si="14"/>
        <v>255.255.255.0</v>
      </c>
      <c r="D91" s="117">
        <f t="shared" ca="1" si="14"/>
        <v>254</v>
      </c>
      <c r="E91" s="117" t="str">
        <f t="shared" ca="1" si="14"/>
        <v>10.188.187.0</v>
      </c>
      <c r="F91" s="117" t="str">
        <f t="shared" ca="1" si="14"/>
        <v>10.188.187.255</v>
      </c>
      <c r="G91" s="117" t="str">
        <f t="shared" ca="1" si="14"/>
        <v>10.188.187.1</v>
      </c>
      <c r="H91" s="117" t="str">
        <f t="shared" ca="1" si="14"/>
        <v>10.188.187.254</v>
      </c>
      <c r="I91" s="133" t="str">
        <f ca="1">INDIRECT("R[-1]",FALSE)</f>
        <v>10.188.187.015</v>
      </c>
      <c r="J91" s="119" t="str">
        <f t="shared" ca="1" si="15"/>
        <v>187</v>
      </c>
      <c r="K91" s="134" t="str">
        <f ca="1">INDIRECT("R[-1]",FALSE)</f>
        <v>810-1-PMLP</v>
      </c>
      <c r="L91" s="114" t="s">
        <v>359</v>
      </c>
      <c r="M91" s="135" t="str">
        <f ca="1">INDIRECT("R[-1]",FALSE)</f>
        <v>ProMedia Live/Package INGRESS</v>
      </c>
      <c r="N91" s="135" t="str">
        <f ca="1">INDIRECT("R[-1]",FALSE)</f>
        <v>ProMedia Live/Package INGRESS</v>
      </c>
      <c r="O91" s="114"/>
    </row>
    <row r="92" spans="1:15" x14ac:dyDescent="0.25">
      <c r="A92" s="116" t="str">
        <f t="shared" ca="1" si="14"/>
        <v>10.188.187.0</v>
      </c>
      <c r="B92" s="117">
        <f t="shared" ca="1" si="14"/>
        <v>24</v>
      </c>
      <c r="C92" s="117" t="str">
        <f t="shared" ca="1" si="14"/>
        <v>255.255.255.0</v>
      </c>
      <c r="D92" s="117">
        <f t="shared" ca="1" si="14"/>
        <v>254</v>
      </c>
      <c r="E92" s="117" t="str">
        <f t="shared" ca="1" si="14"/>
        <v>10.188.187.0</v>
      </c>
      <c r="F92" s="117" t="str">
        <f t="shared" ca="1" si="14"/>
        <v>10.188.187.255</v>
      </c>
      <c r="G92" s="117" t="str">
        <f t="shared" ca="1" si="14"/>
        <v>10.188.187.1</v>
      </c>
      <c r="H92" s="117" t="str">
        <f t="shared" ca="1" si="14"/>
        <v>10.188.187.254</v>
      </c>
      <c r="I9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10.188.187.016</v>
      </c>
      <c r="J92" s="119" t="str">
        <f t="shared" ca="1" si="15"/>
        <v>187</v>
      </c>
      <c r="K92" s="132" t="s">
        <v>537</v>
      </c>
      <c r="L92" s="114" t="s">
        <v>358</v>
      </c>
      <c r="M92" s="109" t="s">
        <v>373</v>
      </c>
      <c r="N92" s="109" t="s">
        <v>373</v>
      </c>
      <c r="O92" s="114"/>
    </row>
    <row r="93" spans="1:15" x14ac:dyDescent="0.25">
      <c r="A93" s="116" t="str">
        <f t="shared" ca="1" si="14"/>
        <v>10.188.187.0</v>
      </c>
      <c r="B93" s="117">
        <f t="shared" ca="1" si="14"/>
        <v>24</v>
      </c>
      <c r="C93" s="117" t="str">
        <f t="shared" ca="1" si="14"/>
        <v>255.255.255.0</v>
      </c>
      <c r="D93" s="117">
        <f t="shared" ca="1" si="14"/>
        <v>254</v>
      </c>
      <c r="E93" s="117" t="str">
        <f t="shared" ca="1" si="14"/>
        <v>10.188.187.0</v>
      </c>
      <c r="F93" s="117" t="str">
        <f t="shared" ca="1" si="14"/>
        <v>10.188.187.255</v>
      </c>
      <c r="G93" s="117" t="str">
        <f t="shared" ca="1" si="14"/>
        <v>10.188.187.1</v>
      </c>
      <c r="H93" s="117" t="str">
        <f t="shared" ca="1" si="14"/>
        <v>10.188.187.254</v>
      </c>
      <c r="I93" s="133" t="str">
        <f ca="1">INDIRECT("R[-1]",FALSE)</f>
        <v>10.188.187.016</v>
      </c>
      <c r="J93" s="119" t="str">
        <f t="shared" ca="1" si="15"/>
        <v>187</v>
      </c>
      <c r="K93" s="134" t="str">
        <f ca="1">INDIRECT("R[-1]",FALSE)</f>
        <v>810-2-PMLP</v>
      </c>
      <c r="L93" s="114" t="s">
        <v>359</v>
      </c>
      <c r="M93" s="135" t="str">
        <f ca="1">INDIRECT("R[-1]",FALSE)</f>
        <v>ProMedia Live/Package INGRESS</v>
      </c>
      <c r="N93" s="135" t="str">
        <f ca="1">INDIRECT("R[-1]",FALSE)</f>
        <v>ProMedia Live/Package INGRESS</v>
      </c>
      <c r="O93" s="114"/>
    </row>
    <row r="94" spans="1:15" x14ac:dyDescent="0.25">
      <c r="A94" s="116" t="str">
        <f t="shared" ca="1" si="14"/>
        <v>10.188.187.0</v>
      </c>
      <c r="B94" s="117">
        <f t="shared" ca="1" si="14"/>
        <v>24</v>
      </c>
      <c r="C94" s="117" t="str">
        <f t="shared" ca="1" si="14"/>
        <v>255.255.255.0</v>
      </c>
      <c r="D94" s="117">
        <f t="shared" ca="1" si="14"/>
        <v>254</v>
      </c>
      <c r="E94" s="117" t="str">
        <f t="shared" ca="1" si="14"/>
        <v>10.188.187.0</v>
      </c>
      <c r="F94" s="117" t="str">
        <f t="shared" ca="1" si="14"/>
        <v>10.188.187.255</v>
      </c>
      <c r="G94" s="117" t="str">
        <f t="shared" ca="1" si="14"/>
        <v>10.188.187.1</v>
      </c>
      <c r="H94" s="117" t="str">
        <f t="shared" ca="1" si="14"/>
        <v>10.188.187.254</v>
      </c>
      <c r="I9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10.188.187.017</v>
      </c>
      <c r="J94" s="119" t="str">
        <f t="shared" ca="1" si="15"/>
        <v>187</v>
      </c>
      <c r="K94" s="132" t="s">
        <v>532</v>
      </c>
      <c r="L94" s="114" t="s">
        <v>358</v>
      </c>
      <c r="M94" s="109" t="s">
        <v>373</v>
      </c>
      <c r="N94" s="109" t="s">
        <v>373</v>
      </c>
      <c r="O94" s="114"/>
    </row>
    <row r="95" spans="1:15" x14ac:dyDescent="0.25">
      <c r="A95" s="116" t="str">
        <f t="shared" ca="1" si="14"/>
        <v>10.188.187.0</v>
      </c>
      <c r="B95" s="117">
        <f t="shared" ca="1" si="14"/>
        <v>24</v>
      </c>
      <c r="C95" s="117" t="str">
        <f t="shared" ca="1" si="14"/>
        <v>255.255.255.0</v>
      </c>
      <c r="D95" s="117">
        <f t="shared" ca="1" si="14"/>
        <v>254</v>
      </c>
      <c r="E95" s="117" t="str">
        <f t="shared" ca="1" si="14"/>
        <v>10.188.187.0</v>
      </c>
      <c r="F95" s="117" t="str">
        <f t="shared" ca="1" si="14"/>
        <v>10.188.187.255</v>
      </c>
      <c r="G95" s="117" t="str">
        <f t="shared" ca="1" si="14"/>
        <v>10.188.187.1</v>
      </c>
      <c r="H95" s="117" t="str">
        <f t="shared" ca="1" si="14"/>
        <v>10.188.187.254</v>
      </c>
      <c r="I95" s="133" t="str">
        <f ca="1">INDIRECT("R[-1]",FALSE)</f>
        <v>10.188.187.017</v>
      </c>
      <c r="J95" s="119" t="str">
        <f t="shared" ca="1" si="15"/>
        <v>187</v>
      </c>
      <c r="K95" s="134" t="str">
        <f ca="1">INDIRECT("R[-1]",FALSE)</f>
        <v>808-1-PMLP</v>
      </c>
      <c r="L95" s="114" t="s">
        <v>359</v>
      </c>
      <c r="M95" s="135" t="str">
        <f ca="1">INDIRECT("R[-1]",FALSE)</f>
        <v>ProMedia Live/Package INGRESS</v>
      </c>
      <c r="N95" s="135" t="str">
        <f ca="1">INDIRECT("R[-1]",FALSE)</f>
        <v>ProMedia Live/Package INGRESS</v>
      </c>
      <c r="O95" s="114"/>
    </row>
    <row r="96" spans="1:15" x14ac:dyDescent="0.25">
      <c r="A96" s="116" t="str">
        <f t="shared" ca="1" si="14"/>
        <v>10.188.187.0</v>
      </c>
      <c r="B96" s="117">
        <f t="shared" ca="1" si="14"/>
        <v>24</v>
      </c>
      <c r="C96" s="117" t="str">
        <f t="shared" ca="1" si="14"/>
        <v>255.255.255.0</v>
      </c>
      <c r="D96" s="117">
        <f t="shared" ca="1" si="14"/>
        <v>254</v>
      </c>
      <c r="E96" s="117" t="str">
        <f t="shared" ca="1" si="14"/>
        <v>10.188.187.0</v>
      </c>
      <c r="F96" s="117" t="str">
        <f t="shared" ca="1" si="14"/>
        <v>10.188.187.255</v>
      </c>
      <c r="G96" s="117" t="str">
        <f t="shared" ca="1" si="14"/>
        <v>10.188.187.1</v>
      </c>
      <c r="H96" s="117" t="str">
        <f t="shared" ca="1" si="14"/>
        <v>10.188.187.254</v>
      </c>
      <c r="I9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10.188.187.018</v>
      </c>
      <c r="J96" s="119" t="str">
        <f t="shared" ca="1" si="15"/>
        <v>187</v>
      </c>
      <c r="K96" s="132" t="s">
        <v>538</v>
      </c>
      <c r="L96" s="114" t="s">
        <v>358</v>
      </c>
      <c r="M96" s="109" t="s">
        <v>373</v>
      </c>
      <c r="N96" s="109" t="s">
        <v>373</v>
      </c>
      <c r="O96" s="114"/>
    </row>
    <row r="97" spans="1:15" x14ac:dyDescent="0.25">
      <c r="A97" s="116" t="str">
        <f t="shared" ref="A97:H127" ca="1" si="16">INDIRECT("R[-1]",FALSE)</f>
        <v>10.188.187.0</v>
      </c>
      <c r="B97" s="117">
        <f t="shared" ca="1" si="16"/>
        <v>24</v>
      </c>
      <c r="C97" s="117" t="str">
        <f t="shared" ca="1" si="16"/>
        <v>255.255.255.0</v>
      </c>
      <c r="D97" s="117">
        <f t="shared" ca="1" si="16"/>
        <v>254</v>
      </c>
      <c r="E97" s="117" t="str">
        <f t="shared" ca="1" si="16"/>
        <v>10.188.187.0</v>
      </c>
      <c r="F97" s="117" t="str">
        <f t="shared" ca="1" si="16"/>
        <v>10.188.187.255</v>
      </c>
      <c r="G97" s="117" t="str">
        <f t="shared" ca="1" si="16"/>
        <v>10.188.187.1</v>
      </c>
      <c r="H97" s="117" t="str">
        <f t="shared" ca="1" si="16"/>
        <v>10.188.187.254</v>
      </c>
      <c r="I97" s="133" t="str">
        <f ca="1">INDIRECT("R[-1]",FALSE)</f>
        <v>10.188.187.018</v>
      </c>
      <c r="J97" s="119" t="str">
        <f t="shared" ca="1" si="15"/>
        <v>187</v>
      </c>
      <c r="K97" s="134" t="str">
        <f ca="1">INDIRECT("R[-1]",FALSE)</f>
        <v>808-2-PMLP</v>
      </c>
      <c r="L97" s="114" t="s">
        <v>359</v>
      </c>
      <c r="M97" s="135" t="str">
        <f ca="1">INDIRECT("R[-1]",FALSE)</f>
        <v>ProMedia Live/Package INGRESS</v>
      </c>
      <c r="N97" s="135" t="str">
        <f ca="1">INDIRECT("R[-1]",FALSE)</f>
        <v>ProMedia Live/Package INGRESS</v>
      </c>
      <c r="O97" s="114"/>
    </row>
    <row r="98" spans="1:15" x14ac:dyDescent="0.25">
      <c r="A98" s="116" t="str">
        <f t="shared" ca="1" si="16"/>
        <v>10.188.187.0</v>
      </c>
      <c r="B98" s="117">
        <f t="shared" ca="1" si="16"/>
        <v>24</v>
      </c>
      <c r="C98" s="117" t="str">
        <f t="shared" ca="1" si="16"/>
        <v>255.255.255.0</v>
      </c>
      <c r="D98" s="117">
        <f t="shared" ca="1" si="16"/>
        <v>254</v>
      </c>
      <c r="E98" s="117" t="str">
        <f t="shared" ca="1" si="16"/>
        <v>10.188.187.0</v>
      </c>
      <c r="F98" s="117" t="str">
        <f t="shared" ca="1" si="16"/>
        <v>10.188.187.255</v>
      </c>
      <c r="G98" s="117" t="str">
        <f t="shared" ca="1" si="16"/>
        <v>10.188.187.1</v>
      </c>
      <c r="H98" s="117" t="str">
        <f t="shared" ca="1" si="16"/>
        <v>10.188.187.254</v>
      </c>
      <c r="I9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10.188.187.019</v>
      </c>
      <c r="J98" s="119" t="str">
        <f t="shared" ca="1" si="15"/>
        <v>187</v>
      </c>
      <c r="K98" s="132" t="s">
        <v>533</v>
      </c>
      <c r="L98" s="114" t="s">
        <v>358</v>
      </c>
      <c r="M98" s="109" t="s">
        <v>373</v>
      </c>
      <c r="N98" s="109" t="s">
        <v>373</v>
      </c>
      <c r="O98" s="114"/>
    </row>
    <row r="99" spans="1:15" x14ac:dyDescent="0.25">
      <c r="A99" s="116" t="str">
        <f t="shared" ca="1" si="16"/>
        <v>10.188.187.0</v>
      </c>
      <c r="B99" s="117">
        <f t="shared" ca="1" si="16"/>
        <v>24</v>
      </c>
      <c r="C99" s="117" t="str">
        <f t="shared" ca="1" si="16"/>
        <v>255.255.255.0</v>
      </c>
      <c r="D99" s="117">
        <f t="shared" ca="1" si="16"/>
        <v>254</v>
      </c>
      <c r="E99" s="117" t="str">
        <f t="shared" ca="1" si="16"/>
        <v>10.188.187.0</v>
      </c>
      <c r="F99" s="117" t="str">
        <f t="shared" ca="1" si="16"/>
        <v>10.188.187.255</v>
      </c>
      <c r="G99" s="117" t="str">
        <f t="shared" ca="1" si="16"/>
        <v>10.188.187.1</v>
      </c>
      <c r="H99" s="117" t="str">
        <f t="shared" ca="1" si="16"/>
        <v>10.188.187.254</v>
      </c>
      <c r="I99" s="133" t="str">
        <f ca="1">INDIRECT("R[-1]",FALSE)</f>
        <v>10.188.187.019</v>
      </c>
      <c r="J99" s="119" t="str">
        <f t="shared" ca="1" si="15"/>
        <v>187</v>
      </c>
      <c r="K99" s="134" t="str">
        <f ca="1">INDIRECT("R[-1]",FALSE)</f>
        <v>806-1-PMLP</v>
      </c>
      <c r="L99" s="114" t="s">
        <v>359</v>
      </c>
      <c r="M99" s="135" t="str">
        <f ca="1">INDIRECT("R[-1]",FALSE)</f>
        <v>ProMedia Live/Package INGRESS</v>
      </c>
      <c r="N99" s="135" t="str">
        <f ca="1">INDIRECT("R[-1]",FALSE)</f>
        <v>ProMedia Live/Package INGRESS</v>
      </c>
      <c r="O99" s="114"/>
    </row>
    <row r="100" spans="1:15" x14ac:dyDescent="0.25">
      <c r="A100" s="116" t="str">
        <f t="shared" ca="1" si="16"/>
        <v>10.188.187.0</v>
      </c>
      <c r="B100" s="117">
        <f t="shared" ca="1" si="16"/>
        <v>24</v>
      </c>
      <c r="C100" s="117" t="str">
        <f t="shared" ca="1" si="16"/>
        <v>255.255.255.0</v>
      </c>
      <c r="D100" s="117">
        <f t="shared" ca="1" si="16"/>
        <v>254</v>
      </c>
      <c r="E100" s="117" t="str">
        <f t="shared" ca="1" si="16"/>
        <v>10.188.187.0</v>
      </c>
      <c r="F100" s="117" t="str">
        <f t="shared" ca="1" si="16"/>
        <v>10.188.187.255</v>
      </c>
      <c r="G100" s="117" t="str">
        <f t="shared" ca="1" si="16"/>
        <v>10.188.187.1</v>
      </c>
      <c r="H100" s="117" t="str">
        <f t="shared" ca="1" si="16"/>
        <v>10.188.187.254</v>
      </c>
      <c r="I10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10.188.187.020</v>
      </c>
      <c r="J100" s="119" t="str">
        <f t="shared" ca="1" si="15"/>
        <v>187</v>
      </c>
      <c r="K100" s="132" t="s">
        <v>539</v>
      </c>
      <c r="L100" s="114" t="s">
        <v>358</v>
      </c>
      <c r="M100" s="109" t="s">
        <v>373</v>
      </c>
      <c r="N100" s="109" t="s">
        <v>373</v>
      </c>
      <c r="O100" s="114"/>
    </row>
    <row r="101" spans="1:15" x14ac:dyDescent="0.25">
      <c r="A101" s="116" t="str">
        <f t="shared" ca="1" si="16"/>
        <v>10.188.187.0</v>
      </c>
      <c r="B101" s="117">
        <f t="shared" ca="1" si="16"/>
        <v>24</v>
      </c>
      <c r="C101" s="117" t="str">
        <f t="shared" ca="1" si="16"/>
        <v>255.255.255.0</v>
      </c>
      <c r="D101" s="117">
        <f t="shared" ca="1" si="16"/>
        <v>254</v>
      </c>
      <c r="E101" s="117" t="str">
        <f t="shared" ca="1" si="16"/>
        <v>10.188.187.0</v>
      </c>
      <c r="F101" s="117" t="str">
        <f t="shared" ca="1" si="16"/>
        <v>10.188.187.255</v>
      </c>
      <c r="G101" s="117" t="str">
        <f t="shared" ca="1" si="16"/>
        <v>10.188.187.1</v>
      </c>
      <c r="H101" s="117" t="str">
        <f t="shared" ca="1" si="16"/>
        <v>10.188.187.254</v>
      </c>
      <c r="I101" s="133" t="str">
        <f ca="1">INDIRECT("R[-1]",FALSE)</f>
        <v>10.188.187.020</v>
      </c>
      <c r="J101" s="119" t="str">
        <f t="shared" ca="1" si="15"/>
        <v>187</v>
      </c>
      <c r="K101" s="134" t="str">
        <f ca="1">INDIRECT("R[-1]",FALSE)</f>
        <v>806-2-PMLP</v>
      </c>
      <c r="L101" s="114" t="s">
        <v>359</v>
      </c>
      <c r="M101" s="135" t="str">
        <f ca="1">INDIRECT("R[-1]",FALSE)</f>
        <v>ProMedia Live/Package INGRESS</v>
      </c>
      <c r="N101" s="135" t="str">
        <f ca="1">INDIRECT("R[-1]",FALSE)</f>
        <v>ProMedia Live/Package INGRESS</v>
      </c>
      <c r="O101" s="114"/>
    </row>
    <row r="102" spans="1:15" x14ac:dyDescent="0.25">
      <c r="A102" s="116" t="str">
        <f t="shared" ca="1" si="16"/>
        <v>10.188.187.0</v>
      </c>
      <c r="B102" s="117">
        <f t="shared" ca="1" si="16"/>
        <v>24</v>
      </c>
      <c r="C102" s="117" t="str">
        <f t="shared" ca="1" si="16"/>
        <v>255.255.255.0</v>
      </c>
      <c r="D102" s="117">
        <f t="shared" ca="1" si="16"/>
        <v>254</v>
      </c>
      <c r="E102" s="117" t="str">
        <f t="shared" ca="1" si="16"/>
        <v>10.188.187.0</v>
      </c>
      <c r="F102" s="117" t="str">
        <f t="shared" ca="1" si="16"/>
        <v>10.188.187.255</v>
      </c>
      <c r="G102" s="117" t="str">
        <f t="shared" ca="1" si="16"/>
        <v>10.188.187.1</v>
      </c>
      <c r="H102" s="117" t="str">
        <f t="shared" ca="1" si="16"/>
        <v>10.188.187.254</v>
      </c>
      <c r="I10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10.188.187.021</v>
      </c>
      <c r="J102" s="119" t="str">
        <f t="shared" ca="1" si="15"/>
        <v>187</v>
      </c>
      <c r="K102" s="132" t="s">
        <v>534</v>
      </c>
      <c r="L102" s="114" t="s">
        <v>358</v>
      </c>
      <c r="M102" s="109" t="s">
        <v>373</v>
      </c>
      <c r="N102" s="109" t="s">
        <v>373</v>
      </c>
      <c r="O102" s="114"/>
    </row>
    <row r="103" spans="1:15" x14ac:dyDescent="0.25">
      <c r="A103" s="116" t="str">
        <f t="shared" ca="1" si="16"/>
        <v>10.188.187.0</v>
      </c>
      <c r="B103" s="117">
        <f t="shared" ca="1" si="16"/>
        <v>24</v>
      </c>
      <c r="C103" s="117" t="str">
        <f t="shared" ca="1" si="16"/>
        <v>255.255.255.0</v>
      </c>
      <c r="D103" s="117">
        <f t="shared" ca="1" si="16"/>
        <v>254</v>
      </c>
      <c r="E103" s="117" t="str">
        <f t="shared" ca="1" si="16"/>
        <v>10.188.187.0</v>
      </c>
      <c r="F103" s="117" t="str">
        <f t="shared" ca="1" si="16"/>
        <v>10.188.187.255</v>
      </c>
      <c r="G103" s="117" t="str">
        <f t="shared" ca="1" si="16"/>
        <v>10.188.187.1</v>
      </c>
      <c r="H103" s="117" t="str">
        <f t="shared" ca="1" si="16"/>
        <v>10.188.187.254</v>
      </c>
      <c r="I103" s="133" t="str">
        <f ca="1">INDIRECT("R[-1]",FALSE)</f>
        <v>10.188.187.021</v>
      </c>
      <c r="J103" s="119" t="str">
        <f t="shared" ca="1" si="15"/>
        <v>187</v>
      </c>
      <c r="K103" s="134" t="str">
        <f ca="1">INDIRECT("R[-1]",FALSE)</f>
        <v>804-1-PMLP</v>
      </c>
      <c r="L103" s="114" t="s">
        <v>359</v>
      </c>
      <c r="M103" s="135" t="str">
        <f ca="1">INDIRECT("R[-1]",FALSE)</f>
        <v>ProMedia Live/Package INGRESS</v>
      </c>
      <c r="N103" s="135" t="str">
        <f ca="1">INDIRECT("R[-1]",FALSE)</f>
        <v>ProMedia Live/Package INGRESS</v>
      </c>
      <c r="O103" s="114"/>
    </row>
    <row r="104" spans="1:15" x14ac:dyDescent="0.25">
      <c r="A104" s="116" t="str">
        <f t="shared" ca="1" si="16"/>
        <v>10.188.187.0</v>
      </c>
      <c r="B104" s="117">
        <f t="shared" ca="1" si="16"/>
        <v>24</v>
      </c>
      <c r="C104" s="117" t="str">
        <f t="shared" ca="1" si="16"/>
        <v>255.255.255.0</v>
      </c>
      <c r="D104" s="117">
        <f t="shared" ca="1" si="16"/>
        <v>254</v>
      </c>
      <c r="E104" s="117" t="str">
        <f t="shared" ca="1" si="16"/>
        <v>10.188.187.0</v>
      </c>
      <c r="F104" s="117" t="str">
        <f t="shared" ca="1" si="16"/>
        <v>10.188.187.255</v>
      </c>
      <c r="G104" s="117" t="str">
        <f t="shared" ca="1" si="16"/>
        <v>10.188.187.1</v>
      </c>
      <c r="H104" s="117" t="str">
        <f t="shared" ca="1" si="16"/>
        <v>10.188.187.254</v>
      </c>
      <c r="I10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10.188.187.022</v>
      </c>
      <c r="J104" s="119" t="str">
        <f t="shared" ca="1" si="15"/>
        <v>187</v>
      </c>
      <c r="K104" s="132" t="s">
        <v>540</v>
      </c>
      <c r="L104" s="114" t="s">
        <v>358</v>
      </c>
      <c r="M104" s="109" t="s">
        <v>373</v>
      </c>
      <c r="N104" s="109" t="s">
        <v>373</v>
      </c>
      <c r="O104" s="114"/>
    </row>
    <row r="105" spans="1:15" x14ac:dyDescent="0.25">
      <c r="A105" s="116" t="str">
        <f t="shared" ca="1" si="16"/>
        <v>10.188.187.0</v>
      </c>
      <c r="B105" s="117">
        <f t="shared" ca="1" si="16"/>
        <v>24</v>
      </c>
      <c r="C105" s="117" t="str">
        <f t="shared" ca="1" si="16"/>
        <v>255.255.255.0</v>
      </c>
      <c r="D105" s="117">
        <f t="shared" ca="1" si="16"/>
        <v>254</v>
      </c>
      <c r="E105" s="117" t="str">
        <f t="shared" ca="1" si="16"/>
        <v>10.188.187.0</v>
      </c>
      <c r="F105" s="117" t="str">
        <f t="shared" ca="1" si="16"/>
        <v>10.188.187.255</v>
      </c>
      <c r="G105" s="117" t="str">
        <f t="shared" ca="1" si="16"/>
        <v>10.188.187.1</v>
      </c>
      <c r="H105" s="117" t="str">
        <f t="shared" ca="1" si="16"/>
        <v>10.188.187.254</v>
      </c>
      <c r="I105" s="133" t="str">
        <f ca="1">INDIRECT("R[-1]",FALSE)</f>
        <v>10.188.187.022</v>
      </c>
      <c r="J105" s="119" t="str">
        <f t="shared" ca="1" si="15"/>
        <v>187</v>
      </c>
      <c r="K105" s="134" t="str">
        <f ca="1">INDIRECT("R[-1]",FALSE)</f>
        <v>804-2-PMLP</v>
      </c>
      <c r="L105" s="114" t="s">
        <v>359</v>
      </c>
      <c r="M105" s="135" t="str">
        <f ca="1">INDIRECT("R[-1]",FALSE)</f>
        <v>ProMedia Live/Package INGRESS</v>
      </c>
      <c r="N105" s="135" t="str">
        <f ca="1">INDIRECT("R[-1]",FALSE)</f>
        <v>ProMedia Live/Package INGRESS</v>
      </c>
      <c r="O105" s="114"/>
    </row>
    <row r="106" spans="1:15" x14ac:dyDescent="0.25">
      <c r="A106" s="116" t="str">
        <f t="shared" ca="1" si="16"/>
        <v>10.188.187.0</v>
      </c>
      <c r="B106" s="117">
        <f t="shared" ca="1" si="16"/>
        <v>24</v>
      </c>
      <c r="C106" s="117" t="str">
        <f t="shared" ca="1" si="16"/>
        <v>255.255.255.0</v>
      </c>
      <c r="D106" s="117">
        <f t="shared" ca="1" si="16"/>
        <v>254</v>
      </c>
      <c r="E106" s="117" t="str">
        <f t="shared" ca="1" si="16"/>
        <v>10.188.187.0</v>
      </c>
      <c r="F106" s="117" t="str">
        <f t="shared" ca="1" si="16"/>
        <v>10.188.187.255</v>
      </c>
      <c r="G106" s="117" t="str">
        <f t="shared" ca="1" si="16"/>
        <v>10.188.187.1</v>
      </c>
      <c r="H106" s="117" t="str">
        <f t="shared" ca="1" si="16"/>
        <v>10.188.187.254</v>
      </c>
      <c r="I106" s="133"/>
      <c r="J106" s="119" t="str">
        <f t="shared" ca="1" si="15"/>
        <v>187</v>
      </c>
      <c r="K106" s="134"/>
      <c r="L106" s="114"/>
      <c r="M106" s="135"/>
      <c r="N106" s="114"/>
      <c r="O106" s="114"/>
    </row>
    <row r="107" spans="1:15" x14ac:dyDescent="0.25">
      <c r="A107" s="116" t="str">
        <f t="shared" ca="1" si="16"/>
        <v>10.188.187.0</v>
      </c>
      <c r="B107" s="117">
        <f t="shared" ca="1" si="16"/>
        <v>24</v>
      </c>
      <c r="C107" s="117" t="str">
        <f t="shared" ca="1" si="16"/>
        <v>255.255.255.0</v>
      </c>
      <c r="D107" s="117">
        <f t="shared" ca="1" si="16"/>
        <v>254</v>
      </c>
      <c r="E107" s="117" t="str">
        <f t="shared" ca="1" si="16"/>
        <v>10.188.187.0</v>
      </c>
      <c r="F107" s="117" t="str">
        <f t="shared" ca="1" si="16"/>
        <v>10.188.187.255</v>
      </c>
      <c r="G107" s="117" t="str">
        <f t="shared" ca="1" si="16"/>
        <v>10.188.187.1</v>
      </c>
      <c r="H107" s="117" t="str">
        <f t="shared" ca="1" si="16"/>
        <v>10.188.187.254</v>
      </c>
      <c r="I107" s="118" t="s">
        <v>352</v>
      </c>
      <c r="J107" s="119" t="str">
        <f t="shared" ca="1" si="15"/>
        <v>187</v>
      </c>
      <c r="K107" s="113"/>
      <c r="L107" s="114"/>
      <c r="M107" s="114" t="s">
        <v>375</v>
      </c>
      <c r="N107" s="114" t="s">
        <v>379</v>
      </c>
      <c r="O107" s="114"/>
    </row>
    <row r="108" spans="1:15" x14ac:dyDescent="0.25">
      <c r="A108" s="116" t="str">
        <f t="shared" ca="1" si="16"/>
        <v>10.188.187.0</v>
      </c>
      <c r="B108" s="117">
        <f t="shared" ca="1" si="16"/>
        <v>24</v>
      </c>
      <c r="C108" s="117" t="str">
        <f t="shared" ca="1" si="16"/>
        <v>255.255.255.0</v>
      </c>
      <c r="D108" s="117">
        <f t="shared" ca="1" si="16"/>
        <v>254</v>
      </c>
      <c r="E108" s="117" t="str">
        <f t="shared" ca="1" si="16"/>
        <v>10.188.187.0</v>
      </c>
      <c r="F108" s="117" t="str">
        <f t="shared" ca="1" si="16"/>
        <v>10.188.187.255</v>
      </c>
      <c r="G108" s="117" t="str">
        <f t="shared" ca="1" si="16"/>
        <v>10.188.187.1</v>
      </c>
      <c r="H108" s="117" t="str">
        <f t="shared" ca="1" si="16"/>
        <v>10.188.187.254</v>
      </c>
      <c r="I108" s="120" t="str">
        <f ca="1">IFERROR((LEFT(A107,FIND("~",SUBSTITUTE(A107,".","~",LEN(A107)-LEN(SUBSTITUTE(A107,".",""))))))&amp;TEXT(RIGHT(A107,LEN(A107)-FIND("~",SUBSTITUTE(A107,".","~",LEN(A107)-LEN(SUBSTITUTE(A107,".","")))))+61,"000"),"")</f>
        <v>10.188.187.061</v>
      </c>
      <c r="J108" s="119" t="str">
        <f t="shared" ca="1" si="15"/>
        <v>187</v>
      </c>
      <c r="K108" s="132" t="s">
        <v>541</v>
      </c>
      <c r="L108" s="114" t="s">
        <v>358</v>
      </c>
      <c r="M108" s="109" t="s">
        <v>376</v>
      </c>
      <c r="N108" s="109" t="s">
        <v>376</v>
      </c>
      <c r="O108" s="114"/>
    </row>
    <row r="109" spans="1:15" x14ac:dyDescent="0.25">
      <c r="A109" s="116" t="str">
        <f t="shared" ca="1" si="16"/>
        <v>10.188.187.0</v>
      </c>
      <c r="B109" s="117">
        <f t="shared" ca="1" si="16"/>
        <v>24</v>
      </c>
      <c r="C109" s="117" t="str">
        <f t="shared" ca="1" si="16"/>
        <v>255.255.255.0</v>
      </c>
      <c r="D109" s="117">
        <f t="shared" ca="1" si="16"/>
        <v>254</v>
      </c>
      <c r="E109" s="117" t="str">
        <f t="shared" ca="1" si="16"/>
        <v>10.188.187.0</v>
      </c>
      <c r="F109" s="117" t="str">
        <f t="shared" ca="1" si="16"/>
        <v>10.188.187.255</v>
      </c>
      <c r="G109" s="117" t="str">
        <f t="shared" ca="1" si="16"/>
        <v>10.188.187.1</v>
      </c>
      <c r="H109" s="117" t="str">
        <f t="shared" ca="1" si="16"/>
        <v>10.188.187.254</v>
      </c>
      <c r="I109" s="133" t="str">
        <f ca="1">INDIRECT("R[-1]",FALSE)</f>
        <v>10.188.187.061</v>
      </c>
      <c r="J109" s="119" t="str">
        <f t="shared" ca="1" si="15"/>
        <v>187</v>
      </c>
      <c r="K109" s="134" t="str">
        <f ca="1">INDIRECT("R[-1]",FALSE)</f>
        <v>822-1-WFSP</v>
      </c>
      <c r="L109" s="114" t="s">
        <v>359</v>
      </c>
      <c r="M109" s="135" t="s">
        <v>376</v>
      </c>
      <c r="N109" s="135" t="s">
        <v>376</v>
      </c>
      <c r="O109" s="114"/>
    </row>
    <row r="110" spans="1:15" x14ac:dyDescent="0.25">
      <c r="A110" s="116" t="str">
        <f t="shared" ca="1" si="16"/>
        <v>10.188.187.0</v>
      </c>
      <c r="B110" s="117">
        <f t="shared" ca="1" si="16"/>
        <v>24</v>
      </c>
      <c r="C110" s="117" t="str">
        <f t="shared" ca="1" si="16"/>
        <v>255.255.255.0</v>
      </c>
      <c r="D110" s="117">
        <f t="shared" ca="1" si="16"/>
        <v>254</v>
      </c>
      <c r="E110" s="117" t="str">
        <f t="shared" ca="1" si="16"/>
        <v>10.188.187.0</v>
      </c>
      <c r="F110" s="117" t="str">
        <f t="shared" ca="1" si="16"/>
        <v>10.188.187.255</v>
      </c>
      <c r="G110" s="117" t="str">
        <f t="shared" ca="1" si="16"/>
        <v>10.188.187.1</v>
      </c>
      <c r="H110" s="117" t="str">
        <f t="shared" ca="1" si="16"/>
        <v>10.188.187.254</v>
      </c>
      <c r="I11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10.188.187.062</v>
      </c>
      <c r="J110" s="119" t="str">
        <f t="shared" ca="1" si="15"/>
        <v>187</v>
      </c>
      <c r="K110" s="132" t="s">
        <v>827</v>
      </c>
      <c r="L110" s="114" t="s">
        <v>358</v>
      </c>
      <c r="M110" s="109" t="s">
        <v>377</v>
      </c>
      <c r="N110" s="109" t="s">
        <v>377</v>
      </c>
      <c r="O110" s="114"/>
    </row>
    <row r="111" spans="1:15" x14ac:dyDescent="0.25">
      <c r="A111" s="116" t="str">
        <f t="shared" ca="1" si="16"/>
        <v>10.188.187.0</v>
      </c>
      <c r="B111" s="117">
        <f t="shared" ca="1" si="16"/>
        <v>24</v>
      </c>
      <c r="C111" s="117" t="str">
        <f t="shared" ca="1" si="16"/>
        <v>255.255.255.0</v>
      </c>
      <c r="D111" s="117">
        <f t="shared" ca="1" si="16"/>
        <v>254</v>
      </c>
      <c r="E111" s="117" t="str">
        <f t="shared" ca="1" si="16"/>
        <v>10.188.187.0</v>
      </c>
      <c r="F111" s="117" t="str">
        <f t="shared" ca="1" si="16"/>
        <v>10.188.187.255</v>
      </c>
      <c r="G111" s="117" t="str">
        <f t="shared" ca="1" si="16"/>
        <v>10.188.187.1</v>
      </c>
      <c r="H111" s="117" t="str">
        <f t="shared" ca="1" si="16"/>
        <v>10.188.187.254</v>
      </c>
      <c r="I111" s="133" t="str">
        <f ca="1">INDIRECT("R[-1]",FALSE)</f>
        <v>10.188.187.062</v>
      </c>
      <c r="J111" s="119" t="str">
        <f t="shared" ca="1" si="15"/>
        <v>187</v>
      </c>
      <c r="K111" s="134" t="str">
        <f ca="1">INDIRECT("R[-1]",FALSE)</f>
        <v>822-2-QCSCC</v>
      </c>
      <c r="L111" s="114" t="s">
        <v>359</v>
      </c>
      <c r="M111" s="135" t="s">
        <v>377</v>
      </c>
      <c r="N111" s="135" t="s">
        <v>377</v>
      </c>
      <c r="O111" s="114"/>
    </row>
    <row r="112" spans="1:15" x14ac:dyDescent="0.25">
      <c r="A112" s="116" t="str">
        <f t="shared" ca="1" si="16"/>
        <v>10.188.187.0</v>
      </c>
      <c r="B112" s="117">
        <f t="shared" ca="1" si="16"/>
        <v>24</v>
      </c>
      <c r="C112" s="117" t="str">
        <f t="shared" ca="1" si="16"/>
        <v>255.255.255.0</v>
      </c>
      <c r="D112" s="117">
        <f t="shared" ca="1" si="16"/>
        <v>254</v>
      </c>
      <c r="E112" s="117" t="str">
        <f t="shared" ca="1" si="16"/>
        <v>10.188.187.0</v>
      </c>
      <c r="F112" s="117" t="str">
        <f t="shared" ca="1" si="16"/>
        <v>10.188.187.255</v>
      </c>
      <c r="G112" s="117" t="str">
        <f t="shared" ca="1" si="16"/>
        <v>10.188.187.1</v>
      </c>
      <c r="H112" s="117" t="str">
        <f t="shared" ca="1" si="16"/>
        <v>10.188.187.254</v>
      </c>
      <c r="I11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10.188.187.063</v>
      </c>
      <c r="J112" s="119" t="str">
        <f t="shared" ca="1" si="15"/>
        <v>187</v>
      </c>
      <c r="K112" s="132" t="s">
        <v>829</v>
      </c>
      <c r="L112" s="114" t="s">
        <v>358</v>
      </c>
      <c r="M112" s="109" t="s">
        <v>376</v>
      </c>
      <c r="N112" s="109" t="s">
        <v>376</v>
      </c>
      <c r="O112" s="114"/>
    </row>
    <row r="113" spans="1:15" x14ac:dyDescent="0.25">
      <c r="A113" s="116" t="str">
        <f t="shared" ca="1" si="16"/>
        <v>10.188.187.0</v>
      </c>
      <c r="B113" s="117">
        <f t="shared" ca="1" si="16"/>
        <v>24</v>
      </c>
      <c r="C113" s="117" t="str">
        <f t="shared" ca="1" si="16"/>
        <v>255.255.255.0</v>
      </c>
      <c r="D113" s="117">
        <f t="shared" ca="1" si="16"/>
        <v>254</v>
      </c>
      <c r="E113" s="117" t="str">
        <f t="shared" ca="1" si="16"/>
        <v>10.188.187.0</v>
      </c>
      <c r="F113" s="117" t="str">
        <f t="shared" ca="1" si="16"/>
        <v>10.188.187.255</v>
      </c>
      <c r="G113" s="117" t="str">
        <f t="shared" ca="1" si="16"/>
        <v>10.188.187.1</v>
      </c>
      <c r="H113" s="117" t="str">
        <f t="shared" ca="1" si="16"/>
        <v>10.188.187.254</v>
      </c>
      <c r="I113" s="133" t="str">
        <f ca="1">INDIRECT("R[-1]",FALSE)</f>
        <v>10.188.187.063</v>
      </c>
      <c r="J113" s="119" t="str">
        <f t="shared" ca="1" si="15"/>
        <v>187</v>
      </c>
      <c r="K113" s="134" t="str">
        <f ca="1">INDIRECT("R[-1]",FALSE)</f>
        <v>820-1-WFSB</v>
      </c>
      <c r="L113" s="114" t="s">
        <v>359</v>
      </c>
      <c r="M113" s="135" t="s">
        <v>376</v>
      </c>
      <c r="N113" s="135" t="s">
        <v>376</v>
      </c>
      <c r="O113" s="114"/>
    </row>
    <row r="114" spans="1:15" x14ac:dyDescent="0.25">
      <c r="A114" s="116" t="str">
        <f t="shared" ca="1" si="16"/>
        <v>10.188.187.0</v>
      </c>
      <c r="B114" s="117">
        <f t="shared" ca="1" si="16"/>
        <v>24</v>
      </c>
      <c r="C114" s="117" t="str">
        <f t="shared" ca="1" si="16"/>
        <v>255.255.255.0</v>
      </c>
      <c r="D114" s="117">
        <f t="shared" ca="1" si="16"/>
        <v>254</v>
      </c>
      <c r="E114" s="117" t="str">
        <f t="shared" ca="1" si="16"/>
        <v>10.188.187.0</v>
      </c>
      <c r="F114" s="117" t="str">
        <f t="shared" ca="1" si="16"/>
        <v>10.188.187.255</v>
      </c>
      <c r="G114" s="117" t="str">
        <f t="shared" ca="1" si="16"/>
        <v>10.188.187.1</v>
      </c>
      <c r="H114" s="117" t="str">
        <f t="shared" ca="1" si="16"/>
        <v>10.188.187.254</v>
      </c>
      <c r="I11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10.188.187.064</v>
      </c>
      <c r="J114" s="119" t="str">
        <f t="shared" ca="1" si="15"/>
        <v>187</v>
      </c>
      <c r="K114" s="132" t="s">
        <v>828</v>
      </c>
      <c r="L114" s="114" t="s">
        <v>358</v>
      </c>
      <c r="M114" s="109" t="s">
        <v>377</v>
      </c>
      <c r="N114" s="109" t="s">
        <v>377</v>
      </c>
      <c r="O114" s="114"/>
    </row>
    <row r="115" spans="1:15" x14ac:dyDescent="0.25">
      <c r="A115" s="116" t="str">
        <f t="shared" ca="1" si="16"/>
        <v>10.188.187.0</v>
      </c>
      <c r="B115" s="117">
        <f t="shared" ca="1" si="16"/>
        <v>24</v>
      </c>
      <c r="C115" s="117" t="str">
        <f t="shared" ca="1" si="16"/>
        <v>255.255.255.0</v>
      </c>
      <c r="D115" s="117">
        <f t="shared" ca="1" si="16"/>
        <v>254</v>
      </c>
      <c r="E115" s="117" t="str">
        <f t="shared" ca="1" si="16"/>
        <v>10.188.187.0</v>
      </c>
      <c r="F115" s="117" t="str">
        <f t="shared" ca="1" si="16"/>
        <v>10.188.187.255</v>
      </c>
      <c r="G115" s="117" t="str">
        <f t="shared" ca="1" si="16"/>
        <v>10.188.187.1</v>
      </c>
      <c r="H115" s="117" t="str">
        <f t="shared" ca="1" si="16"/>
        <v>10.188.187.254</v>
      </c>
      <c r="I115" s="133" t="str">
        <f ca="1">INDIRECT("R[-1]",FALSE)</f>
        <v>10.188.187.064</v>
      </c>
      <c r="J115" s="119" t="str">
        <f t="shared" ca="1" si="15"/>
        <v>187</v>
      </c>
      <c r="K115" s="134" t="str">
        <f ca="1">INDIRECT("R[-1]",FALSE)</f>
        <v>820-2-QCSCC</v>
      </c>
      <c r="L115" s="114" t="s">
        <v>359</v>
      </c>
      <c r="M115" s="135" t="s">
        <v>377</v>
      </c>
      <c r="N115" s="135" t="s">
        <v>377</v>
      </c>
      <c r="O115" s="114"/>
    </row>
    <row r="116" spans="1:15" x14ac:dyDescent="0.25">
      <c r="A116" s="116" t="str">
        <f t="shared" ca="1" si="16"/>
        <v>10.188.187.0</v>
      </c>
      <c r="B116" s="117">
        <f t="shared" ca="1" si="16"/>
        <v>24</v>
      </c>
      <c r="C116" s="117" t="str">
        <f t="shared" ca="1" si="16"/>
        <v>255.255.255.0</v>
      </c>
      <c r="D116" s="117">
        <f t="shared" ca="1" si="16"/>
        <v>254</v>
      </c>
      <c r="E116" s="117" t="str">
        <f t="shared" ca="1" si="16"/>
        <v>10.188.187.0</v>
      </c>
      <c r="F116" s="117" t="str">
        <f t="shared" ca="1" si="16"/>
        <v>10.188.187.255</v>
      </c>
      <c r="G116" s="117" t="str">
        <f t="shared" ca="1" si="16"/>
        <v>10.188.187.1</v>
      </c>
      <c r="H116" s="117" t="str">
        <f t="shared" ca="1" si="16"/>
        <v>10.188.187.254</v>
      </c>
      <c r="I11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10.188.187.065</v>
      </c>
      <c r="J116" s="119" t="str">
        <f t="shared" ca="1" si="15"/>
        <v>187</v>
      </c>
      <c r="K116" s="132" t="s">
        <v>823</v>
      </c>
      <c r="L116" s="114" t="s">
        <v>358</v>
      </c>
      <c r="M116" s="109" t="s">
        <v>378</v>
      </c>
      <c r="N116" s="109" t="s">
        <v>378</v>
      </c>
      <c r="O116" s="114"/>
    </row>
    <row r="117" spans="1:15" x14ac:dyDescent="0.25">
      <c r="A117" s="116" t="str">
        <f t="shared" ca="1" si="16"/>
        <v>10.188.187.0</v>
      </c>
      <c r="B117" s="117">
        <f t="shared" ca="1" si="16"/>
        <v>24</v>
      </c>
      <c r="C117" s="117" t="str">
        <f t="shared" ca="1" si="16"/>
        <v>255.255.255.0</v>
      </c>
      <c r="D117" s="117">
        <f t="shared" ca="1" si="16"/>
        <v>254</v>
      </c>
      <c r="E117" s="117" t="str">
        <f t="shared" ca="1" si="16"/>
        <v>10.188.187.0</v>
      </c>
      <c r="F117" s="117" t="str">
        <f t="shared" ca="1" si="16"/>
        <v>10.188.187.255</v>
      </c>
      <c r="G117" s="117" t="str">
        <f t="shared" ca="1" si="16"/>
        <v>10.188.187.1</v>
      </c>
      <c r="H117" s="117" t="str">
        <f t="shared" ca="1" si="16"/>
        <v>10.188.187.254</v>
      </c>
      <c r="I117" s="133" t="str">
        <f ca="1">INDIRECT("R[-1]",FALSE)</f>
        <v>10.188.187.065</v>
      </c>
      <c r="J117" s="119" t="str">
        <f t="shared" ca="1" si="15"/>
        <v>187</v>
      </c>
      <c r="K117" s="134" t="str">
        <f ca="1">INDIRECT("R[-1]",FALSE)</f>
        <v>818-1-AESCC</v>
      </c>
      <c r="L117" s="114" t="s">
        <v>359</v>
      </c>
      <c r="M117" s="135" t="s">
        <v>378</v>
      </c>
      <c r="N117" s="135" t="s">
        <v>378</v>
      </c>
      <c r="O117" s="114"/>
    </row>
    <row r="118" spans="1:15" x14ac:dyDescent="0.25">
      <c r="A118" s="116" t="str">
        <f t="shared" ca="1" si="16"/>
        <v>10.188.187.0</v>
      </c>
      <c r="B118" s="117">
        <f t="shared" ca="1" si="16"/>
        <v>24</v>
      </c>
      <c r="C118" s="117" t="str">
        <f t="shared" ca="1" si="16"/>
        <v>255.255.255.0</v>
      </c>
      <c r="D118" s="117">
        <f t="shared" ca="1" si="16"/>
        <v>254</v>
      </c>
      <c r="E118" s="117" t="str">
        <f t="shared" ca="1" si="16"/>
        <v>10.188.187.0</v>
      </c>
      <c r="F118" s="117" t="str">
        <f t="shared" ca="1" si="16"/>
        <v>10.188.187.255</v>
      </c>
      <c r="G118" s="117" t="str">
        <f t="shared" ca="1" si="16"/>
        <v>10.188.187.1</v>
      </c>
      <c r="H118" s="117" t="str">
        <f t="shared" ca="1" si="16"/>
        <v>10.188.187.254</v>
      </c>
      <c r="I11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10.188.187.066</v>
      </c>
      <c r="J118" s="119" t="str">
        <f t="shared" ca="1" si="15"/>
        <v>187</v>
      </c>
      <c r="K118" s="132" t="s">
        <v>824</v>
      </c>
      <c r="L118" s="114" t="s">
        <v>358</v>
      </c>
      <c r="M118" s="109" t="s">
        <v>378</v>
      </c>
      <c r="N118" s="109" t="s">
        <v>378</v>
      </c>
      <c r="O118" s="114"/>
    </row>
    <row r="119" spans="1:15" x14ac:dyDescent="0.25">
      <c r="A119" s="116" t="str">
        <f t="shared" ca="1" si="16"/>
        <v>10.188.187.0</v>
      </c>
      <c r="B119" s="117">
        <f t="shared" ca="1" si="16"/>
        <v>24</v>
      </c>
      <c r="C119" s="117" t="str">
        <f t="shared" ca="1" si="16"/>
        <v>255.255.255.0</v>
      </c>
      <c r="D119" s="117">
        <f t="shared" ca="1" si="16"/>
        <v>254</v>
      </c>
      <c r="E119" s="117" t="str">
        <f t="shared" ca="1" si="16"/>
        <v>10.188.187.0</v>
      </c>
      <c r="F119" s="117" t="str">
        <f t="shared" ca="1" si="16"/>
        <v>10.188.187.255</v>
      </c>
      <c r="G119" s="117" t="str">
        <f t="shared" ca="1" si="16"/>
        <v>10.188.187.1</v>
      </c>
      <c r="H119" s="117" t="str">
        <f t="shared" ca="1" si="16"/>
        <v>10.188.187.254</v>
      </c>
      <c r="I119" s="133" t="str">
        <f ca="1">INDIRECT("R[-1]",FALSE)</f>
        <v>10.188.187.066</v>
      </c>
      <c r="J119" s="119" t="str">
        <f t="shared" ca="1" si="15"/>
        <v>187</v>
      </c>
      <c r="K119" s="134" t="str">
        <f ca="1">INDIRECT("R[-1]",FALSE)</f>
        <v>818-2-AESCC</v>
      </c>
      <c r="L119" s="114" t="s">
        <v>359</v>
      </c>
      <c r="M119" s="135" t="s">
        <v>378</v>
      </c>
      <c r="N119" s="135" t="s">
        <v>378</v>
      </c>
      <c r="O119" s="114"/>
    </row>
    <row r="120" spans="1:15" x14ac:dyDescent="0.25">
      <c r="A120" s="116" t="str">
        <f t="shared" ca="1" si="16"/>
        <v>10.188.187.0</v>
      </c>
      <c r="B120" s="117">
        <f t="shared" ca="1" si="16"/>
        <v>24</v>
      </c>
      <c r="C120" s="117" t="str">
        <f t="shared" ca="1" si="16"/>
        <v>255.255.255.0</v>
      </c>
      <c r="D120" s="117">
        <f t="shared" ca="1" si="16"/>
        <v>254</v>
      </c>
      <c r="E120" s="117" t="str">
        <f t="shared" ca="1" si="16"/>
        <v>10.188.187.0</v>
      </c>
      <c r="F120" s="117" t="str">
        <f t="shared" ca="1" si="16"/>
        <v>10.188.187.255</v>
      </c>
      <c r="G120" s="117" t="str">
        <f t="shared" ca="1" si="16"/>
        <v>10.188.187.1</v>
      </c>
      <c r="H120" s="117" t="str">
        <f t="shared" ca="1" si="16"/>
        <v>10.188.187.254</v>
      </c>
      <c r="I12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10.188.187.067</v>
      </c>
      <c r="J120" s="119" t="str">
        <f t="shared" ca="1" si="15"/>
        <v>187</v>
      </c>
      <c r="K120" s="132" t="s">
        <v>825</v>
      </c>
      <c r="L120" s="114" t="s">
        <v>358</v>
      </c>
      <c r="M120" s="109" t="s">
        <v>378</v>
      </c>
      <c r="N120" s="109" t="s">
        <v>378</v>
      </c>
      <c r="O120" s="114"/>
    </row>
    <row r="121" spans="1:15" x14ac:dyDescent="0.25">
      <c r="A121" s="116" t="str">
        <f t="shared" ca="1" si="16"/>
        <v>10.188.187.0</v>
      </c>
      <c r="B121" s="117">
        <f t="shared" ca="1" si="16"/>
        <v>24</v>
      </c>
      <c r="C121" s="117" t="str">
        <f t="shared" ca="1" si="16"/>
        <v>255.255.255.0</v>
      </c>
      <c r="D121" s="117">
        <f t="shared" ca="1" si="16"/>
        <v>254</v>
      </c>
      <c r="E121" s="117" t="str">
        <f t="shared" ca="1" si="16"/>
        <v>10.188.187.0</v>
      </c>
      <c r="F121" s="117" t="str">
        <f t="shared" ca="1" si="16"/>
        <v>10.188.187.255</v>
      </c>
      <c r="G121" s="117" t="str">
        <f t="shared" ca="1" si="16"/>
        <v>10.188.187.1</v>
      </c>
      <c r="H121" s="117" t="str">
        <f t="shared" ca="1" si="16"/>
        <v>10.188.187.254</v>
      </c>
      <c r="I121" s="133" t="str">
        <f ca="1">INDIRECT("R[-1]",FALSE)</f>
        <v>10.188.187.067</v>
      </c>
      <c r="J121" s="119" t="str">
        <f t="shared" ca="1" si="15"/>
        <v>187</v>
      </c>
      <c r="K121" s="134" t="str">
        <f ca="1">INDIRECT("R[-1]",FALSE)</f>
        <v>816-1-AESCC</v>
      </c>
      <c r="L121" s="114" t="s">
        <v>359</v>
      </c>
      <c r="M121" s="135" t="s">
        <v>378</v>
      </c>
      <c r="N121" s="135" t="s">
        <v>378</v>
      </c>
      <c r="O121" s="114"/>
    </row>
    <row r="122" spans="1:15" x14ac:dyDescent="0.25">
      <c r="A122" s="116" t="str">
        <f t="shared" ca="1" si="16"/>
        <v>10.188.187.0</v>
      </c>
      <c r="B122" s="117">
        <f t="shared" ca="1" si="16"/>
        <v>24</v>
      </c>
      <c r="C122" s="117" t="str">
        <f t="shared" ca="1" si="16"/>
        <v>255.255.255.0</v>
      </c>
      <c r="D122" s="117">
        <f t="shared" ca="1" si="16"/>
        <v>254</v>
      </c>
      <c r="E122" s="117" t="str">
        <f t="shared" ca="1" si="16"/>
        <v>10.188.187.0</v>
      </c>
      <c r="F122" s="117" t="str">
        <f t="shared" ca="1" si="16"/>
        <v>10.188.187.255</v>
      </c>
      <c r="G122" s="117" t="str">
        <f t="shared" ca="1" si="16"/>
        <v>10.188.187.1</v>
      </c>
      <c r="H122" s="117" t="str">
        <f t="shared" ca="1" si="16"/>
        <v>10.188.187.254</v>
      </c>
      <c r="I12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10.188.187.068</v>
      </c>
      <c r="J122" s="119" t="str">
        <f t="shared" ca="1" si="15"/>
        <v>187</v>
      </c>
      <c r="K122" s="132" t="s">
        <v>826</v>
      </c>
      <c r="L122" s="114" t="s">
        <v>358</v>
      </c>
      <c r="M122" s="109" t="s">
        <v>378</v>
      </c>
      <c r="N122" s="109" t="s">
        <v>378</v>
      </c>
      <c r="O122" s="114"/>
    </row>
    <row r="123" spans="1:15" x14ac:dyDescent="0.25">
      <c r="A123" s="116" t="str">
        <f t="shared" ca="1" si="16"/>
        <v>10.188.187.0</v>
      </c>
      <c r="B123" s="117">
        <f t="shared" ca="1" si="16"/>
        <v>24</v>
      </c>
      <c r="C123" s="117" t="str">
        <f t="shared" ca="1" si="16"/>
        <v>255.255.255.0</v>
      </c>
      <c r="D123" s="117">
        <f t="shared" ca="1" si="16"/>
        <v>254</v>
      </c>
      <c r="E123" s="117" t="str">
        <f t="shared" ca="1" si="16"/>
        <v>10.188.187.0</v>
      </c>
      <c r="F123" s="117" t="str">
        <f t="shared" ca="1" si="16"/>
        <v>10.188.187.255</v>
      </c>
      <c r="G123" s="117" t="str">
        <f t="shared" ca="1" si="16"/>
        <v>10.188.187.1</v>
      </c>
      <c r="H123" s="117" t="str">
        <f t="shared" ca="1" si="16"/>
        <v>10.188.187.254</v>
      </c>
      <c r="I123" s="133" t="str">
        <f ca="1">INDIRECT("R[-1]",FALSE)</f>
        <v>10.188.187.068</v>
      </c>
      <c r="J123" s="119" t="str">
        <f t="shared" ca="1" si="15"/>
        <v>187</v>
      </c>
      <c r="K123" s="134" t="str">
        <f ca="1">INDIRECT("R[-1]",FALSE)</f>
        <v>816-2-AESCC</v>
      </c>
      <c r="L123" s="114" t="s">
        <v>359</v>
      </c>
      <c r="M123" s="135" t="s">
        <v>378</v>
      </c>
      <c r="N123" s="135" t="s">
        <v>378</v>
      </c>
      <c r="O123" s="114"/>
    </row>
    <row r="124" spans="1:15" x14ac:dyDescent="0.25">
      <c r="A124" s="116" t="str">
        <f t="shared" ca="1" si="16"/>
        <v>10.188.187.0</v>
      </c>
      <c r="B124" s="117">
        <f t="shared" ca="1" si="16"/>
        <v>24</v>
      </c>
      <c r="C124" s="117" t="str">
        <f t="shared" ca="1" si="16"/>
        <v>255.255.255.0</v>
      </c>
      <c r="D124" s="117">
        <f t="shared" ca="1" si="16"/>
        <v>254</v>
      </c>
      <c r="E124" s="117" t="str">
        <f t="shared" ca="1" si="16"/>
        <v>10.188.187.0</v>
      </c>
      <c r="F124" s="117" t="str">
        <f t="shared" ca="1" si="16"/>
        <v>10.188.187.255</v>
      </c>
      <c r="G124" s="117" t="str">
        <f t="shared" ca="1" si="16"/>
        <v>10.188.187.1</v>
      </c>
      <c r="H124" s="117" t="str">
        <f t="shared" ca="1" si="16"/>
        <v>10.188.187.254</v>
      </c>
      <c r="I124" s="133"/>
      <c r="J124" s="119" t="str">
        <f t="shared" ca="1" si="15"/>
        <v>187</v>
      </c>
      <c r="K124" s="134"/>
      <c r="L124" s="114"/>
      <c r="M124" s="135"/>
      <c r="N124" s="114"/>
      <c r="O124" s="114"/>
    </row>
    <row r="125" spans="1:15" x14ac:dyDescent="0.25">
      <c r="A125" s="116" t="str">
        <f t="shared" ca="1" si="16"/>
        <v>10.188.187.0</v>
      </c>
      <c r="B125" s="117">
        <f t="shared" ca="1" si="16"/>
        <v>24</v>
      </c>
      <c r="C125" s="117" t="str">
        <f t="shared" ca="1" si="16"/>
        <v>255.255.255.0</v>
      </c>
      <c r="D125" s="117">
        <f t="shared" ca="1" si="16"/>
        <v>254</v>
      </c>
      <c r="E125" s="117" t="str">
        <f t="shared" ca="1" si="16"/>
        <v>10.188.187.0</v>
      </c>
      <c r="F125" s="117" t="str">
        <f t="shared" ca="1" si="16"/>
        <v>10.188.187.255</v>
      </c>
      <c r="G125" s="117" t="str">
        <f t="shared" ca="1" si="16"/>
        <v>10.188.187.1</v>
      </c>
      <c r="H125" s="117" t="str">
        <f t="shared" ca="1" si="16"/>
        <v>10.188.187.254</v>
      </c>
      <c r="I125" s="121" t="s">
        <v>353</v>
      </c>
      <c r="J125" s="119" t="str">
        <f t="shared" ca="1" si="15"/>
        <v>187</v>
      </c>
      <c r="K125" s="113"/>
      <c r="L125" s="114"/>
      <c r="M125" s="114" t="s">
        <v>354</v>
      </c>
      <c r="N125" s="114"/>
      <c r="O125" s="114" t="s">
        <v>485</v>
      </c>
    </row>
    <row r="126" spans="1:15" x14ac:dyDescent="0.25">
      <c r="A126" s="116" t="str">
        <f t="shared" ca="1" si="16"/>
        <v>10.188.187.0</v>
      </c>
      <c r="B126" s="117">
        <f t="shared" ca="1" si="16"/>
        <v>24</v>
      </c>
      <c r="C126" s="117" t="str">
        <f t="shared" ca="1" si="16"/>
        <v>255.255.255.0</v>
      </c>
      <c r="D126" s="117">
        <f t="shared" ca="1" si="16"/>
        <v>254</v>
      </c>
      <c r="E126" s="117" t="str">
        <f t="shared" ca="1" si="16"/>
        <v>10.188.187.0</v>
      </c>
      <c r="F126" s="117" t="str">
        <f t="shared" ca="1" si="16"/>
        <v>10.188.187.255</v>
      </c>
      <c r="G126" s="117" t="str">
        <f t="shared" ca="1" si="16"/>
        <v>10.188.187.1</v>
      </c>
      <c r="H126" s="117" t="str">
        <f t="shared" ca="1" si="16"/>
        <v>10.188.187.254</v>
      </c>
      <c r="I126" s="121" t="s">
        <v>355</v>
      </c>
      <c r="J126" s="119" t="str">
        <f t="shared" ca="1" si="15"/>
        <v>187</v>
      </c>
      <c r="K126" s="113"/>
      <c r="L126" s="114"/>
      <c r="M126" s="114" t="s">
        <v>356</v>
      </c>
      <c r="N126" s="114"/>
      <c r="O126" s="114" t="s">
        <v>486</v>
      </c>
    </row>
    <row r="127" spans="1:15" x14ac:dyDescent="0.25">
      <c r="A127" s="123" t="s">
        <v>477</v>
      </c>
      <c r="B127" s="124">
        <f t="shared" ca="1" si="16"/>
        <v>24</v>
      </c>
      <c r="C127" s="124" t="str">
        <f t="shared" ca="1" si="16"/>
        <v>255.255.255.0</v>
      </c>
      <c r="D127" s="124">
        <f t="shared" ca="1" si="16"/>
        <v>254</v>
      </c>
      <c r="E127" s="124" t="str">
        <f t="shared" ca="1" si="16"/>
        <v>10.188.187.0</v>
      </c>
      <c r="F127" s="124" t="str">
        <f t="shared" ca="1" si="16"/>
        <v>10.188.187.255</v>
      </c>
      <c r="G127" s="124" t="str">
        <f t="shared" ca="1" si="16"/>
        <v>10.188.187.1</v>
      </c>
      <c r="H127" s="124" t="str">
        <f t="shared" ca="1" si="16"/>
        <v>10.188.187.254</v>
      </c>
      <c r="I127" s="121" t="s">
        <v>357</v>
      </c>
      <c r="J127" s="119" t="str">
        <f t="shared" ca="1" si="15"/>
        <v>187</v>
      </c>
      <c r="K127" s="113" t="s">
        <v>6</v>
      </c>
      <c r="L127" s="114" t="s">
        <v>382</v>
      </c>
      <c r="M127" s="114" t="s">
        <v>402</v>
      </c>
      <c r="N127" s="114"/>
      <c r="O127" s="109" t="s">
        <v>487</v>
      </c>
    </row>
    <row r="128" spans="1:15" s="138" customFormat="1" x14ac:dyDescent="0.25">
      <c r="A128" s="136"/>
      <c r="B128" s="137"/>
      <c r="C128" s="137"/>
      <c r="D128" s="137"/>
      <c r="E128" s="137"/>
      <c r="F128" s="137"/>
      <c r="G128" s="137"/>
      <c r="H128" s="137"/>
      <c r="I128" s="128"/>
      <c r="J128" s="129"/>
      <c r="K128" s="130"/>
      <c r="L128" s="131"/>
      <c r="M128" s="131"/>
      <c r="N128" s="131"/>
      <c r="O128" s="131"/>
    </row>
    <row r="129" spans="1:15" s="146" customFormat="1" ht="39.6" x14ac:dyDescent="0.25">
      <c r="A129" s="139" t="s">
        <v>478</v>
      </c>
      <c r="B129" s="140">
        <v>24</v>
      </c>
      <c r="C129" s="140" t="str">
        <f>LOOKUP(B129,{24,25,26,27,28,29,30},{"255.255.255.0","255.255.255.128","255.255.255.192","255.255.255.224","255.255.255.240","255.255.255.248","255.255.255.252"})</f>
        <v>255.255.255.0</v>
      </c>
      <c r="D129" s="140">
        <f>LOOKUP(B129,{24,25,26,27,28,29,30},{254,126,62,30,14,6,2})</f>
        <v>254</v>
      </c>
      <c r="E129" s="140" t="str">
        <f>A129</f>
        <v>10.188.188.0</v>
      </c>
      <c r="F129" s="140" t="str">
        <f>IFERROR((LEFT(A129,FIND("~",SUBSTITUTE(A129,".","~",LEN(A129)-LEN(SUBSTITUTE(A129,".",""))))))&amp;RIGHT(A129,LEN(A129)-FIND("~",SUBSTITUTE(A129,".","~",LEN(A129)-LEN(SUBSTITUTE(A129,".","")))))+(D129+1),"")</f>
        <v>10.188.188.255</v>
      </c>
      <c r="G129" s="140" t="str">
        <f>IFERROR((LEFT(A129,FIND("~",SUBSTITUTE(A129,".","~",LEN(A129)-LEN(SUBSTITUTE(A129,".",""))))))&amp;RIGHT(A129,LEN(A129)-FIND("~",SUBSTITUTE(A129,".","~",LEN(A129)-LEN(SUBSTITUTE(A129,".","")))))+1,"")</f>
        <v>10.188.188.1</v>
      </c>
      <c r="H129" s="140" t="str">
        <f>IFERROR((LEFT(A129,FIND("~",SUBSTITUTE(A129,".","~",LEN(A129)-LEN(SUBSTITUTE(A129,".",""))))))&amp;RIGHT(A129,LEN(A129)-FIND("~",SUBSTITUTE(A129,".","~",LEN(A129)-LEN(SUBSTITUTE(A129,".","")))))+D129,"")</f>
        <v>10.188.188.254</v>
      </c>
      <c r="I129" s="141" t="s">
        <v>384</v>
      </c>
      <c r="J129" s="142" t="s">
        <v>334</v>
      </c>
      <c r="K129" s="143"/>
      <c r="L129" s="144"/>
      <c r="M129" s="145" t="s">
        <v>460</v>
      </c>
      <c r="N129" s="145" t="s">
        <v>398</v>
      </c>
      <c r="O129" s="144"/>
    </row>
    <row r="130" spans="1:15" x14ac:dyDescent="0.25">
      <c r="A130" s="116" t="str">
        <f t="shared" ref="A130:H130" ca="1" si="17">INDIRECT("R[-1]",FALSE)</f>
        <v>10.188.188.0</v>
      </c>
      <c r="B130" s="117">
        <f t="shared" ca="1" si="17"/>
        <v>24</v>
      </c>
      <c r="C130" s="117" t="str">
        <f t="shared" ca="1" si="17"/>
        <v>255.255.255.0</v>
      </c>
      <c r="D130" s="117">
        <f t="shared" ca="1" si="17"/>
        <v>254</v>
      </c>
      <c r="E130" s="117" t="str">
        <f t="shared" ca="1" si="17"/>
        <v>10.188.188.0</v>
      </c>
      <c r="F130" s="117" t="str">
        <f t="shared" ca="1" si="17"/>
        <v>10.188.188.255</v>
      </c>
      <c r="G130" s="117" t="str">
        <f t="shared" ca="1" si="17"/>
        <v>10.188.188.1</v>
      </c>
      <c r="H130" s="117" t="str">
        <f t="shared" ca="1" si="17"/>
        <v>10.188.188.254</v>
      </c>
      <c r="I130" s="118" t="s">
        <v>385</v>
      </c>
      <c r="J130" s="119" t="str">
        <f t="shared" ref="J130:J161" ca="1" si="18">INDIRECT("R[-1]",FALSE)</f>
        <v>188</v>
      </c>
      <c r="K130" s="113"/>
      <c r="L130" s="114"/>
      <c r="M130" s="114" t="s">
        <v>390</v>
      </c>
      <c r="N130" s="114" t="s">
        <v>390</v>
      </c>
      <c r="O130" s="114"/>
    </row>
    <row r="131" spans="1:15" x14ac:dyDescent="0.25">
      <c r="A131" s="116" t="str">
        <f t="shared" ref="A131:H160" ca="1" si="19">INDIRECT("R[-1]",FALSE)</f>
        <v>10.188.188.0</v>
      </c>
      <c r="B131" s="117">
        <f t="shared" ca="1" si="19"/>
        <v>24</v>
      </c>
      <c r="C131" s="117" t="str">
        <f t="shared" ca="1" si="19"/>
        <v>255.255.255.0</v>
      </c>
      <c r="D131" s="117">
        <f t="shared" ca="1" si="19"/>
        <v>254</v>
      </c>
      <c r="E131" s="117" t="str">
        <f t="shared" ca="1" si="19"/>
        <v>10.188.188.0</v>
      </c>
      <c r="F131" s="117" t="str">
        <f t="shared" ca="1" si="19"/>
        <v>10.188.188.255</v>
      </c>
      <c r="G131" s="117" t="str">
        <f t="shared" ca="1" si="19"/>
        <v>10.188.188.1</v>
      </c>
      <c r="H131" s="117" t="str">
        <f t="shared" ca="1" si="19"/>
        <v>10.188.188.254</v>
      </c>
      <c r="I131" s="120" t="str">
        <f ca="1">IFERROR((LEFT(A130,FIND("~",SUBSTITUTE(A130,".","~",LEN(A130)-LEN(SUBSTITUTE(A130,".",""))))))&amp;TEXT(RIGHT(A130,LEN(A130)-FIND("~",SUBSTITUTE(A130,".","~",LEN(A130)-LEN(SUBSTITUTE(A130,".","")))))+11,"000"),"")</f>
        <v>10.188.188.011</v>
      </c>
      <c r="J131" s="119" t="str">
        <f t="shared" ca="1" si="18"/>
        <v>188</v>
      </c>
      <c r="K131" s="132" t="s">
        <v>529</v>
      </c>
      <c r="L131" s="114" t="s">
        <v>396</v>
      </c>
      <c r="M131" s="109" t="s">
        <v>390</v>
      </c>
      <c r="N131" s="109" t="s">
        <v>390</v>
      </c>
      <c r="O131" s="114"/>
    </row>
    <row r="132" spans="1:15" x14ac:dyDescent="0.25">
      <c r="A132" s="116" t="str">
        <f t="shared" ca="1" si="19"/>
        <v>10.188.188.0</v>
      </c>
      <c r="B132" s="117">
        <f t="shared" ca="1" si="19"/>
        <v>24</v>
      </c>
      <c r="C132" s="117" t="str">
        <f t="shared" ca="1" si="19"/>
        <v>255.255.255.0</v>
      </c>
      <c r="D132" s="117">
        <f t="shared" ca="1" si="19"/>
        <v>254</v>
      </c>
      <c r="E132" s="117" t="str">
        <f t="shared" ca="1" si="19"/>
        <v>10.188.188.0</v>
      </c>
      <c r="F132" s="117" t="str">
        <f t="shared" ca="1" si="19"/>
        <v>10.188.188.255</v>
      </c>
      <c r="G132" s="117" t="str">
        <f t="shared" ca="1" si="19"/>
        <v>10.188.188.1</v>
      </c>
      <c r="H132" s="117" t="str">
        <f t="shared" ca="1" si="19"/>
        <v>10.188.188.254</v>
      </c>
      <c r="I132" s="133" t="str">
        <f t="shared" ref="I132:I161" ca="1" si="20">INDIRECT("R[-1]",FALSE)</f>
        <v>10.188.188.011</v>
      </c>
      <c r="J132" s="119" t="str">
        <f t="shared" ca="1" si="18"/>
        <v>188</v>
      </c>
      <c r="K132" s="134" t="str">
        <f ca="1">INDIRECT("R[-1]",FALSE)</f>
        <v>814-1-PMLP</v>
      </c>
      <c r="L132" s="114" t="s">
        <v>397</v>
      </c>
      <c r="M132" s="135" t="str">
        <f ca="1">INDIRECT("R[-1]",FALSE)</f>
        <v>ProMedia Live/Package EGRESS</v>
      </c>
      <c r="N132" s="135" t="str">
        <f ca="1">INDIRECT("R[-1]",FALSE)</f>
        <v>ProMedia Live/Package EGRESS</v>
      </c>
      <c r="O132" s="114"/>
    </row>
    <row r="133" spans="1:15" x14ac:dyDescent="0.25">
      <c r="A133" s="116" t="str">
        <f t="shared" ca="1" si="19"/>
        <v>10.188.188.0</v>
      </c>
      <c r="B133" s="117">
        <f t="shared" ca="1" si="19"/>
        <v>24</v>
      </c>
      <c r="C133" s="117" t="str">
        <f t="shared" ca="1" si="19"/>
        <v>255.255.255.0</v>
      </c>
      <c r="D133" s="117">
        <f t="shared" ca="1" si="19"/>
        <v>254</v>
      </c>
      <c r="E133" s="117" t="str">
        <f t="shared" ca="1" si="19"/>
        <v>10.188.188.0</v>
      </c>
      <c r="F133" s="117" t="str">
        <f t="shared" ca="1" si="19"/>
        <v>10.188.188.255</v>
      </c>
      <c r="G133" s="117" t="str">
        <f t="shared" ca="1" si="19"/>
        <v>10.188.188.1</v>
      </c>
      <c r="H133" s="117" t="str">
        <f t="shared" ca="1" si="19"/>
        <v>10.188.188.254</v>
      </c>
      <c r="I133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10.188.188.012</v>
      </c>
      <c r="J133" s="119" t="str">
        <f t="shared" ca="1" si="18"/>
        <v>188</v>
      </c>
      <c r="K133" s="132" t="s">
        <v>535</v>
      </c>
      <c r="L133" s="114" t="s">
        <v>396</v>
      </c>
      <c r="M133" s="109" t="s">
        <v>390</v>
      </c>
      <c r="N133" s="109" t="s">
        <v>390</v>
      </c>
      <c r="O133" s="114"/>
    </row>
    <row r="134" spans="1:15" x14ac:dyDescent="0.25">
      <c r="A134" s="116" t="str">
        <f t="shared" ca="1" si="19"/>
        <v>10.188.188.0</v>
      </c>
      <c r="B134" s="117">
        <f t="shared" ca="1" si="19"/>
        <v>24</v>
      </c>
      <c r="C134" s="117" t="str">
        <f t="shared" ca="1" si="19"/>
        <v>255.255.255.0</v>
      </c>
      <c r="D134" s="117">
        <f t="shared" ca="1" si="19"/>
        <v>254</v>
      </c>
      <c r="E134" s="117" t="str">
        <f t="shared" ca="1" si="19"/>
        <v>10.188.188.0</v>
      </c>
      <c r="F134" s="117" t="str">
        <f t="shared" ca="1" si="19"/>
        <v>10.188.188.255</v>
      </c>
      <c r="G134" s="117" t="str">
        <f t="shared" ca="1" si="19"/>
        <v>10.188.188.1</v>
      </c>
      <c r="H134" s="117" t="str">
        <f t="shared" ca="1" si="19"/>
        <v>10.188.188.254</v>
      </c>
      <c r="I134" s="133" t="str">
        <f t="shared" ca="1" si="20"/>
        <v>10.188.188.012</v>
      </c>
      <c r="J134" s="119" t="str">
        <f t="shared" ca="1" si="18"/>
        <v>188</v>
      </c>
      <c r="K134" s="134" t="str">
        <f ca="1">INDIRECT("R[-1]",FALSE)</f>
        <v>814-2-PMLP</v>
      </c>
      <c r="L134" s="114" t="s">
        <v>397</v>
      </c>
      <c r="M134" s="135" t="str">
        <f ca="1">INDIRECT("R[-1]",FALSE)</f>
        <v>ProMedia Live/Package EGRESS</v>
      </c>
      <c r="N134" s="135" t="str">
        <f ca="1">INDIRECT("R[-1]",FALSE)</f>
        <v>ProMedia Live/Package EGRESS</v>
      </c>
      <c r="O134" s="114"/>
    </row>
    <row r="135" spans="1:15" x14ac:dyDescent="0.25">
      <c r="A135" s="116" t="str">
        <f t="shared" ca="1" si="19"/>
        <v>10.188.188.0</v>
      </c>
      <c r="B135" s="117">
        <f t="shared" ca="1" si="19"/>
        <v>24</v>
      </c>
      <c r="C135" s="117" t="str">
        <f t="shared" ca="1" si="19"/>
        <v>255.255.255.0</v>
      </c>
      <c r="D135" s="117">
        <f t="shared" ca="1" si="19"/>
        <v>254</v>
      </c>
      <c r="E135" s="117" t="str">
        <f t="shared" ca="1" si="19"/>
        <v>10.188.188.0</v>
      </c>
      <c r="F135" s="117" t="str">
        <f t="shared" ca="1" si="19"/>
        <v>10.188.188.255</v>
      </c>
      <c r="G135" s="117" t="str">
        <f t="shared" ca="1" si="19"/>
        <v>10.188.188.1</v>
      </c>
      <c r="H135" s="117" t="str">
        <f t="shared" ca="1" si="19"/>
        <v>10.188.188.254</v>
      </c>
      <c r="I135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10.188.188.013</v>
      </c>
      <c r="J135" s="119" t="str">
        <f t="shared" ca="1" si="18"/>
        <v>188</v>
      </c>
      <c r="K135" s="132" t="s">
        <v>530</v>
      </c>
      <c r="L135" s="114" t="s">
        <v>396</v>
      </c>
      <c r="M135" s="109" t="s">
        <v>390</v>
      </c>
      <c r="N135" s="109" t="s">
        <v>390</v>
      </c>
      <c r="O135" s="114"/>
    </row>
    <row r="136" spans="1:15" x14ac:dyDescent="0.25">
      <c r="A136" s="116" t="str">
        <f t="shared" ca="1" si="19"/>
        <v>10.188.188.0</v>
      </c>
      <c r="B136" s="117">
        <f t="shared" ca="1" si="19"/>
        <v>24</v>
      </c>
      <c r="C136" s="117" t="str">
        <f t="shared" ca="1" si="19"/>
        <v>255.255.255.0</v>
      </c>
      <c r="D136" s="117">
        <f t="shared" ca="1" si="19"/>
        <v>254</v>
      </c>
      <c r="E136" s="117" t="str">
        <f t="shared" ca="1" si="19"/>
        <v>10.188.188.0</v>
      </c>
      <c r="F136" s="117" t="str">
        <f t="shared" ca="1" si="19"/>
        <v>10.188.188.255</v>
      </c>
      <c r="G136" s="117" t="str">
        <f t="shared" ca="1" si="19"/>
        <v>10.188.188.1</v>
      </c>
      <c r="H136" s="117" t="str">
        <f t="shared" ca="1" si="19"/>
        <v>10.188.188.254</v>
      </c>
      <c r="I136" s="133" t="str">
        <f t="shared" ca="1" si="20"/>
        <v>10.188.188.013</v>
      </c>
      <c r="J136" s="119" t="str">
        <f t="shared" ca="1" si="18"/>
        <v>188</v>
      </c>
      <c r="K136" s="134" t="str">
        <f ca="1">INDIRECT("R[-1]",FALSE)</f>
        <v>812-1-PMLP</v>
      </c>
      <c r="L136" s="114" t="s">
        <v>397</v>
      </c>
      <c r="M136" s="135" t="str">
        <f ca="1">INDIRECT("R[-1]",FALSE)</f>
        <v>ProMedia Live/Package EGRESS</v>
      </c>
      <c r="N136" s="135" t="str">
        <f ca="1">INDIRECT("R[-1]",FALSE)</f>
        <v>ProMedia Live/Package EGRESS</v>
      </c>
      <c r="O136" s="114"/>
    </row>
    <row r="137" spans="1:15" x14ac:dyDescent="0.25">
      <c r="A137" s="116" t="str">
        <f t="shared" ca="1" si="19"/>
        <v>10.188.188.0</v>
      </c>
      <c r="B137" s="117">
        <f t="shared" ca="1" si="19"/>
        <v>24</v>
      </c>
      <c r="C137" s="117" t="str">
        <f t="shared" ca="1" si="19"/>
        <v>255.255.255.0</v>
      </c>
      <c r="D137" s="117">
        <f t="shared" ca="1" si="19"/>
        <v>254</v>
      </c>
      <c r="E137" s="117" t="str">
        <f t="shared" ca="1" si="19"/>
        <v>10.188.188.0</v>
      </c>
      <c r="F137" s="117" t="str">
        <f t="shared" ca="1" si="19"/>
        <v>10.188.188.255</v>
      </c>
      <c r="G137" s="117" t="str">
        <f t="shared" ca="1" si="19"/>
        <v>10.188.188.1</v>
      </c>
      <c r="H137" s="117" t="str">
        <f t="shared" ca="1" si="19"/>
        <v>10.188.188.254</v>
      </c>
      <c r="I137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10.188.188.014</v>
      </c>
      <c r="J137" s="119" t="str">
        <f t="shared" ca="1" si="18"/>
        <v>188</v>
      </c>
      <c r="K137" s="132" t="s">
        <v>536</v>
      </c>
      <c r="L137" s="114" t="s">
        <v>396</v>
      </c>
      <c r="M137" s="109" t="s">
        <v>390</v>
      </c>
      <c r="N137" s="109" t="s">
        <v>390</v>
      </c>
      <c r="O137" s="114"/>
    </row>
    <row r="138" spans="1:15" x14ac:dyDescent="0.25">
      <c r="A138" s="116" t="str">
        <f t="shared" ca="1" si="19"/>
        <v>10.188.188.0</v>
      </c>
      <c r="B138" s="117">
        <f t="shared" ca="1" si="19"/>
        <v>24</v>
      </c>
      <c r="C138" s="117" t="str">
        <f t="shared" ca="1" si="19"/>
        <v>255.255.255.0</v>
      </c>
      <c r="D138" s="117">
        <f t="shared" ca="1" si="19"/>
        <v>254</v>
      </c>
      <c r="E138" s="117" t="str">
        <f t="shared" ca="1" si="19"/>
        <v>10.188.188.0</v>
      </c>
      <c r="F138" s="117" t="str">
        <f t="shared" ca="1" si="19"/>
        <v>10.188.188.255</v>
      </c>
      <c r="G138" s="117" t="str">
        <f t="shared" ca="1" si="19"/>
        <v>10.188.188.1</v>
      </c>
      <c r="H138" s="117" t="str">
        <f t="shared" ca="1" si="19"/>
        <v>10.188.188.254</v>
      </c>
      <c r="I138" s="133" t="str">
        <f t="shared" ca="1" si="20"/>
        <v>10.188.188.014</v>
      </c>
      <c r="J138" s="119" t="str">
        <f t="shared" ca="1" si="18"/>
        <v>188</v>
      </c>
      <c r="K138" s="134" t="str">
        <f ca="1">INDIRECT("R[-1]",FALSE)</f>
        <v>812-2-PMLP</v>
      </c>
      <c r="L138" s="114" t="s">
        <v>397</v>
      </c>
      <c r="M138" s="135" t="str">
        <f ca="1">INDIRECT("R[-1]",FALSE)</f>
        <v>ProMedia Live/Package EGRESS</v>
      </c>
      <c r="N138" s="135" t="str">
        <f ca="1">INDIRECT("R[-1]",FALSE)</f>
        <v>ProMedia Live/Package EGRESS</v>
      </c>
      <c r="O138" s="114"/>
    </row>
    <row r="139" spans="1:15" x14ac:dyDescent="0.25">
      <c r="A139" s="116" t="str">
        <f t="shared" ca="1" si="19"/>
        <v>10.188.188.0</v>
      </c>
      <c r="B139" s="117">
        <f t="shared" ca="1" si="19"/>
        <v>24</v>
      </c>
      <c r="C139" s="117" t="str">
        <f t="shared" ca="1" si="19"/>
        <v>255.255.255.0</v>
      </c>
      <c r="D139" s="117">
        <f t="shared" ca="1" si="19"/>
        <v>254</v>
      </c>
      <c r="E139" s="117" t="str">
        <f t="shared" ca="1" si="19"/>
        <v>10.188.188.0</v>
      </c>
      <c r="F139" s="117" t="str">
        <f t="shared" ca="1" si="19"/>
        <v>10.188.188.255</v>
      </c>
      <c r="G139" s="117" t="str">
        <f t="shared" ca="1" si="19"/>
        <v>10.188.188.1</v>
      </c>
      <c r="H139" s="117" t="str">
        <f t="shared" ca="1" si="19"/>
        <v>10.188.188.254</v>
      </c>
      <c r="I139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10.188.188.015</v>
      </c>
      <c r="J139" s="119" t="str">
        <f t="shared" ca="1" si="18"/>
        <v>188</v>
      </c>
      <c r="K139" s="132" t="s">
        <v>531</v>
      </c>
      <c r="L139" s="114" t="s">
        <v>396</v>
      </c>
      <c r="M139" s="109" t="s">
        <v>390</v>
      </c>
      <c r="N139" s="109" t="s">
        <v>390</v>
      </c>
      <c r="O139" s="114"/>
    </row>
    <row r="140" spans="1:15" x14ac:dyDescent="0.25">
      <c r="A140" s="116" t="str">
        <f t="shared" ca="1" si="19"/>
        <v>10.188.188.0</v>
      </c>
      <c r="B140" s="117">
        <f t="shared" ca="1" si="19"/>
        <v>24</v>
      </c>
      <c r="C140" s="117" t="str">
        <f t="shared" ca="1" si="19"/>
        <v>255.255.255.0</v>
      </c>
      <c r="D140" s="117">
        <f t="shared" ca="1" si="19"/>
        <v>254</v>
      </c>
      <c r="E140" s="117" t="str">
        <f t="shared" ca="1" si="19"/>
        <v>10.188.188.0</v>
      </c>
      <c r="F140" s="117" t="str">
        <f t="shared" ca="1" si="19"/>
        <v>10.188.188.255</v>
      </c>
      <c r="G140" s="117" t="str">
        <f t="shared" ca="1" si="19"/>
        <v>10.188.188.1</v>
      </c>
      <c r="H140" s="117" t="str">
        <f t="shared" ca="1" si="19"/>
        <v>10.188.188.254</v>
      </c>
      <c r="I140" s="133" t="str">
        <f t="shared" ca="1" si="20"/>
        <v>10.188.188.015</v>
      </c>
      <c r="J140" s="119" t="str">
        <f t="shared" ca="1" si="18"/>
        <v>188</v>
      </c>
      <c r="K140" s="134" t="str">
        <f ca="1">INDIRECT("R[-1]",FALSE)</f>
        <v>810-1-PMLP</v>
      </c>
      <c r="L140" s="114" t="s">
        <v>397</v>
      </c>
      <c r="M140" s="135" t="str">
        <f ca="1">INDIRECT("R[-1]",FALSE)</f>
        <v>ProMedia Live/Package EGRESS</v>
      </c>
      <c r="N140" s="135" t="str">
        <f ca="1">INDIRECT("R[-1]",FALSE)</f>
        <v>ProMedia Live/Package EGRESS</v>
      </c>
      <c r="O140" s="114"/>
    </row>
    <row r="141" spans="1:15" x14ac:dyDescent="0.25">
      <c r="A141" s="116" t="str">
        <f t="shared" ca="1" si="19"/>
        <v>10.188.188.0</v>
      </c>
      <c r="B141" s="117">
        <f t="shared" ca="1" si="19"/>
        <v>24</v>
      </c>
      <c r="C141" s="117" t="str">
        <f t="shared" ca="1" si="19"/>
        <v>255.255.255.0</v>
      </c>
      <c r="D141" s="117">
        <f t="shared" ca="1" si="19"/>
        <v>254</v>
      </c>
      <c r="E141" s="117" t="str">
        <f t="shared" ca="1" si="19"/>
        <v>10.188.188.0</v>
      </c>
      <c r="F141" s="117" t="str">
        <f t="shared" ca="1" si="19"/>
        <v>10.188.188.255</v>
      </c>
      <c r="G141" s="117" t="str">
        <f t="shared" ca="1" si="19"/>
        <v>10.188.188.1</v>
      </c>
      <c r="H141" s="117" t="str">
        <f t="shared" ca="1" si="19"/>
        <v>10.188.188.254</v>
      </c>
      <c r="I141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10.188.188.016</v>
      </c>
      <c r="J141" s="119" t="str">
        <f t="shared" ca="1" si="18"/>
        <v>188</v>
      </c>
      <c r="K141" s="132" t="s">
        <v>537</v>
      </c>
      <c r="L141" s="114" t="s">
        <v>396</v>
      </c>
      <c r="M141" s="109" t="s">
        <v>390</v>
      </c>
      <c r="N141" s="109" t="s">
        <v>390</v>
      </c>
      <c r="O141" s="114"/>
    </row>
    <row r="142" spans="1:15" x14ac:dyDescent="0.25">
      <c r="A142" s="116" t="str">
        <f t="shared" ca="1" si="19"/>
        <v>10.188.188.0</v>
      </c>
      <c r="B142" s="117">
        <f t="shared" ca="1" si="19"/>
        <v>24</v>
      </c>
      <c r="C142" s="117" t="str">
        <f t="shared" ca="1" si="19"/>
        <v>255.255.255.0</v>
      </c>
      <c r="D142" s="117">
        <f t="shared" ca="1" si="19"/>
        <v>254</v>
      </c>
      <c r="E142" s="117" t="str">
        <f t="shared" ca="1" si="19"/>
        <v>10.188.188.0</v>
      </c>
      <c r="F142" s="117" t="str">
        <f t="shared" ca="1" si="19"/>
        <v>10.188.188.255</v>
      </c>
      <c r="G142" s="117" t="str">
        <f t="shared" ca="1" si="19"/>
        <v>10.188.188.1</v>
      </c>
      <c r="H142" s="117" t="str">
        <f t="shared" ca="1" si="19"/>
        <v>10.188.188.254</v>
      </c>
      <c r="I142" s="133" t="str">
        <f t="shared" ca="1" si="20"/>
        <v>10.188.188.016</v>
      </c>
      <c r="J142" s="119" t="str">
        <f t="shared" ca="1" si="18"/>
        <v>188</v>
      </c>
      <c r="K142" s="134" t="str">
        <f ca="1">INDIRECT("R[-1]",FALSE)</f>
        <v>810-2-PMLP</v>
      </c>
      <c r="L142" s="114" t="s">
        <v>397</v>
      </c>
      <c r="M142" s="135" t="str">
        <f ca="1">INDIRECT("R[-1]",FALSE)</f>
        <v>ProMedia Live/Package EGRESS</v>
      </c>
      <c r="N142" s="135" t="str">
        <f ca="1">INDIRECT("R[-1]",FALSE)</f>
        <v>ProMedia Live/Package EGRESS</v>
      </c>
      <c r="O142" s="114"/>
    </row>
    <row r="143" spans="1:15" x14ac:dyDescent="0.25">
      <c r="A143" s="116" t="str">
        <f t="shared" ca="1" si="19"/>
        <v>10.188.188.0</v>
      </c>
      <c r="B143" s="117">
        <f t="shared" ca="1" si="19"/>
        <v>24</v>
      </c>
      <c r="C143" s="117" t="str">
        <f t="shared" ca="1" si="19"/>
        <v>255.255.255.0</v>
      </c>
      <c r="D143" s="117">
        <f t="shared" ca="1" si="19"/>
        <v>254</v>
      </c>
      <c r="E143" s="117" t="str">
        <f t="shared" ca="1" si="19"/>
        <v>10.188.188.0</v>
      </c>
      <c r="F143" s="117" t="str">
        <f t="shared" ca="1" si="19"/>
        <v>10.188.188.255</v>
      </c>
      <c r="G143" s="117" t="str">
        <f t="shared" ca="1" si="19"/>
        <v>10.188.188.1</v>
      </c>
      <c r="H143" s="117" t="str">
        <f t="shared" ca="1" si="19"/>
        <v>10.188.188.254</v>
      </c>
      <c r="I143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10.188.188.017</v>
      </c>
      <c r="J143" s="119" t="str">
        <f t="shared" ca="1" si="18"/>
        <v>188</v>
      </c>
      <c r="K143" s="132" t="s">
        <v>532</v>
      </c>
      <c r="L143" s="114" t="s">
        <v>396</v>
      </c>
      <c r="M143" s="109" t="s">
        <v>390</v>
      </c>
      <c r="N143" s="109" t="s">
        <v>390</v>
      </c>
      <c r="O143" s="114"/>
    </row>
    <row r="144" spans="1:15" x14ac:dyDescent="0.25">
      <c r="A144" s="116" t="str">
        <f t="shared" ca="1" si="19"/>
        <v>10.188.188.0</v>
      </c>
      <c r="B144" s="117">
        <f t="shared" ca="1" si="19"/>
        <v>24</v>
      </c>
      <c r="C144" s="117" t="str">
        <f t="shared" ca="1" si="19"/>
        <v>255.255.255.0</v>
      </c>
      <c r="D144" s="117">
        <f t="shared" ca="1" si="19"/>
        <v>254</v>
      </c>
      <c r="E144" s="117" t="str">
        <f t="shared" ca="1" si="19"/>
        <v>10.188.188.0</v>
      </c>
      <c r="F144" s="117" t="str">
        <f t="shared" ca="1" si="19"/>
        <v>10.188.188.255</v>
      </c>
      <c r="G144" s="117" t="str">
        <f t="shared" ca="1" si="19"/>
        <v>10.188.188.1</v>
      </c>
      <c r="H144" s="117" t="str">
        <f t="shared" ca="1" si="19"/>
        <v>10.188.188.254</v>
      </c>
      <c r="I144" s="133" t="str">
        <f t="shared" ca="1" si="20"/>
        <v>10.188.188.017</v>
      </c>
      <c r="J144" s="119" t="str">
        <f t="shared" ca="1" si="18"/>
        <v>188</v>
      </c>
      <c r="K144" s="134" t="str">
        <f ca="1">INDIRECT("R[-1]",FALSE)</f>
        <v>808-1-PMLP</v>
      </c>
      <c r="L144" s="114" t="s">
        <v>397</v>
      </c>
      <c r="M144" s="135" t="str">
        <f ca="1">INDIRECT("R[-1]",FALSE)</f>
        <v>ProMedia Live/Package EGRESS</v>
      </c>
      <c r="N144" s="135" t="str">
        <f ca="1">INDIRECT("R[-1]",FALSE)</f>
        <v>ProMedia Live/Package EGRESS</v>
      </c>
      <c r="O144" s="114"/>
    </row>
    <row r="145" spans="1:15" x14ac:dyDescent="0.25">
      <c r="A145" s="116" t="str">
        <f t="shared" ca="1" si="19"/>
        <v>10.188.188.0</v>
      </c>
      <c r="B145" s="117">
        <f t="shared" ca="1" si="19"/>
        <v>24</v>
      </c>
      <c r="C145" s="117" t="str">
        <f t="shared" ca="1" si="19"/>
        <v>255.255.255.0</v>
      </c>
      <c r="D145" s="117">
        <f t="shared" ca="1" si="19"/>
        <v>254</v>
      </c>
      <c r="E145" s="117" t="str">
        <f t="shared" ca="1" si="19"/>
        <v>10.188.188.0</v>
      </c>
      <c r="F145" s="117" t="str">
        <f t="shared" ca="1" si="19"/>
        <v>10.188.188.255</v>
      </c>
      <c r="G145" s="117" t="str">
        <f t="shared" ca="1" si="19"/>
        <v>10.188.188.1</v>
      </c>
      <c r="H145" s="117" t="str">
        <f t="shared" ca="1" si="19"/>
        <v>10.188.188.254</v>
      </c>
      <c r="I145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10.188.188.018</v>
      </c>
      <c r="J145" s="119" t="str">
        <f t="shared" ca="1" si="18"/>
        <v>188</v>
      </c>
      <c r="K145" s="132" t="s">
        <v>538</v>
      </c>
      <c r="L145" s="114" t="s">
        <v>396</v>
      </c>
      <c r="M145" s="109" t="s">
        <v>390</v>
      </c>
      <c r="N145" s="109" t="s">
        <v>390</v>
      </c>
      <c r="O145" s="114"/>
    </row>
    <row r="146" spans="1:15" x14ac:dyDescent="0.25">
      <c r="A146" s="116" t="str">
        <f t="shared" ca="1" si="19"/>
        <v>10.188.188.0</v>
      </c>
      <c r="B146" s="117">
        <f t="shared" ca="1" si="19"/>
        <v>24</v>
      </c>
      <c r="C146" s="117" t="str">
        <f t="shared" ca="1" si="19"/>
        <v>255.255.255.0</v>
      </c>
      <c r="D146" s="117">
        <f t="shared" ca="1" si="19"/>
        <v>254</v>
      </c>
      <c r="E146" s="117" t="str">
        <f t="shared" ca="1" si="19"/>
        <v>10.188.188.0</v>
      </c>
      <c r="F146" s="117" t="str">
        <f t="shared" ca="1" si="19"/>
        <v>10.188.188.255</v>
      </c>
      <c r="G146" s="117" t="str">
        <f t="shared" ca="1" si="19"/>
        <v>10.188.188.1</v>
      </c>
      <c r="H146" s="117" t="str">
        <f t="shared" ca="1" si="19"/>
        <v>10.188.188.254</v>
      </c>
      <c r="I146" s="133" t="str">
        <f t="shared" ca="1" si="20"/>
        <v>10.188.188.018</v>
      </c>
      <c r="J146" s="119" t="str">
        <f t="shared" ca="1" si="18"/>
        <v>188</v>
      </c>
      <c r="K146" s="134" t="str">
        <f ca="1">INDIRECT("R[-1]",FALSE)</f>
        <v>808-2-PMLP</v>
      </c>
      <c r="L146" s="114" t="s">
        <v>397</v>
      </c>
      <c r="M146" s="135" t="str">
        <f ca="1">INDIRECT("R[-1]",FALSE)</f>
        <v>ProMedia Live/Package EGRESS</v>
      </c>
      <c r="N146" s="135" t="str">
        <f ca="1">INDIRECT("R[-1]",FALSE)</f>
        <v>ProMedia Live/Package EGRESS</v>
      </c>
      <c r="O146" s="114"/>
    </row>
    <row r="147" spans="1:15" x14ac:dyDescent="0.25">
      <c r="A147" s="116" t="str">
        <f t="shared" ca="1" si="19"/>
        <v>10.188.188.0</v>
      </c>
      <c r="B147" s="117">
        <f t="shared" ca="1" si="19"/>
        <v>24</v>
      </c>
      <c r="C147" s="117" t="str">
        <f t="shared" ca="1" si="19"/>
        <v>255.255.255.0</v>
      </c>
      <c r="D147" s="117">
        <f t="shared" ca="1" si="19"/>
        <v>254</v>
      </c>
      <c r="E147" s="117" t="str">
        <f t="shared" ca="1" si="19"/>
        <v>10.188.188.0</v>
      </c>
      <c r="F147" s="117" t="str">
        <f t="shared" ca="1" si="19"/>
        <v>10.188.188.255</v>
      </c>
      <c r="G147" s="117" t="str">
        <f t="shared" ca="1" si="19"/>
        <v>10.188.188.1</v>
      </c>
      <c r="H147" s="117" t="str">
        <f t="shared" ca="1" si="19"/>
        <v>10.188.188.254</v>
      </c>
      <c r="I147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10.188.188.019</v>
      </c>
      <c r="J147" s="119" t="str">
        <f t="shared" ca="1" si="18"/>
        <v>188</v>
      </c>
      <c r="K147" s="132" t="s">
        <v>533</v>
      </c>
      <c r="L147" s="114" t="s">
        <v>396</v>
      </c>
      <c r="M147" s="109" t="s">
        <v>390</v>
      </c>
      <c r="N147" s="109" t="s">
        <v>390</v>
      </c>
      <c r="O147" s="114"/>
    </row>
    <row r="148" spans="1:15" x14ac:dyDescent="0.25">
      <c r="A148" s="116" t="str">
        <f t="shared" ca="1" si="19"/>
        <v>10.188.188.0</v>
      </c>
      <c r="B148" s="117">
        <f t="shared" ca="1" si="19"/>
        <v>24</v>
      </c>
      <c r="C148" s="117" t="str">
        <f t="shared" ca="1" si="19"/>
        <v>255.255.255.0</v>
      </c>
      <c r="D148" s="117">
        <f t="shared" ca="1" si="19"/>
        <v>254</v>
      </c>
      <c r="E148" s="117" t="str">
        <f t="shared" ca="1" si="19"/>
        <v>10.188.188.0</v>
      </c>
      <c r="F148" s="117" t="str">
        <f t="shared" ca="1" si="19"/>
        <v>10.188.188.255</v>
      </c>
      <c r="G148" s="117" t="str">
        <f t="shared" ca="1" si="19"/>
        <v>10.188.188.1</v>
      </c>
      <c r="H148" s="117" t="str">
        <f t="shared" ca="1" si="19"/>
        <v>10.188.188.254</v>
      </c>
      <c r="I148" s="133" t="str">
        <f t="shared" ca="1" si="20"/>
        <v>10.188.188.019</v>
      </c>
      <c r="J148" s="119" t="str">
        <f t="shared" ca="1" si="18"/>
        <v>188</v>
      </c>
      <c r="K148" s="134" t="str">
        <f ca="1">INDIRECT("R[-1]",FALSE)</f>
        <v>806-1-PMLP</v>
      </c>
      <c r="L148" s="114" t="s">
        <v>397</v>
      </c>
      <c r="M148" s="135" t="str">
        <f ca="1">INDIRECT("R[-1]",FALSE)</f>
        <v>ProMedia Live/Package EGRESS</v>
      </c>
      <c r="N148" s="135" t="str">
        <f ca="1">INDIRECT("R[-1]",FALSE)</f>
        <v>ProMedia Live/Package EGRESS</v>
      </c>
      <c r="O148" s="114"/>
    </row>
    <row r="149" spans="1:15" x14ac:dyDescent="0.25">
      <c r="A149" s="116" t="str">
        <f t="shared" ca="1" si="19"/>
        <v>10.188.188.0</v>
      </c>
      <c r="B149" s="117">
        <f t="shared" ca="1" si="19"/>
        <v>24</v>
      </c>
      <c r="C149" s="117" t="str">
        <f t="shared" ca="1" si="19"/>
        <v>255.255.255.0</v>
      </c>
      <c r="D149" s="117">
        <f t="shared" ca="1" si="19"/>
        <v>254</v>
      </c>
      <c r="E149" s="117" t="str">
        <f t="shared" ca="1" si="19"/>
        <v>10.188.188.0</v>
      </c>
      <c r="F149" s="117" t="str">
        <f t="shared" ca="1" si="19"/>
        <v>10.188.188.255</v>
      </c>
      <c r="G149" s="117" t="str">
        <f t="shared" ca="1" si="19"/>
        <v>10.188.188.1</v>
      </c>
      <c r="H149" s="117" t="str">
        <f t="shared" ca="1" si="19"/>
        <v>10.188.188.254</v>
      </c>
      <c r="I149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10.188.188.020</v>
      </c>
      <c r="J149" s="119" t="str">
        <f t="shared" ca="1" si="18"/>
        <v>188</v>
      </c>
      <c r="K149" s="132" t="s">
        <v>539</v>
      </c>
      <c r="L149" s="114" t="s">
        <v>396</v>
      </c>
      <c r="M149" s="109" t="s">
        <v>390</v>
      </c>
      <c r="N149" s="109" t="s">
        <v>390</v>
      </c>
      <c r="O149" s="114"/>
    </row>
    <row r="150" spans="1:15" x14ac:dyDescent="0.25">
      <c r="A150" s="116" t="str">
        <f t="shared" ca="1" si="19"/>
        <v>10.188.188.0</v>
      </c>
      <c r="B150" s="117">
        <f t="shared" ca="1" si="19"/>
        <v>24</v>
      </c>
      <c r="C150" s="117" t="str">
        <f t="shared" ca="1" si="19"/>
        <v>255.255.255.0</v>
      </c>
      <c r="D150" s="117">
        <f t="shared" ca="1" si="19"/>
        <v>254</v>
      </c>
      <c r="E150" s="117" t="str">
        <f t="shared" ca="1" si="19"/>
        <v>10.188.188.0</v>
      </c>
      <c r="F150" s="117" t="str">
        <f t="shared" ca="1" si="19"/>
        <v>10.188.188.255</v>
      </c>
      <c r="G150" s="117" t="str">
        <f t="shared" ca="1" si="19"/>
        <v>10.188.188.1</v>
      </c>
      <c r="H150" s="117" t="str">
        <f t="shared" ca="1" si="19"/>
        <v>10.188.188.254</v>
      </c>
      <c r="I150" s="133" t="str">
        <f t="shared" ca="1" si="20"/>
        <v>10.188.188.020</v>
      </c>
      <c r="J150" s="119" t="str">
        <f t="shared" ca="1" si="18"/>
        <v>188</v>
      </c>
      <c r="K150" s="134" t="str">
        <f ca="1">INDIRECT("R[-1]",FALSE)</f>
        <v>806-2-PMLP</v>
      </c>
      <c r="L150" s="114" t="s">
        <v>397</v>
      </c>
      <c r="M150" s="135" t="str">
        <f ca="1">INDIRECT("R[-1]",FALSE)</f>
        <v>ProMedia Live/Package EGRESS</v>
      </c>
      <c r="N150" s="135" t="str">
        <f ca="1">INDIRECT("R[-1]",FALSE)</f>
        <v>ProMedia Live/Package EGRESS</v>
      </c>
      <c r="O150" s="114"/>
    </row>
    <row r="151" spans="1:15" x14ac:dyDescent="0.25">
      <c r="A151" s="116" t="str">
        <f t="shared" ca="1" si="19"/>
        <v>10.188.188.0</v>
      </c>
      <c r="B151" s="117">
        <f t="shared" ca="1" si="19"/>
        <v>24</v>
      </c>
      <c r="C151" s="117" t="str">
        <f t="shared" ca="1" si="19"/>
        <v>255.255.255.0</v>
      </c>
      <c r="D151" s="117">
        <f t="shared" ca="1" si="19"/>
        <v>254</v>
      </c>
      <c r="E151" s="117" t="str">
        <f t="shared" ca="1" si="19"/>
        <v>10.188.188.0</v>
      </c>
      <c r="F151" s="117" t="str">
        <f t="shared" ca="1" si="19"/>
        <v>10.188.188.255</v>
      </c>
      <c r="G151" s="117" t="str">
        <f t="shared" ca="1" si="19"/>
        <v>10.188.188.1</v>
      </c>
      <c r="H151" s="117" t="str">
        <f t="shared" ca="1" si="19"/>
        <v>10.188.188.254</v>
      </c>
      <c r="I151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10.188.188.021</v>
      </c>
      <c r="J151" s="119" t="str">
        <f t="shared" ca="1" si="18"/>
        <v>188</v>
      </c>
      <c r="K151" s="132" t="s">
        <v>534</v>
      </c>
      <c r="L151" s="114" t="s">
        <v>396</v>
      </c>
      <c r="M151" s="109" t="s">
        <v>390</v>
      </c>
      <c r="N151" s="109" t="s">
        <v>390</v>
      </c>
      <c r="O151" s="114"/>
    </row>
    <row r="152" spans="1:15" x14ac:dyDescent="0.25">
      <c r="A152" s="116" t="str">
        <f t="shared" ca="1" si="19"/>
        <v>10.188.188.0</v>
      </c>
      <c r="B152" s="117">
        <f t="shared" ca="1" si="19"/>
        <v>24</v>
      </c>
      <c r="C152" s="117" t="str">
        <f t="shared" ca="1" si="19"/>
        <v>255.255.255.0</v>
      </c>
      <c r="D152" s="117">
        <f t="shared" ca="1" si="19"/>
        <v>254</v>
      </c>
      <c r="E152" s="117" t="str">
        <f t="shared" ca="1" si="19"/>
        <v>10.188.188.0</v>
      </c>
      <c r="F152" s="117" t="str">
        <f t="shared" ca="1" si="19"/>
        <v>10.188.188.255</v>
      </c>
      <c r="G152" s="117" t="str">
        <f t="shared" ca="1" si="19"/>
        <v>10.188.188.1</v>
      </c>
      <c r="H152" s="117" t="str">
        <f t="shared" ca="1" si="19"/>
        <v>10.188.188.254</v>
      </c>
      <c r="I152" s="133" t="str">
        <f t="shared" ca="1" si="20"/>
        <v>10.188.188.021</v>
      </c>
      <c r="J152" s="119" t="str">
        <f t="shared" ca="1" si="18"/>
        <v>188</v>
      </c>
      <c r="K152" s="134" t="str">
        <f ca="1">INDIRECT("R[-1]",FALSE)</f>
        <v>804-1-PMLP</v>
      </c>
      <c r="L152" s="114" t="s">
        <v>397</v>
      </c>
      <c r="M152" s="135" t="str">
        <f ca="1">INDIRECT("R[-1]",FALSE)</f>
        <v>ProMedia Live/Package EGRESS</v>
      </c>
      <c r="N152" s="135" t="str">
        <f ca="1">INDIRECT("R[-1]",FALSE)</f>
        <v>ProMedia Live/Package EGRESS</v>
      </c>
      <c r="O152" s="114"/>
    </row>
    <row r="153" spans="1:15" x14ac:dyDescent="0.25">
      <c r="A153" s="116" t="str">
        <f t="shared" ca="1" si="19"/>
        <v>10.188.188.0</v>
      </c>
      <c r="B153" s="117">
        <f t="shared" ca="1" si="19"/>
        <v>24</v>
      </c>
      <c r="C153" s="117" t="str">
        <f t="shared" ca="1" si="19"/>
        <v>255.255.255.0</v>
      </c>
      <c r="D153" s="117">
        <f t="shared" ca="1" si="19"/>
        <v>254</v>
      </c>
      <c r="E153" s="117" t="str">
        <f t="shared" ca="1" si="19"/>
        <v>10.188.188.0</v>
      </c>
      <c r="F153" s="117" t="str">
        <f t="shared" ca="1" si="19"/>
        <v>10.188.188.255</v>
      </c>
      <c r="G153" s="117" t="str">
        <f t="shared" ca="1" si="19"/>
        <v>10.188.188.1</v>
      </c>
      <c r="H153" s="117" t="str">
        <f t="shared" ca="1" si="19"/>
        <v>10.188.188.254</v>
      </c>
      <c r="I153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10.188.188.022</v>
      </c>
      <c r="J153" s="119" t="str">
        <f t="shared" ca="1" si="18"/>
        <v>188</v>
      </c>
      <c r="K153" s="132" t="s">
        <v>540</v>
      </c>
      <c r="L153" s="114" t="s">
        <v>396</v>
      </c>
      <c r="M153" s="109" t="s">
        <v>390</v>
      </c>
      <c r="N153" s="109" t="s">
        <v>390</v>
      </c>
      <c r="O153" s="114"/>
    </row>
    <row r="154" spans="1:15" x14ac:dyDescent="0.25">
      <c r="A154" s="116" t="str">
        <f t="shared" ca="1" si="19"/>
        <v>10.188.188.0</v>
      </c>
      <c r="B154" s="117">
        <f t="shared" ca="1" si="19"/>
        <v>24</v>
      </c>
      <c r="C154" s="117" t="str">
        <f t="shared" ca="1" si="19"/>
        <v>255.255.255.0</v>
      </c>
      <c r="D154" s="117">
        <f t="shared" ca="1" si="19"/>
        <v>254</v>
      </c>
      <c r="E154" s="117" t="str">
        <f t="shared" ca="1" si="19"/>
        <v>10.188.188.0</v>
      </c>
      <c r="F154" s="117" t="str">
        <f t="shared" ca="1" si="19"/>
        <v>10.188.188.255</v>
      </c>
      <c r="G154" s="117" t="str">
        <f t="shared" ca="1" si="19"/>
        <v>10.188.188.1</v>
      </c>
      <c r="H154" s="117" t="str">
        <f t="shared" ca="1" si="19"/>
        <v>10.188.188.254</v>
      </c>
      <c r="I154" s="133" t="str">
        <f t="shared" ca="1" si="20"/>
        <v>10.188.188.022</v>
      </c>
      <c r="J154" s="119" t="str">
        <f t="shared" ca="1" si="18"/>
        <v>188</v>
      </c>
      <c r="K154" s="134" t="str">
        <f ca="1">INDIRECT("R[-1]",FALSE)</f>
        <v>804-2-PMLP</v>
      </c>
      <c r="L154" s="114" t="s">
        <v>397</v>
      </c>
      <c r="M154" s="135" t="str">
        <f ca="1">INDIRECT("R[-1]",FALSE)</f>
        <v>ProMedia Live/Package EGRESS</v>
      </c>
      <c r="N154" s="135" t="str">
        <f ca="1">INDIRECT("R[-1]",FALSE)</f>
        <v>ProMedia Live/Package EGRESS</v>
      </c>
      <c r="O154" s="114"/>
    </row>
    <row r="155" spans="1:15" x14ac:dyDescent="0.25">
      <c r="A155" s="116" t="str">
        <f t="shared" ca="1" si="19"/>
        <v>10.188.188.0</v>
      </c>
      <c r="B155" s="117">
        <f t="shared" ca="1" si="19"/>
        <v>24</v>
      </c>
      <c r="C155" s="117" t="str">
        <f t="shared" ca="1" si="19"/>
        <v>255.255.255.0</v>
      </c>
      <c r="D155" s="117">
        <f t="shared" ca="1" si="19"/>
        <v>254</v>
      </c>
      <c r="E155" s="117" t="str">
        <f t="shared" ca="1" si="19"/>
        <v>10.188.188.0</v>
      </c>
      <c r="F155" s="117" t="str">
        <f t="shared" ca="1" si="19"/>
        <v>10.188.188.255</v>
      </c>
      <c r="G155" s="117" t="str">
        <f t="shared" ca="1" si="19"/>
        <v>10.188.188.1</v>
      </c>
      <c r="H155" s="117" t="str">
        <f t="shared" ca="1" si="19"/>
        <v>10.188.188.254</v>
      </c>
      <c r="I155" s="121"/>
      <c r="J155" s="119" t="str">
        <f t="shared" ca="1" si="18"/>
        <v>188</v>
      </c>
      <c r="K155" s="113"/>
      <c r="L155" s="114"/>
      <c r="M155" s="114"/>
      <c r="N155" s="114"/>
      <c r="O155" s="114"/>
    </row>
    <row r="156" spans="1:15" x14ac:dyDescent="0.25">
      <c r="A156" s="116" t="str">
        <f t="shared" ca="1" si="19"/>
        <v>10.188.188.0</v>
      </c>
      <c r="B156" s="117">
        <f t="shared" ca="1" si="19"/>
        <v>24</v>
      </c>
      <c r="C156" s="117" t="str">
        <f t="shared" ca="1" si="19"/>
        <v>255.255.255.0</v>
      </c>
      <c r="D156" s="117">
        <f t="shared" ca="1" si="19"/>
        <v>254</v>
      </c>
      <c r="E156" s="117" t="str">
        <f t="shared" ca="1" si="19"/>
        <v>10.188.188.0</v>
      </c>
      <c r="F156" s="117" t="str">
        <f t="shared" ca="1" si="19"/>
        <v>10.188.188.255</v>
      </c>
      <c r="G156" s="117" t="str">
        <f t="shared" ca="1" si="19"/>
        <v>10.188.188.1</v>
      </c>
      <c r="H156" s="117" t="str">
        <f t="shared" ca="1" si="19"/>
        <v>10.188.188.254</v>
      </c>
      <c r="I156" s="120" t="str">
        <f ca="1">IFERROR((LEFT(A155,FIND("~",SUBSTITUTE(A155,".","~",LEN(A155)-LEN(SUBSTITUTE(A155,".",""))))))&amp;TEXT(RIGHT(A155,LEN(A155)-FIND("~",SUBSTITUTE(A155,".","~",LEN(A155)-LEN(SUBSTITUTE(A155,".","")))))+31,"000"),"")</f>
        <v>10.188.188.031</v>
      </c>
      <c r="J156" s="119" t="str">
        <f t="shared" ca="1" si="18"/>
        <v>188</v>
      </c>
      <c r="K156" s="113" t="s">
        <v>488</v>
      </c>
      <c r="L156" s="114" t="s">
        <v>404</v>
      </c>
      <c r="M156" s="114" t="s">
        <v>374</v>
      </c>
      <c r="N156" s="114" t="s">
        <v>374</v>
      </c>
      <c r="O156" s="114"/>
    </row>
    <row r="157" spans="1:15" x14ac:dyDescent="0.25">
      <c r="A157" s="116" t="str">
        <f t="shared" ca="1" si="19"/>
        <v>10.188.188.0</v>
      </c>
      <c r="B157" s="117">
        <f t="shared" ca="1" si="19"/>
        <v>24</v>
      </c>
      <c r="C157" s="117" t="str">
        <f t="shared" ca="1" si="19"/>
        <v>255.255.255.0</v>
      </c>
      <c r="D157" s="117">
        <f t="shared" ca="1" si="19"/>
        <v>254</v>
      </c>
      <c r="E157" s="117" t="str">
        <f t="shared" ca="1" si="19"/>
        <v>10.188.188.0</v>
      </c>
      <c r="F157" s="117" t="str">
        <f t="shared" ca="1" si="19"/>
        <v>10.188.188.255</v>
      </c>
      <c r="G157" s="117" t="str">
        <f t="shared" ca="1" si="19"/>
        <v>10.188.188.1</v>
      </c>
      <c r="H157" s="117" t="str">
        <f t="shared" ca="1" si="19"/>
        <v>10.188.188.254</v>
      </c>
      <c r="I157" s="133" t="str">
        <f t="shared" ca="1" si="20"/>
        <v>10.188.188.031</v>
      </c>
      <c r="J157" s="119" t="str">
        <f t="shared" ca="1" si="18"/>
        <v>188</v>
      </c>
      <c r="K157" s="134" t="str">
        <f ca="1">INDIRECT("R[-1]",FALSE)</f>
        <v>740-PMOS</v>
      </c>
      <c r="L157" s="114" t="s">
        <v>405</v>
      </c>
      <c r="M157" s="135" t="str">
        <f ca="1">INDIRECT("R[-1]",FALSE)</f>
        <v>PMOS INGRESS</v>
      </c>
      <c r="N157" s="135" t="str">
        <f ca="1">INDIRECT("R[-1]",FALSE)</f>
        <v>PMOS INGRESS</v>
      </c>
      <c r="O157" s="114"/>
    </row>
    <row r="158" spans="1:15" x14ac:dyDescent="0.25">
      <c r="A158" s="116" t="str">
        <f t="shared" ca="1" si="19"/>
        <v>10.188.188.0</v>
      </c>
      <c r="B158" s="117">
        <f t="shared" ca="1" si="19"/>
        <v>24</v>
      </c>
      <c r="C158" s="117" t="str">
        <f t="shared" ca="1" si="19"/>
        <v>255.255.255.0</v>
      </c>
      <c r="D158" s="117">
        <f t="shared" ca="1" si="19"/>
        <v>254</v>
      </c>
      <c r="E158" s="117" t="str">
        <f t="shared" ca="1" si="19"/>
        <v>10.188.188.0</v>
      </c>
      <c r="F158" s="117" t="str">
        <f t="shared" ca="1" si="19"/>
        <v>10.188.188.255</v>
      </c>
      <c r="G158" s="117" t="str">
        <f t="shared" ca="1" si="19"/>
        <v>10.188.188.1</v>
      </c>
      <c r="H158" s="117" t="str">
        <f t="shared" ca="1" si="19"/>
        <v>10.188.188.254</v>
      </c>
      <c r="I15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10.188.188.032</v>
      </c>
      <c r="J158" s="119" t="str">
        <f t="shared" ca="1" si="18"/>
        <v>188</v>
      </c>
      <c r="K158" s="113" t="s">
        <v>609</v>
      </c>
      <c r="L158" s="114" t="s">
        <v>404</v>
      </c>
      <c r="M158" s="114" t="s">
        <v>374</v>
      </c>
      <c r="N158" s="114" t="s">
        <v>374</v>
      </c>
      <c r="O158" s="114"/>
    </row>
    <row r="159" spans="1:15" x14ac:dyDescent="0.25">
      <c r="A159" s="116" t="str">
        <f t="shared" ca="1" si="19"/>
        <v>10.188.188.0</v>
      </c>
      <c r="B159" s="117">
        <f t="shared" ca="1" si="19"/>
        <v>24</v>
      </c>
      <c r="C159" s="117" t="str">
        <f t="shared" ca="1" si="19"/>
        <v>255.255.255.0</v>
      </c>
      <c r="D159" s="117">
        <f t="shared" ca="1" si="19"/>
        <v>254</v>
      </c>
      <c r="E159" s="117" t="str">
        <f t="shared" ca="1" si="19"/>
        <v>10.188.188.0</v>
      </c>
      <c r="F159" s="117" t="str">
        <f t="shared" ca="1" si="19"/>
        <v>10.188.188.255</v>
      </c>
      <c r="G159" s="117" t="str">
        <f t="shared" ca="1" si="19"/>
        <v>10.188.188.1</v>
      </c>
      <c r="H159" s="117" t="str">
        <f t="shared" ca="1" si="19"/>
        <v>10.188.188.254</v>
      </c>
      <c r="I159" s="133" t="str">
        <f t="shared" ca="1" si="20"/>
        <v>10.188.188.032</v>
      </c>
      <c r="J159" s="119" t="str">
        <f t="shared" ca="1" si="18"/>
        <v>188</v>
      </c>
      <c r="K159" s="134" t="str">
        <f ca="1">INDIRECT("R[-1]",FALSE)</f>
        <v>739-PMOS</v>
      </c>
      <c r="L159" s="114" t="s">
        <v>405</v>
      </c>
      <c r="M159" s="135" t="str">
        <f ca="1">INDIRECT("R[-1]",FALSE)</f>
        <v>PMOS INGRESS</v>
      </c>
      <c r="N159" s="135" t="str">
        <f ca="1">INDIRECT("R[-1]",FALSE)</f>
        <v>PMOS INGRESS</v>
      </c>
      <c r="O159" s="114"/>
    </row>
    <row r="160" spans="1:15" x14ac:dyDescent="0.25">
      <c r="A160" s="116" t="str">
        <f t="shared" ca="1" si="19"/>
        <v>10.188.188.0</v>
      </c>
      <c r="B160" s="117">
        <f t="shared" ca="1" si="19"/>
        <v>24</v>
      </c>
      <c r="C160" s="117" t="str">
        <f t="shared" ca="1" si="19"/>
        <v>255.255.255.0</v>
      </c>
      <c r="D160" s="117">
        <f t="shared" ca="1" si="19"/>
        <v>254</v>
      </c>
      <c r="E160" s="117" t="str">
        <f t="shared" ca="1" si="19"/>
        <v>10.188.188.0</v>
      </c>
      <c r="F160" s="117" t="str">
        <f t="shared" ca="1" si="19"/>
        <v>10.188.188.255</v>
      </c>
      <c r="G160" s="117" t="str">
        <f t="shared" ref="A160:H191" ca="1" si="21">INDIRECT("R[-1]",FALSE)</f>
        <v>10.188.188.1</v>
      </c>
      <c r="H160" s="117" t="str">
        <f t="shared" ca="1" si="21"/>
        <v>10.188.188.254</v>
      </c>
      <c r="I16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10.188.188.033</v>
      </c>
      <c r="J160" s="119" t="str">
        <f t="shared" ca="1" si="18"/>
        <v>188</v>
      </c>
      <c r="K160" s="113" t="s">
        <v>489</v>
      </c>
      <c r="L160" s="114" t="s">
        <v>404</v>
      </c>
      <c r="M160" s="114" t="s">
        <v>374</v>
      </c>
      <c r="N160" s="114" t="s">
        <v>374</v>
      </c>
      <c r="O160" s="114"/>
    </row>
    <row r="161" spans="1:15" x14ac:dyDescent="0.25">
      <c r="A161" s="116" t="str">
        <f t="shared" ca="1" si="21"/>
        <v>10.188.188.0</v>
      </c>
      <c r="B161" s="117">
        <f t="shared" ca="1" si="21"/>
        <v>24</v>
      </c>
      <c r="C161" s="117" t="str">
        <f t="shared" ca="1" si="21"/>
        <v>255.255.255.0</v>
      </c>
      <c r="D161" s="117">
        <f t="shared" ca="1" si="21"/>
        <v>254</v>
      </c>
      <c r="E161" s="117" t="str">
        <f t="shared" ca="1" si="21"/>
        <v>10.188.188.0</v>
      </c>
      <c r="F161" s="117" t="str">
        <f t="shared" ca="1" si="21"/>
        <v>10.188.188.255</v>
      </c>
      <c r="G161" s="117" t="str">
        <f t="shared" ca="1" si="21"/>
        <v>10.188.188.1</v>
      </c>
      <c r="H161" s="117" t="str">
        <f t="shared" ca="1" si="21"/>
        <v>10.188.188.254</v>
      </c>
      <c r="I161" s="133" t="str">
        <f t="shared" ca="1" si="20"/>
        <v>10.188.188.033</v>
      </c>
      <c r="J161" s="119" t="str">
        <f t="shared" ca="1" si="18"/>
        <v>188</v>
      </c>
      <c r="K161" s="134" t="str">
        <f ca="1">INDIRECT("R[-1]",FALSE)</f>
        <v>738-PMOS</v>
      </c>
      <c r="L161" s="114" t="s">
        <v>405</v>
      </c>
      <c r="M161" s="135" t="str">
        <f ca="1">INDIRECT("R[-1]",FALSE)</f>
        <v>PMOS INGRESS</v>
      </c>
      <c r="N161" s="135" t="str">
        <f ca="1">INDIRECT("R[-1]",FALSE)</f>
        <v>PMOS INGRESS</v>
      </c>
      <c r="O161" s="114"/>
    </row>
    <row r="162" spans="1:15" x14ac:dyDescent="0.25">
      <c r="A162" s="116" t="str">
        <f t="shared" ca="1" si="21"/>
        <v>10.188.188.0</v>
      </c>
      <c r="B162" s="117">
        <f t="shared" ca="1" si="21"/>
        <v>24</v>
      </c>
      <c r="C162" s="117" t="str">
        <f t="shared" ca="1" si="21"/>
        <v>255.255.255.0</v>
      </c>
      <c r="D162" s="117">
        <f t="shared" ca="1" si="21"/>
        <v>254</v>
      </c>
      <c r="E162" s="117" t="str">
        <f t="shared" ca="1" si="21"/>
        <v>10.188.188.0</v>
      </c>
      <c r="F162" s="117" t="str">
        <f t="shared" ca="1" si="21"/>
        <v>10.188.188.255</v>
      </c>
      <c r="G162" s="117" t="str">
        <f t="shared" ca="1" si="21"/>
        <v>10.188.188.1</v>
      </c>
      <c r="H162" s="117" t="str">
        <f t="shared" ca="1" si="21"/>
        <v>10.188.188.254</v>
      </c>
      <c r="I16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10.188.188.034</v>
      </c>
      <c r="J162" s="119" t="str">
        <f t="shared" ref="J162:J191" ca="1" si="22">INDIRECT("R[-1]",FALSE)</f>
        <v>188</v>
      </c>
      <c r="K162" s="113" t="s">
        <v>695</v>
      </c>
      <c r="L162" s="114" t="s">
        <v>404</v>
      </c>
      <c r="M162" s="114" t="s">
        <v>374</v>
      </c>
      <c r="N162" s="114" t="s">
        <v>374</v>
      </c>
      <c r="O162" s="114"/>
    </row>
    <row r="163" spans="1:15" x14ac:dyDescent="0.25">
      <c r="A163" s="116" t="str">
        <f t="shared" ca="1" si="21"/>
        <v>10.188.188.0</v>
      </c>
      <c r="B163" s="117">
        <f t="shared" ca="1" si="21"/>
        <v>24</v>
      </c>
      <c r="C163" s="117" t="str">
        <f t="shared" ca="1" si="21"/>
        <v>255.255.255.0</v>
      </c>
      <c r="D163" s="117">
        <f t="shared" ca="1" si="21"/>
        <v>254</v>
      </c>
      <c r="E163" s="117" t="str">
        <f t="shared" ca="1" si="21"/>
        <v>10.188.188.0</v>
      </c>
      <c r="F163" s="117" t="str">
        <f t="shared" ca="1" si="21"/>
        <v>10.188.188.255</v>
      </c>
      <c r="G163" s="117" t="str">
        <f t="shared" ca="1" si="21"/>
        <v>10.188.188.1</v>
      </c>
      <c r="H163" s="117" t="str">
        <f t="shared" ca="1" si="21"/>
        <v>10.188.188.254</v>
      </c>
      <c r="I163" s="133" t="str">
        <f t="shared" ref="I163:I187" ca="1" si="23">INDIRECT("R[-1]",FALSE)</f>
        <v>10.188.188.034</v>
      </c>
      <c r="J163" s="119" t="str">
        <f t="shared" ca="1" si="22"/>
        <v>188</v>
      </c>
      <c r="K163" s="134" t="str">
        <f ca="1">INDIRECT("R[-1]",FALSE)</f>
        <v>737-PMOS</v>
      </c>
      <c r="L163" s="114" t="s">
        <v>405</v>
      </c>
      <c r="M163" s="135" t="str">
        <f ca="1">INDIRECT("R[-1]",FALSE)</f>
        <v>PMOS INGRESS</v>
      </c>
      <c r="N163" s="135" t="str">
        <f ca="1">INDIRECT("R[-1]",FALSE)</f>
        <v>PMOS INGRESS</v>
      </c>
      <c r="O163" s="114"/>
    </row>
    <row r="164" spans="1:15" x14ac:dyDescent="0.25">
      <c r="A164" s="116" t="str">
        <f t="shared" ca="1" si="21"/>
        <v>10.188.188.0</v>
      </c>
      <c r="B164" s="117">
        <f t="shared" ca="1" si="21"/>
        <v>24</v>
      </c>
      <c r="C164" s="117" t="str">
        <f t="shared" ca="1" si="21"/>
        <v>255.255.255.0</v>
      </c>
      <c r="D164" s="117">
        <f t="shared" ca="1" si="21"/>
        <v>254</v>
      </c>
      <c r="E164" s="117" t="str">
        <f t="shared" ca="1" si="21"/>
        <v>10.188.188.0</v>
      </c>
      <c r="F164" s="117" t="str">
        <f t="shared" ca="1" si="21"/>
        <v>10.188.188.255</v>
      </c>
      <c r="G164" s="117" t="str">
        <f t="shared" ca="1" si="21"/>
        <v>10.188.188.1</v>
      </c>
      <c r="H164" s="117" t="str">
        <f t="shared" ca="1" si="21"/>
        <v>10.188.188.254</v>
      </c>
      <c r="I16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10.188.188.035</v>
      </c>
      <c r="J164" s="119" t="str">
        <f t="shared" ca="1" si="22"/>
        <v>188</v>
      </c>
      <c r="K164" s="113" t="s">
        <v>737</v>
      </c>
      <c r="L164" s="114" t="s">
        <v>404</v>
      </c>
      <c r="M164" s="114" t="s">
        <v>374</v>
      </c>
      <c r="N164" s="114" t="s">
        <v>374</v>
      </c>
      <c r="O164" s="114"/>
    </row>
    <row r="165" spans="1:15" x14ac:dyDescent="0.25">
      <c r="A165" s="116" t="str">
        <f t="shared" ca="1" si="21"/>
        <v>10.188.188.0</v>
      </c>
      <c r="B165" s="117">
        <f t="shared" ca="1" si="21"/>
        <v>24</v>
      </c>
      <c r="C165" s="117" t="str">
        <f t="shared" ca="1" si="21"/>
        <v>255.255.255.0</v>
      </c>
      <c r="D165" s="117">
        <f t="shared" ca="1" si="21"/>
        <v>254</v>
      </c>
      <c r="E165" s="117" t="str">
        <f t="shared" ca="1" si="21"/>
        <v>10.188.188.0</v>
      </c>
      <c r="F165" s="117" t="str">
        <f t="shared" ca="1" si="21"/>
        <v>10.188.188.255</v>
      </c>
      <c r="G165" s="117" t="str">
        <f t="shared" ca="1" si="21"/>
        <v>10.188.188.1</v>
      </c>
      <c r="H165" s="117" t="str">
        <f t="shared" ca="1" si="21"/>
        <v>10.188.188.254</v>
      </c>
      <c r="I165" s="133" t="str">
        <f t="shared" ca="1" si="23"/>
        <v>10.188.188.035</v>
      </c>
      <c r="J165" s="119" t="str">
        <f t="shared" ca="1" si="22"/>
        <v>188</v>
      </c>
      <c r="K165" s="134" t="str">
        <f ca="1">INDIRECT("R[-1]",FALSE)</f>
        <v>735-PMOS</v>
      </c>
      <c r="L165" s="114" t="s">
        <v>405</v>
      </c>
      <c r="M165" s="135" t="str">
        <f ca="1">INDIRECT("R[-1]",FALSE)</f>
        <v>PMOS INGRESS</v>
      </c>
      <c r="N165" s="135" t="str">
        <f ca="1">INDIRECT("R[-1]",FALSE)</f>
        <v>PMOS INGRESS</v>
      </c>
      <c r="O165" s="114"/>
    </row>
    <row r="166" spans="1:15" x14ac:dyDescent="0.25">
      <c r="A166" s="116" t="str">
        <f t="shared" ca="1" si="21"/>
        <v>10.188.188.0</v>
      </c>
      <c r="B166" s="117">
        <f t="shared" ca="1" si="21"/>
        <v>24</v>
      </c>
      <c r="C166" s="117" t="str">
        <f t="shared" ca="1" si="21"/>
        <v>255.255.255.0</v>
      </c>
      <c r="D166" s="117">
        <f t="shared" ca="1" si="21"/>
        <v>254</v>
      </c>
      <c r="E166" s="117" t="str">
        <f t="shared" ca="1" si="21"/>
        <v>10.188.188.0</v>
      </c>
      <c r="F166" s="117" t="str">
        <f t="shared" ca="1" si="21"/>
        <v>10.188.188.255</v>
      </c>
      <c r="G166" s="117" t="str">
        <f t="shared" ca="1" si="21"/>
        <v>10.188.188.1</v>
      </c>
      <c r="H166" s="117" t="str">
        <f t="shared" ca="1" si="21"/>
        <v>10.188.188.254</v>
      </c>
      <c r="I16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10.188.188.036</v>
      </c>
      <c r="J166" s="119" t="str">
        <f t="shared" ca="1" si="22"/>
        <v>188</v>
      </c>
      <c r="K166" s="113" t="s">
        <v>490</v>
      </c>
      <c r="L166" s="114" t="s">
        <v>404</v>
      </c>
      <c r="M166" s="114" t="s">
        <v>374</v>
      </c>
      <c r="N166" s="114" t="s">
        <v>374</v>
      </c>
      <c r="O166" s="114"/>
    </row>
    <row r="167" spans="1:15" x14ac:dyDescent="0.25">
      <c r="A167" s="116" t="str">
        <f t="shared" ca="1" si="21"/>
        <v>10.188.188.0</v>
      </c>
      <c r="B167" s="117">
        <f t="shared" ca="1" si="21"/>
        <v>24</v>
      </c>
      <c r="C167" s="117" t="str">
        <f t="shared" ca="1" si="21"/>
        <v>255.255.255.0</v>
      </c>
      <c r="D167" s="117">
        <f t="shared" ca="1" si="21"/>
        <v>254</v>
      </c>
      <c r="E167" s="117" t="str">
        <f t="shared" ca="1" si="21"/>
        <v>10.188.188.0</v>
      </c>
      <c r="F167" s="117" t="str">
        <f t="shared" ca="1" si="21"/>
        <v>10.188.188.255</v>
      </c>
      <c r="G167" s="117" t="str">
        <f t="shared" ca="1" si="21"/>
        <v>10.188.188.1</v>
      </c>
      <c r="H167" s="117" t="str">
        <f t="shared" ca="1" si="21"/>
        <v>10.188.188.254</v>
      </c>
      <c r="I167" s="133" t="str">
        <f t="shared" ca="1" si="23"/>
        <v>10.188.188.036</v>
      </c>
      <c r="J167" s="119" t="str">
        <f t="shared" ca="1" si="22"/>
        <v>188</v>
      </c>
      <c r="K167" s="134" t="str">
        <f ca="1">INDIRECT("R[-1]",FALSE)</f>
        <v>734-PMOS</v>
      </c>
      <c r="L167" s="114" t="s">
        <v>405</v>
      </c>
      <c r="M167" s="135" t="str">
        <f ca="1">INDIRECT("R[-1]",FALSE)</f>
        <v>PMOS INGRESS</v>
      </c>
      <c r="N167" s="135" t="str">
        <f ca="1">INDIRECT("R[-1]",FALSE)</f>
        <v>PMOS INGRESS</v>
      </c>
      <c r="O167" s="114"/>
    </row>
    <row r="168" spans="1:15" x14ac:dyDescent="0.25">
      <c r="A168" s="116" t="str">
        <f t="shared" ca="1" si="21"/>
        <v>10.188.188.0</v>
      </c>
      <c r="B168" s="117">
        <f t="shared" ca="1" si="21"/>
        <v>24</v>
      </c>
      <c r="C168" s="117" t="str">
        <f t="shared" ca="1" si="21"/>
        <v>255.255.255.0</v>
      </c>
      <c r="D168" s="117">
        <f t="shared" ca="1" si="21"/>
        <v>254</v>
      </c>
      <c r="E168" s="117" t="str">
        <f t="shared" ca="1" si="21"/>
        <v>10.188.188.0</v>
      </c>
      <c r="F168" s="117" t="str">
        <f t="shared" ca="1" si="21"/>
        <v>10.188.188.255</v>
      </c>
      <c r="G168" s="117" t="str">
        <f t="shared" ca="1" si="21"/>
        <v>10.188.188.1</v>
      </c>
      <c r="H168" s="117" t="str">
        <f t="shared" ca="1" si="21"/>
        <v>10.188.188.254</v>
      </c>
      <c r="I16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10.188.188.037</v>
      </c>
      <c r="J168" s="119" t="str">
        <f t="shared" ca="1" si="22"/>
        <v>188</v>
      </c>
      <c r="K168" s="113" t="s">
        <v>784</v>
      </c>
      <c r="L168" s="114" t="s">
        <v>404</v>
      </c>
      <c r="M168" s="114" t="s">
        <v>374</v>
      </c>
      <c r="N168" s="114" t="s">
        <v>374</v>
      </c>
      <c r="O168" s="114"/>
    </row>
    <row r="169" spans="1:15" x14ac:dyDescent="0.25">
      <c r="A169" s="116" t="str">
        <f t="shared" ca="1" si="21"/>
        <v>10.188.188.0</v>
      </c>
      <c r="B169" s="117">
        <f t="shared" ca="1" si="21"/>
        <v>24</v>
      </c>
      <c r="C169" s="117" t="str">
        <f t="shared" ca="1" si="21"/>
        <v>255.255.255.0</v>
      </c>
      <c r="D169" s="117">
        <f t="shared" ca="1" si="21"/>
        <v>254</v>
      </c>
      <c r="E169" s="117" t="str">
        <f t="shared" ca="1" si="21"/>
        <v>10.188.188.0</v>
      </c>
      <c r="F169" s="117" t="str">
        <f t="shared" ca="1" si="21"/>
        <v>10.188.188.255</v>
      </c>
      <c r="G169" s="117" t="str">
        <f t="shared" ca="1" si="21"/>
        <v>10.188.188.1</v>
      </c>
      <c r="H169" s="117" t="str">
        <f t="shared" ca="1" si="21"/>
        <v>10.188.188.254</v>
      </c>
      <c r="I169" s="133" t="str">
        <f t="shared" ca="1" si="23"/>
        <v>10.188.188.037</v>
      </c>
      <c r="J169" s="119" t="str">
        <f t="shared" ca="1" si="22"/>
        <v>188</v>
      </c>
      <c r="K169" s="134" t="str">
        <f ca="1">INDIRECT("R[-1]",FALSE)</f>
        <v>733-PMOS</v>
      </c>
      <c r="L169" s="114" t="s">
        <v>405</v>
      </c>
      <c r="M169" s="135" t="str">
        <f ca="1">INDIRECT("R[-1]",FALSE)</f>
        <v>PMOS INGRESS</v>
      </c>
      <c r="N169" s="135" t="str">
        <f ca="1">INDIRECT("R[-1]",FALSE)</f>
        <v>PMOS INGRESS</v>
      </c>
      <c r="O169" s="114"/>
    </row>
    <row r="170" spans="1:15" x14ac:dyDescent="0.25">
      <c r="A170" s="116" t="str">
        <f t="shared" ca="1" si="21"/>
        <v>10.188.188.0</v>
      </c>
      <c r="B170" s="117">
        <f t="shared" ca="1" si="21"/>
        <v>24</v>
      </c>
      <c r="C170" s="117" t="str">
        <f t="shared" ca="1" si="21"/>
        <v>255.255.255.0</v>
      </c>
      <c r="D170" s="117">
        <f t="shared" ca="1" si="21"/>
        <v>254</v>
      </c>
      <c r="E170" s="117" t="str">
        <f t="shared" ca="1" si="21"/>
        <v>10.188.188.0</v>
      </c>
      <c r="F170" s="117" t="str">
        <f t="shared" ca="1" si="21"/>
        <v>10.188.188.255</v>
      </c>
      <c r="G170" s="117" t="str">
        <f t="shared" ca="1" si="21"/>
        <v>10.188.188.1</v>
      </c>
      <c r="H170" s="117" t="str">
        <f t="shared" ca="1" si="21"/>
        <v>10.188.188.254</v>
      </c>
      <c r="I170" s="133"/>
      <c r="J170" s="119" t="str">
        <f t="shared" ca="1" si="22"/>
        <v>188</v>
      </c>
      <c r="K170" s="134"/>
      <c r="L170" s="114"/>
      <c r="M170" s="135"/>
      <c r="N170" s="114"/>
      <c r="O170" s="114"/>
    </row>
    <row r="171" spans="1:15" x14ac:dyDescent="0.25">
      <c r="A171" s="116" t="str">
        <f t="shared" ca="1" si="21"/>
        <v>10.188.188.0</v>
      </c>
      <c r="B171" s="117">
        <f t="shared" ca="1" si="21"/>
        <v>24</v>
      </c>
      <c r="C171" s="117" t="str">
        <f t="shared" ca="1" si="21"/>
        <v>255.255.255.0</v>
      </c>
      <c r="D171" s="117">
        <f t="shared" ca="1" si="21"/>
        <v>254</v>
      </c>
      <c r="E171" s="117" t="str">
        <f t="shared" ca="1" si="21"/>
        <v>10.188.188.0</v>
      </c>
      <c r="F171" s="117" t="str">
        <f t="shared" ca="1" si="21"/>
        <v>10.188.188.255</v>
      </c>
      <c r="G171" s="117" t="str">
        <f t="shared" ca="1" si="21"/>
        <v>10.188.188.1</v>
      </c>
      <c r="H171" s="117" t="str">
        <f t="shared" ca="1" si="21"/>
        <v>10.188.188.254</v>
      </c>
      <c r="I171" s="118" t="s">
        <v>386</v>
      </c>
      <c r="J171" s="119" t="str">
        <f t="shared" ca="1" si="22"/>
        <v>188</v>
      </c>
      <c r="K171" s="113"/>
      <c r="L171" s="114"/>
      <c r="M171" s="114" t="s">
        <v>391</v>
      </c>
      <c r="N171" s="114" t="s">
        <v>392</v>
      </c>
      <c r="O171" s="114"/>
    </row>
    <row r="172" spans="1:15" x14ac:dyDescent="0.25">
      <c r="A172" s="116" t="str">
        <f t="shared" ca="1" si="21"/>
        <v>10.188.188.0</v>
      </c>
      <c r="B172" s="117">
        <f t="shared" ca="1" si="21"/>
        <v>24</v>
      </c>
      <c r="C172" s="117" t="str">
        <f t="shared" ca="1" si="21"/>
        <v>255.255.255.0</v>
      </c>
      <c r="D172" s="117">
        <f t="shared" ca="1" si="21"/>
        <v>254</v>
      </c>
      <c r="E172" s="117" t="str">
        <f t="shared" ca="1" si="21"/>
        <v>10.188.188.0</v>
      </c>
      <c r="F172" s="117" t="str">
        <f t="shared" ca="1" si="21"/>
        <v>10.188.188.255</v>
      </c>
      <c r="G172" s="117" t="str">
        <f t="shared" ca="1" si="21"/>
        <v>10.188.188.1</v>
      </c>
      <c r="H172" s="117" t="str">
        <f t="shared" ca="1" si="21"/>
        <v>10.188.188.254</v>
      </c>
      <c r="I172" s="120" t="str">
        <f ca="1">IFERROR((LEFT(A171,FIND("~",SUBSTITUTE(A171,".","~",LEN(A171)-LEN(SUBSTITUTE(A171,".",""))))))&amp;TEXT(RIGHT(A171,LEN(A171)-FIND("~",SUBSTITUTE(A171,".","~",LEN(A171)-LEN(SUBSTITUTE(A171,".","")))))+61,"000"),"")</f>
        <v>10.188.188.061</v>
      </c>
      <c r="J172" s="119" t="str">
        <f t="shared" ca="1" si="22"/>
        <v>188</v>
      </c>
      <c r="K172" s="132" t="s">
        <v>541</v>
      </c>
      <c r="L172" s="114" t="s">
        <v>396</v>
      </c>
      <c r="M172" s="109" t="s">
        <v>393</v>
      </c>
      <c r="N172" s="109" t="s">
        <v>393</v>
      </c>
      <c r="O172" s="114"/>
    </row>
    <row r="173" spans="1:15" x14ac:dyDescent="0.25">
      <c r="A173" s="116" t="str">
        <f t="shared" ca="1" si="21"/>
        <v>10.188.188.0</v>
      </c>
      <c r="B173" s="117">
        <f t="shared" ca="1" si="21"/>
        <v>24</v>
      </c>
      <c r="C173" s="117" t="str">
        <f t="shared" ca="1" si="21"/>
        <v>255.255.255.0</v>
      </c>
      <c r="D173" s="117">
        <f t="shared" ca="1" si="21"/>
        <v>254</v>
      </c>
      <c r="E173" s="117" t="str">
        <f t="shared" ca="1" si="21"/>
        <v>10.188.188.0</v>
      </c>
      <c r="F173" s="117" t="str">
        <f t="shared" ca="1" si="21"/>
        <v>10.188.188.255</v>
      </c>
      <c r="G173" s="117" t="str">
        <f t="shared" ca="1" si="21"/>
        <v>10.188.188.1</v>
      </c>
      <c r="H173" s="117" t="str">
        <f t="shared" ca="1" si="21"/>
        <v>10.188.188.254</v>
      </c>
      <c r="I173" s="133" t="str">
        <f t="shared" ca="1" si="23"/>
        <v>10.188.188.061</v>
      </c>
      <c r="J173" s="119" t="str">
        <f t="shared" ca="1" si="22"/>
        <v>188</v>
      </c>
      <c r="K173" s="134" t="str">
        <f ca="1">INDIRECT("R[-1]",FALSE)</f>
        <v>822-1-WFSP</v>
      </c>
      <c r="L173" s="114" t="s">
        <v>397</v>
      </c>
      <c r="M173" s="135" t="s">
        <v>393</v>
      </c>
      <c r="N173" s="135" t="s">
        <v>393</v>
      </c>
      <c r="O173" s="114"/>
    </row>
    <row r="174" spans="1:15" x14ac:dyDescent="0.25">
      <c r="A174" s="116" t="str">
        <f t="shared" ca="1" si="21"/>
        <v>10.188.188.0</v>
      </c>
      <c r="B174" s="117">
        <f t="shared" ca="1" si="21"/>
        <v>24</v>
      </c>
      <c r="C174" s="117" t="str">
        <f t="shared" ca="1" si="21"/>
        <v>255.255.255.0</v>
      </c>
      <c r="D174" s="117">
        <f t="shared" ca="1" si="21"/>
        <v>254</v>
      </c>
      <c r="E174" s="117" t="str">
        <f t="shared" ca="1" si="21"/>
        <v>10.188.188.0</v>
      </c>
      <c r="F174" s="117" t="str">
        <f t="shared" ca="1" si="21"/>
        <v>10.188.188.255</v>
      </c>
      <c r="G174" s="117" t="str">
        <f t="shared" ca="1" si="21"/>
        <v>10.188.188.1</v>
      </c>
      <c r="H174" s="117" t="str">
        <f t="shared" ca="1" si="21"/>
        <v>10.188.188.254</v>
      </c>
      <c r="I17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10.188.188.062</v>
      </c>
      <c r="J174" s="119" t="str">
        <f t="shared" ca="1" si="22"/>
        <v>188</v>
      </c>
      <c r="K174" s="132" t="s">
        <v>827</v>
      </c>
      <c r="L174" s="114" t="s">
        <v>396</v>
      </c>
      <c r="M174" s="109" t="s">
        <v>394</v>
      </c>
      <c r="N174" s="109" t="s">
        <v>394</v>
      </c>
      <c r="O174" s="114"/>
    </row>
    <row r="175" spans="1:15" x14ac:dyDescent="0.25">
      <c r="A175" s="116" t="str">
        <f t="shared" ca="1" si="21"/>
        <v>10.188.188.0</v>
      </c>
      <c r="B175" s="117">
        <f t="shared" ca="1" si="21"/>
        <v>24</v>
      </c>
      <c r="C175" s="117" t="str">
        <f t="shared" ca="1" si="21"/>
        <v>255.255.255.0</v>
      </c>
      <c r="D175" s="117">
        <f t="shared" ca="1" si="21"/>
        <v>254</v>
      </c>
      <c r="E175" s="117" t="str">
        <f t="shared" ca="1" si="21"/>
        <v>10.188.188.0</v>
      </c>
      <c r="F175" s="117" t="str">
        <f t="shared" ca="1" si="21"/>
        <v>10.188.188.255</v>
      </c>
      <c r="G175" s="117" t="str">
        <f t="shared" ca="1" si="21"/>
        <v>10.188.188.1</v>
      </c>
      <c r="H175" s="117" t="str">
        <f t="shared" ca="1" si="21"/>
        <v>10.188.188.254</v>
      </c>
      <c r="I175" s="133" t="str">
        <f t="shared" ca="1" si="23"/>
        <v>10.188.188.062</v>
      </c>
      <c r="J175" s="119" t="str">
        <f t="shared" ca="1" si="22"/>
        <v>188</v>
      </c>
      <c r="K175" s="134" t="str">
        <f ca="1">INDIRECT("R[-1]",FALSE)</f>
        <v>822-2-QCSCC</v>
      </c>
      <c r="L175" s="114" t="s">
        <v>397</v>
      </c>
      <c r="M175" s="135" t="s">
        <v>394</v>
      </c>
      <c r="N175" s="135" t="s">
        <v>394</v>
      </c>
      <c r="O175" s="114"/>
    </row>
    <row r="176" spans="1:15" x14ac:dyDescent="0.25">
      <c r="A176" s="116" t="str">
        <f t="shared" ca="1" si="21"/>
        <v>10.188.188.0</v>
      </c>
      <c r="B176" s="117">
        <f t="shared" ca="1" si="21"/>
        <v>24</v>
      </c>
      <c r="C176" s="117" t="str">
        <f t="shared" ca="1" si="21"/>
        <v>255.255.255.0</v>
      </c>
      <c r="D176" s="117">
        <f t="shared" ca="1" si="21"/>
        <v>254</v>
      </c>
      <c r="E176" s="117" t="str">
        <f t="shared" ca="1" si="21"/>
        <v>10.188.188.0</v>
      </c>
      <c r="F176" s="117" t="str">
        <f t="shared" ca="1" si="21"/>
        <v>10.188.188.255</v>
      </c>
      <c r="G176" s="117" t="str">
        <f t="shared" ca="1" si="21"/>
        <v>10.188.188.1</v>
      </c>
      <c r="H176" s="117" t="str">
        <f t="shared" ca="1" si="21"/>
        <v>10.188.188.254</v>
      </c>
      <c r="I17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10.188.188.063</v>
      </c>
      <c r="J176" s="119" t="str">
        <f t="shared" ca="1" si="22"/>
        <v>188</v>
      </c>
      <c r="K176" s="132" t="s">
        <v>829</v>
      </c>
      <c r="L176" s="114" t="s">
        <v>396</v>
      </c>
      <c r="M176" s="109" t="s">
        <v>393</v>
      </c>
      <c r="N176" s="109" t="s">
        <v>393</v>
      </c>
      <c r="O176" s="114"/>
    </row>
    <row r="177" spans="1:15" x14ac:dyDescent="0.25">
      <c r="A177" s="116" t="str">
        <f t="shared" ca="1" si="21"/>
        <v>10.188.188.0</v>
      </c>
      <c r="B177" s="117">
        <f t="shared" ca="1" si="21"/>
        <v>24</v>
      </c>
      <c r="C177" s="117" t="str">
        <f t="shared" ca="1" si="21"/>
        <v>255.255.255.0</v>
      </c>
      <c r="D177" s="117">
        <f t="shared" ca="1" si="21"/>
        <v>254</v>
      </c>
      <c r="E177" s="117" t="str">
        <f t="shared" ca="1" si="21"/>
        <v>10.188.188.0</v>
      </c>
      <c r="F177" s="117" t="str">
        <f t="shared" ca="1" si="21"/>
        <v>10.188.188.255</v>
      </c>
      <c r="G177" s="117" t="str">
        <f t="shared" ca="1" si="21"/>
        <v>10.188.188.1</v>
      </c>
      <c r="H177" s="117" t="str">
        <f t="shared" ca="1" si="21"/>
        <v>10.188.188.254</v>
      </c>
      <c r="I177" s="133" t="str">
        <f t="shared" ca="1" si="23"/>
        <v>10.188.188.063</v>
      </c>
      <c r="J177" s="119" t="str">
        <f t="shared" ca="1" si="22"/>
        <v>188</v>
      </c>
      <c r="K177" s="134" t="str">
        <f ca="1">INDIRECT("R[-1]",FALSE)</f>
        <v>820-1-WFSB</v>
      </c>
      <c r="L177" s="114" t="s">
        <v>397</v>
      </c>
      <c r="M177" s="135" t="s">
        <v>393</v>
      </c>
      <c r="N177" s="135" t="s">
        <v>393</v>
      </c>
      <c r="O177" s="114"/>
    </row>
    <row r="178" spans="1:15" x14ac:dyDescent="0.25">
      <c r="A178" s="116" t="str">
        <f t="shared" ca="1" si="21"/>
        <v>10.188.188.0</v>
      </c>
      <c r="B178" s="117">
        <f t="shared" ca="1" si="21"/>
        <v>24</v>
      </c>
      <c r="C178" s="117" t="str">
        <f t="shared" ca="1" si="21"/>
        <v>255.255.255.0</v>
      </c>
      <c r="D178" s="117">
        <f t="shared" ca="1" si="21"/>
        <v>254</v>
      </c>
      <c r="E178" s="117" t="str">
        <f t="shared" ca="1" si="21"/>
        <v>10.188.188.0</v>
      </c>
      <c r="F178" s="117" t="str">
        <f t="shared" ca="1" si="21"/>
        <v>10.188.188.255</v>
      </c>
      <c r="G178" s="117" t="str">
        <f t="shared" ca="1" si="21"/>
        <v>10.188.188.1</v>
      </c>
      <c r="H178" s="117" t="str">
        <f t="shared" ca="1" si="21"/>
        <v>10.188.188.254</v>
      </c>
      <c r="I17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10.188.188.064</v>
      </c>
      <c r="J178" s="119" t="str">
        <f t="shared" ca="1" si="22"/>
        <v>188</v>
      </c>
      <c r="K178" s="132" t="s">
        <v>828</v>
      </c>
      <c r="L178" s="114" t="s">
        <v>396</v>
      </c>
      <c r="M178" s="109" t="s">
        <v>394</v>
      </c>
      <c r="N178" s="109" t="s">
        <v>394</v>
      </c>
      <c r="O178" s="114"/>
    </row>
    <row r="179" spans="1:15" x14ac:dyDescent="0.25">
      <c r="A179" s="116" t="str">
        <f t="shared" ca="1" si="21"/>
        <v>10.188.188.0</v>
      </c>
      <c r="B179" s="117">
        <f t="shared" ca="1" si="21"/>
        <v>24</v>
      </c>
      <c r="C179" s="117" t="str">
        <f t="shared" ca="1" si="21"/>
        <v>255.255.255.0</v>
      </c>
      <c r="D179" s="117">
        <f t="shared" ca="1" si="21"/>
        <v>254</v>
      </c>
      <c r="E179" s="117" t="str">
        <f t="shared" ca="1" si="21"/>
        <v>10.188.188.0</v>
      </c>
      <c r="F179" s="117" t="str">
        <f t="shared" ca="1" si="21"/>
        <v>10.188.188.255</v>
      </c>
      <c r="G179" s="117" t="str">
        <f t="shared" ca="1" si="21"/>
        <v>10.188.188.1</v>
      </c>
      <c r="H179" s="117" t="str">
        <f t="shared" ca="1" si="21"/>
        <v>10.188.188.254</v>
      </c>
      <c r="I179" s="133" t="str">
        <f t="shared" ca="1" si="23"/>
        <v>10.188.188.064</v>
      </c>
      <c r="J179" s="119" t="str">
        <f t="shared" ca="1" si="22"/>
        <v>188</v>
      </c>
      <c r="K179" s="134" t="str">
        <f ca="1">INDIRECT("R[-1]",FALSE)</f>
        <v>820-2-QCSCC</v>
      </c>
      <c r="L179" s="114" t="s">
        <v>397</v>
      </c>
      <c r="M179" s="135" t="s">
        <v>394</v>
      </c>
      <c r="N179" s="135" t="s">
        <v>394</v>
      </c>
      <c r="O179" s="114"/>
    </row>
    <row r="180" spans="1:15" x14ac:dyDescent="0.25">
      <c r="A180" s="116" t="str">
        <f t="shared" ca="1" si="21"/>
        <v>10.188.188.0</v>
      </c>
      <c r="B180" s="117">
        <f t="shared" ca="1" si="21"/>
        <v>24</v>
      </c>
      <c r="C180" s="117" t="str">
        <f t="shared" ca="1" si="21"/>
        <v>255.255.255.0</v>
      </c>
      <c r="D180" s="117">
        <f t="shared" ca="1" si="21"/>
        <v>254</v>
      </c>
      <c r="E180" s="117" t="str">
        <f t="shared" ca="1" si="21"/>
        <v>10.188.188.0</v>
      </c>
      <c r="F180" s="117" t="str">
        <f t="shared" ca="1" si="21"/>
        <v>10.188.188.255</v>
      </c>
      <c r="G180" s="117" t="str">
        <f t="shared" ca="1" si="21"/>
        <v>10.188.188.1</v>
      </c>
      <c r="H180" s="117" t="str">
        <f t="shared" ca="1" si="21"/>
        <v>10.188.188.254</v>
      </c>
      <c r="I18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10.188.188.065</v>
      </c>
      <c r="J180" s="119" t="str">
        <f t="shared" ca="1" si="22"/>
        <v>188</v>
      </c>
      <c r="K180" s="132" t="s">
        <v>823</v>
      </c>
      <c r="L180" s="114" t="s">
        <v>396</v>
      </c>
      <c r="M180" s="109" t="s">
        <v>395</v>
      </c>
      <c r="N180" s="109" t="s">
        <v>395</v>
      </c>
      <c r="O180" s="114"/>
    </row>
    <row r="181" spans="1:15" x14ac:dyDescent="0.25">
      <c r="A181" s="116" t="str">
        <f t="shared" ca="1" si="21"/>
        <v>10.188.188.0</v>
      </c>
      <c r="B181" s="117">
        <f t="shared" ca="1" si="21"/>
        <v>24</v>
      </c>
      <c r="C181" s="117" t="str">
        <f t="shared" ca="1" si="21"/>
        <v>255.255.255.0</v>
      </c>
      <c r="D181" s="117">
        <f t="shared" ca="1" si="21"/>
        <v>254</v>
      </c>
      <c r="E181" s="117" t="str">
        <f t="shared" ca="1" si="21"/>
        <v>10.188.188.0</v>
      </c>
      <c r="F181" s="117" t="str">
        <f t="shared" ca="1" si="21"/>
        <v>10.188.188.255</v>
      </c>
      <c r="G181" s="117" t="str">
        <f t="shared" ca="1" si="21"/>
        <v>10.188.188.1</v>
      </c>
      <c r="H181" s="117" t="str">
        <f t="shared" ca="1" si="21"/>
        <v>10.188.188.254</v>
      </c>
      <c r="I181" s="133" t="str">
        <f t="shared" ca="1" si="23"/>
        <v>10.188.188.065</v>
      </c>
      <c r="J181" s="119" t="str">
        <f t="shared" ca="1" si="22"/>
        <v>188</v>
      </c>
      <c r="K181" s="134" t="str">
        <f ca="1">INDIRECT("R[-1]",FALSE)</f>
        <v>818-1-AESCC</v>
      </c>
      <c r="L181" s="114" t="s">
        <v>397</v>
      </c>
      <c r="M181" s="135" t="s">
        <v>395</v>
      </c>
      <c r="N181" s="135" t="s">
        <v>395</v>
      </c>
      <c r="O181" s="114"/>
    </row>
    <row r="182" spans="1:15" x14ac:dyDescent="0.25">
      <c r="A182" s="116" t="str">
        <f t="shared" ca="1" si="21"/>
        <v>10.188.188.0</v>
      </c>
      <c r="B182" s="117">
        <f t="shared" ca="1" si="21"/>
        <v>24</v>
      </c>
      <c r="C182" s="117" t="str">
        <f t="shared" ca="1" si="21"/>
        <v>255.255.255.0</v>
      </c>
      <c r="D182" s="117">
        <f t="shared" ca="1" si="21"/>
        <v>254</v>
      </c>
      <c r="E182" s="117" t="str">
        <f t="shared" ca="1" si="21"/>
        <v>10.188.188.0</v>
      </c>
      <c r="F182" s="117" t="str">
        <f t="shared" ca="1" si="21"/>
        <v>10.188.188.255</v>
      </c>
      <c r="G182" s="117" t="str">
        <f t="shared" ca="1" si="21"/>
        <v>10.188.188.1</v>
      </c>
      <c r="H182" s="117" t="str">
        <f t="shared" ca="1" si="21"/>
        <v>10.188.188.254</v>
      </c>
      <c r="I18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10.188.188.066</v>
      </c>
      <c r="J182" s="119" t="str">
        <f t="shared" ca="1" si="22"/>
        <v>188</v>
      </c>
      <c r="K182" s="132" t="s">
        <v>824</v>
      </c>
      <c r="L182" s="114" t="s">
        <v>396</v>
      </c>
      <c r="M182" s="109" t="s">
        <v>395</v>
      </c>
      <c r="N182" s="109" t="s">
        <v>395</v>
      </c>
      <c r="O182" s="114"/>
    </row>
    <row r="183" spans="1:15" x14ac:dyDescent="0.25">
      <c r="A183" s="116" t="str">
        <f t="shared" ca="1" si="21"/>
        <v>10.188.188.0</v>
      </c>
      <c r="B183" s="117">
        <f t="shared" ca="1" si="21"/>
        <v>24</v>
      </c>
      <c r="C183" s="117" t="str">
        <f t="shared" ca="1" si="21"/>
        <v>255.255.255.0</v>
      </c>
      <c r="D183" s="117">
        <f t="shared" ca="1" si="21"/>
        <v>254</v>
      </c>
      <c r="E183" s="117" t="str">
        <f t="shared" ca="1" si="21"/>
        <v>10.188.188.0</v>
      </c>
      <c r="F183" s="117" t="str">
        <f t="shared" ca="1" si="21"/>
        <v>10.188.188.255</v>
      </c>
      <c r="G183" s="117" t="str">
        <f t="shared" ca="1" si="21"/>
        <v>10.188.188.1</v>
      </c>
      <c r="H183" s="117" t="str">
        <f t="shared" ca="1" si="21"/>
        <v>10.188.188.254</v>
      </c>
      <c r="I183" s="133" t="str">
        <f t="shared" ca="1" si="23"/>
        <v>10.188.188.066</v>
      </c>
      <c r="J183" s="119" t="str">
        <f t="shared" ca="1" si="22"/>
        <v>188</v>
      </c>
      <c r="K183" s="134" t="str">
        <f ca="1">INDIRECT("R[-1]",FALSE)</f>
        <v>818-2-AESCC</v>
      </c>
      <c r="L183" s="114" t="s">
        <v>397</v>
      </c>
      <c r="M183" s="135" t="s">
        <v>395</v>
      </c>
      <c r="N183" s="135" t="s">
        <v>395</v>
      </c>
      <c r="O183" s="114"/>
    </row>
    <row r="184" spans="1:15" x14ac:dyDescent="0.25">
      <c r="A184" s="116" t="str">
        <f t="shared" ca="1" si="21"/>
        <v>10.188.188.0</v>
      </c>
      <c r="B184" s="117">
        <f t="shared" ca="1" si="21"/>
        <v>24</v>
      </c>
      <c r="C184" s="117" t="str">
        <f t="shared" ca="1" si="21"/>
        <v>255.255.255.0</v>
      </c>
      <c r="D184" s="117">
        <f t="shared" ca="1" si="21"/>
        <v>254</v>
      </c>
      <c r="E184" s="117" t="str">
        <f t="shared" ca="1" si="21"/>
        <v>10.188.188.0</v>
      </c>
      <c r="F184" s="117" t="str">
        <f t="shared" ca="1" si="21"/>
        <v>10.188.188.255</v>
      </c>
      <c r="G184" s="117" t="str">
        <f t="shared" ca="1" si="21"/>
        <v>10.188.188.1</v>
      </c>
      <c r="H184" s="117" t="str">
        <f t="shared" ca="1" si="21"/>
        <v>10.188.188.254</v>
      </c>
      <c r="I18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10.188.188.067</v>
      </c>
      <c r="J184" s="119" t="str">
        <f t="shared" ca="1" si="22"/>
        <v>188</v>
      </c>
      <c r="K184" s="132" t="s">
        <v>825</v>
      </c>
      <c r="L184" s="114" t="s">
        <v>396</v>
      </c>
      <c r="M184" s="109" t="s">
        <v>395</v>
      </c>
      <c r="N184" s="109" t="s">
        <v>395</v>
      </c>
      <c r="O184" s="114"/>
    </row>
    <row r="185" spans="1:15" x14ac:dyDescent="0.25">
      <c r="A185" s="116" t="str">
        <f t="shared" ca="1" si="21"/>
        <v>10.188.188.0</v>
      </c>
      <c r="B185" s="117">
        <f t="shared" ca="1" si="21"/>
        <v>24</v>
      </c>
      <c r="C185" s="117" t="str">
        <f t="shared" ca="1" si="21"/>
        <v>255.255.255.0</v>
      </c>
      <c r="D185" s="117">
        <f t="shared" ca="1" si="21"/>
        <v>254</v>
      </c>
      <c r="E185" s="117" t="str">
        <f t="shared" ca="1" si="21"/>
        <v>10.188.188.0</v>
      </c>
      <c r="F185" s="117" t="str">
        <f t="shared" ca="1" si="21"/>
        <v>10.188.188.255</v>
      </c>
      <c r="G185" s="117" t="str">
        <f t="shared" ca="1" si="21"/>
        <v>10.188.188.1</v>
      </c>
      <c r="H185" s="117" t="str">
        <f t="shared" ca="1" si="21"/>
        <v>10.188.188.254</v>
      </c>
      <c r="I185" s="133" t="str">
        <f t="shared" ca="1" si="23"/>
        <v>10.188.188.067</v>
      </c>
      <c r="J185" s="119" t="str">
        <f t="shared" ca="1" si="22"/>
        <v>188</v>
      </c>
      <c r="K185" s="134" t="str">
        <f ca="1">INDIRECT("R[-1]",FALSE)</f>
        <v>816-1-AESCC</v>
      </c>
      <c r="L185" s="114" t="s">
        <v>397</v>
      </c>
      <c r="M185" s="135" t="s">
        <v>395</v>
      </c>
      <c r="N185" s="135" t="s">
        <v>395</v>
      </c>
      <c r="O185" s="114"/>
    </row>
    <row r="186" spans="1:15" x14ac:dyDescent="0.25">
      <c r="A186" s="116" t="str">
        <f t="shared" ca="1" si="21"/>
        <v>10.188.188.0</v>
      </c>
      <c r="B186" s="117">
        <f t="shared" ca="1" si="21"/>
        <v>24</v>
      </c>
      <c r="C186" s="117" t="str">
        <f t="shared" ca="1" si="21"/>
        <v>255.255.255.0</v>
      </c>
      <c r="D186" s="117">
        <f t="shared" ca="1" si="21"/>
        <v>254</v>
      </c>
      <c r="E186" s="117" t="str">
        <f t="shared" ca="1" si="21"/>
        <v>10.188.188.0</v>
      </c>
      <c r="F186" s="117" t="str">
        <f t="shared" ca="1" si="21"/>
        <v>10.188.188.255</v>
      </c>
      <c r="G186" s="117" t="str">
        <f t="shared" ca="1" si="21"/>
        <v>10.188.188.1</v>
      </c>
      <c r="H186" s="117" t="str">
        <f t="shared" ca="1" si="21"/>
        <v>10.188.188.254</v>
      </c>
      <c r="I18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10.188.188.068</v>
      </c>
      <c r="J186" s="119" t="str">
        <f t="shared" ca="1" si="22"/>
        <v>188</v>
      </c>
      <c r="K186" s="132" t="s">
        <v>826</v>
      </c>
      <c r="L186" s="114" t="s">
        <v>396</v>
      </c>
      <c r="M186" s="109" t="s">
        <v>395</v>
      </c>
      <c r="N186" s="109" t="s">
        <v>395</v>
      </c>
      <c r="O186" s="114"/>
    </row>
    <row r="187" spans="1:15" x14ac:dyDescent="0.25">
      <c r="A187" s="116" t="str">
        <f t="shared" ca="1" si="21"/>
        <v>10.188.188.0</v>
      </c>
      <c r="B187" s="117">
        <f t="shared" ca="1" si="21"/>
        <v>24</v>
      </c>
      <c r="C187" s="117" t="str">
        <f t="shared" ca="1" si="21"/>
        <v>255.255.255.0</v>
      </c>
      <c r="D187" s="117">
        <f t="shared" ca="1" si="21"/>
        <v>254</v>
      </c>
      <c r="E187" s="117" t="str">
        <f t="shared" ca="1" si="21"/>
        <v>10.188.188.0</v>
      </c>
      <c r="F187" s="117" t="str">
        <f t="shared" ca="1" si="21"/>
        <v>10.188.188.255</v>
      </c>
      <c r="G187" s="117" t="str">
        <f t="shared" ca="1" si="21"/>
        <v>10.188.188.1</v>
      </c>
      <c r="H187" s="117" t="str">
        <f t="shared" ca="1" si="21"/>
        <v>10.188.188.254</v>
      </c>
      <c r="I187" s="133" t="str">
        <f t="shared" ca="1" si="23"/>
        <v>10.188.188.068</v>
      </c>
      <c r="J187" s="119" t="str">
        <f t="shared" ca="1" si="22"/>
        <v>188</v>
      </c>
      <c r="K187" s="134" t="str">
        <f ca="1">INDIRECT("R[-1]",FALSE)</f>
        <v>816-2-AESCC</v>
      </c>
      <c r="L187" s="114" t="s">
        <v>397</v>
      </c>
      <c r="M187" s="135" t="s">
        <v>395</v>
      </c>
      <c r="N187" s="135" t="s">
        <v>395</v>
      </c>
      <c r="O187" s="114"/>
    </row>
    <row r="188" spans="1:15" x14ac:dyDescent="0.25">
      <c r="A188" s="116" t="str">
        <f t="shared" ca="1" si="21"/>
        <v>10.188.188.0</v>
      </c>
      <c r="B188" s="117">
        <f t="shared" ca="1" si="21"/>
        <v>24</v>
      </c>
      <c r="C188" s="117" t="str">
        <f t="shared" ca="1" si="21"/>
        <v>255.255.255.0</v>
      </c>
      <c r="D188" s="117">
        <f t="shared" ca="1" si="21"/>
        <v>254</v>
      </c>
      <c r="E188" s="117" t="str">
        <f t="shared" ca="1" si="21"/>
        <v>10.188.188.0</v>
      </c>
      <c r="F188" s="117" t="str">
        <f t="shared" ca="1" si="21"/>
        <v>10.188.188.255</v>
      </c>
      <c r="G188" s="117" t="str">
        <f t="shared" ca="1" si="21"/>
        <v>10.188.188.1</v>
      </c>
      <c r="H188" s="117" t="str">
        <f t="shared" ca="1" si="21"/>
        <v>10.188.188.254</v>
      </c>
      <c r="I188" s="133"/>
      <c r="J188" s="119" t="str">
        <f t="shared" ca="1" si="22"/>
        <v>188</v>
      </c>
      <c r="K188" s="134"/>
      <c r="L188" s="114"/>
      <c r="M188" s="135"/>
      <c r="N188" s="114"/>
      <c r="O188" s="114"/>
    </row>
    <row r="189" spans="1:15" x14ac:dyDescent="0.25">
      <c r="A189" s="116" t="str">
        <f t="shared" ca="1" si="21"/>
        <v>10.188.188.0</v>
      </c>
      <c r="B189" s="117">
        <f t="shared" ca="1" si="21"/>
        <v>24</v>
      </c>
      <c r="C189" s="117" t="str">
        <f t="shared" ca="1" si="21"/>
        <v>255.255.255.0</v>
      </c>
      <c r="D189" s="117">
        <f t="shared" ca="1" si="21"/>
        <v>254</v>
      </c>
      <c r="E189" s="117" t="str">
        <f t="shared" ca="1" si="21"/>
        <v>10.188.188.0</v>
      </c>
      <c r="F189" s="117" t="str">
        <f t="shared" ca="1" si="21"/>
        <v>10.188.188.255</v>
      </c>
      <c r="G189" s="117" t="str">
        <f t="shared" ca="1" si="21"/>
        <v>10.188.188.1</v>
      </c>
      <c r="H189" s="117" t="str">
        <f t="shared" ca="1" si="21"/>
        <v>10.188.188.254</v>
      </c>
      <c r="I189" s="121" t="s">
        <v>387</v>
      </c>
      <c r="J189" s="119" t="str">
        <f t="shared" ca="1" si="22"/>
        <v>188</v>
      </c>
      <c r="K189" s="113"/>
      <c r="L189" s="114"/>
      <c r="M189" s="114" t="s">
        <v>399</v>
      </c>
      <c r="N189" s="114"/>
      <c r="O189" s="114" t="s">
        <v>485</v>
      </c>
    </row>
    <row r="190" spans="1:15" x14ac:dyDescent="0.25">
      <c r="A190" s="116" t="str">
        <f t="shared" ca="1" si="21"/>
        <v>10.188.188.0</v>
      </c>
      <c r="B190" s="117">
        <f t="shared" ca="1" si="21"/>
        <v>24</v>
      </c>
      <c r="C190" s="117" t="str">
        <f t="shared" ca="1" si="21"/>
        <v>255.255.255.0</v>
      </c>
      <c r="D190" s="117">
        <f t="shared" ca="1" si="21"/>
        <v>254</v>
      </c>
      <c r="E190" s="117" t="str">
        <f t="shared" ca="1" si="21"/>
        <v>10.188.188.0</v>
      </c>
      <c r="F190" s="117" t="str">
        <f t="shared" ca="1" si="21"/>
        <v>10.188.188.255</v>
      </c>
      <c r="G190" s="117" t="str">
        <f t="shared" ca="1" si="21"/>
        <v>10.188.188.1</v>
      </c>
      <c r="H190" s="117" t="str">
        <f t="shared" ca="1" si="21"/>
        <v>10.188.188.254</v>
      </c>
      <c r="I190" s="121" t="s">
        <v>388</v>
      </c>
      <c r="J190" s="119" t="str">
        <f t="shared" ca="1" si="22"/>
        <v>188</v>
      </c>
      <c r="K190" s="113"/>
      <c r="L190" s="114"/>
      <c r="M190" s="114" t="s">
        <v>400</v>
      </c>
      <c r="N190" s="114"/>
      <c r="O190" s="114" t="s">
        <v>486</v>
      </c>
    </row>
    <row r="191" spans="1:15" x14ac:dyDescent="0.25">
      <c r="A191" s="123" t="str">
        <f t="shared" ca="1" si="21"/>
        <v>10.188.188.0</v>
      </c>
      <c r="B191" s="124">
        <f t="shared" ca="1" si="21"/>
        <v>24</v>
      </c>
      <c r="C191" s="124" t="str">
        <f t="shared" ca="1" si="21"/>
        <v>255.255.255.0</v>
      </c>
      <c r="D191" s="124">
        <f t="shared" ca="1" si="21"/>
        <v>254</v>
      </c>
      <c r="E191" s="124" t="str">
        <f t="shared" ca="1" si="21"/>
        <v>10.188.188.0</v>
      </c>
      <c r="F191" s="124" t="str">
        <f t="shared" ca="1" si="21"/>
        <v>10.188.188.255</v>
      </c>
      <c r="G191" s="124" t="str">
        <f t="shared" ca="1" si="21"/>
        <v>10.188.188.1</v>
      </c>
      <c r="H191" s="124" t="str">
        <f t="shared" ca="1" si="21"/>
        <v>10.188.188.254</v>
      </c>
      <c r="I191" s="121" t="s">
        <v>389</v>
      </c>
      <c r="J191" s="119" t="str">
        <f t="shared" ca="1" si="22"/>
        <v>188</v>
      </c>
      <c r="K191" s="113" t="s">
        <v>6</v>
      </c>
      <c r="L191" s="114" t="s">
        <v>382</v>
      </c>
      <c r="M191" s="114" t="s">
        <v>401</v>
      </c>
      <c r="N191" s="114"/>
      <c r="O191" s="109" t="s">
        <v>487</v>
      </c>
    </row>
    <row r="192" spans="1:15" s="138" customFormat="1" x14ac:dyDescent="0.25">
      <c r="A192" s="136"/>
      <c r="B192" s="137"/>
      <c r="C192" s="137"/>
      <c r="D192" s="137"/>
      <c r="E192" s="137"/>
      <c r="F192" s="137"/>
      <c r="G192" s="137"/>
      <c r="H192" s="137"/>
      <c r="I192" s="147"/>
      <c r="J192" s="148"/>
      <c r="K192" s="149"/>
      <c r="L192" s="150"/>
      <c r="M192" s="150"/>
      <c r="N192" s="131"/>
      <c r="O192" s="131"/>
    </row>
    <row r="193" spans="1:15" x14ac:dyDescent="0.25">
      <c r="A193" s="139" t="s">
        <v>479</v>
      </c>
      <c r="B193" s="140">
        <v>24</v>
      </c>
      <c r="C193" s="140" t="str">
        <f>LOOKUP(B193,{24,25,26,27,28,29,30},{"255.255.255.0","255.255.255.128","255.255.255.192","255.255.255.224","255.255.255.240","255.255.255.248","255.255.255.252"})</f>
        <v>255.255.255.0</v>
      </c>
      <c r="D193" s="140">
        <f>LOOKUP(B193,{24,25,26,27,28,29,30},{254,126,62,30,14,6,2})</f>
        <v>254</v>
      </c>
      <c r="E193" s="140" t="str">
        <f>A193</f>
        <v>10.188.189.0</v>
      </c>
      <c r="F193" s="140" t="str">
        <f>IFERROR((LEFT(A193,FIND("~",SUBSTITUTE(A193,".","~",LEN(A193)-LEN(SUBSTITUTE(A193,".",""))))))&amp;RIGHT(A193,LEN(A193)-FIND("~",SUBSTITUTE(A193,".","~",LEN(A193)-LEN(SUBSTITUTE(A193,".","")))))+(D193+1),"")</f>
        <v>10.188.189.255</v>
      </c>
      <c r="G193" s="140" t="str">
        <f>IFERROR((LEFT(A193,FIND("~",SUBSTITUTE(A193,".","~",LEN(A193)-LEN(SUBSTITUTE(A193,".",""))))))&amp;RIGHT(A193,LEN(A193)-FIND("~",SUBSTITUTE(A193,".","~",LEN(A193)-LEN(SUBSTITUTE(A193,".","")))))+1,"")</f>
        <v>10.188.189.1</v>
      </c>
      <c r="H193" s="140" t="str">
        <f>IFERROR((LEFT(A193,FIND("~",SUBSTITUTE(A193,".","~",LEN(A193)-LEN(SUBSTITUTE(A193,".",""))))))&amp;RIGHT(A193,LEN(A193)-FIND("~",SUBSTITUTE(A193,".","~",LEN(A193)-LEN(SUBSTITUTE(A193,".","")))))+D193,"")</f>
        <v>10.188.189.254</v>
      </c>
      <c r="I193" s="111" t="s">
        <v>435</v>
      </c>
      <c r="J193" s="151">
        <v>189</v>
      </c>
      <c r="K193" s="113"/>
      <c r="L193" s="114"/>
      <c r="M193" s="122" t="s">
        <v>436</v>
      </c>
      <c r="N193" s="122" t="s">
        <v>436</v>
      </c>
      <c r="O193" s="114"/>
    </row>
    <row r="194" spans="1:15" x14ac:dyDescent="0.25">
      <c r="A194" s="116" t="str">
        <f t="shared" ref="A194:H194" ca="1" si="24">INDIRECT("R[-1]",FALSE)</f>
        <v>10.188.189.0</v>
      </c>
      <c r="B194" s="117">
        <f t="shared" ca="1" si="24"/>
        <v>24</v>
      </c>
      <c r="C194" s="117" t="str">
        <f t="shared" ca="1" si="24"/>
        <v>255.255.255.0</v>
      </c>
      <c r="D194" s="117">
        <f t="shared" ca="1" si="24"/>
        <v>254</v>
      </c>
      <c r="E194" s="117" t="str">
        <f t="shared" ca="1" si="24"/>
        <v>10.188.189.0</v>
      </c>
      <c r="F194" s="117" t="str">
        <f t="shared" ca="1" si="24"/>
        <v>10.188.189.255</v>
      </c>
      <c r="G194" s="117" t="str">
        <f t="shared" ca="1" si="24"/>
        <v>10.188.189.1</v>
      </c>
      <c r="H194" s="117" t="str">
        <f t="shared" ca="1" si="24"/>
        <v>10.188.189.254</v>
      </c>
      <c r="I194" s="120" t="str">
        <f>IFERROR((LEFT(A193,FIND("~",SUBSTITUTE(A193,".","~",LEN(A193)-LEN(SUBSTITUTE(A193,".",""))))))&amp;TEXT(RIGHT(A193,LEN(A193)-FIND("~",SUBSTITUTE(A193,".","~",LEN(A193)-LEN(SUBSTITUTE(A193,".","")))))+31,"000"),"")</f>
        <v>10.188.189.031</v>
      </c>
      <c r="J194" s="152">
        <f t="shared" ref="I194:J211" ca="1" si="25">INDIRECT("R[-1]",FALSE)</f>
        <v>189</v>
      </c>
      <c r="K194" s="113" t="s">
        <v>488</v>
      </c>
      <c r="L194" s="114" t="s">
        <v>438</v>
      </c>
      <c r="M194" s="114" t="s">
        <v>437</v>
      </c>
      <c r="N194" s="114" t="s">
        <v>437</v>
      </c>
      <c r="O194" s="114"/>
    </row>
    <row r="195" spans="1:15" x14ac:dyDescent="0.25">
      <c r="A195" s="116" t="str">
        <f t="shared" ref="A195:I222" ca="1" si="26">INDIRECT("R[-1]",FALSE)</f>
        <v>10.188.189.0</v>
      </c>
      <c r="B195" s="117">
        <f t="shared" ca="1" si="26"/>
        <v>24</v>
      </c>
      <c r="C195" s="117" t="str">
        <f t="shared" ca="1" si="26"/>
        <v>255.255.255.0</v>
      </c>
      <c r="D195" s="117">
        <f t="shared" ca="1" si="26"/>
        <v>254</v>
      </c>
      <c r="E195" s="117" t="str">
        <f t="shared" ca="1" si="26"/>
        <v>10.188.189.0</v>
      </c>
      <c r="F195" s="117" t="str">
        <f t="shared" ca="1" si="26"/>
        <v>10.188.189.255</v>
      </c>
      <c r="G195" s="117" t="str">
        <f t="shared" ca="1" si="26"/>
        <v>10.188.189.1</v>
      </c>
      <c r="H195" s="117" t="str">
        <f t="shared" ca="1" si="26"/>
        <v>10.188.189.254</v>
      </c>
      <c r="I195" s="133" t="str">
        <f t="shared" ca="1" si="25"/>
        <v>10.188.189.031</v>
      </c>
      <c r="J195" s="152">
        <f t="shared" ca="1" si="25"/>
        <v>189</v>
      </c>
      <c r="K195" s="134" t="str">
        <f ca="1">INDIRECT("R[-1]",FALSE)</f>
        <v>740-PMOS</v>
      </c>
      <c r="L195" s="114" t="s">
        <v>439</v>
      </c>
      <c r="M195" s="135" t="str">
        <f ca="1">INDIRECT("R[-1]",FALSE)</f>
        <v>PMOS EGRESS</v>
      </c>
      <c r="N195" s="135" t="str">
        <f ca="1">INDIRECT("R[-1]",FALSE)</f>
        <v>PMOS EGRESS</v>
      </c>
      <c r="O195" s="114"/>
    </row>
    <row r="196" spans="1:15" x14ac:dyDescent="0.25">
      <c r="A196" s="116" t="str">
        <f t="shared" ca="1" si="26"/>
        <v>10.188.189.0</v>
      </c>
      <c r="B196" s="117">
        <f t="shared" ca="1" si="26"/>
        <v>24</v>
      </c>
      <c r="C196" s="117" t="str">
        <f t="shared" ca="1" si="26"/>
        <v>255.255.255.0</v>
      </c>
      <c r="D196" s="117">
        <f t="shared" ca="1" si="26"/>
        <v>254</v>
      </c>
      <c r="E196" s="117" t="str">
        <f t="shared" ca="1" si="26"/>
        <v>10.188.189.0</v>
      </c>
      <c r="F196" s="117" t="str">
        <f t="shared" ca="1" si="26"/>
        <v>10.188.189.255</v>
      </c>
      <c r="G196" s="117" t="str">
        <f t="shared" ca="1" si="26"/>
        <v>10.188.189.1</v>
      </c>
      <c r="H196" s="117" t="str">
        <f t="shared" ca="1" si="26"/>
        <v>10.188.189.254</v>
      </c>
      <c r="I19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10.188.189.032</v>
      </c>
      <c r="J196" s="152">
        <f t="shared" ca="1" si="25"/>
        <v>189</v>
      </c>
      <c r="K196" s="113" t="s">
        <v>609</v>
      </c>
      <c r="L196" s="114" t="s">
        <v>438</v>
      </c>
      <c r="M196" s="114" t="s">
        <v>437</v>
      </c>
      <c r="N196" s="114" t="s">
        <v>437</v>
      </c>
      <c r="O196" s="114"/>
    </row>
    <row r="197" spans="1:15" x14ac:dyDescent="0.25">
      <c r="A197" s="116" t="str">
        <f t="shared" ca="1" si="26"/>
        <v>10.188.189.0</v>
      </c>
      <c r="B197" s="117">
        <f t="shared" ca="1" si="26"/>
        <v>24</v>
      </c>
      <c r="C197" s="117" t="str">
        <f t="shared" ca="1" si="26"/>
        <v>255.255.255.0</v>
      </c>
      <c r="D197" s="117">
        <f t="shared" ca="1" si="26"/>
        <v>254</v>
      </c>
      <c r="E197" s="117" t="str">
        <f t="shared" ca="1" si="26"/>
        <v>10.188.189.0</v>
      </c>
      <c r="F197" s="117" t="str">
        <f t="shared" ca="1" si="26"/>
        <v>10.188.189.255</v>
      </c>
      <c r="G197" s="117" t="str">
        <f t="shared" ca="1" si="26"/>
        <v>10.188.189.1</v>
      </c>
      <c r="H197" s="117" t="str">
        <f t="shared" ca="1" si="26"/>
        <v>10.188.189.254</v>
      </c>
      <c r="I197" s="133" t="str">
        <f t="shared" ca="1" si="25"/>
        <v>10.188.189.032</v>
      </c>
      <c r="J197" s="152">
        <f t="shared" ca="1" si="25"/>
        <v>189</v>
      </c>
      <c r="K197" s="134" t="str">
        <f ca="1">INDIRECT("R[-1]",FALSE)</f>
        <v>739-PMOS</v>
      </c>
      <c r="L197" s="114" t="s">
        <v>439</v>
      </c>
      <c r="M197" s="135" t="str">
        <f ca="1">INDIRECT("R[-1]",FALSE)</f>
        <v>PMOS EGRESS</v>
      </c>
      <c r="N197" s="135" t="str">
        <f ca="1">INDIRECT("R[-1]",FALSE)</f>
        <v>PMOS EGRESS</v>
      </c>
      <c r="O197" s="114"/>
    </row>
    <row r="198" spans="1:15" x14ac:dyDescent="0.25">
      <c r="A198" s="116" t="str">
        <f t="shared" ca="1" si="26"/>
        <v>10.188.189.0</v>
      </c>
      <c r="B198" s="117">
        <f t="shared" ca="1" si="26"/>
        <v>24</v>
      </c>
      <c r="C198" s="117" t="str">
        <f t="shared" ca="1" si="26"/>
        <v>255.255.255.0</v>
      </c>
      <c r="D198" s="117">
        <f t="shared" ca="1" si="26"/>
        <v>254</v>
      </c>
      <c r="E198" s="117" t="str">
        <f t="shared" ca="1" si="26"/>
        <v>10.188.189.0</v>
      </c>
      <c r="F198" s="117" t="str">
        <f t="shared" ca="1" si="26"/>
        <v>10.188.189.255</v>
      </c>
      <c r="G198" s="117" t="str">
        <f t="shared" ca="1" si="26"/>
        <v>10.188.189.1</v>
      </c>
      <c r="H198" s="117" t="str">
        <f t="shared" ca="1" si="26"/>
        <v>10.188.189.254</v>
      </c>
      <c r="I19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10.188.189.033</v>
      </c>
      <c r="J198" s="152">
        <f t="shared" ca="1" si="25"/>
        <v>189</v>
      </c>
      <c r="K198" s="113" t="s">
        <v>489</v>
      </c>
      <c r="L198" s="114" t="s">
        <v>438</v>
      </c>
      <c r="M198" s="114" t="s">
        <v>437</v>
      </c>
      <c r="N198" s="114" t="s">
        <v>437</v>
      </c>
      <c r="O198" s="114"/>
    </row>
    <row r="199" spans="1:15" x14ac:dyDescent="0.25">
      <c r="A199" s="116" t="str">
        <f t="shared" ca="1" si="26"/>
        <v>10.188.189.0</v>
      </c>
      <c r="B199" s="117">
        <f t="shared" ca="1" si="26"/>
        <v>24</v>
      </c>
      <c r="C199" s="117" t="str">
        <f t="shared" ca="1" si="26"/>
        <v>255.255.255.0</v>
      </c>
      <c r="D199" s="117">
        <f t="shared" ca="1" si="26"/>
        <v>254</v>
      </c>
      <c r="E199" s="117" t="str">
        <f t="shared" ca="1" si="26"/>
        <v>10.188.189.0</v>
      </c>
      <c r="F199" s="117" t="str">
        <f t="shared" ca="1" si="26"/>
        <v>10.188.189.255</v>
      </c>
      <c r="G199" s="117" t="str">
        <f t="shared" ca="1" si="26"/>
        <v>10.188.189.1</v>
      </c>
      <c r="H199" s="117" t="str">
        <f t="shared" ca="1" si="26"/>
        <v>10.188.189.254</v>
      </c>
      <c r="I199" s="133" t="str">
        <f t="shared" ca="1" si="25"/>
        <v>10.188.189.033</v>
      </c>
      <c r="J199" s="152">
        <f t="shared" ca="1" si="25"/>
        <v>189</v>
      </c>
      <c r="K199" s="134" t="str">
        <f ca="1">INDIRECT("R[-1]",FALSE)</f>
        <v>738-PMOS</v>
      </c>
      <c r="L199" s="114" t="s">
        <v>439</v>
      </c>
      <c r="M199" s="135" t="str">
        <f ca="1">INDIRECT("R[-1]",FALSE)</f>
        <v>PMOS EGRESS</v>
      </c>
      <c r="N199" s="135" t="str">
        <f ca="1">INDIRECT("R[-1]",FALSE)</f>
        <v>PMOS EGRESS</v>
      </c>
      <c r="O199" s="114"/>
    </row>
    <row r="200" spans="1:15" x14ac:dyDescent="0.25">
      <c r="A200" s="116" t="str">
        <f t="shared" ca="1" si="26"/>
        <v>10.188.189.0</v>
      </c>
      <c r="B200" s="117">
        <f t="shared" ca="1" si="26"/>
        <v>24</v>
      </c>
      <c r="C200" s="117" t="str">
        <f t="shared" ca="1" si="26"/>
        <v>255.255.255.0</v>
      </c>
      <c r="D200" s="117">
        <f t="shared" ca="1" si="26"/>
        <v>254</v>
      </c>
      <c r="E200" s="117" t="str">
        <f t="shared" ca="1" si="26"/>
        <v>10.188.189.0</v>
      </c>
      <c r="F200" s="117" t="str">
        <f t="shared" ca="1" si="26"/>
        <v>10.188.189.255</v>
      </c>
      <c r="G200" s="117" t="str">
        <f t="shared" ca="1" si="26"/>
        <v>10.188.189.1</v>
      </c>
      <c r="H200" s="117" t="str">
        <f t="shared" ca="1" si="26"/>
        <v>10.188.189.254</v>
      </c>
      <c r="I20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10.188.189.034</v>
      </c>
      <c r="J200" s="152">
        <f t="shared" ca="1" si="25"/>
        <v>189</v>
      </c>
      <c r="K200" s="113" t="s">
        <v>695</v>
      </c>
      <c r="L200" s="114" t="s">
        <v>438</v>
      </c>
      <c r="M200" s="114" t="s">
        <v>437</v>
      </c>
      <c r="N200" s="114" t="s">
        <v>437</v>
      </c>
      <c r="O200" s="114"/>
    </row>
    <row r="201" spans="1:15" x14ac:dyDescent="0.25">
      <c r="A201" s="116" t="str">
        <f t="shared" ca="1" si="26"/>
        <v>10.188.189.0</v>
      </c>
      <c r="B201" s="117">
        <f t="shared" ca="1" si="26"/>
        <v>24</v>
      </c>
      <c r="C201" s="117" t="str">
        <f t="shared" ca="1" si="26"/>
        <v>255.255.255.0</v>
      </c>
      <c r="D201" s="117">
        <f t="shared" ca="1" si="26"/>
        <v>254</v>
      </c>
      <c r="E201" s="117" t="str">
        <f t="shared" ca="1" si="26"/>
        <v>10.188.189.0</v>
      </c>
      <c r="F201" s="117" t="str">
        <f t="shared" ca="1" si="26"/>
        <v>10.188.189.255</v>
      </c>
      <c r="G201" s="117" t="str">
        <f t="shared" ca="1" si="26"/>
        <v>10.188.189.1</v>
      </c>
      <c r="H201" s="117" t="str">
        <f t="shared" ca="1" si="26"/>
        <v>10.188.189.254</v>
      </c>
      <c r="I201" s="133" t="str">
        <f t="shared" ca="1" si="25"/>
        <v>10.188.189.034</v>
      </c>
      <c r="J201" s="152">
        <f t="shared" ca="1" si="25"/>
        <v>189</v>
      </c>
      <c r="K201" s="134" t="str">
        <f ca="1">INDIRECT("R[-1]",FALSE)</f>
        <v>737-PMOS</v>
      </c>
      <c r="L201" s="114" t="s">
        <v>439</v>
      </c>
      <c r="M201" s="135" t="str">
        <f ca="1">INDIRECT("R[-1]",FALSE)</f>
        <v>PMOS EGRESS</v>
      </c>
      <c r="N201" s="135" t="str">
        <f ca="1">INDIRECT("R[-1]",FALSE)</f>
        <v>PMOS EGRESS</v>
      </c>
      <c r="O201" s="114"/>
    </row>
    <row r="202" spans="1:15" x14ac:dyDescent="0.25">
      <c r="A202" s="116" t="str">
        <f t="shared" ca="1" si="26"/>
        <v>10.188.189.0</v>
      </c>
      <c r="B202" s="117">
        <f t="shared" ca="1" si="26"/>
        <v>24</v>
      </c>
      <c r="C202" s="117" t="str">
        <f t="shared" ca="1" si="26"/>
        <v>255.255.255.0</v>
      </c>
      <c r="D202" s="117">
        <f t="shared" ca="1" si="26"/>
        <v>254</v>
      </c>
      <c r="E202" s="117" t="str">
        <f t="shared" ca="1" si="26"/>
        <v>10.188.189.0</v>
      </c>
      <c r="F202" s="117" t="str">
        <f t="shared" ca="1" si="26"/>
        <v>10.188.189.255</v>
      </c>
      <c r="G202" s="117" t="str">
        <f t="shared" ca="1" si="26"/>
        <v>10.188.189.1</v>
      </c>
      <c r="H202" s="117" t="str">
        <f t="shared" ca="1" si="26"/>
        <v>10.188.189.254</v>
      </c>
      <c r="I20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10.188.189.035</v>
      </c>
      <c r="J202" s="152">
        <f t="shared" ca="1" si="25"/>
        <v>189</v>
      </c>
      <c r="K202" s="113" t="s">
        <v>737</v>
      </c>
      <c r="L202" s="114" t="s">
        <v>438</v>
      </c>
      <c r="M202" s="114" t="s">
        <v>437</v>
      </c>
      <c r="N202" s="114" t="s">
        <v>437</v>
      </c>
      <c r="O202" s="114"/>
    </row>
    <row r="203" spans="1:15" x14ac:dyDescent="0.25">
      <c r="A203" s="116" t="str">
        <f t="shared" ca="1" si="26"/>
        <v>10.188.189.0</v>
      </c>
      <c r="B203" s="117">
        <f t="shared" ca="1" si="26"/>
        <v>24</v>
      </c>
      <c r="C203" s="117" t="str">
        <f t="shared" ca="1" si="26"/>
        <v>255.255.255.0</v>
      </c>
      <c r="D203" s="117">
        <f t="shared" ca="1" si="26"/>
        <v>254</v>
      </c>
      <c r="E203" s="117" t="str">
        <f t="shared" ca="1" si="26"/>
        <v>10.188.189.0</v>
      </c>
      <c r="F203" s="117" t="str">
        <f t="shared" ca="1" si="26"/>
        <v>10.188.189.255</v>
      </c>
      <c r="G203" s="117" t="str">
        <f t="shared" ca="1" si="26"/>
        <v>10.188.189.1</v>
      </c>
      <c r="H203" s="117" t="str">
        <f t="shared" ca="1" si="26"/>
        <v>10.188.189.254</v>
      </c>
      <c r="I203" s="133" t="str">
        <f t="shared" ca="1" si="25"/>
        <v>10.188.189.035</v>
      </c>
      <c r="J203" s="152">
        <f t="shared" ca="1" si="25"/>
        <v>189</v>
      </c>
      <c r="K203" s="134" t="str">
        <f ca="1">INDIRECT("R[-1]",FALSE)</f>
        <v>735-PMOS</v>
      </c>
      <c r="L203" s="114" t="s">
        <v>439</v>
      </c>
      <c r="M203" s="135" t="str">
        <f ca="1">INDIRECT("R[-1]",FALSE)</f>
        <v>PMOS EGRESS</v>
      </c>
      <c r="N203" s="135" t="str">
        <f ca="1">INDIRECT("R[-1]",FALSE)</f>
        <v>PMOS EGRESS</v>
      </c>
      <c r="O203" s="114"/>
    </row>
    <row r="204" spans="1:15" x14ac:dyDescent="0.25">
      <c r="A204" s="116" t="str">
        <f t="shared" ca="1" si="26"/>
        <v>10.188.189.0</v>
      </c>
      <c r="B204" s="117">
        <f t="shared" ca="1" si="26"/>
        <v>24</v>
      </c>
      <c r="C204" s="117" t="str">
        <f t="shared" ca="1" si="26"/>
        <v>255.255.255.0</v>
      </c>
      <c r="D204" s="117">
        <f t="shared" ca="1" si="26"/>
        <v>254</v>
      </c>
      <c r="E204" s="117" t="str">
        <f t="shared" ca="1" si="26"/>
        <v>10.188.189.0</v>
      </c>
      <c r="F204" s="117" t="str">
        <f t="shared" ca="1" si="26"/>
        <v>10.188.189.255</v>
      </c>
      <c r="G204" s="117" t="str">
        <f t="shared" ca="1" si="26"/>
        <v>10.188.189.1</v>
      </c>
      <c r="H204" s="117" t="str">
        <f t="shared" ca="1" si="26"/>
        <v>10.188.189.254</v>
      </c>
      <c r="I20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10.188.189.036</v>
      </c>
      <c r="J204" s="152">
        <f t="shared" ca="1" si="25"/>
        <v>189</v>
      </c>
      <c r="K204" s="113" t="s">
        <v>490</v>
      </c>
      <c r="L204" s="114" t="s">
        <v>438</v>
      </c>
      <c r="M204" s="114" t="s">
        <v>437</v>
      </c>
      <c r="N204" s="114" t="s">
        <v>437</v>
      </c>
      <c r="O204" s="114"/>
    </row>
    <row r="205" spans="1:15" x14ac:dyDescent="0.25">
      <c r="A205" s="116" t="str">
        <f t="shared" ca="1" si="26"/>
        <v>10.188.189.0</v>
      </c>
      <c r="B205" s="117">
        <f t="shared" ca="1" si="26"/>
        <v>24</v>
      </c>
      <c r="C205" s="117" t="str">
        <f t="shared" ca="1" si="26"/>
        <v>255.255.255.0</v>
      </c>
      <c r="D205" s="117">
        <f t="shared" ca="1" si="26"/>
        <v>254</v>
      </c>
      <c r="E205" s="117" t="str">
        <f t="shared" ca="1" si="26"/>
        <v>10.188.189.0</v>
      </c>
      <c r="F205" s="117" t="str">
        <f t="shared" ca="1" si="26"/>
        <v>10.188.189.255</v>
      </c>
      <c r="G205" s="117" t="str">
        <f t="shared" ca="1" si="26"/>
        <v>10.188.189.1</v>
      </c>
      <c r="H205" s="117" t="str">
        <f t="shared" ca="1" si="26"/>
        <v>10.188.189.254</v>
      </c>
      <c r="I205" s="133" t="str">
        <f t="shared" ca="1" si="25"/>
        <v>10.188.189.036</v>
      </c>
      <c r="J205" s="152">
        <f t="shared" ca="1" si="25"/>
        <v>189</v>
      </c>
      <c r="K205" s="134" t="str">
        <f ca="1">INDIRECT("R[-1]",FALSE)</f>
        <v>734-PMOS</v>
      </c>
      <c r="L205" s="114" t="s">
        <v>439</v>
      </c>
      <c r="M205" s="135" t="str">
        <f ca="1">INDIRECT("R[-1]",FALSE)</f>
        <v>PMOS EGRESS</v>
      </c>
      <c r="N205" s="135" t="str">
        <f ca="1">INDIRECT("R[-1]",FALSE)</f>
        <v>PMOS EGRESS</v>
      </c>
      <c r="O205" s="114"/>
    </row>
    <row r="206" spans="1:15" x14ac:dyDescent="0.25">
      <c r="A206" s="116" t="str">
        <f t="shared" ca="1" si="26"/>
        <v>10.188.189.0</v>
      </c>
      <c r="B206" s="117">
        <f t="shared" ca="1" si="26"/>
        <v>24</v>
      </c>
      <c r="C206" s="117" t="str">
        <f t="shared" ca="1" si="26"/>
        <v>255.255.255.0</v>
      </c>
      <c r="D206" s="117">
        <f t="shared" ca="1" si="26"/>
        <v>254</v>
      </c>
      <c r="E206" s="117" t="str">
        <f t="shared" ca="1" si="26"/>
        <v>10.188.189.0</v>
      </c>
      <c r="F206" s="117" t="str">
        <f t="shared" ca="1" si="26"/>
        <v>10.188.189.255</v>
      </c>
      <c r="G206" s="117" t="str">
        <f t="shared" ca="1" si="26"/>
        <v>10.188.189.1</v>
      </c>
      <c r="H206" s="117" t="str">
        <f t="shared" ca="1" si="26"/>
        <v>10.188.189.254</v>
      </c>
      <c r="I20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10.188.189.037</v>
      </c>
      <c r="J206" s="152">
        <f t="shared" ca="1" si="25"/>
        <v>189</v>
      </c>
      <c r="K206" s="113" t="s">
        <v>784</v>
      </c>
      <c r="L206" s="114" t="s">
        <v>438</v>
      </c>
      <c r="M206" s="114" t="s">
        <v>437</v>
      </c>
      <c r="N206" s="114" t="s">
        <v>437</v>
      </c>
      <c r="O206" s="114"/>
    </row>
    <row r="207" spans="1:15" x14ac:dyDescent="0.25">
      <c r="A207" s="116" t="str">
        <f t="shared" ca="1" si="26"/>
        <v>10.188.189.0</v>
      </c>
      <c r="B207" s="117">
        <f t="shared" ca="1" si="26"/>
        <v>24</v>
      </c>
      <c r="C207" s="117" t="str">
        <f t="shared" ca="1" si="26"/>
        <v>255.255.255.0</v>
      </c>
      <c r="D207" s="117">
        <f t="shared" ca="1" si="26"/>
        <v>254</v>
      </c>
      <c r="E207" s="117" t="str">
        <f t="shared" ca="1" si="26"/>
        <v>10.188.189.0</v>
      </c>
      <c r="F207" s="117" t="str">
        <f t="shared" ca="1" si="26"/>
        <v>10.188.189.255</v>
      </c>
      <c r="G207" s="117" t="str">
        <f t="shared" ca="1" si="26"/>
        <v>10.188.189.1</v>
      </c>
      <c r="H207" s="117" t="str">
        <f t="shared" ca="1" si="26"/>
        <v>10.188.189.254</v>
      </c>
      <c r="I207" s="133" t="str">
        <f t="shared" ca="1" si="25"/>
        <v>10.188.189.037</v>
      </c>
      <c r="J207" s="152">
        <f t="shared" ca="1" si="25"/>
        <v>189</v>
      </c>
      <c r="K207" s="134" t="str">
        <f ca="1">INDIRECT("R[-1]",FALSE)</f>
        <v>733-PMOS</v>
      </c>
      <c r="L207" s="114" t="s">
        <v>439</v>
      </c>
      <c r="M207" s="135" t="str">
        <f ca="1">INDIRECT("R[-1]",FALSE)</f>
        <v>PMOS EGRESS</v>
      </c>
      <c r="N207" s="135" t="str">
        <f ca="1">INDIRECT("R[-1]",FALSE)</f>
        <v>PMOS EGRESS</v>
      </c>
      <c r="O207" s="114"/>
    </row>
    <row r="208" spans="1:15" x14ac:dyDescent="0.25">
      <c r="A208" s="116" t="str">
        <f t="shared" ca="1" si="26"/>
        <v>10.188.189.0</v>
      </c>
      <c r="B208" s="117">
        <f t="shared" ca="1" si="26"/>
        <v>24</v>
      </c>
      <c r="C208" s="117" t="str">
        <f t="shared" ca="1" si="26"/>
        <v>255.255.255.0</v>
      </c>
      <c r="D208" s="117">
        <f t="shared" ca="1" si="26"/>
        <v>254</v>
      </c>
      <c r="E208" s="117" t="str">
        <f t="shared" ca="1" si="26"/>
        <v>10.188.189.0</v>
      </c>
      <c r="F208" s="117" t="str">
        <f t="shared" ca="1" si="26"/>
        <v>10.188.189.255</v>
      </c>
      <c r="G208" s="117" t="str">
        <f t="shared" ca="1" si="26"/>
        <v>10.188.189.1</v>
      </c>
      <c r="H208" s="117" t="str">
        <f t="shared" ca="1" si="26"/>
        <v>10.188.189.254</v>
      </c>
      <c r="I208" s="121"/>
      <c r="J208" s="152">
        <f t="shared" ca="1" si="25"/>
        <v>189</v>
      </c>
      <c r="K208" s="113"/>
      <c r="L208" s="114"/>
      <c r="M208" s="114"/>
      <c r="N208" s="114"/>
      <c r="O208" s="114"/>
    </row>
    <row r="209" spans="1:15" x14ac:dyDescent="0.25">
      <c r="A209" s="116" t="str">
        <f t="shared" ca="1" si="26"/>
        <v>10.188.189.0</v>
      </c>
      <c r="B209" s="117">
        <f t="shared" ca="1" si="26"/>
        <v>24</v>
      </c>
      <c r="C209" s="117" t="str">
        <f t="shared" ca="1" si="26"/>
        <v>255.255.255.0</v>
      </c>
      <c r="D209" s="117">
        <f t="shared" ca="1" si="26"/>
        <v>254</v>
      </c>
      <c r="E209" s="117" t="str">
        <f t="shared" ca="1" si="26"/>
        <v>10.188.189.0</v>
      </c>
      <c r="F209" s="117" t="str">
        <f t="shared" ca="1" si="26"/>
        <v>10.188.189.255</v>
      </c>
      <c r="G209" s="117" t="str">
        <f t="shared" ca="1" si="26"/>
        <v>10.188.189.1</v>
      </c>
      <c r="H209" s="117" t="str">
        <f t="shared" ca="1" si="26"/>
        <v>10.188.189.254</v>
      </c>
      <c r="I209" s="121" t="s">
        <v>440</v>
      </c>
      <c r="J209" s="152">
        <f t="shared" ca="1" si="25"/>
        <v>189</v>
      </c>
      <c r="K209" s="113"/>
      <c r="L209" s="114"/>
      <c r="M209" s="114" t="s">
        <v>443</v>
      </c>
      <c r="N209" s="114"/>
      <c r="O209" s="114" t="s">
        <v>485</v>
      </c>
    </row>
    <row r="210" spans="1:15" x14ac:dyDescent="0.25">
      <c r="A210" s="116" t="str">
        <f t="shared" ca="1" si="26"/>
        <v>10.188.189.0</v>
      </c>
      <c r="B210" s="117">
        <f t="shared" ca="1" si="26"/>
        <v>24</v>
      </c>
      <c r="C210" s="117" t="str">
        <f t="shared" ca="1" si="26"/>
        <v>255.255.255.0</v>
      </c>
      <c r="D210" s="117">
        <f t="shared" ca="1" si="26"/>
        <v>254</v>
      </c>
      <c r="E210" s="117" t="str">
        <f t="shared" ca="1" si="26"/>
        <v>10.188.189.0</v>
      </c>
      <c r="F210" s="117" t="str">
        <f t="shared" ca="1" si="26"/>
        <v>10.188.189.255</v>
      </c>
      <c r="G210" s="117" t="str">
        <f t="shared" ca="1" si="26"/>
        <v>10.188.189.1</v>
      </c>
      <c r="H210" s="117" t="str">
        <f t="shared" ca="1" si="26"/>
        <v>10.188.189.254</v>
      </c>
      <c r="I210" s="121" t="s">
        <v>441</v>
      </c>
      <c r="J210" s="152">
        <f t="shared" ca="1" si="25"/>
        <v>189</v>
      </c>
      <c r="K210" s="113"/>
      <c r="L210" s="114"/>
      <c r="M210" s="114" t="s">
        <v>444</v>
      </c>
      <c r="N210" s="114"/>
      <c r="O210" s="114" t="s">
        <v>486</v>
      </c>
    </row>
    <row r="211" spans="1:15" x14ac:dyDescent="0.25">
      <c r="A211" s="116" t="str">
        <f t="shared" ca="1" si="26"/>
        <v>10.188.189.0</v>
      </c>
      <c r="B211" s="117">
        <f t="shared" ca="1" si="26"/>
        <v>24</v>
      </c>
      <c r="C211" s="117" t="str">
        <f t="shared" ca="1" si="26"/>
        <v>255.255.255.0</v>
      </c>
      <c r="D211" s="117">
        <f t="shared" ca="1" si="26"/>
        <v>254</v>
      </c>
      <c r="E211" s="117" t="str">
        <f t="shared" ca="1" si="26"/>
        <v>10.188.189.0</v>
      </c>
      <c r="F211" s="117" t="str">
        <f t="shared" ca="1" si="26"/>
        <v>10.188.189.255</v>
      </c>
      <c r="G211" s="117" t="str">
        <f t="shared" ca="1" si="26"/>
        <v>10.188.189.1</v>
      </c>
      <c r="H211" s="117" t="str">
        <f t="shared" ca="1" si="26"/>
        <v>10.188.189.254</v>
      </c>
      <c r="I211" s="120" t="s">
        <v>442</v>
      </c>
      <c r="J211" s="152">
        <f t="shared" ca="1" si="25"/>
        <v>189</v>
      </c>
      <c r="K211" s="132" t="s">
        <v>6</v>
      </c>
      <c r="L211" s="109" t="s">
        <v>382</v>
      </c>
      <c r="M211" s="109" t="s">
        <v>445</v>
      </c>
      <c r="N211" s="109"/>
      <c r="O211" s="109" t="s">
        <v>487</v>
      </c>
    </row>
    <row r="212" spans="1:15" s="138" customFormat="1" x14ac:dyDescent="0.25">
      <c r="A212" s="153"/>
      <c r="B212" s="154"/>
      <c r="C212" s="154"/>
      <c r="D212" s="154"/>
      <c r="E212" s="154"/>
      <c r="F212" s="154"/>
      <c r="G212" s="154"/>
      <c r="H212" s="154"/>
      <c r="I212" s="147"/>
      <c r="J212" s="148"/>
      <c r="K212" s="149"/>
      <c r="L212" s="150"/>
      <c r="M212" s="150"/>
      <c r="N212" s="131"/>
      <c r="O212" s="131"/>
    </row>
    <row r="213" spans="1:15" x14ac:dyDescent="0.25">
      <c r="A213" s="155" t="s">
        <v>480</v>
      </c>
      <c r="B213" s="156">
        <v>25</v>
      </c>
      <c r="C213" s="156" t="str">
        <f>LOOKUP(B213,{24,25,26,27,28,29,30},{"255.255.255.0","255.255.255.128","255.255.255.192","255.255.255.224","255.255.255.240","255.255.255.248","255.255.255.252"})</f>
        <v>255.255.255.128</v>
      </c>
      <c r="D213" s="156">
        <f>LOOKUP(B213,{24,25,26,27,28,29,30},{254,126,62,30,14,6,2})</f>
        <v>126</v>
      </c>
      <c r="E213" s="156" t="str">
        <f>A213</f>
        <v>10.188.190.0</v>
      </c>
      <c r="F213" s="156" t="str">
        <f>IFERROR((LEFT(A213,FIND("~",SUBSTITUTE(A213,".","~",LEN(A213)-LEN(SUBSTITUTE(A213,".",""))))))&amp;RIGHT(A213,LEN(A213)-FIND("~",SUBSTITUTE(A213,".","~",LEN(A213)-LEN(SUBSTITUTE(A213,".","")))))+(D213+1),"")</f>
        <v>10.188.190.127</v>
      </c>
      <c r="G213" s="156" t="str">
        <f>IFERROR((LEFT(A213,FIND("~",SUBSTITUTE(A213,".","~",LEN(A213)-LEN(SUBSTITUTE(A213,".",""))))))&amp;RIGHT(A213,LEN(A213)-FIND("~",SUBSTITUTE(A213,".","~",LEN(A213)-LEN(SUBSTITUTE(A213,".","")))))+1,"")</f>
        <v>10.188.190.1</v>
      </c>
      <c r="H213" s="156" t="str">
        <f>IFERROR((LEFT(A213,FIND("~",SUBSTITUTE(A213,".","~",LEN(A213)-LEN(SUBSTITUTE(A213,".",""))))))&amp;RIGHT(A213,LEN(A213)-FIND("~",SUBSTITUTE(A213,".","~",LEN(A213)-LEN(SUBSTITUTE(A213,".","")))))+D213,"")</f>
        <v>10.188.190.126</v>
      </c>
      <c r="I213" s="157" t="s">
        <v>406</v>
      </c>
      <c r="J213" s="158">
        <v>1900</v>
      </c>
      <c r="K213" s="159"/>
      <c r="L213" s="157"/>
      <c r="M213" s="157" t="s">
        <v>408</v>
      </c>
      <c r="N213" s="157" t="s">
        <v>408</v>
      </c>
      <c r="O213" s="114"/>
    </row>
    <row r="214" spans="1:15" x14ac:dyDescent="0.25">
      <c r="A214" s="116" t="str">
        <f t="shared" ca="1" si="26"/>
        <v>10.188.190.0</v>
      </c>
      <c r="B214" s="117">
        <f t="shared" ca="1" si="26"/>
        <v>25</v>
      </c>
      <c r="C214" s="117" t="str">
        <f t="shared" ca="1" si="26"/>
        <v>255.255.255.128</v>
      </c>
      <c r="D214" s="117">
        <f t="shared" ca="1" si="26"/>
        <v>126</v>
      </c>
      <c r="E214" s="117" t="str">
        <f t="shared" ca="1" si="26"/>
        <v>10.188.190.0</v>
      </c>
      <c r="F214" s="117" t="str">
        <f t="shared" ca="1" si="26"/>
        <v>10.188.190.127</v>
      </c>
      <c r="G214" s="117" t="str">
        <f t="shared" ca="1" si="26"/>
        <v>10.188.190.1</v>
      </c>
      <c r="H214" s="117" t="str">
        <f t="shared" ca="1" si="26"/>
        <v>10.188.190.126</v>
      </c>
      <c r="I214" s="120" t="str">
        <f>IFERROR((LEFT(A213,FIND("~",SUBSTITUTE(A213,".","~",LEN(A213)-LEN(SUBSTITUTE(A213,".",""))))))&amp;TEXT(RIGHT(A213,LEN(A213)-FIND("~",SUBSTITUTE(A213,".","~",LEN(A213)-LEN(SUBSTITUTE(A213,".","")))))+31,"000"),"")</f>
        <v>10.188.190.031</v>
      </c>
      <c r="J214" s="152">
        <f t="shared" ref="J214:J227" ca="1" si="27">INDIRECT("R[-1]",FALSE)</f>
        <v>1900</v>
      </c>
      <c r="K214" s="113" t="s">
        <v>488</v>
      </c>
      <c r="L214" s="114" t="s">
        <v>396</v>
      </c>
      <c r="M214" s="157" t="s">
        <v>408</v>
      </c>
      <c r="N214" s="157" t="s">
        <v>408</v>
      </c>
      <c r="O214" s="114"/>
    </row>
    <row r="215" spans="1:15" x14ac:dyDescent="0.25">
      <c r="A215" s="116" t="str">
        <f t="shared" ca="1" si="26"/>
        <v>10.188.190.0</v>
      </c>
      <c r="B215" s="117">
        <f t="shared" ca="1" si="26"/>
        <v>25</v>
      </c>
      <c r="C215" s="117" t="str">
        <f t="shared" ca="1" si="26"/>
        <v>255.255.255.128</v>
      </c>
      <c r="D215" s="117">
        <f t="shared" ca="1" si="26"/>
        <v>126</v>
      </c>
      <c r="E215" s="117" t="str">
        <f t="shared" ca="1" si="26"/>
        <v>10.188.190.0</v>
      </c>
      <c r="F215" s="117" t="str">
        <f t="shared" ca="1" si="26"/>
        <v>10.188.190.127</v>
      </c>
      <c r="G215" s="117" t="str">
        <f t="shared" ca="1" si="26"/>
        <v>10.188.190.1</v>
      </c>
      <c r="H215" s="117" t="str">
        <f t="shared" ca="1" si="26"/>
        <v>10.188.190.126</v>
      </c>
      <c r="I215" s="133" t="str">
        <f t="shared" ca="1" si="26"/>
        <v>10.188.190.031</v>
      </c>
      <c r="J215" s="152">
        <f t="shared" ca="1" si="27"/>
        <v>1900</v>
      </c>
      <c r="K215" s="134" t="str">
        <f ca="1">INDIRECT("R[-1]",FALSE)</f>
        <v>740-PMOS</v>
      </c>
      <c r="L215" s="114" t="s">
        <v>397</v>
      </c>
      <c r="M215" s="135" t="str">
        <f ca="1">INDIRECT("R[-1]",FALSE)</f>
        <v>MediaGrid NAS</v>
      </c>
      <c r="N215" s="135" t="str">
        <f ca="1">INDIRECT("R[-1]",FALSE)</f>
        <v>MediaGrid NAS</v>
      </c>
      <c r="O215" s="114"/>
    </row>
    <row r="216" spans="1:15" x14ac:dyDescent="0.25">
      <c r="A216" s="116" t="str">
        <f t="shared" ca="1" si="26"/>
        <v>10.188.190.0</v>
      </c>
      <c r="B216" s="117">
        <f t="shared" ca="1" si="26"/>
        <v>25</v>
      </c>
      <c r="C216" s="117" t="str">
        <f t="shared" ca="1" si="26"/>
        <v>255.255.255.128</v>
      </c>
      <c r="D216" s="117">
        <f t="shared" ca="1" si="26"/>
        <v>126</v>
      </c>
      <c r="E216" s="117" t="str">
        <f t="shared" ca="1" si="26"/>
        <v>10.188.190.0</v>
      </c>
      <c r="F216" s="117" t="str">
        <f t="shared" ca="1" si="26"/>
        <v>10.188.190.127</v>
      </c>
      <c r="G216" s="117" t="str">
        <f t="shared" ca="1" si="26"/>
        <v>10.188.190.1</v>
      </c>
      <c r="H216" s="117" t="str">
        <f t="shared" ca="1" si="26"/>
        <v>10.188.190.126</v>
      </c>
      <c r="I21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10.188.190.032</v>
      </c>
      <c r="J216" s="152">
        <f t="shared" ca="1" si="27"/>
        <v>1900</v>
      </c>
      <c r="K216" s="113" t="s">
        <v>609</v>
      </c>
      <c r="L216" s="114" t="s">
        <v>396</v>
      </c>
      <c r="M216" s="157" t="s">
        <v>408</v>
      </c>
      <c r="N216" s="157" t="s">
        <v>408</v>
      </c>
      <c r="O216" s="114"/>
    </row>
    <row r="217" spans="1:15" x14ac:dyDescent="0.25">
      <c r="A217" s="116" t="str">
        <f t="shared" ca="1" si="26"/>
        <v>10.188.190.0</v>
      </c>
      <c r="B217" s="117">
        <f t="shared" ca="1" si="26"/>
        <v>25</v>
      </c>
      <c r="C217" s="117" t="str">
        <f t="shared" ca="1" si="26"/>
        <v>255.255.255.128</v>
      </c>
      <c r="D217" s="117">
        <f t="shared" ca="1" si="26"/>
        <v>126</v>
      </c>
      <c r="E217" s="117" t="str">
        <f t="shared" ca="1" si="26"/>
        <v>10.188.190.0</v>
      </c>
      <c r="F217" s="117" t="str">
        <f t="shared" ca="1" si="26"/>
        <v>10.188.190.127</v>
      </c>
      <c r="G217" s="117" t="str">
        <f t="shared" ca="1" si="26"/>
        <v>10.188.190.1</v>
      </c>
      <c r="H217" s="117" t="str">
        <f t="shared" ca="1" si="26"/>
        <v>10.188.190.126</v>
      </c>
      <c r="I217" s="133" t="str">
        <f t="shared" ca="1" si="26"/>
        <v>10.188.190.032</v>
      </c>
      <c r="J217" s="152">
        <f t="shared" ca="1" si="27"/>
        <v>1900</v>
      </c>
      <c r="K217" s="134" t="str">
        <f ca="1">INDIRECT("R[-1]",FALSE)</f>
        <v>739-PMOS</v>
      </c>
      <c r="L217" s="114" t="s">
        <v>397</v>
      </c>
      <c r="M217" s="135" t="str">
        <f ca="1">INDIRECT("R[-1]",FALSE)</f>
        <v>MediaGrid NAS</v>
      </c>
      <c r="N217" s="135" t="str">
        <f ca="1">INDIRECT("R[-1]",FALSE)</f>
        <v>MediaGrid NAS</v>
      </c>
      <c r="O217" s="114"/>
    </row>
    <row r="218" spans="1:15" x14ac:dyDescent="0.25">
      <c r="A218" s="116" t="str">
        <f t="shared" ca="1" si="26"/>
        <v>10.188.190.0</v>
      </c>
      <c r="B218" s="117">
        <f t="shared" ca="1" si="26"/>
        <v>25</v>
      </c>
      <c r="C218" s="117" t="str">
        <f t="shared" ca="1" si="26"/>
        <v>255.255.255.128</v>
      </c>
      <c r="D218" s="117">
        <f t="shared" ca="1" si="26"/>
        <v>126</v>
      </c>
      <c r="E218" s="117" t="str">
        <f t="shared" ca="1" si="26"/>
        <v>10.188.190.0</v>
      </c>
      <c r="F218" s="117" t="str">
        <f t="shared" ca="1" si="26"/>
        <v>10.188.190.127</v>
      </c>
      <c r="G218" s="117" t="str">
        <f t="shared" ca="1" si="26"/>
        <v>10.188.190.1</v>
      </c>
      <c r="H218" s="117" t="str">
        <f t="shared" ca="1" si="26"/>
        <v>10.188.190.126</v>
      </c>
      <c r="I21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10.188.190.033</v>
      </c>
      <c r="J218" s="152">
        <f t="shared" ca="1" si="27"/>
        <v>1900</v>
      </c>
      <c r="K218" s="113" t="s">
        <v>489</v>
      </c>
      <c r="L218" s="114" t="s">
        <v>396</v>
      </c>
      <c r="M218" s="157" t="s">
        <v>408</v>
      </c>
      <c r="N218" s="157" t="s">
        <v>408</v>
      </c>
      <c r="O218" s="114"/>
    </row>
    <row r="219" spans="1:15" x14ac:dyDescent="0.25">
      <c r="A219" s="116" t="str">
        <f t="shared" ca="1" si="26"/>
        <v>10.188.190.0</v>
      </c>
      <c r="B219" s="117">
        <f t="shared" ca="1" si="26"/>
        <v>25</v>
      </c>
      <c r="C219" s="117" t="str">
        <f t="shared" ca="1" si="26"/>
        <v>255.255.255.128</v>
      </c>
      <c r="D219" s="117">
        <f t="shared" ca="1" si="26"/>
        <v>126</v>
      </c>
      <c r="E219" s="117" t="str">
        <f t="shared" ca="1" si="26"/>
        <v>10.188.190.0</v>
      </c>
      <c r="F219" s="117" t="str">
        <f t="shared" ca="1" si="26"/>
        <v>10.188.190.127</v>
      </c>
      <c r="G219" s="117" t="str">
        <f t="shared" ca="1" si="26"/>
        <v>10.188.190.1</v>
      </c>
      <c r="H219" s="117" t="str">
        <f t="shared" ca="1" si="26"/>
        <v>10.188.190.126</v>
      </c>
      <c r="I219" s="133" t="str">
        <f t="shared" ca="1" si="26"/>
        <v>10.188.190.033</v>
      </c>
      <c r="J219" s="152">
        <f t="shared" ca="1" si="27"/>
        <v>1900</v>
      </c>
      <c r="K219" s="134" t="str">
        <f ca="1">INDIRECT("R[-1]",FALSE)</f>
        <v>738-PMOS</v>
      </c>
      <c r="L219" s="114" t="s">
        <v>397</v>
      </c>
      <c r="M219" s="135" t="str">
        <f ca="1">INDIRECT("R[-1]",FALSE)</f>
        <v>MediaGrid NAS</v>
      </c>
      <c r="N219" s="135" t="str">
        <f ca="1">INDIRECT("R[-1]",FALSE)</f>
        <v>MediaGrid NAS</v>
      </c>
      <c r="O219" s="114"/>
    </row>
    <row r="220" spans="1:15" x14ac:dyDescent="0.25">
      <c r="A220" s="116" t="str">
        <f t="shared" ca="1" si="26"/>
        <v>10.188.190.0</v>
      </c>
      <c r="B220" s="117">
        <f t="shared" ca="1" si="26"/>
        <v>25</v>
      </c>
      <c r="C220" s="117" t="str">
        <f t="shared" ca="1" si="26"/>
        <v>255.255.255.128</v>
      </c>
      <c r="D220" s="117">
        <f t="shared" ca="1" si="26"/>
        <v>126</v>
      </c>
      <c r="E220" s="117" t="str">
        <f t="shared" ca="1" si="26"/>
        <v>10.188.190.0</v>
      </c>
      <c r="F220" s="117" t="str">
        <f t="shared" ca="1" si="26"/>
        <v>10.188.190.127</v>
      </c>
      <c r="G220" s="117" t="str">
        <f t="shared" ca="1" si="26"/>
        <v>10.188.190.1</v>
      </c>
      <c r="H220" s="117" t="str">
        <f t="shared" ca="1" si="26"/>
        <v>10.188.190.126</v>
      </c>
      <c r="I22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10.188.190.034</v>
      </c>
      <c r="J220" s="152">
        <f t="shared" ca="1" si="27"/>
        <v>1900</v>
      </c>
      <c r="K220" s="113" t="s">
        <v>695</v>
      </c>
      <c r="L220" s="114" t="s">
        <v>396</v>
      </c>
      <c r="M220" s="157" t="s">
        <v>408</v>
      </c>
      <c r="N220" s="157" t="s">
        <v>408</v>
      </c>
      <c r="O220" s="114"/>
    </row>
    <row r="221" spans="1:15" x14ac:dyDescent="0.25">
      <c r="A221" s="116" t="str">
        <f t="shared" ca="1" si="26"/>
        <v>10.188.190.0</v>
      </c>
      <c r="B221" s="117">
        <f t="shared" ca="1" si="26"/>
        <v>25</v>
      </c>
      <c r="C221" s="117" t="str">
        <f t="shared" ca="1" si="26"/>
        <v>255.255.255.128</v>
      </c>
      <c r="D221" s="117">
        <f t="shared" ca="1" si="26"/>
        <v>126</v>
      </c>
      <c r="E221" s="117" t="str">
        <f t="shared" ca="1" si="26"/>
        <v>10.188.190.0</v>
      </c>
      <c r="F221" s="117" t="str">
        <f t="shared" ca="1" si="26"/>
        <v>10.188.190.127</v>
      </c>
      <c r="G221" s="117" t="str">
        <f t="shared" ca="1" si="26"/>
        <v>10.188.190.1</v>
      </c>
      <c r="H221" s="117" t="str">
        <f t="shared" ca="1" si="26"/>
        <v>10.188.190.126</v>
      </c>
      <c r="I221" s="133" t="str">
        <f t="shared" ca="1" si="26"/>
        <v>10.188.190.034</v>
      </c>
      <c r="J221" s="152">
        <f t="shared" ca="1" si="27"/>
        <v>1900</v>
      </c>
      <c r="K221" s="134" t="str">
        <f ca="1">INDIRECT("R[-1]",FALSE)</f>
        <v>737-PMOS</v>
      </c>
      <c r="L221" s="114" t="s">
        <v>397</v>
      </c>
      <c r="M221" s="135" t="str">
        <f ca="1">INDIRECT("R[-1]",FALSE)</f>
        <v>MediaGrid NAS</v>
      </c>
      <c r="N221" s="135" t="str">
        <f ca="1">INDIRECT("R[-1]",FALSE)</f>
        <v>MediaGrid NAS</v>
      </c>
      <c r="O221" s="114"/>
    </row>
    <row r="222" spans="1:15" x14ac:dyDescent="0.25">
      <c r="A222" s="116" t="str">
        <f t="shared" ca="1" si="26"/>
        <v>10.188.190.0</v>
      </c>
      <c r="B222" s="117">
        <f t="shared" ca="1" si="26"/>
        <v>25</v>
      </c>
      <c r="C222" s="117" t="str">
        <f t="shared" ca="1" si="26"/>
        <v>255.255.255.128</v>
      </c>
      <c r="D222" s="117">
        <f t="shared" ca="1" si="26"/>
        <v>126</v>
      </c>
      <c r="E222" s="117" t="str">
        <f t="shared" ref="A222:I256" ca="1" si="28">INDIRECT("R[-1]",FALSE)</f>
        <v>10.188.190.0</v>
      </c>
      <c r="F222" s="117" t="str">
        <f t="shared" ca="1" si="28"/>
        <v>10.188.190.127</v>
      </c>
      <c r="G222" s="117" t="str">
        <f t="shared" ca="1" si="28"/>
        <v>10.188.190.1</v>
      </c>
      <c r="H222" s="117" t="str">
        <f t="shared" ca="1" si="28"/>
        <v>10.188.190.126</v>
      </c>
      <c r="I22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10.188.190.035</v>
      </c>
      <c r="J222" s="152">
        <f t="shared" ca="1" si="27"/>
        <v>1900</v>
      </c>
      <c r="K222" s="113" t="s">
        <v>737</v>
      </c>
      <c r="L222" s="114" t="s">
        <v>396</v>
      </c>
      <c r="M222" s="157" t="s">
        <v>408</v>
      </c>
      <c r="N222" s="157" t="s">
        <v>408</v>
      </c>
      <c r="O222" s="114"/>
    </row>
    <row r="223" spans="1:15" x14ac:dyDescent="0.25">
      <c r="A223" s="116" t="str">
        <f t="shared" ca="1" si="28"/>
        <v>10.188.190.0</v>
      </c>
      <c r="B223" s="117">
        <f t="shared" ca="1" si="28"/>
        <v>25</v>
      </c>
      <c r="C223" s="117" t="str">
        <f t="shared" ca="1" si="28"/>
        <v>255.255.255.128</v>
      </c>
      <c r="D223" s="117">
        <f t="shared" ca="1" si="28"/>
        <v>126</v>
      </c>
      <c r="E223" s="117" t="str">
        <f t="shared" ca="1" si="28"/>
        <v>10.188.190.0</v>
      </c>
      <c r="F223" s="117" t="str">
        <f t="shared" ca="1" si="28"/>
        <v>10.188.190.127</v>
      </c>
      <c r="G223" s="117" t="str">
        <f t="shared" ca="1" si="28"/>
        <v>10.188.190.1</v>
      </c>
      <c r="H223" s="117" t="str">
        <f t="shared" ca="1" si="28"/>
        <v>10.188.190.126</v>
      </c>
      <c r="I223" s="133" t="str">
        <f t="shared" ca="1" si="28"/>
        <v>10.188.190.035</v>
      </c>
      <c r="J223" s="152">
        <f t="shared" ca="1" si="27"/>
        <v>1900</v>
      </c>
      <c r="K223" s="134" t="str">
        <f ca="1">INDIRECT("R[-1]",FALSE)</f>
        <v>735-PMOS</v>
      </c>
      <c r="L223" s="114" t="s">
        <v>397</v>
      </c>
      <c r="M223" s="135" t="str">
        <f ca="1">INDIRECT("R[-1]",FALSE)</f>
        <v>MediaGrid NAS</v>
      </c>
      <c r="N223" s="135" t="str">
        <f ca="1">INDIRECT("R[-1]",FALSE)</f>
        <v>MediaGrid NAS</v>
      </c>
      <c r="O223" s="114"/>
    </row>
    <row r="224" spans="1:15" x14ac:dyDescent="0.25">
      <c r="A224" s="116" t="str">
        <f t="shared" ca="1" si="28"/>
        <v>10.188.190.0</v>
      </c>
      <c r="B224" s="117">
        <f t="shared" ca="1" si="28"/>
        <v>25</v>
      </c>
      <c r="C224" s="117" t="str">
        <f t="shared" ca="1" si="28"/>
        <v>255.255.255.128</v>
      </c>
      <c r="D224" s="117">
        <f t="shared" ca="1" si="28"/>
        <v>126</v>
      </c>
      <c r="E224" s="117" t="str">
        <f t="shared" ca="1" si="28"/>
        <v>10.188.190.0</v>
      </c>
      <c r="F224" s="117" t="str">
        <f t="shared" ca="1" si="28"/>
        <v>10.188.190.127</v>
      </c>
      <c r="G224" s="117" t="str">
        <f t="shared" ca="1" si="28"/>
        <v>10.188.190.1</v>
      </c>
      <c r="H224" s="117" t="str">
        <f t="shared" ca="1" si="28"/>
        <v>10.188.190.126</v>
      </c>
      <c r="I22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10.188.190.036</v>
      </c>
      <c r="J224" s="152">
        <f t="shared" ca="1" si="27"/>
        <v>1900</v>
      </c>
      <c r="K224" s="113" t="s">
        <v>490</v>
      </c>
      <c r="L224" s="114" t="s">
        <v>396</v>
      </c>
      <c r="M224" s="157" t="s">
        <v>408</v>
      </c>
      <c r="N224" s="157" t="s">
        <v>408</v>
      </c>
      <c r="O224" s="114"/>
    </row>
    <row r="225" spans="1:15" x14ac:dyDescent="0.25">
      <c r="A225" s="116" t="str">
        <f t="shared" ca="1" si="28"/>
        <v>10.188.190.0</v>
      </c>
      <c r="B225" s="117">
        <f t="shared" ca="1" si="28"/>
        <v>25</v>
      </c>
      <c r="C225" s="117" t="str">
        <f t="shared" ca="1" si="28"/>
        <v>255.255.255.128</v>
      </c>
      <c r="D225" s="117">
        <f t="shared" ca="1" si="28"/>
        <v>126</v>
      </c>
      <c r="E225" s="117" t="str">
        <f t="shared" ca="1" si="28"/>
        <v>10.188.190.0</v>
      </c>
      <c r="F225" s="117" t="str">
        <f t="shared" ca="1" si="28"/>
        <v>10.188.190.127</v>
      </c>
      <c r="G225" s="117" t="str">
        <f t="shared" ca="1" si="28"/>
        <v>10.188.190.1</v>
      </c>
      <c r="H225" s="117" t="str">
        <f t="shared" ca="1" si="28"/>
        <v>10.188.190.126</v>
      </c>
      <c r="I225" s="133" t="str">
        <f t="shared" ca="1" si="28"/>
        <v>10.188.190.036</v>
      </c>
      <c r="J225" s="152">
        <f t="shared" ca="1" si="27"/>
        <v>1900</v>
      </c>
      <c r="K225" s="134" t="str">
        <f ca="1">INDIRECT("R[-1]",FALSE)</f>
        <v>734-PMOS</v>
      </c>
      <c r="L225" s="114" t="s">
        <v>397</v>
      </c>
      <c r="M225" s="135" t="str">
        <f ca="1">INDIRECT("R[-1]",FALSE)</f>
        <v>MediaGrid NAS</v>
      </c>
      <c r="N225" s="135" t="str">
        <f ca="1">INDIRECT("R[-1]",FALSE)</f>
        <v>MediaGrid NAS</v>
      </c>
      <c r="O225" s="114"/>
    </row>
    <row r="226" spans="1:15" x14ac:dyDescent="0.25">
      <c r="A226" s="116" t="str">
        <f t="shared" ca="1" si="28"/>
        <v>10.188.190.0</v>
      </c>
      <c r="B226" s="117">
        <f t="shared" ca="1" si="28"/>
        <v>25</v>
      </c>
      <c r="C226" s="117" t="str">
        <f t="shared" ca="1" si="28"/>
        <v>255.255.255.128</v>
      </c>
      <c r="D226" s="117">
        <f t="shared" ca="1" si="28"/>
        <v>126</v>
      </c>
      <c r="E226" s="117" t="str">
        <f t="shared" ca="1" si="28"/>
        <v>10.188.190.0</v>
      </c>
      <c r="F226" s="117" t="str">
        <f t="shared" ca="1" si="28"/>
        <v>10.188.190.127</v>
      </c>
      <c r="G226" s="117" t="str">
        <f t="shared" ca="1" si="28"/>
        <v>10.188.190.1</v>
      </c>
      <c r="H226" s="117" t="str">
        <f t="shared" ca="1" si="28"/>
        <v>10.188.190.126</v>
      </c>
      <c r="I22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10.188.190.037</v>
      </c>
      <c r="J226" s="152">
        <f t="shared" ca="1" si="27"/>
        <v>1900</v>
      </c>
      <c r="K226" s="113" t="s">
        <v>784</v>
      </c>
      <c r="L226" s="114" t="s">
        <v>396</v>
      </c>
      <c r="M226" s="157" t="s">
        <v>408</v>
      </c>
      <c r="N226" s="157" t="s">
        <v>408</v>
      </c>
      <c r="O226" s="114"/>
    </row>
    <row r="227" spans="1:15" x14ac:dyDescent="0.25">
      <c r="A227" s="116" t="str">
        <f t="shared" ca="1" si="28"/>
        <v>10.188.190.0</v>
      </c>
      <c r="B227" s="117">
        <f t="shared" ca="1" si="28"/>
        <v>25</v>
      </c>
      <c r="C227" s="117" t="str">
        <f t="shared" ca="1" si="28"/>
        <v>255.255.255.128</v>
      </c>
      <c r="D227" s="117">
        <f t="shared" ca="1" si="28"/>
        <v>126</v>
      </c>
      <c r="E227" s="117" t="str">
        <f t="shared" ca="1" si="28"/>
        <v>10.188.190.0</v>
      </c>
      <c r="F227" s="117" t="str">
        <f t="shared" ca="1" si="28"/>
        <v>10.188.190.127</v>
      </c>
      <c r="G227" s="117" t="str">
        <f t="shared" ca="1" si="28"/>
        <v>10.188.190.1</v>
      </c>
      <c r="H227" s="117" t="str">
        <f t="shared" ca="1" si="28"/>
        <v>10.188.190.126</v>
      </c>
      <c r="I227" s="133" t="str">
        <f t="shared" ca="1" si="28"/>
        <v>10.188.190.037</v>
      </c>
      <c r="J227" s="152">
        <f t="shared" ca="1" si="27"/>
        <v>1900</v>
      </c>
      <c r="K227" s="134" t="str">
        <f ca="1">INDIRECT("R[-1]",FALSE)</f>
        <v>733-PMOS</v>
      </c>
      <c r="L227" s="114" t="s">
        <v>397</v>
      </c>
      <c r="M227" s="135" t="str">
        <f ca="1">INDIRECT("R[-1]",FALSE)</f>
        <v>MediaGrid NAS</v>
      </c>
      <c r="N227" s="135" t="str">
        <f ca="1">INDIRECT("R[-1]",FALSE)</f>
        <v>MediaGrid NAS</v>
      </c>
      <c r="O227" s="114"/>
    </row>
    <row r="228" spans="1:15" x14ac:dyDescent="0.25">
      <c r="A228" s="116" t="str">
        <f t="shared" ca="1" si="28"/>
        <v>10.188.190.0</v>
      </c>
      <c r="B228" s="117">
        <f t="shared" ca="1" si="28"/>
        <v>25</v>
      </c>
      <c r="C228" s="117" t="str">
        <f t="shared" ca="1" si="28"/>
        <v>255.255.255.128</v>
      </c>
      <c r="D228" s="117">
        <f t="shared" ca="1" si="28"/>
        <v>126</v>
      </c>
      <c r="E228" s="117" t="str">
        <f t="shared" ca="1" si="28"/>
        <v>10.188.190.0</v>
      </c>
      <c r="F228" s="117" t="str">
        <f t="shared" ca="1" si="28"/>
        <v>10.188.190.127</v>
      </c>
      <c r="G228" s="117" t="str">
        <f t="shared" ca="1" si="28"/>
        <v>10.188.190.1</v>
      </c>
      <c r="H228" s="117" t="str">
        <f t="shared" ca="1" si="28"/>
        <v>10.188.190.126</v>
      </c>
      <c r="I228" s="160"/>
      <c r="J228" s="158"/>
      <c r="K228" s="113"/>
      <c r="L228" s="114"/>
      <c r="M228" s="114"/>
      <c r="N228" s="114"/>
      <c r="O228" s="122"/>
    </row>
    <row r="229" spans="1:15" x14ac:dyDescent="0.25">
      <c r="A229" s="116" t="str">
        <f t="shared" ca="1" si="28"/>
        <v>10.188.190.0</v>
      </c>
      <c r="B229" s="117">
        <f t="shared" ca="1" si="28"/>
        <v>25</v>
      </c>
      <c r="C229" s="117" t="str">
        <f t="shared" ca="1" si="28"/>
        <v>255.255.255.128</v>
      </c>
      <c r="D229" s="117">
        <f t="shared" ca="1" si="28"/>
        <v>126</v>
      </c>
      <c r="E229" s="117" t="str">
        <f t="shared" ca="1" si="28"/>
        <v>10.188.190.0</v>
      </c>
      <c r="F229" s="117" t="str">
        <f t="shared" ca="1" si="28"/>
        <v>10.188.190.127</v>
      </c>
      <c r="G229" s="117" t="str">
        <f t="shared" ca="1" si="28"/>
        <v>10.188.190.1</v>
      </c>
      <c r="H229" s="117" t="str">
        <f t="shared" ca="1" si="28"/>
        <v>10.188.190.126</v>
      </c>
      <c r="I229" s="160" t="s">
        <v>545</v>
      </c>
      <c r="J229" s="158"/>
      <c r="K229" s="113"/>
      <c r="L229" s="114"/>
      <c r="M229" s="114" t="s">
        <v>548</v>
      </c>
      <c r="N229" s="114"/>
      <c r="O229" s="122"/>
    </row>
    <row r="230" spans="1:15" x14ac:dyDescent="0.25">
      <c r="A230" s="116" t="str">
        <f t="shared" ca="1" si="28"/>
        <v>10.188.190.0</v>
      </c>
      <c r="B230" s="117">
        <f t="shared" ca="1" si="28"/>
        <v>25</v>
      </c>
      <c r="C230" s="117" t="str">
        <f t="shared" ca="1" si="28"/>
        <v>255.255.255.128</v>
      </c>
      <c r="D230" s="117">
        <f t="shared" ca="1" si="28"/>
        <v>126</v>
      </c>
      <c r="E230" s="117" t="str">
        <f t="shared" ca="1" si="28"/>
        <v>10.188.190.0</v>
      </c>
      <c r="F230" s="117" t="str">
        <f t="shared" ca="1" si="28"/>
        <v>10.188.190.127</v>
      </c>
      <c r="G230" s="117" t="str">
        <f t="shared" ca="1" si="28"/>
        <v>10.188.190.1</v>
      </c>
      <c r="H230" s="117" t="str">
        <f t="shared" ca="1" si="28"/>
        <v>10.188.190.126</v>
      </c>
      <c r="I230" s="160" t="s">
        <v>546</v>
      </c>
      <c r="J230" s="158"/>
      <c r="K230" s="113"/>
      <c r="L230" s="114"/>
      <c r="M230" s="114" t="s">
        <v>547</v>
      </c>
      <c r="N230" s="114"/>
      <c r="O230" s="122"/>
    </row>
    <row r="231" spans="1:15" x14ac:dyDescent="0.25">
      <c r="A231" s="116" t="str">
        <f t="shared" ca="1" si="28"/>
        <v>10.188.190.0</v>
      </c>
      <c r="B231" s="117">
        <f t="shared" ca="1" si="28"/>
        <v>25</v>
      </c>
      <c r="C231" s="117" t="str">
        <f t="shared" ca="1" si="28"/>
        <v>255.255.255.128</v>
      </c>
      <c r="D231" s="117">
        <f t="shared" ca="1" si="28"/>
        <v>126</v>
      </c>
      <c r="E231" s="117" t="str">
        <f t="shared" ca="1" si="28"/>
        <v>10.188.190.0</v>
      </c>
      <c r="F231" s="117" t="str">
        <f t="shared" ca="1" si="28"/>
        <v>10.188.190.127</v>
      </c>
      <c r="G231" s="117" t="str">
        <f t="shared" ca="1" si="28"/>
        <v>10.188.190.1</v>
      </c>
      <c r="H231" s="117" t="str">
        <f t="shared" ca="1" si="28"/>
        <v>10.188.190.126</v>
      </c>
      <c r="I231" s="160" t="s">
        <v>413</v>
      </c>
      <c r="J231" s="161">
        <v>1900</v>
      </c>
      <c r="K231" s="113"/>
      <c r="L231" s="114"/>
      <c r="M231" s="114" t="s">
        <v>411</v>
      </c>
      <c r="N231" s="114" t="s">
        <v>408</v>
      </c>
      <c r="O231" s="114" t="s">
        <v>485</v>
      </c>
    </row>
    <row r="232" spans="1:15" x14ac:dyDescent="0.25">
      <c r="A232" s="116" t="str">
        <f t="shared" ca="1" si="28"/>
        <v>10.188.190.0</v>
      </c>
      <c r="B232" s="117">
        <f t="shared" ca="1" si="28"/>
        <v>25</v>
      </c>
      <c r="C232" s="117" t="str">
        <f t="shared" ca="1" si="28"/>
        <v>255.255.255.128</v>
      </c>
      <c r="D232" s="117">
        <f t="shared" ca="1" si="28"/>
        <v>126</v>
      </c>
      <c r="E232" s="117" t="str">
        <f t="shared" ca="1" si="28"/>
        <v>10.188.190.0</v>
      </c>
      <c r="F232" s="117" t="str">
        <f t="shared" ca="1" si="28"/>
        <v>10.188.190.127</v>
      </c>
      <c r="G232" s="117" t="str">
        <f t="shared" ca="1" si="28"/>
        <v>10.188.190.1</v>
      </c>
      <c r="H232" s="117" t="str">
        <f t="shared" ca="1" si="28"/>
        <v>10.188.190.126</v>
      </c>
      <c r="I232" s="160" t="s">
        <v>414</v>
      </c>
      <c r="J232" s="161">
        <v>1900</v>
      </c>
      <c r="K232" s="113"/>
      <c r="L232" s="114"/>
      <c r="M232" s="114" t="s">
        <v>412</v>
      </c>
      <c r="N232" s="114" t="s">
        <v>408</v>
      </c>
      <c r="O232" s="114" t="s">
        <v>486</v>
      </c>
    </row>
    <row r="233" spans="1:15" x14ac:dyDescent="0.25">
      <c r="A233" s="123" t="str">
        <f t="shared" ca="1" si="28"/>
        <v>10.188.190.0</v>
      </c>
      <c r="B233" s="124">
        <f t="shared" ca="1" si="28"/>
        <v>25</v>
      </c>
      <c r="C233" s="124" t="str">
        <f t="shared" ca="1" si="28"/>
        <v>255.255.255.128</v>
      </c>
      <c r="D233" s="124">
        <f t="shared" ca="1" si="28"/>
        <v>126</v>
      </c>
      <c r="E233" s="124" t="str">
        <f t="shared" ca="1" si="28"/>
        <v>10.188.190.0</v>
      </c>
      <c r="F233" s="124" t="str">
        <f t="shared" ca="1" si="28"/>
        <v>10.188.190.127</v>
      </c>
      <c r="G233" s="124" t="str">
        <f t="shared" ca="1" si="28"/>
        <v>10.188.190.1</v>
      </c>
      <c r="H233" s="124" t="str">
        <f t="shared" ca="1" si="28"/>
        <v>10.188.190.126</v>
      </c>
      <c r="I233" s="160" t="s">
        <v>415</v>
      </c>
      <c r="J233" s="162">
        <v>1900</v>
      </c>
      <c r="K233" s="113" t="s">
        <v>6</v>
      </c>
      <c r="L233" s="114" t="s">
        <v>382</v>
      </c>
      <c r="M233" s="114" t="s">
        <v>410</v>
      </c>
      <c r="N233" s="114" t="s">
        <v>408</v>
      </c>
      <c r="O233" s="109" t="s">
        <v>487</v>
      </c>
    </row>
    <row r="234" spans="1:15" x14ac:dyDescent="0.25">
      <c r="A234" s="153"/>
      <c r="B234" s="154"/>
      <c r="C234" s="154"/>
      <c r="D234" s="154"/>
      <c r="E234" s="154"/>
      <c r="F234" s="154"/>
      <c r="G234" s="154"/>
      <c r="H234" s="154"/>
      <c r="I234" s="163"/>
      <c r="J234" s="164"/>
      <c r="K234" s="130"/>
      <c r="L234" s="131"/>
      <c r="M234" s="131"/>
      <c r="N234" s="131"/>
      <c r="O234" s="150"/>
    </row>
    <row r="235" spans="1:15" x14ac:dyDescent="0.25">
      <c r="A235" s="139" t="s">
        <v>467</v>
      </c>
      <c r="B235" s="140">
        <v>26</v>
      </c>
      <c r="C235" s="140" t="str">
        <f>LOOKUP(B235,{24,25,26,27,28,29,30},{"255.255.255.0","255.255.255.128","255.255.255.192","255.255.255.224","255.255.255.240","255.255.255.248","255.255.255.252"})</f>
        <v>255.255.255.192</v>
      </c>
      <c r="D235" s="140">
        <f>LOOKUP(B235,{24,25,26,27,28,29,30},{254,126,62,30,14,6,2})</f>
        <v>62</v>
      </c>
      <c r="E235" s="140" t="str">
        <f>A235</f>
        <v>10.188.190.128</v>
      </c>
      <c r="F235" s="140" t="str">
        <f>IFERROR((LEFT(A235,FIND("~",SUBSTITUTE(A235,".","~",LEN(A235)-LEN(SUBSTITUTE(A235,".",""))))))&amp;RIGHT(A235,LEN(A235)-FIND("~",SUBSTITUTE(A235,".","~",LEN(A235)-LEN(SUBSTITUTE(A235,".","")))))+(D235+1),"")</f>
        <v>10.188.190.191</v>
      </c>
      <c r="G235" s="140" t="str">
        <f>IFERROR((LEFT(A235,FIND("~",SUBSTITUTE(A235,".","~",LEN(A235)-LEN(SUBSTITUTE(A235,".",""))))))&amp;RIGHT(A235,LEN(A235)-FIND("~",SUBSTITUTE(A235,".","~",LEN(A235)-LEN(SUBSTITUTE(A235,".","")))))+1,"")</f>
        <v>10.188.190.129</v>
      </c>
      <c r="H235" s="140" t="str">
        <f>IFERROR((LEFT(A235,FIND("~",SUBSTITUTE(A235,".","~",LEN(A235)-LEN(SUBSTITUTE(A235,".",""))))))&amp;RIGHT(A235,LEN(A235)-FIND("~",SUBSTITUTE(A235,".","~",LEN(A235)-LEN(SUBSTITUTE(A235,".","")))))+D235,"")</f>
        <v>10.188.190.190</v>
      </c>
      <c r="I235" s="114" t="s">
        <v>407</v>
      </c>
      <c r="J235" s="151">
        <v>1901</v>
      </c>
      <c r="K235" s="113"/>
      <c r="L235" s="114"/>
      <c r="M235" s="114" t="s">
        <v>324</v>
      </c>
      <c r="N235" s="114" t="s">
        <v>324</v>
      </c>
      <c r="O235" s="165" t="s">
        <v>484</v>
      </c>
    </row>
    <row r="236" spans="1:15" x14ac:dyDescent="0.25">
      <c r="A236" s="116" t="str">
        <f t="shared" ca="1" si="28"/>
        <v>10.188.190.128</v>
      </c>
      <c r="B236" s="117">
        <f t="shared" ca="1" si="28"/>
        <v>26</v>
      </c>
      <c r="C236" s="117" t="str">
        <f t="shared" ca="1" si="28"/>
        <v>255.255.255.192</v>
      </c>
      <c r="D236" s="117">
        <f t="shared" ca="1" si="28"/>
        <v>62</v>
      </c>
      <c r="E236" s="117" t="str">
        <f t="shared" ca="1" si="28"/>
        <v>10.188.190.128</v>
      </c>
      <c r="F236" s="117" t="str">
        <f t="shared" ca="1" si="28"/>
        <v>10.188.190.191</v>
      </c>
      <c r="G236" s="117" t="str">
        <f t="shared" ca="1" si="28"/>
        <v>10.188.190.129</v>
      </c>
      <c r="H236" s="117" t="str">
        <f t="shared" ca="1" si="28"/>
        <v>10.188.190.190</v>
      </c>
      <c r="I236" s="121" t="s">
        <v>329</v>
      </c>
      <c r="J236" s="161">
        <f t="shared" ref="J236:J247" ca="1" si="29">INDIRECT("R[-1]",FALSE)</f>
        <v>1901</v>
      </c>
      <c r="K236" s="113" t="s">
        <v>491</v>
      </c>
      <c r="L236" s="114" t="s">
        <v>20</v>
      </c>
      <c r="M236" s="114" t="s">
        <v>463</v>
      </c>
      <c r="N236" s="114" t="s">
        <v>463</v>
      </c>
      <c r="O236" s="114"/>
    </row>
    <row r="237" spans="1:15" x14ac:dyDescent="0.25">
      <c r="A237" s="116" t="str">
        <f t="shared" ca="1" si="28"/>
        <v>10.188.190.128</v>
      </c>
      <c r="B237" s="117">
        <f t="shared" ca="1" si="28"/>
        <v>26</v>
      </c>
      <c r="C237" s="117" t="str">
        <f t="shared" ca="1" si="28"/>
        <v>255.255.255.192</v>
      </c>
      <c r="D237" s="117">
        <f t="shared" ca="1" si="28"/>
        <v>62</v>
      </c>
      <c r="E237" s="117" t="str">
        <f t="shared" ca="1" si="28"/>
        <v>10.188.190.128</v>
      </c>
      <c r="F237" s="117" t="str">
        <f t="shared" ca="1" si="28"/>
        <v>10.188.190.191</v>
      </c>
      <c r="G237" s="117" t="str">
        <f t="shared" ca="1" si="28"/>
        <v>10.188.190.129</v>
      </c>
      <c r="H237" s="117" t="str">
        <f t="shared" ca="1" si="28"/>
        <v>10.188.190.190</v>
      </c>
      <c r="I237" s="121" t="s">
        <v>329</v>
      </c>
      <c r="J237" s="161">
        <f t="shared" ca="1" si="29"/>
        <v>1901</v>
      </c>
      <c r="K237" s="113" t="s">
        <v>491</v>
      </c>
      <c r="L237" s="114" t="s">
        <v>21</v>
      </c>
      <c r="M237" s="114" t="s">
        <v>463</v>
      </c>
      <c r="N237" s="114" t="s">
        <v>463</v>
      </c>
      <c r="O237" s="122"/>
    </row>
    <row r="238" spans="1:15" x14ac:dyDescent="0.25">
      <c r="A238" s="116" t="str">
        <f t="shared" ca="1" si="28"/>
        <v>10.188.190.128</v>
      </c>
      <c r="B238" s="117">
        <f t="shared" ca="1" si="28"/>
        <v>26</v>
      </c>
      <c r="C238" s="117" t="str">
        <f t="shared" ca="1" si="28"/>
        <v>255.255.255.192</v>
      </c>
      <c r="D238" s="117">
        <f t="shared" ca="1" si="28"/>
        <v>62</v>
      </c>
      <c r="E238" s="117" t="str">
        <f t="shared" ca="1" si="28"/>
        <v>10.188.190.128</v>
      </c>
      <c r="F238" s="117" t="str">
        <f t="shared" ca="1" si="28"/>
        <v>10.188.190.191</v>
      </c>
      <c r="G238" s="117" t="str">
        <f t="shared" ca="1" si="28"/>
        <v>10.188.190.129</v>
      </c>
      <c r="H238" s="117" t="str">
        <f t="shared" ca="1" si="28"/>
        <v>10.188.190.190</v>
      </c>
      <c r="I238" s="121" t="s">
        <v>329</v>
      </c>
      <c r="J238" s="161">
        <f t="shared" ca="1" si="29"/>
        <v>1901</v>
      </c>
      <c r="K238" s="113" t="s">
        <v>492</v>
      </c>
      <c r="L238" s="114" t="s">
        <v>461</v>
      </c>
      <c r="M238" s="114" t="s">
        <v>463</v>
      </c>
      <c r="N238" s="114" t="s">
        <v>463</v>
      </c>
      <c r="O238" s="122"/>
    </row>
    <row r="239" spans="1:15" x14ac:dyDescent="0.25">
      <c r="A239" s="116" t="str">
        <f t="shared" ca="1" si="28"/>
        <v>10.188.190.128</v>
      </c>
      <c r="B239" s="117">
        <f t="shared" ca="1" si="28"/>
        <v>26</v>
      </c>
      <c r="C239" s="117" t="str">
        <f t="shared" ca="1" si="28"/>
        <v>255.255.255.192</v>
      </c>
      <c r="D239" s="117">
        <f t="shared" ca="1" si="28"/>
        <v>62</v>
      </c>
      <c r="E239" s="117" t="str">
        <f t="shared" ca="1" si="28"/>
        <v>10.188.190.128</v>
      </c>
      <c r="F239" s="117" t="str">
        <f t="shared" ca="1" si="28"/>
        <v>10.188.190.191</v>
      </c>
      <c r="G239" s="117" t="str">
        <f t="shared" ca="1" si="28"/>
        <v>10.188.190.129</v>
      </c>
      <c r="H239" s="117" t="str">
        <f t="shared" ca="1" si="28"/>
        <v>10.188.190.190</v>
      </c>
      <c r="I239" s="121" t="s">
        <v>329</v>
      </c>
      <c r="J239" s="161">
        <f t="shared" ca="1" si="29"/>
        <v>1901</v>
      </c>
      <c r="K239" s="113" t="s">
        <v>492</v>
      </c>
      <c r="L239" s="114" t="s">
        <v>358</v>
      </c>
      <c r="M239" s="114" t="s">
        <v>463</v>
      </c>
      <c r="N239" s="114" t="s">
        <v>463</v>
      </c>
      <c r="O239" s="122"/>
    </row>
    <row r="240" spans="1:15" x14ac:dyDescent="0.25">
      <c r="A240" s="116" t="str">
        <f t="shared" ca="1" si="28"/>
        <v>10.188.190.128</v>
      </c>
      <c r="B240" s="117">
        <f t="shared" ca="1" si="28"/>
        <v>26</v>
      </c>
      <c r="C240" s="117" t="str">
        <f t="shared" ca="1" si="28"/>
        <v>255.255.255.192</v>
      </c>
      <c r="D240" s="117">
        <f t="shared" ca="1" si="28"/>
        <v>62</v>
      </c>
      <c r="E240" s="117" t="str">
        <f t="shared" ca="1" si="28"/>
        <v>10.188.190.128</v>
      </c>
      <c r="F240" s="117" t="str">
        <f t="shared" ca="1" si="28"/>
        <v>10.188.190.191</v>
      </c>
      <c r="G240" s="117" t="str">
        <f t="shared" ca="1" si="28"/>
        <v>10.188.190.129</v>
      </c>
      <c r="H240" s="117" t="str">
        <f t="shared" ca="1" si="28"/>
        <v>10.188.190.190</v>
      </c>
      <c r="I240" s="121" t="s">
        <v>329</v>
      </c>
      <c r="J240" s="161">
        <f t="shared" ca="1" si="29"/>
        <v>1901</v>
      </c>
      <c r="K240" s="113" t="s">
        <v>493</v>
      </c>
      <c r="L240" s="114" t="s">
        <v>461</v>
      </c>
      <c r="M240" s="114" t="s">
        <v>463</v>
      </c>
      <c r="N240" s="114" t="s">
        <v>463</v>
      </c>
      <c r="O240" s="122"/>
    </row>
    <row r="241" spans="1:15" x14ac:dyDescent="0.25">
      <c r="A241" s="116" t="str">
        <f t="shared" ca="1" si="28"/>
        <v>10.188.190.128</v>
      </c>
      <c r="B241" s="117">
        <f t="shared" ca="1" si="28"/>
        <v>26</v>
      </c>
      <c r="C241" s="117" t="str">
        <f t="shared" ca="1" si="28"/>
        <v>255.255.255.192</v>
      </c>
      <c r="D241" s="117">
        <f t="shared" ca="1" si="28"/>
        <v>62</v>
      </c>
      <c r="E241" s="117" t="str">
        <f t="shared" ca="1" si="28"/>
        <v>10.188.190.128</v>
      </c>
      <c r="F241" s="117" t="str">
        <f t="shared" ca="1" si="28"/>
        <v>10.188.190.191</v>
      </c>
      <c r="G241" s="117" t="str">
        <f t="shared" ca="1" si="28"/>
        <v>10.188.190.129</v>
      </c>
      <c r="H241" s="117" t="str">
        <f t="shared" ca="1" si="28"/>
        <v>10.188.190.190</v>
      </c>
      <c r="I241" s="121" t="s">
        <v>329</v>
      </c>
      <c r="J241" s="161">
        <f t="shared" ca="1" si="29"/>
        <v>1901</v>
      </c>
      <c r="K241" s="113" t="s">
        <v>493</v>
      </c>
      <c r="L241" s="114" t="s">
        <v>358</v>
      </c>
      <c r="M241" s="114" t="s">
        <v>463</v>
      </c>
      <c r="N241" s="114" t="s">
        <v>463</v>
      </c>
      <c r="O241" s="122"/>
    </row>
    <row r="242" spans="1:15" x14ac:dyDescent="0.25">
      <c r="A242" s="116" t="str">
        <f t="shared" ca="1" si="28"/>
        <v>10.188.190.128</v>
      </c>
      <c r="B242" s="117">
        <f t="shared" ca="1" si="28"/>
        <v>26</v>
      </c>
      <c r="C242" s="117" t="str">
        <f t="shared" ca="1" si="28"/>
        <v>255.255.255.192</v>
      </c>
      <c r="D242" s="117">
        <f t="shared" ca="1" si="28"/>
        <v>62</v>
      </c>
      <c r="E242" s="117" t="str">
        <f t="shared" ca="1" si="28"/>
        <v>10.188.190.128</v>
      </c>
      <c r="F242" s="117" t="str">
        <f t="shared" ca="1" si="28"/>
        <v>10.188.190.191</v>
      </c>
      <c r="G242" s="117" t="str">
        <f t="shared" ca="1" si="28"/>
        <v>10.188.190.129</v>
      </c>
      <c r="H242" s="117" t="str">
        <f t="shared" ca="1" si="28"/>
        <v>10.188.190.190</v>
      </c>
      <c r="I242" s="121" t="s">
        <v>329</v>
      </c>
      <c r="J242" s="161">
        <f t="shared" ca="1" si="29"/>
        <v>1901</v>
      </c>
      <c r="K242" s="113" t="s">
        <v>542</v>
      </c>
      <c r="L242" s="114" t="s">
        <v>464</v>
      </c>
      <c r="M242" s="114" t="s">
        <v>463</v>
      </c>
      <c r="N242" s="114" t="s">
        <v>463</v>
      </c>
      <c r="O242" s="122"/>
    </row>
    <row r="243" spans="1:15" x14ac:dyDescent="0.25">
      <c r="A243" s="116" t="str">
        <f t="shared" ca="1" si="28"/>
        <v>10.188.190.128</v>
      </c>
      <c r="B243" s="117">
        <f t="shared" ca="1" si="28"/>
        <v>26</v>
      </c>
      <c r="C243" s="117" t="str">
        <f t="shared" ca="1" si="28"/>
        <v>255.255.255.192</v>
      </c>
      <c r="D243" s="117">
        <f t="shared" ca="1" si="28"/>
        <v>62</v>
      </c>
      <c r="E243" s="117" t="str">
        <f t="shared" ca="1" si="28"/>
        <v>10.188.190.128</v>
      </c>
      <c r="F243" s="117" t="str">
        <f t="shared" ca="1" si="28"/>
        <v>10.188.190.191</v>
      </c>
      <c r="G243" s="117" t="str">
        <f t="shared" ca="1" si="28"/>
        <v>10.188.190.129</v>
      </c>
      <c r="H243" s="117" t="str">
        <f t="shared" ca="1" si="28"/>
        <v>10.188.190.190</v>
      </c>
      <c r="I243" s="121" t="s">
        <v>329</v>
      </c>
      <c r="J243" s="161">
        <f t="shared" ca="1" si="29"/>
        <v>1901</v>
      </c>
      <c r="K243" s="113" t="s">
        <v>542</v>
      </c>
      <c r="L243" s="114" t="s">
        <v>465</v>
      </c>
      <c r="M243" s="114" t="s">
        <v>463</v>
      </c>
      <c r="N243" s="114" t="s">
        <v>463</v>
      </c>
      <c r="O243" s="122"/>
    </row>
    <row r="244" spans="1:15" x14ac:dyDescent="0.25">
      <c r="A244" s="116" t="str">
        <f t="shared" ca="1" si="28"/>
        <v>10.188.190.128</v>
      </c>
      <c r="B244" s="117">
        <f t="shared" ca="1" si="28"/>
        <v>26</v>
      </c>
      <c r="C244" s="117" t="str">
        <f t="shared" ca="1" si="28"/>
        <v>255.255.255.192</v>
      </c>
      <c r="D244" s="117">
        <f t="shared" ca="1" si="28"/>
        <v>62</v>
      </c>
      <c r="E244" s="117" t="str">
        <f t="shared" ca="1" si="28"/>
        <v>10.188.190.128</v>
      </c>
      <c r="F244" s="117" t="str">
        <f t="shared" ca="1" si="28"/>
        <v>10.188.190.191</v>
      </c>
      <c r="G244" s="117" t="str">
        <f t="shared" ca="1" si="28"/>
        <v>10.188.190.129</v>
      </c>
      <c r="H244" s="117" t="str">
        <f t="shared" ca="1" si="28"/>
        <v>10.188.190.190</v>
      </c>
      <c r="I244" s="121" t="s">
        <v>329</v>
      </c>
      <c r="J244" s="161">
        <f t="shared" ca="1" si="29"/>
        <v>1901</v>
      </c>
      <c r="K244" s="113" t="s">
        <v>542</v>
      </c>
      <c r="L244" s="114" t="s">
        <v>466</v>
      </c>
      <c r="M244" s="114" t="s">
        <v>463</v>
      </c>
      <c r="N244" s="114" t="s">
        <v>463</v>
      </c>
      <c r="O244" s="122"/>
    </row>
    <row r="245" spans="1:15" x14ac:dyDescent="0.25">
      <c r="A245" s="116" t="str">
        <f t="shared" ca="1" si="28"/>
        <v>10.188.190.128</v>
      </c>
      <c r="B245" s="117">
        <f t="shared" ca="1" si="28"/>
        <v>26</v>
      </c>
      <c r="C245" s="117" t="str">
        <f t="shared" ca="1" si="28"/>
        <v>255.255.255.192</v>
      </c>
      <c r="D245" s="117">
        <f t="shared" ca="1" si="28"/>
        <v>62</v>
      </c>
      <c r="E245" s="117" t="str">
        <f t="shared" ca="1" si="28"/>
        <v>10.188.190.128</v>
      </c>
      <c r="F245" s="117" t="str">
        <f t="shared" ca="1" si="28"/>
        <v>10.188.190.191</v>
      </c>
      <c r="G245" s="117" t="str">
        <f t="shared" ca="1" si="28"/>
        <v>10.188.190.129</v>
      </c>
      <c r="H245" s="117" t="str">
        <f t="shared" ca="1" si="28"/>
        <v>10.188.190.190</v>
      </c>
      <c r="I245" s="121" t="s">
        <v>329</v>
      </c>
      <c r="J245" s="161">
        <f t="shared" ca="1" si="29"/>
        <v>1901</v>
      </c>
      <c r="K245" s="113" t="s">
        <v>543</v>
      </c>
      <c r="L245" s="114" t="s">
        <v>464</v>
      </c>
      <c r="M245" s="114" t="s">
        <v>463</v>
      </c>
      <c r="N245" s="114" t="s">
        <v>463</v>
      </c>
      <c r="O245" s="122"/>
    </row>
    <row r="246" spans="1:15" x14ac:dyDescent="0.25">
      <c r="A246" s="116" t="str">
        <f t="shared" ca="1" si="28"/>
        <v>10.188.190.128</v>
      </c>
      <c r="B246" s="117">
        <f t="shared" ca="1" si="28"/>
        <v>26</v>
      </c>
      <c r="C246" s="117" t="str">
        <f t="shared" ca="1" si="28"/>
        <v>255.255.255.192</v>
      </c>
      <c r="D246" s="117">
        <f t="shared" ca="1" si="28"/>
        <v>62</v>
      </c>
      <c r="E246" s="117" t="str">
        <f t="shared" ca="1" si="28"/>
        <v>10.188.190.128</v>
      </c>
      <c r="F246" s="117" t="str">
        <f t="shared" ca="1" si="28"/>
        <v>10.188.190.191</v>
      </c>
      <c r="G246" s="117" t="str">
        <f t="shared" ca="1" si="28"/>
        <v>10.188.190.129</v>
      </c>
      <c r="H246" s="117" t="str">
        <f t="shared" ca="1" si="28"/>
        <v>10.188.190.190</v>
      </c>
      <c r="I246" s="121" t="s">
        <v>329</v>
      </c>
      <c r="J246" s="161">
        <f t="shared" ca="1" si="29"/>
        <v>1901</v>
      </c>
      <c r="K246" s="113" t="s">
        <v>543</v>
      </c>
      <c r="L246" s="114" t="s">
        <v>465</v>
      </c>
      <c r="M246" s="114" t="s">
        <v>463</v>
      </c>
      <c r="N246" s="114" t="s">
        <v>463</v>
      </c>
      <c r="O246" s="122"/>
    </row>
    <row r="247" spans="1:15" x14ac:dyDescent="0.25">
      <c r="A247" s="116" t="str">
        <f t="shared" ca="1" si="28"/>
        <v>10.188.190.128</v>
      </c>
      <c r="B247" s="117">
        <f t="shared" ca="1" si="28"/>
        <v>26</v>
      </c>
      <c r="C247" s="117" t="str">
        <f t="shared" ca="1" si="28"/>
        <v>255.255.255.192</v>
      </c>
      <c r="D247" s="117">
        <f t="shared" ca="1" si="28"/>
        <v>62</v>
      </c>
      <c r="E247" s="117" t="str">
        <f t="shared" ca="1" si="28"/>
        <v>10.188.190.128</v>
      </c>
      <c r="F247" s="117" t="str">
        <f t="shared" ca="1" si="28"/>
        <v>10.188.190.191</v>
      </c>
      <c r="G247" s="117" t="str">
        <f t="shared" ca="1" si="28"/>
        <v>10.188.190.129</v>
      </c>
      <c r="H247" s="117" t="str">
        <f t="shared" ca="1" si="28"/>
        <v>10.188.190.190</v>
      </c>
      <c r="I247" s="121" t="s">
        <v>329</v>
      </c>
      <c r="J247" s="161">
        <f t="shared" ca="1" si="29"/>
        <v>1901</v>
      </c>
      <c r="K247" s="113" t="s">
        <v>543</v>
      </c>
      <c r="L247" s="114" t="s">
        <v>466</v>
      </c>
      <c r="M247" s="114" t="s">
        <v>463</v>
      </c>
      <c r="N247" s="114" t="s">
        <v>463</v>
      </c>
      <c r="O247" s="122"/>
    </row>
    <row r="248" spans="1:15" x14ac:dyDescent="0.25">
      <c r="A248" s="116" t="str">
        <f t="shared" ca="1" si="28"/>
        <v>10.188.190.128</v>
      </c>
      <c r="B248" s="117">
        <f t="shared" ca="1" si="28"/>
        <v>26</v>
      </c>
      <c r="C248" s="117" t="str">
        <f t="shared" ca="1" si="28"/>
        <v>255.255.255.192</v>
      </c>
      <c r="D248" s="117">
        <f t="shared" ca="1" si="28"/>
        <v>62</v>
      </c>
      <c r="E248" s="117" t="str">
        <f t="shared" ca="1" si="28"/>
        <v>10.188.190.128</v>
      </c>
      <c r="F248" s="117" t="str">
        <f t="shared" ca="1" si="28"/>
        <v>10.188.190.191</v>
      </c>
      <c r="G248" s="117" t="str">
        <f t="shared" ca="1" si="28"/>
        <v>10.188.190.129</v>
      </c>
      <c r="H248" s="117" t="str">
        <f t="shared" ca="1" si="28"/>
        <v>10.188.190.190</v>
      </c>
      <c r="I248" s="160"/>
      <c r="J248" s="161">
        <v>1901</v>
      </c>
      <c r="K248" s="113"/>
      <c r="L248" s="114"/>
      <c r="M248" s="114"/>
      <c r="N248" s="114"/>
      <c r="O248" s="122"/>
    </row>
    <row r="249" spans="1:15" x14ac:dyDescent="0.25">
      <c r="A249" s="116" t="str">
        <f t="shared" ca="1" si="28"/>
        <v>10.188.190.128</v>
      </c>
      <c r="B249" s="117">
        <f t="shared" ca="1" si="28"/>
        <v>26</v>
      </c>
      <c r="C249" s="117" t="str">
        <f t="shared" ca="1" si="28"/>
        <v>255.255.255.192</v>
      </c>
      <c r="D249" s="117">
        <f t="shared" ca="1" si="28"/>
        <v>62</v>
      </c>
      <c r="E249" s="117" t="str">
        <f t="shared" ca="1" si="28"/>
        <v>10.188.190.128</v>
      </c>
      <c r="F249" s="117" t="str">
        <f t="shared" ca="1" si="28"/>
        <v>10.188.190.191</v>
      </c>
      <c r="G249" s="117" t="str">
        <f t="shared" ca="1" si="28"/>
        <v>10.188.190.129</v>
      </c>
      <c r="H249" s="117" t="str">
        <f t="shared" ca="1" si="28"/>
        <v>10.188.190.190</v>
      </c>
      <c r="I249" s="160" t="s">
        <v>427</v>
      </c>
      <c r="J249" s="161">
        <v>1901</v>
      </c>
      <c r="K249" s="113"/>
      <c r="L249" s="114"/>
      <c r="M249" s="114" t="s">
        <v>416</v>
      </c>
      <c r="N249" s="114" t="s">
        <v>324</v>
      </c>
      <c r="O249" s="114" t="s">
        <v>485</v>
      </c>
    </row>
    <row r="250" spans="1:15" x14ac:dyDescent="0.25">
      <c r="A250" s="116" t="str">
        <f t="shared" ca="1" si="28"/>
        <v>10.188.190.128</v>
      </c>
      <c r="B250" s="117">
        <f t="shared" ca="1" si="28"/>
        <v>26</v>
      </c>
      <c r="C250" s="117" t="str">
        <f t="shared" ca="1" si="28"/>
        <v>255.255.255.192</v>
      </c>
      <c r="D250" s="117">
        <f t="shared" ca="1" si="28"/>
        <v>62</v>
      </c>
      <c r="E250" s="117" t="str">
        <f t="shared" ca="1" si="28"/>
        <v>10.188.190.128</v>
      </c>
      <c r="F250" s="117" t="str">
        <f t="shared" ca="1" si="28"/>
        <v>10.188.190.191</v>
      </c>
      <c r="G250" s="117" t="str">
        <f t="shared" ca="1" si="28"/>
        <v>10.188.190.129</v>
      </c>
      <c r="H250" s="117" t="str">
        <f t="shared" ca="1" si="28"/>
        <v>10.188.190.190</v>
      </c>
      <c r="I250" s="160" t="s">
        <v>426</v>
      </c>
      <c r="J250" s="161">
        <v>1901</v>
      </c>
      <c r="K250" s="113"/>
      <c r="L250" s="114"/>
      <c r="M250" s="114" t="s">
        <v>417</v>
      </c>
      <c r="N250" s="114" t="s">
        <v>324</v>
      </c>
      <c r="O250" s="114" t="s">
        <v>486</v>
      </c>
    </row>
    <row r="251" spans="1:15" x14ac:dyDescent="0.25">
      <c r="A251" s="123" t="str">
        <f t="shared" ca="1" si="28"/>
        <v>10.188.190.128</v>
      </c>
      <c r="B251" s="124">
        <f t="shared" ca="1" si="28"/>
        <v>26</v>
      </c>
      <c r="C251" s="124" t="str">
        <f t="shared" ca="1" si="28"/>
        <v>255.255.255.192</v>
      </c>
      <c r="D251" s="124">
        <f t="shared" ca="1" si="28"/>
        <v>62</v>
      </c>
      <c r="E251" s="124" t="str">
        <f t="shared" ca="1" si="28"/>
        <v>10.188.190.128</v>
      </c>
      <c r="F251" s="124" t="str">
        <f t="shared" ca="1" si="28"/>
        <v>10.188.190.191</v>
      </c>
      <c r="G251" s="124" t="str">
        <f t="shared" ca="1" si="28"/>
        <v>10.188.190.129</v>
      </c>
      <c r="H251" s="124" t="str">
        <f t="shared" ca="1" si="28"/>
        <v>10.188.190.190</v>
      </c>
      <c r="I251" s="160" t="s">
        <v>425</v>
      </c>
      <c r="J251" s="162">
        <v>1901</v>
      </c>
      <c r="K251" s="113" t="s">
        <v>6</v>
      </c>
      <c r="L251" s="114" t="s">
        <v>382</v>
      </c>
      <c r="M251" s="114" t="s">
        <v>418</v>
      </c>
      <c r="N251" s="114" t="s">
        <v>324</v>
      </c>
      <c r="O251" s="109" t="s">
        <v>487</v>
      </c>
    </row>
    <row r="252" spans="1:15" collapsed="1" x14ac:dyDescent="0.25">
      <c r="A252" s="116"/>
      <c r="B252" s="117"/>
      <c r="C252" s="117"/>
      <c r="D252" s="166"/>
      <c r="E252" s="154"/>
      <c r="F252" s="154"/>
      <c r="G252" s="154"/>
      <c r="H252" s="154"/>
      <c r="I252" s="163"/>
      <c r="J252" s="164"/>
      <c r="K252" s="130"/>
      <c r="L252" s="131"/>
      <c r="M252" s="131"/>
      <c r="N252" s="131"/>
      <c r="O252" s="150"/>
    </row>
    <row r="253" spans="1:15" x14ac:dyDescent="0.25">
      <c r="A253" s="139" t="s">
        <v>481</v>
      </c>
      <c r="B253" s="140">
        <v>29</v>
      </c>
      <c r="C253" s="140" t="str">
        <f>LOOKUP(B253,{24,25,26,27,28,29,30},{"255.255.255.0","255.255.255.128","255.255.255.192","255.255.255.224","255.255.255.240","255.255.255.248","255.255.255.252"})</f>
        <v>255.255.255.248</v>
      </c>
      <c r="D253" s="140">
        <f>LOOKUP(B253,{24,25,26,27,28,29,30},{254,126,62,30,14,6,2})</f>
        <v>6</v>
      </c>
      <c r="E253" s="140" t="str">
        <f>A253</f>
        <v>10.188.190.192</v>
      </c>
      <c r="F253" s="140" t="str">
        <f>IFERROR((LEFT(A253,FIND("~",SUBSTITUTE(A253,".","~",LEN(A253)-LEN(SUBSTITUTE(A253,".",""))))))&amp;RIGHT(A253,LEN(A253)-FIND("~",SUBSTITUTE(A253,".","~",LEN(A253)-LEN(SUBSTITUTE(A253,".","")))))+(D253+1),"")</f>
        <v>10.188.190.199</v>
      </c>
      <c r="G253" s="140" t="str">
        <f>IFERROR((LEFT(A253,FIND("~",SUBSTITUTE(A253,".","~",LEN(A253)-LEN(SUBSTITUTE(A253,".",""))))))&amp;RIGHT(A253,LEN(A253)-FIND("~",SUBSTITUTE(A253,".","~",LEN(A253)-LEN(SUBSTITUTE(A253,".","")))))+1,"")</f>
        <v>10.188.190.193</v>
      </c>
      <c r="H253" s="140" t="str">
        <f>IFERROR((LEFT(A253,FIND("~",SUBSTITUTE(A253,".","~",LEN(A253)-LEN(SUBSTITUTE(A253,".",""))))))&amp;RIGHT(A253,LEN(A253)-FIND("~",SUBSTITUTE(A253,".","~",LEN(A253)-LEN(SUBSTITUTE(A253,".","")))))+D253,"")</f>
        <v>10.188.190.198</v>
      </c>
      <c r="I253" s="114" t="s">
        <v>428</v>
      </c>
      <c r="J253" s="151">
        <v>1902</v>
      </c>
      <c r="K253" s="113"/>
      <c r="L253" s="114"/>
      <c r="M253" s="114" t="s">
        <v>325</v>
      </c>
      <c r="N253" s="114" t="s">
        <v>325</v>
      </c>
      <c r="O253" s="122"/>
    </row>
    <row r="254" spans="1:15" x14ac:dyDescent="0.25">
      <c r="A254" s="116" t="str">
        <f t="shared" ca="1" si="28"/>
        <v>10.188.190.192</v>
      </c>
      <c r="B254" s="117">
        <f t="shared" ca="1" si="28"/>
        <v>29</v>
      </c>
      <c r="C254" s="117" t="str">
        <f t="shared" ca="1" si="28"/>
        <v>255.255.255.248</v>
      </c>
      <c r="D254" s="117">
        <f t="shared" ca="1" si="28"/>
        <v>6</v>
      </c>
      <c r="E254" s="117" t="str">
        <f t="shared" ca="1" si="28"/>
        <v>10.188.190.192</v>
      </c>
      <c r="F254" s="117" t="str">
        <f t="shared" ca="1" si="28"/>
        <v>10.188.190.199</v>
      </c>
      <c r="G254" s="117" t="str">
        <f t="shared" ca="1" si="28"/>
        <v>10.188.190.193</v>
      </c>
      <c r="H254" s="117" t="str">
        <f t="shared" ca="1" si="28"/>
        <v>10.188.190.198</v>
      </c>
      <c r="I254" s="121" t="s">
        <v>329</v>
      </c>
      <c r="J254" s="161">
        <f ca="1">INDIRECT("R[-1]",FALSE)</f>
        <v>1902</v>
      </c>
      <c r="K254" s="113" t="s">
        <v>492</v>
      </c>
      <c r="L254" s="114" t="s">
        <v>359</v>
      </c>
      <c r="M254" s="114" t="s">
        <v>463</v>
      </c>
      <c r="N254" s="114" t="s">
        <v>463</v>
      </c>
      <c r="O254" s="122"/>
    </row>
    <row r="255" spans="1:15" x14ac:dyDescent="0.25">
      <c r="A255" s="116" t="str">
        <f t="shared" ca="1" si="28"/>
        <v>10.188.190.192</v>
      </c>
      <c r="B255" s="117">
        <f t="shared" ca="1" si="28"/>
        <v>29</v>
      </c>
      <c r="C255" s="117" t="str">
        <f t="shared" ca="1" si="28"/>
        <v>255.255.255.248</v>
      </c>
      <c r="D255" s="117">
        <f t="shared" ca="1" si="28"/>
        <v>6</v>
      </c>
      <c r="E255" s="117" t="str">
        <f t="shared" ca="1" si="28"/>
        <v>10.188.190.192</v>
      </c>
      <c r="F255" s="117" t="str">
        <f t="shared" ca="1" si="28"/>
        <v>10.188.190.199</v>
      </c>
      <c r="G255" s="117" t="str">
        <f t="shared" ca="1" si="28"/>
        <v>10.188.190.193</v>
      </c>
      <c r="H255" s="117" t="str">
        <f t="shared" ca="1" si="28"/>
        <v>10.188.190.198</v>
      </c>
      <c r="I255" s="121" t="s">
        <v>329</v>
      </c>
      <c r="J255" s="161">
        <f ca="1">INDIRECT("R[-1]",FALSE)</f>
        <v>1902</v>
      </c>
      <c r="K255" s="113" t="s">
        <v>492</v>
      </c>
      <c r="L255" s="114" t="s">
        <v>396</v>
      </c>
      <c r="M255" s="114" t="s">
        <v>463</v>
      </c>
      <c r="N255" s="114" t="s">
        <v>463</v>
      </c>
      <c r="O255" s="122"/>
    </row>
    <row r="256" spans="1:15" x14ac:dyDescent="0.25">
      <c r="A256" s="116" t="str">
        <f t="shared" ca="1" si="28"/>
        <v>10.188.190.192</v>
      </c>
      <c r="B256" s="117">
        <f t="shared" ca="1" si="28"/>
        <v>29</v>
      </c>
      <c r="C256" s="117" t="str">
        <f t="shared" ca="1" si="28"/>
        <v>255.255.255.248</v>
      </c>
      <c r="D256" s="117">
        <f t="shared" ref="A256:H267" ca="1" si="30">INDIRECT("R[-1]",FALSE)</f>
        <v>6</v>
      </c>
      <c r="E256" s="117" t="str">
        <f t="shared" ca="1" si="30"/>
        <v>10.188.190.192</v>
      </c>
      <c r="F256" s="117" t="str">
        <f t="shared" ca="1" si="30"/>
        <v>10.188.190.199</v>
      </c>
      <c r="G256" s="117" t="str">
        <f t="shared" ca="1" si="30"/>
        <v>10.188.190.193</v>
      </c>
      <c r="H256" s="117" t="str">
        <f t="shared" ca="1" si="30"/>
        <v>10.188.190.198</v>
      </c>
      <c r="I256" s="160"/>
      <c r="J256" s="161">
        <v>1902</v>
      </c>
      <c r="K256" s="113"/>
      <c r="L256" s="114"/>
      <c r="M256" s="114"/>
      <c r="N256" s="114"/>
      <c r="O256" s="122"/>
    </row>
    <row r="257" spans="1:15" x14ac:dyDescent="0.25">
      <c r="A257" s="116" t="str">
        <f t="shared" ca="1" si="30"/>
        <v>10.188.190.192</v>
      </c>
      <c r="B257" s="117">
        <f t="shared" ca="1" si="30"/>
        <v>29</v>
      </c>
      <c r="C257" s="117" t="str">
        <f t="shared" ca="1" si="30"/>
        <v>255.255.255.248</v>
      </c>
      <c r="D257" s="117">
        <f t="shared" ca="1" si="30"/>
        <v>6</v>
      </c>
      <c r="E257" s="117" t="str">
        <f t="shared" ca="1" si="30"/>
        <v>10.188.190.192</v>
      </c>
      <c r="F257" s="117" t="str">
        <f t="shared" ca="1" si="30"/>
        <v>10.188.190.199</v>
      </c>
      <c r="G257" s="117" t="str">
        <f t="shared" ca="1" si="30"/>
        <v>10.188.190.193</v>
      </c>
      <c r="H257" s="117" t="str">
        <f t="shared" ca="1" si="30"/>
        <v>10.188.190.198</v>
      </c>
      <c r="I257" s="160" t="s">
        <v>431</v>
      </c>
      <c r="J257" s="161">
        <v>1902</v>
      </c>
      <c r="K257" s="113"/>
      <c r="L257" s="114"/>
      <c r="M257" s="114" t="s">
        <v>419</v>
      </c>
      <c r="N257" s="114" t="s">
        <v>325</v>
      </c>
      <c r="O257" s="114" t="s">
        <v>485</v>
      </c>
    </row>
    <row r="258" spans="1:15" x14ac:dyDescent="0.25">
      <c r="A258" s="116" t="str">
        <f t="shared" ca="1" si="30"/>
        <v>10.188.190.192</v>
      </c>
      <c r="B258" s="117">
        <f t="shared" ca="1" si="30"/>
        <v>29</v>
      </c>
      <c r="C258" s="117" t="str">
        <f t="shared" ca="1" si="30"/>
        <v>255.255.255.248</v>
      </c>
      <c r="D258" s="117">
        <f t="shared" ca="1" si="30"/>
        <v>6</v>
      </c>
      <c r="E258" s="117" t="str">
        <f t="shared" ca="1" si="30"/>
        <v>10.188.190.192</v>
      </c>
      <c r="F258" s="117" t="str">
        <f t="shared" ca="1" si="30"/>
        <v>10.188.190.199</v>
      </c>
      <c r="G258" s="117" t="str">
        <f t="shared" ca="1" si="30"/>
        <v>10.188.190.193</v>
      </c>
      <c r="H258" s="117" t="str">
        <f t="shared" ca="1" si="30"/>
        <v>10.188.190.198</v>
      </c>
      <c r="I258" s="160" t="s">
        <v>430</v>
      </c>
      <c r="J258" s="161">
        <v>1902</v>
      </c>
      <c r="K258" s="113"/>
      <c r="L258" s="114"/>
      <c r="M258" s="114" t="s">
        <v>420</v>
      </c>
      <c r="N258" s="114" t="s">
        <v>325</v>
      </c>
      <c r="O258" s="114" t="s">
        <v>486</v>
      </c>
    </row>
    <row r="259" spans="1:15" x14ac:dyDescent="0.25">
      <c r="A259" s="123" t="str">
        <f t="shared" ca="1" si="30"/>
        <v>10.188.190.192</v>
      </c>
      <c r="B259" s="124">
        <f t="shared" ca="1" si="30"/>
        <v>29</v>
      </c>
      <c r="C259" s="124" t="str">
        <f t="shared" ca="1" si="30"/>
        <v>255.255.255.248</v>
      </c>
      <c r="D259" s="124">
        <f t="shared" ca="1" si="30"/>
        <v>6</v>
      </c>
      <c r="E259" s="124" t="str">
        <f t="shared" ca="1" si="30"/>
        <v>10.188.190.192</v>
      </c>
      <c r="F259" s="124" t="str">
        <f t="shared" ca="1" si="30"/>
        <v>10.188.190.199</v>
      </c>
      <c r="G259" s="124" t="str">
        <f t="shared" ca="1" si="30"/>
        <v>10.188.190.193</v>
      </c>
      <c r="H259" s="124" t="str">
        <f t="shared" ca="1" si="30"/>
        <v>10.188.190.198</v>
      </c>
      <c r="I259" s="160" t="s">
        <v>429</v>
      </c>
      <c r="J259" s="162">
        <v>1902</v>
      </c>
      <c r="K259" s="113" t="s">
        <v>6</v>
      </c>
      <c r="L259" s="114" t="s">
        <v>382</v>
      </c>
      <c r="M259" s="114" t="s">
        <v>421</v>
      </c>
      <c r="N259" s="114" t="s">
        <v>325</v>
      </c>
      <c r="O259" s="109" t="s">
        <v>487</v>
      </c>
    </row>
    <row r="260" spans="1:15" collapsed="1" x14ac:dyDescent="0.25">
      <c r="A260" s="116"/>
      <c r="B260" s="117"/>
      <c r="C260" s="117"/>
      <c r="D260" s="166"/>
      <c r="E260" s="154"/>
      <c r="F260" s="154"/>
      <c r="G260" s="154"/>
      <c r="H260" s="154"/>
      <c r="I260" s="163"/>
      <c r="J260" s="164"/>
      <c r="K260" s="130"/>
      <c r="L260" s="131"/>
      <c r="M260" s="131"/>
      <c r="N260" s="131"/>
      <c r="O260" s="150"/>
    </row>
    <row r="261" spans="1:15" x14ac:dyDescent="0.25">
      <c r="A261" s="139" t="s">
        <v>482</v>
      </c>
      <c r="B261" s="140">
        <v>29</v>
      </c>
      <c r="C261" s="140" t="str">
        <f>LOOKUP(B261,{24,25,26,27,28,29,30},{"255.255.255.0","255.255.255.128","255.255.255.192","255.255.255.224","255.255.255.240","255.255.255.248","255.255.255.252"})</f>
        <v>255.255.255.248</v>
      </c>
      <c r="D261" s="140">
        <f>LOOKUP(B261,{24,25,26,27,28,29,30},{254,126,62,30,14,6,2})</f>
        <v>6</v>
      </c>
      <c r="E261" s="140" t="str">
        <f>A261</f>
        <v>10.188.190.200</v>
      </c>
      <c r="F261" s="140" t="str">
        <f>IFERROR((LEFT(A261,FIND("~",SUBSTITUTE(A261,".","~",LEN(A261)-LEN(SUBSTITUTE(A261,".",""))))))&amp;RIGHT(A261,LEN(A261)-FIND("~",SUBSTITUTE(A261,".","~",LEN(A261)-LEN(SUBSTITUTE(A261,".","")))))+(D261+1),"")</f>
        <v>10.188.190.207</v>
      </c>
      <c r="G261" s="140" t="str">
        <f>IFERROR((LEFT(A261,FIND("~",SUBSTITUTE(A261,".","~",LEN(A261)-LEN(SUBSTITUTE(A261,".",""))))))&amp;RIGHT(A261,LEN(A261)-FIND("~",SUBSTITUTE(A261,".","~",LEN(A261)-LEN(SUBSTITUTE(A261,".","")))))+1,"")</f>
        <v>10.188.190.201</v>
      </c>
      <c r="H261" s="140" t="str">
        <f>IFERROR((LEFT(A261,FIND("~",SUBSTITUTE(A261,".","~",LEN(A261)-LEN(SUBSTITUTE(A261,".",""))))))&amp;RIGHT(A261,LEN(A261)-FIND("~",SUBSTITUTE(A261,".","~",LEN(A261)-LEN(SUBSTITUTE(A261,".","")))))+D261,"")</f>
        <v>10.188.190.206</v>
      </c>
      <c r="I261" s="114" t="s">
        <v>409</v>
      </c>
      <c r="J261" s="151">
        <v>1903</v>
      </c>
      <c r="K261" s="113"/>
      <c r="L261" s="114"/>
      <c r="M261" s="114" t="s">
        <v>326</v>
      </c>
      <c r="N261" s="114" t="s">
        <v>326</v>
      </c>
      <c r="O261" s="122"/>
    </row>
    <row r="262" spans="1:15" x14ac:dyDescent="0.25">
      <c r="A262" s="116" t="str">
        <f t="shared" ca="1" si="30"/>
        <v>10.188.190.200</v>
      </c>
      <c r="B262" s="117">
        <f t="shared" ca="1" si="30"/>
        <v>29</v>
      </c>
      <c r="C262" s="117" t="str">
        <f t="shared" ca="1" si="30"/>
        <v>255.255.255.248</v>
      </c>
      <c r="D262" s="117">
        <f t="shared" ca="1" si="30"/>
        <v>6</v>
      </c>
      <c r="E262" s="117" t="str">
        <f t="shared" ca="1" si="30"/>
        <v>10.188.190.200</v>
      </c>
      <c r="F262" s="117" t="str">
        <f t="shared" ca="1" si="30"/>
        <v>10.188.190.207</v>
      </c>
      <c r="G262" s="117" t="str">
        <f t="shared" ca="1" si="30"/>
        <v>10.188.190.201</v>
      </c>
      <c r="H262" s="117" t="str">
        <f t="shared" ca="1" si="30"/>
        <v>10.188.190.206</v>
      </c>
      <c r="I262" s="121" t="s">
        <v>329</v>
      </c>
      <c r="J262" s="161">
        <f ca="1">INDIRECT("R[-1]",FALSE)</f>
        <v>1903</v>
      </c>
      <c r="K262" s="113" t="s">
        <v>493</v>
      </c>
      <c r="L262" s="114" t="s">
        <v>359</v>
      </c>
      <c r="M262" s="114" t="s">
        <v>463</v>
      </c>
      <c r="N262" s="114" t="s">
        <v>463</v>
      </c>
      <c r="O262" s="122"/>
    </row>
    <row r="263" spans="1:15" x14ac:dyDescent="0.25">
      <c r="A263" s="116" t="str">
        <f t="shared" ca="1" si="30"/>
        <v>10.188.190.200</v>
      </c>
      <c r="B263" s="117">
        <f t="shared" ca="1" si="30"/>
        <v>29</v>
      </c>
      <c r="C263" s="117" t="str">
        <f t="shared" ca="1" si="30"/>
        <v>255.255.255.248</v>
      </c>
      <c r="D263" s="117">
        <f t="shared" ca="1" si="30"/>
        <v>6</v>
      </c>
      <c r="E263" s="117" t="str">
        <f t="shared" ca="1" si="30"/>
        <v>10.188.190.200</v>
      </c>
      <c r="F263" s="117" t="str">
        <f t="shared" ca="1" si="30"/>
        <v>10.188.190.207</v>
      </c>
      <c r="G263" s="117" t="str">
        <f t="shared" ca="1" si="30"/>
        <v>10.188.190.201</v>
      </c>
      <c r="H263" s="117" t="str">
        <f t="shared" ca="1" si="30"/>
        <v>10.188.190.206</v>
      </c>
      <c r="I263" s="121" t="s">
        <v>329</v>
      </c>
      <c r="J263" s="161">
        <f ca="1">INDIRECT("R[-1]",FALSE)</f>
        <v>1903</v>
      </c>
      <c r="K263" s="113" t="s">
        <v>493</v>
      </c>
      <c r="L263" s="114" t="s">
        <v>396</v>
      </c>
      <c r="M263" s="114" t="s">
        <v>463</v>
      </c>
      <c r="N263" s="114" t="s">
        <v>463</v>
      </c>
      <c r="O263" s="122"/>
    </row>
    <row r="264" spans="1:15" x14ac:dyDescent="0.25">
      <c r="A264" s="116" t="str">
        <f t="shared" ca="1" si="30"/>
        <v>10.188.190.200</v>
      </c>
      <c r="B264" s="117">
        <f t="shared" ca="1" si="30"/>
        <v>29</v>
      </c>
      <c r="C264" s="117" t="str">
        <f t="shared" ca="1" si="30"/>
        <v>255.255.255.248</v>
      </c>
      <c r="D264" s="117">
        <f t="shared" ca="1" si="30"/>
        <v>6</v>
      </c>
      <c r="E264" s="117" t="str">
        <f t="shared" ca="1" si="30"/>
        <v>10.188.190.200</v>
      </c>
      <c r="F264" s="117" t="str">
        <f t="shared" ca="1" si="30"/>
        <v>10.188.190.207</v>
      </c>
      <c r="G264" s="117" t="str">
        <f t="shared" ca="1" si="30"/>
        <v>10.188.190.201</v>
      </c>
      <c r="H264" s="117" t="str">
        <f t="shared" ca="1" si="30"/>
        <v>10.188.190.206</v>
      </c>
      <c r="I264" s="160"/>
      <c r="J264" s="161">
        <v>1903</v>
      </c>
      <c r="K264" s="113"/>
      <c r="L264" s="114"/>
      <c r="M264" s="114"/>
      <c r="N264" s="114"/>
      <c r="O264" s="122"/>
    </row>
    <row r="265" spans="1:15" x14ac:dyDescent="0.25">
      <c r="A265" s="116" t="str">
        <f t="shared" ca="1" si="30"/>
        <v>10.188.190.200</v>
      </c>
      <c r="B265" s="117">
        <f t="shared" ca="1" si="30"/>
        <v>29</v>
      </c>
      <c r="C265" s="117" t="str">
        <f t="shared" ca="1" si="30"/>
        <v>255.255.255.248</v>
      </c>
      <c r="D265" s="117">
        <f t="shared" ca="1" si="30"/>
        <v>6</v>
      </c>
      <c r="E265" s="117" t="str">
        <f t="shared" ca="1" si="30"/>
        <v>10.188.190.200</v>
      </c>
      <c r="F265" s="117" t="str">
        <f t="shared" ca="1" si="30"/>
        <v>10.188.190.207</v>
      </c>
      <c r="G265" s="117" t="str">
        <f t="shared" ca="1" si="30"/>
        <v>10.188.190.201</v>
      </c>
      <c r="H265" s="117" t="str">
        <f t="shared" ca="1" si="30"/>
        <v>10.188.190.206</v>
      </c>
      <c r="I265" s="160" t="s">
        <v>434</v>
      </c>
      <c r="J265" s="161">
        <v>1903</v>
      </c>
      <c r="K265" s="113"/>
      <c r="L265" s="114"/>
      <c r="M265" s="114" t="s">
        <v>422</v>
      </c>
      <c r="N265" s="114" t="s">
        <v>326</v>
      </c>
      <c r="O265" s="114" t="s">
        <v>485</v>
      </c>
    </row>
    <row r="266" spans="1:15" x14ac:dyDescent="0.25">
      <c r="A266" s="116" t="str">
        <f t="shared" ca="1" si="30"/>
        <v>10.188.190.200</v>
      </c>
      <c r="B266" s="117">
        <f t="shared" ca="1" si="30"/>
        <v>29</v>
      </c>
      <c r="C266" s="117" t="str">
        <f t="shared" ca="1" si="30"/>
        <v>255.255.255.248</v>
      </c>
      <c r="D266" s="117">
        <f t="shared" ca="1" si="30"/>
        <v>6</v>
      </c>
      <c r="E266" s="117" t="str">
        <f t="shared" ca="1" si="30"/>
        <v>10.188.190.200</v>
      </c>
      <c r="F266" s="117" t="str">
        <f t="shared" ca="1" si="30"/>
        <v>10.188.190.207</v>
      </c>
      <c r="G266" s="117" t="str">
        <f t="shared" ca="1" si="30"/>
        <v>10.188.190.201</v>
      </c>
      <c r="H266" s="117" t="str">
        <f t="shared" ca="1" si="30"/>
        <v>10.188.190.206</v>
      </c>
      <c r="I266" s="160" t="s">
        <v>433</v>
      </c>
      <c r="J266" s="161">
        <v>1903</v>
      </c>
      <c r="K266" s="113"/>
      <c r="L266" s="114"/>
      <c r="M266" s="114" t="s">
        <v>423</v>
      </c>
      <c r="N266" s="114" t="s">
        <v>326</v>
      </c>
      <c r="O266" s="114" t="s">
        <v>486</v>
      </c>
    </row>
    <row r="267" spans="1:15" x14ac:dyDescent="0.25">
      <c r="A267" s="116" t="str">
        <f t="shared" ca="1" si="30"/>
        <v>10.188.190.200</v>
      </c>
      <c r="B267" s="117">
        <f t="shared" ca="1" si="30"/>
        <v>29</v>
      </c>
      <c r="C267" s="117" t="str">
        <f t="shared" ca="1" si="30"/>
        <v>255.255.255.248</v>
      </c>
      <c r="D267" s="117">
        <f t="shared" ca="1" si="30"/>
        <v>6</v>
      </c>
      <c r="E267" s="117" t="str">
        <f t="shared" ca="1" si="30"/>
        <v>10.188.190.200</v>
      </c>
      <c r="F267" s="117" t="str">
        <f t="shared" ca="1" si="30"/>
        <v>10.188.190.207</v>
      </c>
      <c r="G267" s="117" t="str">
        <f t="shared" ca="1" si="30"/>
        <v>10.188.190.201</v>
      </c>
      <c r="H267" s="117" t="str">
        <f t="shared" ca="1" si="30"/>
        <v>10.188.190.206</v>
      </c>
      <c r="I267" s="160" t="s">
        <v>432</v>
      </c>
      <c r="J267" s="162">
        <v>1903</v>
      </c>
      <c r="K267" s="113" t="s">
        <v>6</v>
      </c>
      <c r="L267" s="114" t="s">
        <v>382</v>
      </c>
      <c r="M267" s="114" t="s">
        <v>424</v>
      </c>
      <c r="N267" s="114" t="s">
        <v>326</v>
      </c>
      <c r="O267" s="109" t="s">
        <v>487</v>
      </c>
    </row>
    <row r="268" spans="1:15" x14ac:dyDescent="0.25">
      <c r="A268" s="114"/>
      <c r="B268" s="167"/>
      <c r="C268" s="167"/>
      <c r="D268" s="168"/>
      <c r="E268" s="169"/>
      <c r="F268" s="169"/>
      <c r="G268" s="169"/>
      <c r="H268" s="169"/>
      <c r="I268" s="147"/>
      <c r="J268" s="148"/>
      <c r="K268" s="149"/>
      <c r="L268" s="150"/>
      <c r="M268" s="150"/>
      <c r="N268" s="131"/>
      <c r="O268" s="131"/>
    </row>
    <row r="269" spans="1:15" x14ac:dyDescent="0.25">
      <c r="A269" s="139" t="s">
        <v>483</v>
      </c>
      <c r="B269" s="140">
        <v>24</v>
      </c>
      <c r="C269" s="140" t="str">
        <f>LOOKUP(B269,{24,25,26,27,28,29,30},{"255.255.255.0","255.255.255.128","255.255.255.192","255.255.255.224","255.255.255.240","255.255.255.248","255.255.255.252"})</f>
        <v>255.255.255.0</v>
      </c>
      <c r="D269" s="140">
        <f>LOOKUP(B269,{24,25,26,27,28,29,30},{254,126,62,30,14,6,2})</f>
        <v>254</v>
      </c>
      <c r="E269" s="140" t="str">
        <f>A269</f>
        <v>10.188.191.0</v>
      </c>
      <c r="F269" s="140" t="str">
        <f>IFERROR((LEFT(A269,FIND("~",SUBSTITUTE(A269,".","~",LEN(A269)-LEN(SUBSTITUTE(A269,".",""))))))&amp;RIGHT(A269,LEN(A269)-FIND("~",SUBSTITUTE(A269,".","~",LEN(A269)-LEN(SUBSTITUTE(A269,".","")))))+(D269+1),"")</f>
        <v>10.188.191.255</v>
      </c>
      <c r="G269" s="140" t="str">
        <f>IFERROR((LEFT(A269,FIND("~",SUBSTITUTE(A269,".","~",LEN(A269)-LEN(SUBSTITUTE(A269,".",""))))))&amp;RIGHT(A269,LEN(A269)-FIND("~",SUBSTITUTE(A269,".","~",LEN(A269)-LEN(SUBSTITUTE(A269,".","")))))+1,"")</f>
        <v>10.188.191.1</v>
      </c>
      <c r="H269" s="140" t="str">
        <f>IFERROR((LEFT(A269,FIND("~",SUBSTITUTE(A269,".","~",LEN(A269)-LEN(SUBSTITUTE(A269,".",""))))))&amp;RIGHT(A269,LEN(A269)-FIND("~",SUBSTITUTE(A269,".","~",LEN(A269)-LEN(SUBSTITUTE(A269,".","")))))+D269,"")</f>
        <v>10.188.191.254</v>
      </c>
      <c r="I269" s="111" t="s">
        <v>447</v>
      </c>
      <c r="J269" s="112" t="s">
        <v>335</v>
      </c>
      <c r="K269" s="113"/>
      <c r="L269" s="114"/>
      <c r="M269" s="114" t="s">
        <v>446</v>
      </c>
      <c r="N269" s="114"/>
      <c r="O269" s="114"/>
    </row>
    <row r="270" spans="1:15" x14ac:dyDescent="0.25">
      <c r="A270" s="116" t="str">
        <f t="shared" ref="A270:H285" ca="1" si="31">INDIRECT("R[-1]",FALSE)</f>
        <v>10.188.191.0</v>
      </c>
      <c r="B270" s="117">
        <f t="shared" ca="1" si="31"/>
        <v>24</v>
      </c>
      <c r="C270" s="117" t="str">
        <f t="shared" ca="1" si="31"/>
        <v>255.255.255.0</v>
      </c>
      <c r="D270" s="117">
        <f t="shared" ca="1" si="31"/>
        <v>254</v>
      </c>
      <c r="E270" s="117" t="str">
        <f t="shared" ca="1" si="31"/>
        <v>10.188.191.0</v>
      </c>
      <c r="F270" s="117" t="str">
        <f t="shared" ca="1" si="31"/>
        <v>10.188.191.255</v>
      </c>
      <c r="G270" s="117" t="str">
        <f t="shared" ca="1" si="31"/>
        <v>10.188.191.1</v>
      </c>
      <c r="H270" s="117" t="str">
        <f t="shared" ca="1" si="31"/>
        <v>10.188.191.254</v>
      </c>
      <c r="I270" s="170"/>
      <c r="J270" s="119" t="str">
        <f t="shared" ref="J270:J306" ca="1" si="32">INDIRECT("R[-1]",FALSE)</f>
        <v>191</v>
      </c>
      <c r="K270" s="113"/>
      <c r="L270" s="114"/>
      <c r="M270" s="114"/>
      <c r="N270" s="114"/>
      <c r="O270" s="114"/>
    </row>
    <row r="271" spans="1:15" x14ac:dyDescent="0.25">
      <c r="A271" s="116" t="str">
        <f t="shared" ca="1" si="31"/>
        <v>10.188.191.0</v>
      </c>
      <c r="B271" s="117">
        <f t="shared" ca="1" si="31"/>
        <v>24</v>
      </c>
      <c r="C271" s="117" t="str">
        <f t="shared" ca="1" si="31"/>
        <v>255.255.255.0</v>
      </c>
      <c r="D271" s="117">
        <f t="shared" ca="1" si="31"/>
        <v>254</v>
      </c>
      <c r="E271" s="117" t="str">
        <f t="shared" ca="1" si="31"/>
        <v>10.188.191.0</v>
      </c>
      <c r="F271" s="117" t="str">
        <f t="shared" ca="1" si="31"/>
        <v>10.188.191.255</v>
      </c>
      <c r="G271" s="117" t="str">
        <f t="shared" ca="1" si="31"/>
        <v>10.188.191.1</v>
      </c>
      <c r="H271" s="117" t="str">
        <f t="shared" ca="1" si="31"/>
        <v>10.188.191.254</v>
      </c>
      <c r="I271" s="120" t="str">
        <f ca="1">IFERROR((LEFT(A270,FIND("~",SUBSTITUTE(A270,".","~",LEN(A270)-LEN(SUBSTITUTE(A270,".",""))))))&amp;TEXT(RIGHT(A270,LEN(A270)-FIND("~",SUBSTITUTE(A270,".","~",LEN(A270)-LEN(SUBSTITUTE(A270,".","")))))+11,"000"),"")</f>
        <v>10.188.191.011</v>
      </c>
      <c r="J271" s="119" t="str">
        <f t="shared" ca="1" si="32"/>
        <v>191</v>
      </c>
      <c r="K271" s="113" t="s">
        <v>529</v>
      </c>
      <c r="L271" s="114"/>
      <c r="M271" s="114" t="s">
        <v>454</v>
      </c>
      <c r="N271" s="114" t="s">
        <v>446</v>
      </c>
      <c r="O271" s="114"/>
    </row>
    <row r="272" spans="1:15" x14ac:dyDescent="0.25">
      <c r="A272" s="116" t="str">
        <f t="shared" ca="1" si="31"/>
        <v>10.188.191.0</v>
      </c>
      <c r="B272" s="117">
        <f t="shared" ca="1" si="31"/>
        <v>24</v>
      </c>
      <c r="C272" s="117" t="str">
        <f t="shared" ca="1" si="31"/>
        <v>255.255.255.0</v>
      </c>
      <c r="D272" s="117">
        <f t="shared" ca="1" si="31"/>
        <v>254</v>
      </c>
      <c r="E272" s="117" t="str">
        <f t="shared" ca="1" si="31"/>
        <v>10.188.191.0</v>
      </c>
      <c r="F272" s="117" t="str">
        <f t="shared" ca="1" si="31"/>
        <v>10.188.191.255</v>
      </c>
      <c r="G272" s="117" t="str">
        <f t="shared" ca="1" si="31"/>
        <v>10.188.191.1</v>
      </c>
      <c r="H272" s="117" t="str">
        <f t="shared" ca="1" si="31"/>
        <v>10.188.191.254</v>
      </c>
      <c r="I272" s="121" t="str">
        <f t="shared" ref="I272:I282" ca="1" si="33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10.188.191.012</v>
      </c>
      <c r="J272" s="119" t="str">
        <f t="shared" ca="1" si="32"/>
        <v>191</v>
      </c>
      <c r="K272" s="113" t="s">
        <v>535</v>
      </c>
      <c r="L272" s="114"/>
      <c r="M272" s="114" t="s">
        <v>454</v>
      </c>
      <c r="N272" s="114" t="s">
        <v>446</v>
      </c>
      <c r="O272" s="114"/>
    </row>
    <row r="273" spans="1:15" x14ac:dyDescent="0.25">
      <c r="A273" s="116" t="str">
        <f t="shared" ca="1" si="31"/>
        <v>10.188.191.0</v>
      </c>
      <c r="B273" s="117">
        <f t="shared" ca="1" si="31"/>
        <v>24</v>
      </c>
      <c r="C273" s="117" t="str">
        <f t="shared" ca="1" si="31"/>
        <v>255.255.255.0</v>
      </c>
      <c r="D273" s="117">
        <f t="shared" ca="1" si="31"/>
        <v>254</v>
      </c>
      <c r="E273" s="117" t="str">
        <f t="shared" ca="1" si="31"/>
        <v>10.188.191.0</v>
      </c>
      <c r="F273" s="117" t="str">
        <f t="shared" ca="1" si="31"/>
        <v>10.188.191.255</v>
      </c>
      <c r="G273" s="117" t="str">
        <f t="shared" ca="1" si="31"/>
        <v>10.188.191.1</v>
      </c>
      <c r="H273" s="117" t="str">
        <f t="shared" ca="1" si="31"/>
        <v>10.188.191.254</v>
      </c>
      <c r="I273" s="121" t="str">
        <f t="shared" ca="1" si="33"/>
        <v>10.188.191.013</v>
      </c>
      <c r="J273" s="119" t="str">
        <f t="shared" ca="1" si="32"/>
        <v>191</v>
      </c>
      <c r="K273" s="113" t="s">
        <v>530</v>
      </c>
      <c r="L273" s="114"/>
      <c r="M273" s="114" t="s">
        <v>454</v>
      </c>
      <c r="N273" s="114" t="s">
        <v>446</v>
      </c>
      <c r="O273" s="114"/>
    </row>
    <row r="274" spans="1:15" x14ac:dyDescent="0.25">
      <c r="A274" s="116" t="str">
        <f t="shared" ca="1" si="31"/>
        <v>10.188.191.0</v>
      </c>
      <c r="B274" s="117">
        <f t="shared" ca="1" si="31"/>
        <v>24</v>
      </c>
      <c r="C274" s="117" t="str">
        <f t="shared" ca="1" si="31"/>
        <v>255.255.255.0</v>
      </c>
      <c r="D274" s="117">
        <f t="shared" ca="1" si="31"/>
        <v>254</v>
      </c>
      <c r="E274" s="117" t="str">
        <f t="shared" ca="1" si="31"/>
        <v>10.188.191.0</v>
      </c>
      <c r="F274" s="117" t="str">
        <f t="shared" ca="1" si="31"/>
        <v>10.188.191.255</v>
      </c>
      <c r="G274" s="117" t="str">
        <f t="shared" ca="1" si="31"/>
        <v>10.188.191.1</v>
      </c>
      <c r="H274" s="117" t="str">
        <f t="shared" ca="1" si="31"/>
        <v>10.188.191.254</v>
      </c>
      <c r="I274" s="121" t="str">
        <f t="shared" ca="1" si="33"/>
        <v>10.188.191.014</v>
      </c>
      <c r="J274" s="119" t="str">
        <f t="shared" ca="1" si="32"/>
        <v>191</v>
      </c>
      <c r="K274" s="113" t="s">
        <v>536</v>
      </c>
      <c r="L274" s="114"/>
      <c r="M274" s="114" t="s">
        <v>454</v>
      </c>
      <c r="N274" s="114" t="s">
        <v>446</v>
      </c>
      <c r="O274" s="114"/>
    </row>
    <row r="275" spans="1:15" x14ac:dyDescent="0.25">
      <c r="A275" s="116" t="str">
        <f t="shared" ca="1" si="31"/>
        <v>10.188.191.0</v>
      </c>
      <c r="B275" s="117">
        <f t="shared" ca="1" si="31"/>
        <v>24</v>
      </c>
      <c r="C275" s="117" t="str">
        <f t="shared" ca="1" si="31"/>
        <v>255.255.255.0</v>
      </c>
      <c r="D275" s="117">
        <f t="shared" ca="1" si="31"/>
        <v>254</v>
      </c>
      <c r="E275" s="117" t="str">
        <f t="shared" ca="1" si="31"/>
        <v>10.188.191.0</v>
      </c>
      <c r="F275" s="117" t="str">
        <f t="shared" ca="1" si="31"/>
        <v>10.188.191.255</v>
      </c>
      <c r="G275" s="117" t="str">
        <f t="shared" ca="1" si="31"/>
        <v>10.188.191.1</v>
      </c>
      <c r="H275" s="117" t="str">
        <f t="shared" ca="1" si="31"/>
        <v>10.188.191.254</v>
      </c>
      <c r="I275" s="121" t="str">
        <f t="shared" ca="1" si="33"/>
        <v>10.188.191.015</v>
      </c>
      <c r="J275" s="119" t="str">
        <f t="shared" ca="1" si="32"/>
        <v>191</v>
      </c>
      <c r="K275" s="113" t="s">
        <v>531</v>
      </c>
      <c r="L275" s="114"/>
      <c r="M275" s="114" t="s">
        <v>454</v>
      </c>
      <c r="N275" s="114" t="s">
        <v>446</v>
      </c>
      <c r="O275" s="114"/>
    </row>
    <row r="276" spans="1:15" x14ac:dyDescent="0.25">
      <c r="A276" s="116" t="str">
        <f t="shared" ca="1" si="31"/>
        <v>10.188.191.0</v>
      </c>
      <c r="B276" s="117">
        <f t="shared" ca="1" si="31"/>
        <v>24</v>
      </c>
      <c r="C276" s="117" t="str">
        <f t="shared" ca="1" si="31"/>
        <v>255.255.255.0</v>
      </c>
      <c r="D276" s="117">
        <f t="shared" ca="1" si="31"/>
        <v>254</v>
      </c>
      <c r="E276" s="117" t="str">
        <f t="shared" ca="1" si="31"/>
        <v>10.188.191.0</v>
      </c>
      <c r="F276" s="117" t="str">
        <f t="shared" ca="1" si="31"/>
        <v>10.188.191.255</v>
      </c>
      <c r="G276" s="117" t="str">
        <f t="shared" ca="1" si="31"/>
        <v>10.188.191.1</v>
      </c>
      <c r="H276" s="117" t="str">
        <f t="shared" ca="1" si="31"/>
        <v>10.188.191.254</v>
      </c>
      <c r="I276" s="121" t="str">
        <f t="shared" ca="1" si="33"/>
        <v>10.188.191.016</v>
      </c>
      <c r="J276" s="119" t="str">
        <f t="shared" ca="1" si="32"/>
        <v>191</v>
      </c>
      <c r="K276" s="113" t="s">
        <v>537</v>
      </c>
      <c r="L276" s="114"/>
      <c r="M276" s="114" t="s">
        <v>454</v>
      </c>
      <c r="N276" s="114" t="s">
        <v>446</v>
      </c>
      <c r="O276" s="114"/>
    </row>
    <row r="277" spans="1:15" x14ac:dyDescent="0.25">
      <c r="A277" s="116" t="str">
        <f t="shared" ca="1" si="31"/>
        <v>10.188.191.0</v>
      </c>
      <c r="B277" s="117">
        <f t="shared" ca="1" si="31"/>
        <v>24</v>
      </c>
      <c r="C277" s="117" t="str">
        <f t="shared" ca="1" si="31"/>
        <v>255.255.255.0</v>
      </c>
      <c r="D277" s="117">
        <f t="shared" ca="1" si="31"/>
        <v>254</v>
      </c>
      <c r="E277" s="117" t="str">
        <f t="shared" ca="1" si="31"/>
        <v>10.188.191.0</v>
      </c>
      <c r="F277" s="117" t="str">
        <f t="shared" ca="1" si="31"/>
        <v>10.188.191.255</v>
      </c>
      <c r="G277" s="117" t="str">
        <f t="shared" ca="1" si="31"/>
        <v>10.188.191.1</v>
      </c>
      <c r="H277" s="117" t="str">
        <f t="shared" ca="1" si="31"/>
        <v>10.188.191.254</v>
      </c>
      <c r="I277" s="121" t="str">
        <f t="shared" ca="1" si="33"/>
        <v>10.188.191.017</v>
      </c>
      <c r="J277" s="119" t="str">
        <f t="shared" ca="1" si="32"/>
        <v>191</v>
      </c>
      <c r="K277" s="113" t="s">
        <v>532</v>
      </c>
      <c r="L277" s="114"/>
      <c r="M277" s="114" t="s">
        <v>454</v>
      </c>
      <c r="N277" s="114" t="s">
        <v>446</v>
      </c>
      <c r="O277" s="114"/>
    </row>
    <row r="278" spans="1:15" x14ac:dyDescent="0.25">
      <c r="A278" s="116" t="str">
        <f t="shared" ca="1" si="31"/>
        <v>10.188.191.0</v>
      </c>
      <c r="B278" s="117">
        <f t="shared" ca="1" si="31"/>
        <v>24</v>
      </c>
      <c r="C278" s="117" t="str">
        <f t="shared" ca="1" si="31"/>
        <v>255.255.255.0</v>
      </c>
      <c r="D278" s="117">
        <f t="shared" ca="1" si="31"/>
        <v>254</v>
      </c>
      <c r="E278" s="117" t="str">
        <f t="shared" ca="1" si="31"/>
        <v>10.188.191.0</v>
      </c>
      <c r="F278" s="117" t="str">
        <f t="shared" ca="1" si="31"/>
        <v>10.188.191.255</v>
      </c>
      <c r="G278" s="117" t="str">
        <f t="shared" ca="1" si="31"/>
        <v>10.188.191.1</v>
      </c>
      <c r="H278" s="117" t="str">
        <f t="shared" ca="1" si="31"/>
        <v>10.188.191.254</v>
      </c>
      <c r="I278" s="121" t="str">
        <f t="shared" ca="1" si="33"/>
        <v>10.188.191.018</v>
      </c>
      <c r="J278" s="119" t="str">
        <f t="shared" ca="1" si="32"/>
        <v>191</v>
      </c>
      <c r="K278" s="113" t="s">
        <v>538</v>
      </c>
      <c r="L278" s="114"/>
      <c r="M278" s="114" t="s">
        <v>454</v>
      </c>
      <c r="N278" s="114" t="s">
        <v>446</v>
      </c>
      <c r="O278" s="114"/>
    </row>
    <row r="279" spans="1:15" x14ac:dyDescent="0.25">
      <c r="A279" s="116" t="str">
        <f t="shared" ca="1" si="31"/>
        <v>10.188.191.0</v>
      </c>
      <c r="B279" s="117">
        <f t="shared" ca="1" si="31"/>
        <v>24</v>
      </c>
      <c r="C279" s="117" t="str">
        <f t="shared" ca="1" si="31"/>
        <v>255.255.255.0</v>
      </c>
      <c r="D279" s="117">
        <f t="shared" ca="1" si="31"/>
        <v>254</v>
      </c>
      <c r="E279" s="117" t="str">
        <f t="shared" ca="1" si="31"/>
        <v>10.188.191.0</v>
      </c>
      <c r="F279" s="117" t="str">
        <f t="shared" ca="1" si="31"/>
        <v>10.188.191.255</v>
      </c>
      <c r="G279" s="117" t="str">
        <f t="shared" ca="1" si="31"/>
        <v>10.188.191.1</v>
      </c>
      <c r="H279" s="117" t="str">
        <f t="shared" ca="1" si="31"/>
        <v>10.188.191.254</v>
      </c>
      <c r="I279" s="121" t="str">
        <f t="shared" ca="1" si="33"/>
        <v>10.188.191.019</v>
      </c>
      <c r="J279" s="119" t="str">
        <f t="shared" ca="1" si="32"/>
        <v>191</v>
      </c>
      <c r="K279" s="113" t="s">
        <v>533</v>
      </c>
      <c r="L279" s="114"/>
      <c r="M279" s="114" t="s">
        <v>454</v>
      </c>
      <c r="N279" s="114" t="s">
        <v>446</v>
      </c>
      <c r="O279" s="114"/>
    </row>
    <row r="280" spans="1:15" x14ac:dyDescent="0.25">
      <c r="A280" s="116" t="str">
        <f t="shared" ca="1" si="31"/>
        <v>10.188.191.0</v>
      </c>
      <c r="B280" s="117">
        <f t="shared" ca="1" si="31"/>
        <v>24</v>
      </c>
      <c r="C280" s="117" t="str">
        <f t="shared" ca="1" si="31"/>
        <v>255.255.255.0</v>
      </c>
      <c r="D280" s="117">
        <f t="shared" ca="1" si="31"/>
        <v>254</v>
      </c>
      <c r="E280" s="117" t="str">
        <f t="shared" ca="1" si="31"/>
        <v>10.188.191.0</v>
      </c>
      <c r="F280" s="117" t="str">
        <f t="shared" ca="1" si="31"/>
        <v>10.188.191.255</v>
      </c>
      <c r="G280" s="117" t="str">
        <f t="shared" ca="1" si="31"/>
        <v>10.188.191.1</v>
      </c>
      <c r="H280" s="117" t="str">
        <f t="shared" ca="1" si="31"/>
        <v>10.188.191.254</v>
      </c>
      <c r="I280" s="121" t="str">
        <f t="shared" ca="1" si="33"/>
        <v>10.188.191.020</v>
      </c>
      <c r="J280" s="119" t="str">
        <f t="shared" ca="1" si="32"/>
        <v>191</v>
      </c>
      <c r="K280" s="113" t="s">
        <v>539</v>
      </c>
      <c r="L280" s="114"/>
      <c r="M280" s="114" t="s">
        <v>454</v>
      </c>
      <c r="N280" s="114" t="s">
        <v>446</v>
      </c>
      <c r="O280" s="114"/>
    </row>
    <row r="281" spans="1:15" x14ac:dyDescent="0.25">
      <c r="A281" s="116" t="str">
        <f t="shared" ca="1" si="31"/>
        <v>10.188.191.0</v>
      </c>
      <c r="B281" s="117">
        <f t="shared" ca="1" si="31"/>
        <v>24</v>
      </c>
      <c r="C281" s="117" t="str">
        <f t="shared" ca="1" si="31"/>
        <v>255.255.255.0</v>
      </c>
      <c r="D281" s="117">
        <f t="shared" ca="1" si="31"/>
        <v>254</v>
      </c>
      <c r="E281" s="117" t="str">
        <f t="shared" ca="1" si="31"/>
        <v>10.188.191.0</v>
      </c>
      <c r="F281" s="117" t="str">
        <f t="shared" ca="1" si="31"/>
        <v>10.188.191.255</v>
      </c>
      <c r="G281" s="117" t="str">
        <f t="shared" ca="1" si="31"/>
        <v>10.188.191.1</v>
      </c>
      <c r="H281" s="117" t="str">
        <f t="shared" ca="1" si="31"/>
        <v>10.188.191.254</v>
      </c>
      <c r="I281" s="121" t="str">
        <f t="shared" ca="1" si="33"/>
        <v>10.188.191.021</v>
      </c>
      <c r="J281" s="119" t="str">
        <f t="shared" ca="1" si="32"/>
        <v>191</v>
      </c>
      <c r="K281" s="113" t="s">
        <v>534</v>
      </c>
      <c r="L281" s="114"/>
      <c r="M281" s="114" t="s">
        <v>454</v>
      </c>
      <c r="N281" s="114" t="s">
        <v>446</v>
      </c>
      <c r="O281" s="114"/>
    </row>
    <row r="282" spans="1:15" x14ac:dyDescent="0.25">
      <c r="A282" s="116" t="str">
        <f t="shared" ca="1" si="31"/>
        <v>10.188.191.0</v>
      </c>
      <c r="B282" s="117">
        <f t="shared" ca="1" si="31"/>
        <v>24</v>
      </c>
      <c r="C282" s="117" t="str">
        <f t="shared" ca="1" si="31"/>
        <v>255.255.255.0</v>
      </c>
      <c r="D282" s="117">
        <f t="shared" ca="1" si="31"/>
        <v>254</v>
      </c>
      <c r="E282" s="117" t="str">
        <f t="shared" ca="1" si="31"/>
        <v>10.188.191.0</v>
      </c>
      <c r="F282" s="117" t="str">
        <f t="shared" ca="1" si="31"/>
        <v>10.188.191.255</v>
      </c>
      <c r="G282" s="117" t="str">
        <f t="shared" ca="1" si="31"/>
        <v>10.188.191.1</v>
      </c>
      <c r="H282" s="117" t="str">
        <f t="shared" ca="1" si="31"/>
        <v>10.188.191.254</v>
      </c>
      <c r="I282" s="121" t="str">
        <f t="shared" ca="1" si="33"/>
        <v>10.188.191.022</v>
      </c>
      <c r="J282" s="119" t="str">
        <f t="shared" ca="1" si="32"/>
        <v>191</v>
      </c>
      <c r="K282" s="113" t="s">
        <v>540</v>
      </c>
      <c r="L282" s="114"/>
      <c r="M282" s="114" t="s">
        <v>454</v>
      </c>
      <c r="N282" s="114" t="s">
        <v>446</v>
      </c>
      <c r="O282" s="114"/>
    </row>
    <row r="283" spans="1:15" x14ac:dyDescent="0.25">
      <c r="A283" s="116" t="str">
        <f t="shared" ca="1" si="31"/>
        <v>10.188.191.0</v>
      </c>
      <c r="B283" s="117">
        <f t="shared" ca="1" si="31"/>
        <v>24</v>
      </c>
      <c r="C283" s="117" t="str">
        <f t="shared" ca="1" si="31"/>
        <v>255.255.255.0</v>
      </c>
      <c r="D283" s="117">
        <f t="shared" ca="1" si="31"/>
        <v>254</v>
      </c>
      <c r="E283" s="117" t="str">
        <f t="shared" ca="1" si="31"/>
        <v>10.188.191.0</v>
      </c>
      <c r="F283" s="117" t="str">
        <f t="shared" ca="1" si="31"/>
        <v>10.188.191.255</v>
      </c>
      <c r="G283" s="117" t="str">
        <f t="shared" ca="1" si="31"/>
        <v>10.188.191.1</v>
      </c>
      <c r="H283" s="117" t="str">
        <f t="shared" ca="1" si="31"/>
        <v>10.188.191.254</v>
      </c>
      <c r="I283" s="121"/>
      <c r="J283" s="119" t="str">
        <f t="shared" ca="1" si="32"/>
        <v>191</v>
      </c>
      <c r="K283" s="113"/>
      <c r="L283" s="114"/>
      <c r="M283" s="114"/>
      <c r="N283" s="114"/>
      <c r="O283" s="114"/>
    </row>
    <row r="284" spans="1:15" x14ac:dyDescent="0.25">
      <c r="A284" s="116" t="str">
        <f t="shared" ca="1" si="31"/>
        <v>10.188.191.0</v>
      </c>
      <c r="B284" s="117">
        <f t="shared" ca="1" si="31"/>
        <v>24</v>
      </c>
      <c r="C284" s="117" t="str">
        <f t="shared" ca="1" si="31"/>
        <v>255.255.255.0</v>
      </c>
      <c r="D284" s="117">
        <f t="shared" ca="1" si="31"/>
        <v>254</v>
      </c>
      <c r="E284" s="117" t="str">
        <f t="shared" ca="1" si="31"/>
        <v>10.188.191.0</v>
      </c>
      <c r="F284" s="117" t="str">
        <f t="shared" ca="1" si="31"/>
        <v>10.188.191.255</v>
      </c>
      <c r="G284" s="117" t="str">
        <f t="shared" ca="1" si="31"/>
        <v>10.188.191.1</v>
      </c>
      <c r="H284" s="117" t="str">
        <f t="shared" ca="1" si="31"/>
        <v>10.188.191.254</v>
      </c>
      <c r="I284" s="120" t="str">
        <f ca="1">IFERROR((LEFT(A283,FIND("~",SUBSTITUTE(A283,".","~",LEN(A283)-LEN(SUBSTITUTE(A283,".",""))))))&amp;TEXT(RIGHT(A283,LEN(A283)-FIND("~",SUBSTITUTE(A283,".","~",LEN(A283)-LEN(SUBSTITUTE(A283,".","")))))+31,"000"),"")</f>
        <v>10.188.191.031</v>
      </c>
      <c r="J284" s="119" t="str">
        <f t="shared" ca="1" si="32"/>
        <v>191</v>
      </c>
      <c r="K284" s="113" t="s">
        <v>488</v>
      </c>
      <c r="L284" s="114"/>
      <c r="M284" s="114" t="s">
        <v>455</v>
      </c>
      <c r="N284" s="114" t="s">
        <v>446</v>
      </c>
      <c r="O284" s="114"/>
    </row>
    <row r="285" spans="1:15" x14ac:dyDescent="0.25">
      <c r="A285" s="116" t="str">
        <f t="shared" ca="1" si="31"/>
        <v>10.188.191.0</v>
      </c>
      <c r="B285" s="117">
        <f t="shared" ca="1" si="31"/>
        <v>24</v>
      </c>
      <c r="C285" s="117" t="str">
        <f t="shared" ca="1" si="31"/>
        <v>255.255.255.0</v>
      </c>
      <c r="D285" s="117">
        <f t="shared" ca="1" si="31"/>
        <v>254</v>
      </c>
      <c r="E285" s="117" t="str">
        <f t="shared" ca="1" si="31"/>
        <v>10.188.191.0</v>
      </c>
      <c r="F285" s="117" t="str">
        <f t="shared" ca="1" si="31"/>
        <v>10.188.191.255</v>
      </c>
      <c r="G285" s="117" t="str">
        <f t="shared" ca="1" si="31"/>
        <v>10.188.191.1</v>
      </c>
      <c r="H285" s="117" t="str">
        <f t="shared" ca="1" si="31"/>
        <v>10.188.191.254</v>
      </c>
      <c r="I285" s="121" t="str">
        <f t="shared" ref="I285:I290" ca="1" si="34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10.188.191.032</v>
      </c>
      <c r="J285" s="119" t="str">
        <f t="shared" ca="1" si="32"/>
        <v>191</v>
      </c>
      <c r="K285" s="113" t="s">
        <v>609</v>
      </c>
      <c r="L285" s="114"/>
      <c r="M285" s="114" t="s">
        <v>455</v>
      </c>
      <c r="N285" s="114" t="s">
        <v>446</v>
      </c>
      <c r="O285" s="114"/>
    </row>
    <row r="286" spans="1:15" x14ac:dyDescent="0.25">
      <c r="A286" s="116" t="str">
        <f t="shared" ref="A286:H306" ca="1" si="35">INDIRECT("R[-1]",FALSE)</f>
        <v>10.188.191.0</v>
      </c>
      <c r="B286" s="117">
        <f t="shared" ca="1" si="35"/>
        <v>24</v>
      </c>
      <c r="C286" s="117" t="str">
        <f t="shared" ca="1" si="35"/>
        <v>255.255.255.0</v>
      </c>
      <c r="D286" s="117">
        <f t="shared" ca="1" si="35"/>
        <v>254</v>
      </c>
      <c r="E286" s="117" t="str">
        <f t="shared" ca="1" si="35"/>
        <v>10.188.191.0</v>
      </c>
      <c r="F286" s="117" t="str">
        <f t="shared" ca="1" si="35"/>
        <v>10.188.191.255</v>
      </c>
      <c r="G286" s="117" t="str">
        <f t="shared" ca="1" si="35"/>
        <v>10.188.191.1</v>
      </c>
      <c r="H286" s="117" t="str">
        <f t="shared" ca="1" si="35"/>
        <v>10.188.191.254</v>
      </c>
      <c r="I286" s="121" t="str">
        <f t="shared" ca="1" si="34"/>
        <v>10.188.191.033</v>
      </c>
      <c r="J286" s="119" t="str">
        <f t="shared" ca="1" si="32"/>
        <v>191</v>
      </c>
      <c r="K286" s="113" t="s">
        <v>489</v>
      </c>
      <c r="L286" s="114"/>
      <c r="M286" s="114" t="s">
        <v>455</v>
      </c>
      <c r="N286" s="114" t="s">
        <v>446</v>
      </c>
      <c r="O286" s="114"/>
    </row>
    <row r="287" spans="1:15" x14ac:dyDescent="0.25">
      <c r="A287" s="116" t="str">
        <f t="shared" ca="1" si="35"/>
        <v>10.188.191.0</v>
      </c>
      <c r="B287" s="117">
        <f t="shared" ca="1" si="35"/>
        <v>24</v>
      </c>
      <c r="C287" s="117" t="str">
        <f t="shared" ca="1" si="35"/>
        <v>255.255.255.0</v>
      </c>
      <c r="D287" s="117">
        <f t="shared" ca="1" si="35"/>
        <v>254</v>
      </c>
      <c r="E287" s="117" t="str">
        <f t="shared" ca="1" si="35"/>
        <v>10.188.191.0</v>
      </c>
      <c r="F287" s="117" t="str">
        <f t="shared" ca="1" si="35"/>
        <v>10.188.191.255</v>
      </c>
      <c r="G287" s="117" t="str">
        <f t="shared" ca="1" si="35"/>
        <v>10.188.191.1</v>
      </c>
      <c r="H287" s="117" t="str">
        <f t="shared" ca="1" si="35"/>
        <v>10.188.191.254</v>
      </c>
      <c r="I287" s="121" t="str">
        <f t="shared" ca="1" si="34"/>
        <v>10.188.191.034</v>
      </c>
      <c r="J287" s="119" t="str">
        <f t="shared" ca="1" si="32"/>
        <v>191</v>
      </c>
      <c r="K287" s="113" t="s">
        <v>695</v>
      </c>
      <c r="L287" s="114"/>
      <c r="M287" s="114" t="s">
        <v>455</v>
      </c>
      <c r="N287" s="114" t="s">
        <v>446</v>
      </c>
      <c r="O287" s="114"/>
    </row>
    <row r="288" spans="1:15" x14ac:dyDescent="0.25">
      <c r="A288" s="116" t="str">
        <f t="shared" ca="1" si="35"/>
        <v>10.188.191.0</v>
      </c>
      <c r="B288" s="117">
        <f t="shared" ca="1" si="35"/>
        <v>24</v>
      </c>
      <c r="C288" s="117" t="str">
        <f t="shared" ca="1" si="35"/>
        <v>255.255.255.0</v>
      </c>
      <c r="D288" s="117">
        <f t="shared" ca="1" si="35"/>
        <v>254</v>
      </c>
      <c r="E288" s="117" t="str">
        <f t="shared" ca="1" si="35"/>
        <v>10.188.191.0</v>
      </c>
      <c r="F288" s="117" t="str">
        <f t="shared" ca="1" si="35"/>
        <v>10.188.191.255</v>
      </c>
      <c r="G288" s="117" t="str">
        <f t="shared" ca="1" si="35"/>
        <v>10.188.191.1</v>
      </c>
      <c r="H288" s="117" t="str">
        <f t="shared" ca="1" si="35"/>
        <v>10.188.191.254</v>
      </c>
      <c r="I288" s="121" t="str">
        <f t="shared" ca="1" si="34"/>
        <v>10.188.191.035</v>
      </c>
      <c r="J288" s="119" t="str">
        <f t="shared" ca="1" si="32"/>
        <v>191</v>
      </c>
      <c r="K288" s="113" t="s">
        <v>737</v>
      </c>
      <c r="L288" s="114"/>
      <c r="M288" s="114" t="s">
        <v>455</v>
      </c>
      <c r="N288" s="114" t="s">
        <v>446</v>
      </c>
      <c r="O288" s="114"/>
    </row>
    <row r="289" spans="1:15" x14ac:dyDescent="0.25">
      <c r="A289" s="116" t="str">
        <f t="shared" ca="1" si="35"/>
        <v>10.188.191.0</v>
      </c>
      <c r="B289" s="117">
        <f t="shared" ca="1" si="35"/>
        <v>24</v>
      </c>
      <c r="C289" s="117" t="str">
        <f t="shared" ca="1" si="35"/>
        <v>255.255.255.0</v>
      </c>
      <c r="D289" s="117">
        <f t="shared" ca="1" si="35"/>
        <v>254</v>
      </c>
      <c r="E289" s="117" t="str">
        <f t="shared" ca="1" si="35"/>
        <v>10.188.191.0</v>
      </c>
      <c r="F289" s="117" t="str">
        <f t="shared" ca="1" si="35"/>
        <v>10.188.191.255</v>
      </c>
      <c r="G289" s="117" t="str">
        <f t="shared" ca="1" si="35"/>
        <v>10.188.191.1</v>
      </c>
      <c r="H289" s="117" t="str">
        <f t="shared" ca="1" si="35"/>
        <v>10.188.191.254</v>
      </c>
      <c r="I289" s="121" t="str">
        <f t="shared" ca="1" si="34"/>
        <v>10.188.191.036</v>
      </c>
      <c r="J289" s="119" t="str">
        <f t="shared" ca="1" si="32"/>
        <v>191</v>
      </c>
      <c r="K289" s="113" t="s">
        <v>490</v>
      </c>
      <c r="L289" s="114"/>
      <c r="M289" s="114" t="s">
        <v>455</v>
      </c>
      <c r="N289" s="114" t="s">
        <v>446</v>
      </c>
      <c r="O289" s="114"/>
    </row>
    <row r="290" spans="1:15" x14ac:dyDescent="0.25">
      <c r="A290" s="116" t="str">
        <f t="shared" ca="1" si="35"/>
        <v>10.188.191.0</v>
      </c>
      <c r="B290" s="117">
        <f t="shared" ca="1" si="35"/>
        <v>24</v>
      </c>
      <c r="C290" s="117" t="str">
        <f t="shared" ca="1" si="35"/>
        <v>255.255.255.0</v>
      </c>
      <c r="D290" s="117">
        <f t="shared" ca="1" si="35"/>
        <v>254</v>
      </c>
      <c r="E290" s="117" t="str">
        <f t="shared" ca="1" si="35"/>
        <v>10.188.191.0</v>
      </c>
      <c r="F290" s="117" t="str">
        <f t="shared" ca="1" si="35"/>
        <v>10.188.191.255</v>
      </c>
      <c r="G290" s="117" t="str">
        <f t="shared" ca="1" si="35"/>
        <v>10.188.191.1</v>
      </c>
      <c r="H290" s="117" t="str">
        <f t="shared" ca="1" si="35"/>
        <v>10.188.191.254</v>
      </c>
      <c r="I290" s="121" t="str">
        <f t="shared" ca="1" si="34"/>
        <v>10.188.191.037</v>
      </c>
      <c r="J290" s="119" t="str">
        <f t="shared" ca="1" si="32"/>
        <v>191</v>
      </c>
      <c r="K290" s="113" t="s">
        <v>784</v>
      </c>
      <c r="L290" s="114"/>
      <c r="M290" s="114" t="s">
        <v>455</v>
      </c>
      <c r="N290" s="114" t="s">
        <v>446</v>
      </c>
      <c r="O290" s="114"/>
    </row>
    <row r="291" spans="1:15" x14ac:dyDescent="0.25">
      <c r="A291" s="116" t="str">
        <f t="shared" ca="1" si="35"/>
        <v>10.188.191.0</v>
      </c>
      <c r="B291" s="117">
        <f t="shared" ca="1" si="35"/>
        <v>24</v>
      </c>
      <c r="C291" s="117" t="str">
        <f t="shared" ca="1" si="35"/>
        <v>255.255.255.0</v>
      </c>
      <c r="D291" s="117">
        <f t="shared" ca="1" si="35"/>
        <v>254</v>
      </c>
      <c r="E291" s="117" t="str">
        <f t="shared" ca="1" si="35"/>
        <v>10.188.191.0</v>
      </c>
      <c r="F291" s="117" t="str">
        <f t="shared" ca="1" si="35"/>
        <v>10.188.191.255</v>
      </c>
      <c r="G291" s="117" t="str">
        <f t="shared" ca="1" si="35"/>
        <v>10.188.191.1</v>
      </c>
      <c r="H291" s="117" t="str">
        <f t="shared" ca="1" si="35"/>
        <v>10.188.191.254</v>
      </c>
      <c r="I291" s="121"/>
      <c r="J291" s="119" t="str">
        <f t="shared" ca="1" si="32"/>
        <v>191</v>
      </c>
      <c r="K291" s="113"/>
      <c r="L291" s="114"/>
      <c r="M291" s="114"/>
      <c r="N291" s="114"/>
      <c r="O291" s="114"/>
    </row>
    <row r="292" spans="1:15" x14ac:dyDescent="0.25">
      <c r="A292" s="116" t="str">
        <f t="shared" ca="1" si="35"/>
        <v>10.188.191.0</v>
      </c>
      <c r="B292" s="117">
        <f t="shared" ca="1" si="35"/>
        <v>24</v>
      </c>
      <c r="C292" s="117" t="str">
        <f t="shared" ca="1" si="35"/>
        <v>255.255.255.0</v>
      </c>
      <c r="D292" s="117">
        <f t="shared" ca="1" si="35"/>
        <v>254</v>
      </c>
      <c r="E292" s="117" t="str">
        <f t="shared" ca="1" si="35"/>
        <v>10.188.191.0</v>
      </c>
      <c r="F292" s="117" t="str">
        <f t="shared" ca="1" si="35"/>
        <v>10.188.191.255</v>
      </c>
      <c r="G292" s="117" t="str">
        <f t="shared" ca="1" si="35"/>
        <v>10.188.191.1</v>
      </c>
      <c r="H292" s="117" t="str">
        <f t="shared" ca="1" si="35"/>
        <v>10.188.191.254</v>
      </c>
      <c r="I292" s="120" t="str">
        <f ca="1">IFERROR((LEFT(A291,FIND("~",SUBSTITUTE(A291,".","~",LEN(A291)-LEN(SUBSTITUTE(A291,".",""))))))&amp;TEXT(RIGHT(A291,LEN(A291)-FIND("~",SUBSTITUTE(A291,".","~",LEN(A291)-LEN(SUBSTITUTE(A291,".","")))))+61,"000"),"")</f>
        <v>10.188.191.061</v>
      </c>
      <c r="J292" s="119" t="str">
        <f t="shared" ca="1" si="32"/>
        <v>191</v>
      </c>
      <c r="K292" s="113" t="s">
        <v>541</v>
      </c>
      <c r="L292" s="114" t="s">
        <v>126</v>
      </c>
      <c r="M292" s="114" t="s">
        <v>456</v>
      </c>
      <c r="N292" s="114" t="s">
        <v>446</v>
      </c>
      <c r="O292" s="114"/>
    </row>
    <row r="293" spans="1:15" x14ac:dyDescent="0.25">
      <c r="A293" s="116" t="str">
        <f t="shared" ca="1" si="35"/>
        <v>10.188.191.0</v>
      </c>
      <c r="B293" s="117">
        <f t="shared" ca="1" si="35"/>
        <v>24</v>
      </c>
      <c r="C293" s="117" t="str">
        <f t="shared" ca="1" si="35"/>
        <v>255.255.255.0</v>
      </c>
      <c r="D293" s="117">
        <f t="shared" ca="1" si="35"/>
        <v>254</v>
      </c>
      <c r="E293" s="117" t="str">
        <f t="shared" ca="1" si="35"/>
        <v>10.188.191.0</v>
      </c>
      <c r="F293" s="117" t="str">
        <f t="shared" ca="1" si="35"/>
        <v>10.188.191.255</v>
      </c>
      <c r="G293" s="117" t="str">
        <f t="shared" ca="1" si="35"/>
        <v>10.188.191.1</v>
      </c>
      <c r="H293" s="117" t="str">
        <f t="shared" ca="1" si="35"/>
        <v>10.188.191.254</v>
      </c>
      <c r="I293" s="121" t="str">
        <f t="shared" ref="I293:I299" ca="1" si="36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10.188.191.062</v>
      </c>
      <c r="J293" s="119" t="str">
        <f t="shared" ca="1" si="32"/>
        <v>191</v>
      </c>
      <c r="K293" s="113" t="s">
        <v>827</v>
      </c>
      <c r="L293" s="114" t="s">
        <v>126</v>
      </c>
      <c r="M293" s="114" t="s">
        <v>457</v>
      </c>
      <c r="N293" s="114" t="s">
        <v>446</v>
      </c>
      <c r="O293" s="114"/>
    </row>
    <row r="294" spans="1:15" x14ac:dyDescent="0.25">
      <c r="A294" s="116" t="str">
        <f t="shared" ca="1" si="35"/>
        <v>10.188.191.0</v>
      </c>
      <c r="B294" s="117">
        <f t="shared" ca="1" si="35"/>
        <v>24</v>
      </c>
      <c r="C294" s="117" t="str">
        <f t="shared" ca="1" si="35"/>
        <v>255.255.255.0</v>
      </c>
      <c r="D294" s="117">
        <f t="shared" ca="1" si="35"/>
        <v>254</v>
      </c>
      <c r="E294" s="117" t="str">
        <f t="shared" ca="1" si="35"/>
        <v>10.188.191.0</v>
      </c>
      <c r="F294" s="117" t="str">
        <f t="shared" ca="1" si="35"/>
        <v>10.188.191.255</v>
      </c>
      <c r="G294" s="117" t="str">
        <f t="shared" ca="1" si="35"/>
        <v>10.188.191.1</v>
      </c>
      <c r="H294" s="117" t="str">
        <f t="shared" ca="1" si="35"/>
        <v>10.188.191.254</v>
      </c>
      <c r="I294" s="121" t="str">
        <f t="shared" ca="1" si="36"/>
        <v>10.188.191.063</v>
      </c>
      <c r="J294" s="119" t="str">
        <f t="shared" ca="1" si="32"/>
        <v>191</v>
      </c>
      <c r="K294" s="113" t="s">
        <v>829</v>
      </c>
      <c r="L294" s="114" t="s">
        <v>126</v>
      </c>
      <c r="M294" s="114" t="s">
        <v>458</v>
      </c>
      <c r="N294" s="114" t="s">
        <v>446</v>
      </c>
      <c r="O294" s="114"/>
    </row>
    <row r="295" spans="1:15" x14ac:dyDescent="0.25">
      <c r="A295" s="116" t="str">
        <f t="shared" ca="1" si="35"/>
        <v>10.188.191.0</v>
      </c>
      <c r="B295" s="117">
        <f t="shared" ca="1" si="35"/>
        <v>24</v>
      </c>
      <c r="C295" s="117" t="str">
        <f t="shared" ca="1" si="35"/>
        <v>255.255.255.0</v>
      </c>
      <c r="D295" s="117">
        <f t="shared" ca="1" si="35"/>
        <v>254</v>
      </c>
      <c r="E295" s="117" t="str">
        <f t="shared" ca="1" si="35"/>
        <v>10.188.191.0</v>
      </c>
      <c r="F295" s="117" t="str">
        <f t="shared" ca="1" si="35"/>
        <v>10.188.191.255</v>
      </c>
      <c r="G295" s="117" t="str">
        <f t="shared" ca="1" si="35"/>
        <v>10.188.191.1</v>
      </c>
      <c r="H295" s="117" t="str">
        <f t="shared" ca="1" si="35"/>
        <v>10.188.191.254</v>
      </c>
      <c r="I295" s="121" t="str">
        <f t="shared" ca="1" si="36"/>
        <v>10.188.191.064</v>
      </c>
      <c r="J295" s="119" t="str">
        <f t="shared" ca="1" si="32"/>
        <v>191</v>
      </c>
      <c r="K295" s="113" t="s">
        <v>828</v>
      </c>
      <c r="L295" s="114" t="s">
        <v>126</v>
      </c>
      <c r="M295" s="114" t="s">
        <v>457</v>
      </c>
      <c r="N295" s="114" t="s">
        <v>446</v>
      </c>
      <c r="O295" s="114"/>
    </row>
    <row r="296" spans="1:15" x14ac:dyDescent="0.25">
      <c r="A296" s="116" t="str">
        <f t="shared" ca="1" si="35"/>
        <v>10.188.191.0</v>
      </c>
      <c r="B296" s="117">
        <f t="shared" ca="1" si="35"/>
        <v>24</v>
      </c>
      <c r="C296" s="117" t="str">
        <f t="shared" ca="1" si="35"/>
        <v>255.255.255.0</v>
      </c>
      <c r="D296" s="117">
        <f t="shared" ca="1" si="35"/>
        <v>254</v>
      </c>
      <c r="E296" s="117" t="str">
        <f t="shared" ca="1" si="35"/>
        <v>10.188.191.0</v>
      </c>
      <c r="F296" s="117" t="str">
        <f t="shared" ca="1" si="35"/>
        <v>10.188.191.255</v>
      </c>
      <c r="G296" s="117" t="str">
        <f t="shared" ca="1" si="35"/>
        <v>10.188.191.1</v>
      </c>
      <c r="H296" s="117" t="str">
        <f t="shared" ca="1" si="35"/>
        <v>10.188.191.254</v>
      </c>
      <c r="I296" s="121" t="str">
        <f t="shared" ca="1" si="36"/>
        <v>10.188.191.065</v>
      </c>
      <c r="J296" s="119" t="str">
        <f t="shared" ca="1" si="32"/>
        <v>191</v>
      </c>
      <c r="K296" s="113" t="s">
        <v>823</v>
      </c>
      <c r="L296" s="114" t="s">
        <v>126</v>
      </c>
      <c r="M296" s="114" t="s">
        <v>459</v>
      </c>
      <c r="N296" s="114" t="s">
        <v>446</v>
      </c>
      <c r="O296" s="114"/>
    </row>
    <row r="297" spans="1:15" x14ac:dyDescent="0.25">
      <c r="A297" s="116" t="str">
        <f t="shared" ca="1" si="35"/>
        <v>10.188.191.0</v>
      </c>
      <c r="B297" s="117">
        <f t="shared" ca="1" si="35"/>
        <v>24</v>
      </c>
      <c r="C297" s="117" t="str">
        <f t="shared" ca="1" si="35"/>
        <v>255.255.255.0</v>
      </c>
      <c r="D297" s="117">
        <f t="shared" ca="1" si="35"/>
        <v>254</v>
      </c>
      <c r="E297" s="117" t="str">
        <f t="shared" ca="1" si="35"/>
        <v>10.188.191.0</v>
      </c>
      <c r="F297" s="117" t="str">
        <f t="shared" ca="1" si="35"/>
        <v>10.188.191.255</v>
      </c>
      <c r="G297" s="117" t="str">
        <f t="shared" ca="1" si="35"/>
        <v>10.188.191.1</v>
      </c>
      <c r="H297" s="117" t="str">
        <f t="shared" ca="1" si="35"/>
        <v>10.188.191.254</v>
      </c>
      <c r="I297" s="121" t="str">
        <f t="shared" ca="1" si="36"/>
        <v>10.188.191.066</v>
      </c>
      <c r="J297" s="119" t="str">
        <f t="shared" ca="1" si="32"/>
        <v>191</v>
      </c>
      <c r="K297" s="113" t="s">
        <v>824</v>
      </c>
      <c r="L297" s="114" t="s">
        <v>126</v>
      </c>
      <c r="M297" s="114" t="s">
        <v>459</v>
      </c>
      <c r="N297" s="114" t="s">
        <v>446</v>
      </c>
      <c r="O297" s="114"/>
    </row>
    <row r="298" spans="1:15" x14ac:dyDescent="0.25">
      <c r="A298" s="116" t="str">
        <f t="shared" ca="1" si="35"/>
        <v>10.188.191.0</v>
      </c>
      <c r="B298" s="117">
        <f t="shared" ca="1" si="35"/>
        <v>24</v>
      </c>
      <c r="C298" s="117" t="str">
        <f t="shared" ca="1" si="35"/>
        <v>255.255.255.0</v>
      </c>
      <c r="D298" s="117">
        <f t="shared" ca="1" si="35"/>
        <v>254</v>
      </c>
      <c r="E298" s="117" t="str">
        <f t="shared" ca="1" si="35"/>
        <v>10.188.191.0</v>
      </c>
      <c r="F298" s="117" t="str">
        <f t="shared" ca="1" si="35"/>
        <v>10.188.191.255</v>
      </c>
      <c r="G298" s="117" t="str">
        <f t="shared" ca="1" si="35"/>
        <v>10.188.191.1</v>
      </c>
      <c r="H298" s="117" t="str">
        <f t="shared" ca="1" si="35"/>
        <v>10.188.191.254</v>
      </c>
      <c r="I298" s="121" t="str">
        <f t="shared" ca="1" si="36"/>
        <v>10.188.191.067</v>
      </c>
      <c r="J298" s="119" t="str">
        <f t="shared" ca="1" si="32"/>
        <v>191</v>
      </c>
      <c r="K298" s="113" t="s">
        <v>825</v>
      </c>
      <c r="L298" s="114" t="s">
        <v>126</v>
      </c>
      <c r="M298" s="114" t="s">
        <v>459</v>
      </c>
      <c r="N298" s="114" t="s">
        <v>446</v>
      </c>
      <c r="O298" s="114"/>
    </row>
    <row r="299" spans="1:15" x14ac:dyDescent="0.25">
      <c r="A299" s="116" t="str">
        <f t="shared" ca="1" si="35"/>
        <v>10.188.191.0</v>
      </c>
      <c r="B299" s="117">
        <f t="shared" ca="1" si="35"/>
        <v>24</v>
      </c>
      <c r="C299" s="117" t="str">
        <f t="shared" ca="1" si="35"/>
        <v>255.255.255.0</v>
      </c>
      <c r="D299" s="117">
        <f t="shared" ca="1" si="35"/>
        <v>254</v>
      </c>
      <c r="E299" s="117" t="str">
        <f t="shared" ca="1" si="35"/>
        <v>10.188.191.0</v>
      </c>
      <c r="F299" s="117" t="str">
        <f t="shared" ca="1" si="35"/>
        <v>10.188.191.255</v>
      </c>
      <c r="G299" s="117" t="str">
        <f t="shared" ca="1" si="35"/>
        <v>10.188.191.1</v>
      </c>
      <c r="H299" s="117" t="str">
        <f t="shared" ca="1" si="35"/>
        <v>10.188.191.254</v>
      </c>
      <c r="I299" s="121" t="str">
        <f t="shared" ca="1" si="36"/>
        <v>10.188.191.068</v>
      </c>
      <c r="J299" s="119" t="str">
        <f t="shared" ca="1" si="32"/>
        <v>191</v>
      </c>
      <c r="K299" s="113" t="s">
        <v>826</v>
      </c>
      <c r="L299" s="114" t="s">
        <v>126</v>
      </c>
      <c r="M299" s="114" t="s">
        <v>459</v>
      </c>
      <c r="N299" s="114" t="s">
        <v>446</v>
      </c>
      <c r="O299" s="114"/>
    </row>
    <row r="300" spans="1:15" x14ac:dyDescent="0.25">
      <c r="A300" s="116" t="str">
        <f t="shared" ca="1" si="35"/>
        <v>10.188.191.0</v>
      </c>
      <c r="B300" s="117">
        <f t="shared" ca="1" si="35"/>
        <v>24</v>
      </c>
      <c r="C300" s="117" t="str">
        <f t="shared" ca="1" si="35"/>
        <v>255.255.255.0</v>
      </c>
      <c r="D300" s="117">
        <f t="shared" ca="1" si="35"/>
        <v>254</v>
      </c>
      <c r="E300" s="117" t="str">
        <f t="shared" ca="1" si="35"/>
        <v>10.188.191.0</v>
      </c>
      <c r="F300" s="117" t="str">
        <f t="shared" ca="1" si="35"/>
        <v>10.188.191.255</v>
      </c>
      <c r="G300" s="117" t="str">
        <f t="shared" ca="1" si="35"/>
        <v>10.188.191.1</v>
      </c>
      <c r="H300" s="117" t="str">
        <f t="shared" ca="1" si="35"/>
        <v>10.188.191.254</v>
      </c>
      <c r="I300" s="121"/>
      <c r="J300" s="119" t="str">
        <f t="shared" ca="1" si="32"/>
        <v>191</v>
      </c>
      <c r="K300" s="113"/>
      <c r="L300" s="114"/>
      <c r="M300" s="114"/>
      <c r="N300" s="114"/>
      <c r="O300" s="114"/>
    </row>
    <row r="301" spans="1:15" x14ac:dyDescent="0.25">
      <c r="A301" s="116" t="str">
        <f t="shared" ca="1" si="35"/>
        <v>10.188.191.0</v>
      </c>
      <c r="B301" s="117">
        <f t="shared" ca="1" si="35"/>
        <v>24</v>
      </c>
      <c r="C301" s="117" t="str">
        <f t="shared" ca="1" si="35"/>
        <v>255.255.255.0</v>
      </c>
      <c r="D301" s="117">
        <f t="shared" ca="1" si="35"/>
        <v>254</v>
      </c>
      <c r="E301" s="117" t="str">
        <f t="shared" ca="1" si="35"/>
        <v>10.188.191.0</v>
      </c>
      <c r="F301" s="117" t="str">
        <f t="shared" ca="1" si="35"/>
        <v>10.188.191.255</v>
      </c>
      <c r="G301" s="117" t="str">
        <f t="shared" ca="1" si="35"/>
        <v>10.188.191.1</v>
      </c>
      <c r="H301" s="117" t="str">
        <f t="shared" ca="1" si="35"/>
        <v>10.188.191.254</v>
      </c>
      <c r="I301" s="121" t="s">
        <v>781</v>
      </c>
      <c r="J301" s="119" t="str">
        <f t="shared" ca="1" si="32"/>
        <v>191</v>
      </c>
      <c r="K301" s="113"/>
      <c r="L301" s="114"/>
      <c r="M301" s="114" t="s">
        <v>782</v>
      </c>
      <c r="N301" s="114"/>
      <c r="O301" s="114"/>
    </row>
    <row r="302" spans="1:15" x14ac:dyDescent="0.25">
      <c r="A302" s="116" t="str">
        <f t="shared" ca="1" si="35"/>
        <v>10.188.191.0</v>
      </c>
      <c r="B302" s="117">
        <f t="shared" ca="1" si="35"/>
        <v>24</v>
      </c>
      <c r="C302" s="117" t="str">
        <f t="shared" ca="1" si="35"/>
        <v>255.255.255.0</v>
      </c>
      <c r="D302" s="117">
        <f t="shared" ca="1" si="35"/>
        <v>254</v>
      </c>
      <c r="E302" s="117" t="str">
        <f t="shared" ca="1" si="35"/>
        <v>10.188.191.0</v>
      </c>
      <c r="F302" s="117" t="str">
        <f t="shared" ca="1" si="35"/>
        <v>10.188.191.255</v>
      </c>
      <c r="G302" s="117" t="str">
        <f t="shared" ca="1" si="35"/>
        <v>10.188.191.1</v>
      </c>
      <c r="H302" s="117" t="str">
        <f t="shared" ca="1" si="35"/>
        <v>10.188.191.254</v>
      </c>
      <c r="I302" s="121" t="s">
        <v>783</v>
      </c>
      <c r="J302" s="119" t="str">
        <f t="shared" ca="1" si="32"/>
        <v>191</v>
      </c>
      <c r="K302" s="113"/>
      <c r="L302" s="114"/>
      <c r="M302" s="114" t="s">
        <v>782</v>
      </c>
      <c r="N302" s="114"/>
      <c r="O302" s="114"/>
    </row>
    <row r="303" spans="1:15" x14ac:dyDescent="0.25">
      <c r="A303" s="116" t="str">
        <f t="shared" ca="1" si="35"/>
        <v>10.188.191.0</v>
      </c>
      <c r="B303" s="117">
        <f t="shared" ca="1" si="35"/>
        <v>24</v>
      </c>
      <c r="C303" s="117" t="str">
        <f t="shared" ca="1" si="35"/>
        <v>255.255.255.0</v>
      </c>
      <c r="D303" s="117">
        <f t="shared" ca="1" si="35"/>
        <v>254</v>
      </c>
      <c r="E303" s="117" t="str">
        <f t="shared" ca="1" si="35"/>
        <v>10.188.191.0</v>
      </c>
      <c r="F303" s="117" t="str">
        <f t="shared" ca="1" si="35"/>
        <v>10.188.191.255</v>
      </c>
      <c r="G303" s="117" t="str">
        <f t="shared" ca="1" si="35"/>
        <v>10.188.191.1</v>
      </c>
      <c r="H303" s="117" t="str">
        <f t="shared" ca="1" si="35"/>
        <v>10.188.191.254</v>
      </c>
      <c r="I303" s="121"/>
      <c r="J303" s="119" t="str">
        <f t="shared" ca="1" si="32"/>
        <v>191</v>
      </c>
      <c r="K303" s="113"/>
      <c r="L303" s="114"/>
      <c r="M303" s="114"/>
      <c r="N303" s="114"/>
      <c r="O303" s="114"/>
    </row>
    <row r="304" spans="1:15" x14ac:dyDescent="0.25">
      <c r="A304" s="116" t="str">
        <f t="shared" ca="1" si="35"/>
        <v>10.188.191.0</v>
      </c>
      <c r="B304" s="117">
        <f t="shared" ca="1" si="35"/>
        <v>24</v>
      </c>
      <c r="C304" s="117" t="str">
        <f t="shared" ca="1" si="35"/>
        <v>255.255.255.0</v>
      </c>
      <c r="D304" s="117">
        <f t="shared" ca="1" si="35"/>
        <v>254</v>
      </c>
      <c r="E304" s="117" t="str">
        <f t="shared" ca="1" si="35"/>
        <v>10.188.191.0</v>
      </c>
      <c r="F304" s="117" t="str">
        <f t="shared" ca="1" si="35"/>
        <v>10.188.191.255</v>
      </c>
      <c r="G304" s="117" t="str">
        <f t="shared" ca="1" si="35"/>
        <v>10.188.191.1</v>
      </c>
      <c r="H304" s="117" t="str">
        <f t="shared" ca="1" si="35"/>
        <v>10.188.191.254</v>
      </c>
      <c r="I304" s="121" t="s">
        <v>448</v>
      </c>
      <c r="J304" s="119" t="str">
        <f t="shared" ca="1" si="32"/>
        <v>191</v>
      </c>
      <c r="K304" s="113"/>
      <c r="L304" s="114"/>
      <c r="M304" s="114" t="s">
        <v>449</v>
      </c>
      <c r="N304" s="114"/>
      <c r="O304" s="114" t="s">
        <v>485</v>
      </c>
    </row>
    <row r="305" spans="1:15" x14ac:dyDescent="0.25">
      <c r="A305" s="116" t="str">
        <f t="shared" ca="1" si="35"/>
        <v>10.188.191.0</v>
      </c>
      <c r="B305" s="117">
        <f t="shared" ca="1" si="35"/>
        <v>24</v>
      </c>
      <c r="C305" s="117" t="str">
        <f t="shared" ca="1" si="35"/>
        <v>255.255.255.0</v>
      </c>
      <c r="D305" s="117">
        <f t="shared" ca="1" si="35"/>
        <v>254</v>
      </c>
      <c r="E305" s="117" t="str">
        <f t="shared" ca="1" si="35"/>
        <v>10.188.191.0</v>
      </c>
      <c r="F305" s="117" t="str">
        <f t="shared" ca="1" si="35"/>
        <v>10.188.191.255</v>
      </c>
      <c r="G305" s="117" t="str">
        <f t="shared" ca="1" si="35"/>
        <v>10.188.191.1</v>
      </c>
      <c r="H305" s="117" t="str">
        <f t="shared" ca="1" si="35"/>
        <v>10.188.191.254</v>
      </c>
      <c r="I305" s="121" t="s">
        <v>450</v>
      </c>
      <c r="J305" s="119" t="str">
        <f t="shared" ca="1" si="32"/>
        <v>191</v>
      </c>
      <c r="K305" s="113"/>
      <c r="L305" s="114"/>
      <c r="M305" s="114" t="s">
        <v>451</v>
      </c>
      <c r="N305" s="114"/>
      <c r="O305" s="114" t="s">
        <v>486</v>
      </c>
    </row>
    <row r="306" spans="1:15" x14ac:dyDescent="0.25">
      <c r="A306" s="123" t="str">
        <f t="shared" ca="1" si="35"/>
        <v>10.188.191.0</v>
      </c>
      <c r="B306" s="124">
        <f t="shared" ca="1" si="35"/>
        <v>24</v>
      </c>
      <c r="C306" s="124" t="str">
        <f t="shared" ca="1" si="35"/>
        <v>255.255.255.0</v>
      </c>
      <c r="D306" s="124">
        <f t="shared" ca="1" si="35"/>
        <v>254</v>
      </c>
      <c r="E306" s="124" t="str">
        <f t="shared" ca="1" si="35"/>
        <v>10.188.191.0</v>
      </c>
      <c r="F306" s="124" t="str">
        <f t="shared" ca="1" si="35"/>
        <v>10.188.191.255</v>
      </c>
      <c r="G306" s="124" t="str">
        <f t="shared" ca="1" si="35"/>
        <v>10.188.191.1</v>
      </c>
      <c r="H306" s="124" t="str">
        <f t="shared" ca="1" si="35"/>
        <v>10.188.191.254</v>
      </c>
      <c r="I306" s="121" t="s">
        <v>452</v>
      </c>
      <c r="J306" s="171" t="str">
        <f t="shared" ca="1" si="32"/>
        <v>191</v>
      </c>
      <c r="K306" s="113" t="s">
        <v>6</v>
      </c>
      <c r="L306" s="114" t="s">
        <v>382</v>
      </c>
      <c r="M306" s="114" t="s">
        <v>453</v>
      </c>
      <c r="N306" s="114"/>
      <c r="O306" s="109" t="s">
        <v>487</v>
      </c>
    </row>
    <row r="310" spans="1:15" x14ac:dyDescent="0.25">
      <c r="G310" s="172" t="s">
        <v>494</v>
      </c>
      <c r="H310" s="172" t="s">
        <v>495</v>
      </c>
      <c r="I310" s="115" t="s">
        <v>496</v>
      </c>
      <c r="K310" s="174" t="s">
        <v>497</v>
      </c>
    </row>
    <row r="311" spans="1:15" x14ac:dyDescent="0.25">
      <c r="H311" s="172" t="s">
        <v>498</v>
      </c>
      <c r="I311" s="115" t="s">
        <v>501</v>
      </c>
      <c r="K311" s="174" t="s">
        <v>500</v>
      </c>
    </row>
    <row r="313" spans="1:15" x14ac:dyDescent="0.25">
      <c r="G313" s="172" t="s">
        <v>502</v>
      </c>
      <c r="H313" s="172" t="s">
        <v>495</v>
      </c>
      <c r="I313" s="115" t="s">
        <v>503</v>
      </c>
      <c r="J313" s="115"/>
      <c r="K313" s="174" t="s">
        <v>504</v>
      </c>
    </row>
    <row r="314" spans="1:15" x14ac:dyDescent="0.25">
      <c r="H314" s="172" t="s">
        <v>505</v>
      </c>
      <c r="I314" s="115" t="s">
        <v>499</v>
      </c>
      <c r="J314" s="115"/>
      <c r="K314" s="174" t="s">
        <v>506</v>
      </c>
    </row>
    <row r="315" spans="1:15" x14ac:dyDescent="0.25">
      <c r="J315" s="115"/>
    </row>
    <row r="316" spans="1:15" x14ac:dyDescent="0.25">
      <c r="G316" s="172" t="s">
        <v>507</v>
      </c>
      <c r="H316" s="172" t="s">
        <v>508</v>
      </c>
      <c r="I316" s="115" t="s">
        <v>509</v>
      </c>
      <c r="J316" s="115" t="s">
        <v>510</v>
      </c>
    </row>
    <row r="317" spans="1:15" x14ac:dyDescent="0.25">
      <c r="I317" s="115" t="s">
        <v>425</v>
      </c>
      <c r="J317" s="115" t="s">
        <v>511</v>
      </c>
    </row>
    <row r="318" spans="1:15" x14ac:dyDescent="0.25">
      <c r="F318" s="172">
        <v>1</v>
      </c>
      <c r="G318" s="172" t="s">
        <v>494</v>
      </c>
      <c r="H318" s="172" t="s">
        <v>512</v>
      </c>
      <c r="I318" s="115" t="s">
        <v>432</v>
      </c>
      <c r="J318" s="115"/>
      <c r="K318" s="174" t="s">
        <v>513</v>
      </c>
    </row>
    <row r="319" spans="1:15" x14ac:dyDescent="0.25">
      <c r="G319" s="172" t="s">
        <v>494</v>
      </c>
      <c r="H319" s="172" t="s">
        <v>514</v>
      </c>
      <c r="I319" s="115" t="s">
        <v>429</v>
      </c>
      <c r="J319" s="115"/>
      <c r="K319" s="174" t="s">
        <v>520</v>
      </c>
    </row>
    <row r="320" spans="1:15" x14ac:dyDescent="0.25">
      <c r="G320" s="172" t="s">
        <v>494</v>
      </c>
      <c r="H320" s="172" t="s">
        <v>515</v>
      </c>
      <c r="I320" s="115" t="s">
        <v>516</v>
      </c>
      <c r="J320" s="115"/>
      <c r="K320" s="174" t="s">
        <v>517</v>
      </c>
    </row>
    <row r="321" spans="6:11" x14ac:dyDescent="0.25">
      <c r="G321" s="172" t="s">
        <v>494</v>
      </c>
      <c r="H321" s="172" t="s">
        <v>518</v>
      </c>
      <c r="I321" s="115" t="s">
        <v>523</v>
      </c>
      <c r="J321" s="115"/>
      <c r="K321" s="174" t="s">
        <v>521</v>
      </c>
    </row>
    <row r="322" spans="6:11" x14ac:dyDescent="0.25">
      <c r="F322" s="172">
        <v>2</v>
      </c>
      <c r="G322" s="172" t="s">
        <v>502</v>
      </c>
      <c r="H322" s="172" t="s">
        <v>519</v>
      </c>
      <c r="I322" s="115" t="s">
        <v>524</v>
      </c>
      <c r="K322" s="174" t="s">
        <v>522</v>
      </c>
    </row>
    <row r="324" spans="6:11" x14ac:dyDescent="0.25">
      <c r="F324" s="172" t="s">
        <v>525</v>
      </c>
      <c r="G324" s="172" t="s">
        <v>526</v>
      </c>
    </row>
    <row r="325" spans="6:11" x14ac:dyDescent="0.25">
      <c r="F325" s="172" t="s">
        <v>527</v>
      </c>
      <c r="G325" s="172">
        <v>6666653</v>
      </c>
    </row>
  </sheetData>
  <mergeCells count="1">
    <mergeCell ref="A1:O1"/>
  </mergeCells>
  <dataValidations disablePrompts="1" count="1">
    <dataValidation type="list" allowBlank="1" showInputMessage="1" showErrorMessage="1" sqref="B269 B80 B129 B193 B235 B213 B253 B261 B3">
      <formula1>"24,25,26,27,28,29,30"</formula1>
    </dataValidation>
  </dataValidations>
  <pageMargins left="0.7" right="0.7" top="0.75" bottom="0.75" header="0.3" footer="0.3"/>
  <pageSetup scale="12" orientation="landscape" horizontalDpi="1200" verticalDpi="1200"/>
  <ignoredErrors>
    <ignoredError sqref="J3 J129" numberStoredAsText="1"/>
    <ignoredError sqref="I133 I196 I198 I200 I202 I204 I206 I186 I184 I182 I180 I178 I176 I174 I170:I171 I168 I166 I164 I162 I160 I158 I155 I153 I151 I149 I147 I145 I143 I141 I139 I137 I135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E62"/>
  <sheetViews>
    <sheetView workbookViewId="0"/>
  </sheetViews>
  <sheetFormatPr defaultColWidth="9.109375" defaultRowHeight="14.4" x14ac:dyDescent="0.3"/>
  <cols>
    <col min="1" max="1" width="5.109375" style="193" bestFit="1" customWidth="1"/>
    <col min="2" max="2" width="37.109375" style="181" bestFit="1" customWidth="1"/>
    <col min="3" max="3" width="12.6640625" style="193" bestFit="1" customWidth="1"/>
    <col min="4" max="4" width="6" style="193" bestFit="1" customWidth="1"/>
    <col min="5" max="5" width="8.44140625" style="193" bestFit="1" customWidth="1"/>
    <col min="6" max="6" width="8.33203125" style="193" customWidth="1"/>
    <col min="7" max="7" width="7.109375" style="193" bestFit="1" customWidth="1"/>
    <col min="8" max="8" width="7.88671875" style="193" customWidth="1"/>
    <col min="9" max="9" width="7.33203125" style="181" customWidth="1"/>
    <col min="10" max="10" width="6.6640625" style="193" customWidth="1"/>
    <col min="11" max="11" width="10.44140625" style="181" customWidth="1"/>
    <col min="12" max="12" width="7.33203125" style="193" bestFit="1" customWidth="1"/>
    <col min="13" max="13" width="7.88671875" style="193" customWidth="1"/>
    <col min="14" max="14" width="7.33203125" style="207" customWidth="1"/>
    <col min="15" max="15" width="7.33203125" style="193" bestFit="1" customWidth="1"/>
    <col min="16" max="16" width="7.88671875" style="193" customWidth="1"/>
    <col min="17" max="17" width="7.33203125" style="223" customWidth="1"/>
    <col min="18" max="18" width="8.88671875" style="223" bestFit="1" customWidth="1"/>
    <col min="19" max="19" width="6" style="193" bestFit="1" customWidth="1"/>
    <col min="20" max="20" width="7.6640625" style="193" bestFit="1" customWidth="1"/>
    <col min="21" max="21" width="8.33203125" style="193" bestFit="1" customWidth="1"/>
    <col min="22" max="22" width="6.109375" style="193" bestFit="1" customWidth="1"/>
    <col min="23" max="23" width="11.6640625" style="181" customWidth="1"/>
    <col min="24" max="24" width="11.6640625" style="181" bestFit="1" customWidth="1"/>
    <col min="25" max="25" width="12.109375" style="193" customWidth="1"/>
    <col min="26" max="26" width="8.33203125" style="193" customWidth="1"/>
    <col min="27" max="27" width="7.109375" style="193" bestFit="1" customWidth="1"/>
    <col min="28" max="29" width="7.33203125" style="193" bestFit="1" customWidth="1"/>
    <col min="30" max="30" width="8.88671875" style="223" bestFit="1" customWidth="1"/>
    <col min="31" max="31" width="6.44140625" style="193" bestFit="1" customWidth="1"/>
    <col min="32" max="16384" width="9.109375" style="181"/>
  </cols>
  <sheetData>
    <row r="1" spans="1:31" s="176" customFormat="1" x14ac:dyDescent="0.3">
      <c r="A1" s="175"/>
      <c r="C1" s="202" t="s">
        <v>792</v>
      </c>
      <c r="D1" s="175"/>
      <c r="E1" s="175"/>
      <c r="F1" s="175"/>
      <c r="G1" s="175" t="s">
        <v>549</v>
      </c>
      <c r="H1" s="175"/>
      <c r="J1" s="175"/>
      <c r="L1" s="175" t="s">
        <v>550</v>
      </c>
      <c r="M1" s="175"/>
      <c r="N1" s="202"/>
      <c r="O1" s="175" t="s">
        <v>551</v>
      </c>
      <c r="P1" s="175"/>
      <c r="Q1" s="218"/>
      <c r="R1" s="218" t="s">
        <v>799</v>
      </c>
      <c r="S1" s="176" t="s">
        <v>791</v>
      </c>
      <c r="T1" s="175"/>
      <c r="U1" s="175"/>
      <c r="V1" s="175"/>
      <c r="Z1" s="175"/>
      <c r="AA1" s="175" t="s">
        <v>549</v>
      </c>
      <c r="AB1" s="175" t="s">
        <v>550</v>
      </c>
      <c r="AC1" s="175" t="s">
        <v>551</v>
      </c>
      <c r="AD1" s="218" t="s">
        <v>799</v>
      </c>
      <c r="AE1" s="175"/>
    </row>
    <row r="2" spans="1:31" s="176" customFormat="1" ht="28.8" x14ac:dyDescent="0.3">
      <c r="A2" s="224" t="s">
        <v>794</v>
      </c>
      <c r="B2" s="177" t="s">
        <v>552</v>
      </c>
      <c r="C2" s="175" t="s">
        <v>553</v>
      </c>
      <c r="D2" s="175" t="s">
        <v>19</v>
      </c>
      <c r="E2" s="175" t="s">
        <v>554</v>
      </c>
      <c r="F2" s="175" t="s">
        <v>555</v>
      </c>
      <c r="G2" s="175" t="s">
        <v>785</v>
      </c>
      <c r="H2" s="210" t="s">
        <v>789</v>
      </c>
      <c r="I2" s="176" t="s">
        <v>786</v>
      </c>
      <c r="J2" s="175" t="s">
        <v>790</v>
      </c>
      <c r="K2" s="176" t="s">
        <v>787</v>
      </c>
      <c r="L2" s="175" t="s">
        <v>785</v>
      </c>
      <c r="M2" s="210" t="s">
        <v>788</v>
      </c>
      <c r="N2" s="202" t="s">
        <v>786</v>
      </c>
      <c r="O2" s="175" t="s">
        <v>785</v>
      </c>
      <c r="P2" s="210" t="s">
        <v>788</v>
      </c>
      <c r="Q2" s="218" t="s">
        <v>786</v>
      </c>
      <c r="R2" s="229" t="s">
        <v>800</v>
      </c>
      <c r="S2" s="175" t="s">
        <v>330</v>
      </c>
      <c r="T2" s="210" t="s">
        <v>793</v>
      </c>
      <c r="U2" s="175" t="s">
        <v>557</v>
      </c>
      <c r="V2" s="210" t="s">
        <v>795</v>
      </c>
      <c r="W2" s="176" t="s">
        <v>553</v>
      </c>
      <c r="X2" s="176" t="s">
        <v>556</v>
      </c>
      <c r="Y2" s="175" t="s">
        <v>822</v>
      </c>
      <c r="Z2" s="175" t="s">
        <v>555</v>
      </c>
      <c r="AA2" s="175" t="s">
        <v>785</v>
      </c>
      <c r="AB2" s="175" t="s">
        <v>785</v>
      </c>
      <c r="AC2" s="175" t="s">
        <v>785</v>
      </c>
      <c r="AD2" s="229" t="s">
        <v>800</v>
      </c>
      <c r="AE2" s="175" t="s">
        <v>36</v>
      </c>
    </row>
    <row r="3" spans="1:31" x14ac:dyDescent="0.3">
      <c r="A3" s="225">
        <v>1</v>
      </c>
      <c r="B3" s="178" t="s">
        <v>558</v>
      </c>
      <c r="C3" s="208" t="s">
        <v>559</v>
      </c>
      <c r="D3" s="208">
        <v>11053</v>
      </c>
      <c r="E3" s="180">
        <v>1</v>
      </c>
      <c r="F3" s="208" t="s">
        <v>560</v>
      </c>
      <c r="G3" s="208" t="s">
        <v>561</v>
      </c>
      <c r="H3" s="208">
        <v>3.1</v>
      </c>
      <c r="I3" s="179" t="s">
        <v>562</v>
      </c>
      <c r="J3" s="208" t="s">
        <v>331</v>
      </c>
      <c r="K3" s="179" t="s">
        <v>563</v>
      </c>
      <c r="L3" s="208" t="s">
        <v>564</v>
      </c>
      <c r="M3" s="208">
        <v>192</v>
      </c>
      <c r="N3" s="203" t="s">
        <v>565</v>
      </c>
      <c r="O3" s="208"/>
      <c r="P3" s="208"/>
      <c r="Q3" s="219"/>
      <c r="R3" s="270"/>
      <c r="S3" s="279">
        <v>814</v>
      </c>
      <c r="T3" s="211">
        <v>1</v>
      </c>
      <c r="U3" s="208">
        <v>1</v>
      </c>
      <c r="V3" s="211">
        <v>1</v>
      </c>
      <c r="W3" s="179" t="str">
        <f t="shared" ref="W3:W34" si="0">"239.8."&amp;RIGHT(S3,2)&amp;"."&amp;(T3*100)+U3</f>
        <v>239.8.14.101</v>
      </c>
      <c r="X3" s="179" t="s">
        <v>566</v>
      </c>
      <c r="Y3" s="271" t="s">
        <v>830</v>
      </c>
      <c r="Z3" s="228" t="s">
        <v>796</v>
      </c>
      <c r="AA3" s="228" t="s">
        <v>797</v>
      </c>
      <c r="AB3" s="228" t="s">
        <v>798</v>
      </c>
      <c r="AC3" s="228" t="str">
        <f t="shared" ref="AC3:AC11" si="1">IFERROR(IF(ISBLANK(O3),"","0x1013"),"")</f>
        <v/>
      </c>
      <c r="AD3" s="269" t="str">
        <f t="shared" ref="AD3:AD11" si="2">IFERROR(IF(ISBLANK(R3),"","0x1014"),"")</f>
        <v/>
      </c>
      <c r="AE3" s="273">
        <v>740</v>
      </c>
    </row>
    <row r="4" spans="1:31" x14ac:dyDescent="0.3">
      <c r="A4" s="226">
        <f ca="1">INDIRECT("R[-1]",FALSE)+1</f>
        <v>2</v>
      </c>
      <c r="B4" s="182" t="s">
        <v>567</v>
      </c>
      <c r="C4" s="189" t="s">
        <v>568</v>
      </c>
      <c r="D4" s="189">
        <v>11088</v>
      </c>
      <c r="E4" s="184">
        <v>102</v>
      </c>
      <c r="F4" s="189" t="s">
        <v>569</v>
      </c>
      <c r="G4" s="189" t="s">
        <v>570</v>
      </c>
      <c r="H4" s="189">
        <v>4</v>
      </c>
      <c r="I4" s="183" t="s">
        <v>562</v>
      </c>
      <c r="J4" s="189" t="s">
        <v>331</v>
      </c>
      <c r="K4" s="183" t="s">
        <v>563</v>
      </c>
      <c r="L4" s="189" t="s">
        <v>564</v>
      </c>
      <c r="M4" s="189">
        <v>192</v>
      </c>
      <c r="N4" s="204" t="s">
        <v>565</v>
      </c>
      <c r="O4" s="189"/>
      <c r="P4" s="189"/>
      <c r="Q4" s="220"/>
      <c r="R4" s="220"/>
      <c r="S4" s="280">
        <f t="shared" ref="S4:T8" ca="1" si="3">INDIRECT("R[-1]",FALSE)</f>
        <v>814</v>
      </c>
      <c r="T4" s="212">
        <f t="shared" ca="1" si="3"/>
        <v>1</v>
      </c>
      <c r="U4" s="189">
        <f ca="1">INDIRECT("R[-1]",FALSE)+1</f>
        <v>2</v>
      </c>
      <c r="V4" s="212">
        <f ca="1">INDIRECT("R[-1]",FALSE)</f>
        <v>1</v>
      </c>
      <c r="W4" s="183" t="str">
        <f t="shared" ca="1" si="0"/>
        <v>239.8.14.102</v>
      </c>
      <c r="X4" s="183" t="s">
        <v>566</v>
      </c>
      <c r="Y4" s="275" t="s">
        <v>830</v>
      </c>
      <c r="Z4" s="189" t="s">
        <v>796</v>
      </c>
      <c r="AA4" s="189" t="s">
        <v>797</v>
      </c>
      <c r="AB4" s="189" t="s">
        <v>798</v>
      </c>
      <c r="AC4" s="189" t="str">
        <f t="shared" si="1"/>
        <v/>
      </c>
      <c r="AD4" s="220" t="str">
        <f t="shared" si="2"/>
        <v/>
      </c>
      <c r="AE4" s="274">
        <v>740</v>
      </c>
    </row>
    <row r="5" spans="1:31" x14ac:dyDescent="0.3">
      <c r="A5" s="226">
        <f t="shared" ref="A5:A62" ca="1" si="4">INDIRECT("R[-1]",FALSE)+1</f>
        <v>3</v>
      </c>
      <c r="B5" s="182" t="s">
        <v>571</v>
      </c>
      <c r="C5" s="189" t="s">
        <v>568</v>
      </c>
      <c r="D5" s="189">
        <v>11088</v>
      </c>
      <c r="E5" s="184">
        <v>104</v>
      </c>
      <c r="F5" s="189" t="s">
        <v>572</v>
      </c>
      <c r="G5" s="189" t="s">
        <v>573</v>
      </c>
      <c r="H5" s="189">
        <v>3.0379999999999998</v>
      </c>
      <c r="I5" s="183" t="s">
        <v>562</v>
      </c>
      <c r="J5" s="189" t="s">
        <v>331</v>
      </c>
      <c r="K5" s="183" t="s">
        <v>563</v>
      </c>
      <c r="L5" s="189" t="s">
        <v>574</v>
      </c>
      <c r="M5" s="189">
        <v>192</v>
      </c>
      <c r="N5" s="204" t="s">
        <v>562</v>
      </c>
      <c r="O5" s="189"/>
      <c r="P5" s="189"/>
      <c r="Q5" s="220"/>
      <c r="R5" s="220"/>
      <c r="S5" s="280">
        <f t="shared" ca="1" si="3"/>
        <v>814</v>
      </c>
      <c r="T5" s="212">
        <f t="shared" ca="1" si="3"/>
        <v>1</v>
      </c>
      <c r="U5" s="189">
        <f ca="1">INDIRECT("R[-1]",FALSE)+1</f>
        <v>3</v>
      </c>
      <c r="V5" s="212">
        <f ca="1">INDIRECT("R[-1]",FALSE)</f>
        <v>1</v>
      </c>
      <c r="W5" s="183" t="str">
        <f t="shared" ca="1" si="0"/>
        <v>239.8.14.103</v>
      </c>
      <c r="X5" s="183" t="s">
        <v>566</v>
      </c>
      <c r="Y5" s="275" t="s">
        <v>830</v>
      </c>
      <c r="Z5" s="189" t="s">
        <v>796</v>
      </c>
      <c r="AA5" s="189" t="s">
        <v>797</v>
      </c>
      <c r="AB5" s="189" t="s">
        <v>798</v>
      </c>
      <c r="AC5" s="189" t="str">
        <f t="shared" si="1"/>
        <v/>
      </c>
      <c r="AD5" s="220" t="str">
        <f t="shared" si="2"/>
        <v/>
      </c>
      <c r="AE5" s="274">
        <v>740</v>
      </c>
    </row>
    <row r="6" spans="1:31" x14ac:dyDescent="0.3">
      <c r="A6" s="226">
        <f t="shared" ca="1" si="4"/>
        <v>4</v>
      </c>
      <c r="B6" s="182" t="s">
        <v>575</v>
      </c>
      <c r="C6" s="189" t="s">
        <v>568</v>
      </c>
      <c r="D6" s="189">
        <v>11088</v>
      </c>
      <c r="E6" s="184">
        <v>105</v>
      </c>
      <c r="F6" s="189" t="s">
        <v>576</v>
      </c>
      <c r="G6" s="189" t="s">
        <v>577</v>
      </c>
      <c r="H6" s="189">
        <v>1.78</v>
      </c>
      <c r="I6" s="183" t="s">
        <v>562</v>
      </c>
      <c r="J6" s="189" t="s">
        <v>331</v>
      </c>
      <c r="K6" s="183" t="s">
        <v>563</v>
      </c>
      <c r="L6" s="189" t="s">
        <v>578</v>
      </c>
      <c r="M6" s="189">
        <v>192</v>
      </c>
      <c r="N6" s="204" t="s">
        <v>565</v>
      </c>
      <c r="O6" s="189"/>
      <c r="P6" s="189"/>
      <c r="Q6" s="220"/>
      <c r="R6" s="220"/>
      <c r="S6" s="280">
        <f t="shared" ca="1" si="3"/>
        <v>814</v>
      </c>
      <c r="T6" s="212">
        <f t="shared" ca="1" si="3"/>
        <v>1</v>
      </c>
      <c r="U6" s="189">
        <f ca="1">INDIRECT("R[-1]",FALSE)+1</f>
        <v>4</v>
      </c>
      <c r="V6" s="212">
        <f ca="1">INDIRECT("R[-1]",FALSE)</f>
        <v>1</v>
      </c>
      <c r="W6" s="183" t="str">
        <f t="shared" ca="1" si="0"/>
        <v>239.8.14.104</v>
      </c>
      <c r="X6" s="183" t="s">
        <v>566</v>
      </c>
      <c r="Y6" s="275" t="s">
        <v>830</v>
      </c>
      <c r="Z6" s="189" t="s">
        <v>796</v>
      </c>
      <c r="AA6" s="189" t="s">
        <v>797</v>
      </c>
      <c r="AB6" s="189" t="s">
        <v>798</v>
      </c>
      <c r="AC6" s="189" t="str">
        <f t="shared" si="1"/>
        <v/>
      </c>
      <c r="AD6" s="220" t="str">
        <f t="shared" si="2"/>
        <v/>
      </c>
      <c r="AE6" s="274">
        <v>740</v>
      </c>
    </row>
    <row r="7" spans="1:31" x14ac:dyDescent="0.3">
      <c r="A7" s="226">
        <f t="shared" ca="1" si="4"/>
        <v>5</v>
      </c>
      <c r="B7" s="182" t="s">
        <v>579</v>
      </c>
      <c r="C7" s="189" t="s">
        <v>568</v>
      </c>
      <c r="D7" s="189">
        <v>11088</v>
      </c>
      <c r="E7" s="184">
        <v>107</v>
      </c>
      <c r="F7" s="189" t="s">
        <v>580</v>
      </c>
      <c r="G7" s="189" t="s">
        <v>581</v>
      </c>
      <c r="H7" s="189">
        <v>1.78</v>
      </c>
      <c r="I7" s="183" t="s">
        <v>562</v>
      </c>
      <c r="J7" s="189" t="s">
        <v>331</v>
      </c>
      <c r="K7" s="183" t="s">
        <v>563</v>
      </c>
      <c r="L7" s="189" t="s">
        <v>582</v>
      </c>
      <c r="M7" s="189">
        <v>192</v>
      </c>
      <c r="N7" s="204" t="s">
        <v>565</v>
      </c>
      <c r="O7" s="189"/>
      <c r="P7" s="189"/>
      <c r="Q7" s="220"/>
      <c r="R7" s="220"/>
      <c r="S7" s="280">
        <f t="shared" ca="1" si="3"/>
        <v>814</v>
      </c>
      <c r="T7" s="212">
        <f t="shared" ca="1" si="3"/>
        <v>1</v>
      </c>
      <c r="U7" s="189">
        <f ca="1">INDIRECT("R[-1]",FALSE)+1</f>
        <v>5</v>
      </c>
      <c r="V7" s="212">
        <f ca="1">INDIRECT("R[-1]",FALSE)</f>
        <v>1</v>
      </c>
      <c r="W7" s="183" t="str">
        <f t="shared" ca="1" si="0"/>
        <v>239.8.14.105</v>
      </c>
      <c r="X7" s="183" t="s">
        <v>566</v>
      </c>
      <c r="Y7" s="275" t="s">
        <v>830</v>
      </c>
      <c r="Z7" s="189" t="s">
        <v>796</v>
      </c>
      <c r="AA7" s="189" t="s">
        <v>797</v>
      </c>
      <c r="AB7" s="189" t="s">
        <v>798</v>
      </c>
      <c r="AC7" s="189" t="str">
        <f t="shared" si="1"/>
        <v/>
      </c>
      <c r="AD7" s="220" t="str">
        <f t="shared" si="2"/>
        <v/>
      </c>
      <c r="AE7" s="274">
        <v>740</v>
      </c>
    </row>
    <row r="8" spans="1:31" x14ac:dyDescent="0.3">
      <c r="A8" s="226">
        <f t="shared" ca="1" si="4"/>
        <v>6</v>
      </c>
      <c r="B8" s="182" t="s">
        <v>583</v>
      </c>
      <c r="C8" s="189" t="s">
        <v>568</v>
      </c>
      <c r="D8" s="189">
        <v>11088</v>
      </c>
      <c r="E8" s="184">
        <v>109</v>
      </c>
      <c r="F8" s="189" t="s">
        <v>584</v>
      </c>
      <c r="G8" s="189" t="s">
        <v>585</v>
      </c>
      <c r="H8" s="189">
        <v>2.9750000000000001</v>
      </c>
      <c r="I8" s="183" t="s">
        <v>562</v>
      </c>
      <c r="J8" s="189" t="s">
        <v>331</v>
      </c>
      <c r="K8" s="183" t="s">
        <v>563</v>
      </c>
      <c r="L8" s="189" t="s">
        <v>586</v>
      </c>
      <c r="M8" s="189">
        <v>348</v>
      </c>
      <c r="N8" s="204" t="s">
        <v>565</v>
      </c>
      <c r="O8" s="189"/>
      <c r="P8" s="189"/>
      <c r="Q8" s="220"/>
      <c r="R8" s="220"/>
      <c r="S8" s="280">
        <f t="shared" ca="1" si="3"/>
        <v>814</v>
      </c>
      <c r="T8" s="212">
        <f t="shared" ca="1" si="3"/>
        <v>1</v>
      </c>
      <c r="U8" s="189">
        <f ca="1">INDIRECT("R[-1]",FALSE)+1</f>
        <v>6</v>
      </c>
      <c r="V8" s="212">
        <f ca="1">INDIRECT("R[-1]",FALSE)</f>
        <v>1</v>
      </c>
      <c r="W8" s="183" t="str">
        <f t="shared" ca="1" si="0"/>
        <v>239.8.14.106</v>
      </c>
      <c r="X8" s="183" t="s">
        <v>566</v>
      </c>
      <c r="Y8" s="275" t="s">
        <v>830</v>
      </c>
      <c r="Z8" s="189" t="s">
        <v>796</v>
      </c>
      <c r="AA8" s="189" t="s">
        <v>797</v>
      </c>
      <c r="AB8" s="189" t="s">
        <v>798</v>
      </c>
      <c r="AC8" s="189" t="str">
        <f t="shared" si="1"/>
        <v/>
      </c>
      <c r="AD8" s="220" t="str">
        <f t="shared" si="2"/>
        <v/>
      </c>
      <c r="AE8" s="274">
        <v>740</v>
      </c>
    </row>
    <row r="9" spans="1:31" x14ac:dyDescent="0.3">
      <c r="A9" s="226">
        <f t="shared" ca="1" si="4"/>
        <v>7</v>
      </c>
      <c r="B9" s="185" t="s">
        <v>587</v>
      </c>
      <c r="C9" s="188" t="s">
        <v>568</v>
      </c>
      <c r="D9" s="188">
        <v>11088</v>
      </c>
      <c r="E9" s="187">
        <v>113</v>
      </c>
      <c r="F9" s="188" t="s">
        <v>588</v>
      </c>
      <c r="G9" s="188" t="s">
        <v>589</v>
      </c>
      <c r="H9" s="188">
        <v>2.911</v>
      </c>
      <c r="I9" s="186" t="s">
        <v>562</v>
      </c>
      <c r="J9" s="188" t="s">
        <v>331</v>
      </c>
      <c r="K9" s="186" t="s">
        <v>563</v>
      </c>
      <c r="L9" s="188" t="s">
        <v>590</v>
      </c>
      <c r="M9" s="188">
        <v>192</v>
      </c>
      <c r="N9" s="205" t="s">
        <v>565</v>
      </c>
      <c r="O9" s="188"/>
      <c r="P9" s="188"/>
      <c r="Q9" s="221"/>
      <c r="R9" s="221"/>
      <c r="S9" s="280">
        <f t="shared" ref="S9:S14" ca="1" si="5">INDIRECT("R[-1]",FALSE)</f>
        <v>814</v>
      </c>
      <c r="T9" s="188">
        <v>2</v>
      </c>
      <c r="U9" s="188">
        <v>1</v>
      </c>
      <c r="V9" s="188">
        <v>2</v>
      </c>
      <c r="W9" s="186" t="str">
        <f t="shared" ca="1" si="0"/>
        <v>239.8.14.201</v>
      </c>
      <c r="X9" s="186" t="s">
        <v>566</v>
      </c>
      <c r="Y9" s="272" t="s">
        <v>830</v>
      </c>
      <c r="Z9" s="188" t="s">
        <v>796</v>
      </c>
      <c r="AA9" s="188" t="s">
        <v>797</v>
      </c>
      <c r="AB9" s="188" t="s">
        <v>798</v>
      </c>
      <c r="AC9" s="188" t="str">
        <f t="shared" si="1"/>
        <v/>
      </c>
      <c r="AD9" s="221" t="str">
        <f t="shared" si="2"/>
        <v/>
      </c>
      <c r="AE9" s="274">
        <v>740</v>
      </c>
    </row>
    <row r="10" spans="1:31" x14ac:dyDescent="0.3">
      <c r="A10" s="226">
        <f t="shared" ca="1" si="4"/>
        <v>8</v>
      </c>
      <c r="B10" s="185" t="s">
        <v>591</v>
      </c>
      <c r="C10" s="188" t="s">
        <v>592</v>
      </c>
      <c r="D10" s="188">
        <v>11089</v>
      </c>
      <c r="E10" s="187">
        <v>117</v>
      </c>
      <c r="F10" s="188" t="s">
        <v>593</v>
      </c>
      <c r="G10" s="188" t="s">
        <v>594</v>
      </c>
      <c r="H10" s="188">
        <v>3.0840000000000001</v>
      </c>
      <c r="I10" s="186" t="s">
        <v>562</v>
      </c>
      <c r="J10" s="188" t="s">
        <v>331</v>
      </c>
      <c r="K10" s="186" t="s">
        <v>563</v>
      </c>
      <c r="L10" s="188" t="s">
        <v>595</v>
      </c>
      <c r="M10" s="188">
        <v>192</v>
      </c>
      <c r="N10" s="205" t="s">
        <v>565</v>
      </c>
      <c r="O10" s="188"/>
      <c r="P10" s="188"/>
      <c r="Q10" s="221"/>
      <c r="R10" s="221"/>
      <c r="S10" s="280">
        <f t="shared" ca="1" si="5"/>
        <v>814</v>
      </c>
      <c r="T10" s="213">
        <f ca="1">INDIRECT("R[-1]",FALSE)</f>
        <v>2</v>
      </c>
      <c r="U10" s="188">
        <f ca="1">INDIRECT("R[-1]",FALSE)+1</f>
        <v>2</v>
      </c>
      <c r="V10" s="213">
        <f ca="1">INDIRECT("R[-1]",FALSE)</f>
        <v>2</v>
      </c>
      <c r="W10" s="186" t="str">
        <f t="shared" ca="1" si="0"/>
        <v>239.8.14.202</v>
      </c>
      <c r="X10" s="186" t="s">
        <v>566</v>
      </c>
      <c r="Y10" s="272" t="s">
        <v>830</v>
      </c>
      <c r="Z10" s="188" t="s">
        <v>796</v>
      </c>
      <c r="AA10" s="188" t="s">
        <v>797</v>
      </c>
      <c r="AB10" s="188" t="s">
        <v>798</v>
      </c>
      <c r="AC10" s="188" t="str">
        <f t="shared" si="1"/>
        <v/>
      </c>
      <c r="AD10" s="221" t="str">
        <f t="shared" si="2"/>
        <v/>
      </c>
      <c r="AE10" s="274">
        <v>740</v>
      </c>
    </row>
    <row r="11" spans="1:31" x14ac:dyDescent="0.3">
      <c r="A11" s="226">
        <f t="shared" ca="1" si="4"/>
        <v>9</v>
      </c>
      <c r="B11" s="185" t="s">
        <v>596</v>
      </c>
      <c r="C11" s="188" t="s">
        <v>592</v>
      </c>
      <c r="D11" s="188">
        <v>11089</v>
      </c>
      <c r="E11" s="187">
        <v>120</v>
      </c>
      <c r="F11" s="188" t="s">
        <v>597</v>
      </c>
      <c r="G11" s="188" t="s">
        <v>598</v>
      </c>
      <c r="H11" s="188">
        <v>3.0379999999999998</v>
      </c>
      <c r="I11" s="186" t="s">
        <v>562</v>
      </c>
      <c r="J11" s="188" t="s">
        <v>331</v>
      </c>
      <c r="K11" s="186" t="s">
        <v>563</v>
      </c>
      <c r="L11" s="188" t="s">
        <v>599</v>
      </c>
      <c r="M11" s="188">
        <v>348</v>
      </c>
      <c r="N11" s="205" t="s">
        <v>565</v>
      </c>
      <c r="O11" s="188"/>
      <c r="P11" s="188"/>
      <c r="Q11" s="221"/>
      <c r="R11" s="221"/>
      <c r="S11" s="280">
        <f t="shared" ca="1" si="5"/>
        <v>814</v>
      </c>
      <c r="T11" s="213">
        <f ca="1">INDIRECT("R[-1]",FALSE)</f>
        <v>2</v>
      </c>
      <c r="U11" s="188">
        <f ca="1">INDIRECT("R[-1]",FALSE)+1</f>
        <v>3</v>
      </c>
      <c r="V11" s="213">
        <f ca="1">INDIRECT("R[-1]",FALSE)</f>
        <v>2</v>
      </c>
      <c r="W11" s="186" t="str">
        <f t="shared" ca="1" si="0"/>
        <v>239.8.14.203</v>
      </c>
      <c r="X11" s="186" t="s">
        <v>566</v>
      </c>
      <c r="Y11" s="272" t="s">
        <v>830</v>
      </c>
      <c r="Z11" s="188" t="s">
        <v>796</v>
      </c>
      <c r="AA11" s="188" t="s">
        <v>797</v>
      </c>
      <c r="AB11" s="188" t="s">
        <v>798</v>
      </c>
      <c r="AC11" s="188" t="str">
        <f t="shared" si="1"/>
        <v/>
      </c>
      <c r="AD11" s="221" t="str">
        <f t="shared" si="2"/>
        <v/>
      </c>
      <c r="AE11" s="274">
        <v>740</v>
      </c>
    </row>
    <row r="12" spans="1:31" x14ac:dyDescent="0.3">
      <c r="A12" s="226">
        <f t="shared" ca="1" si="4"/>
        <v>10</v>
      </c>
      <c r="B12" s="185" t="s">
        <v>600</v>
      </c>
      <c r="C12" s="188" t="s">
        <v>601</v>
      </c>
      <c r="D12" s="188">
        <v>11090</v>
      </c>
      <c r="E12" s="187">
        <v>205</v>
      </c>
      <c r="F12" s="188" t="s">
        <v>602</v>
      </c>
      <c r="G12" s="188" t="s">
        <v>603</v>
      </c>
      <c r="H12" s="188">
        <v>3.0379999999999998</v>
      </c>
      <c r="I12" s="186" t="s">
        <v>562</v>
      </c>
      <c r="J12" s="188" t="s">
        <v>331</v>
      </c>
      <c r="K12" s="186" t="s">
        <v>563</v>
      </c>
      <c r="L12" s="188" t="s">
        <v>604</v>
      </c>
      <c r="M12" s="188">
        <v>384</v>
      </c>
      <c r="N12" s="205" t="s">
        <v>565</v>
      </c>
      <c r="O12" s="188" t="s">
        <v>599</v>
      </c>
      <c r="P12" s="188">
        <v>384</v>
      </c>
      <c r="Q12" s="221" t="s">
        <v>565</v>
      </c>
      <c r="R12" s="221"/>
      <c r="S12" s="280">
        <f t="shared" ca="1" si="5"/>
        <v>814</v>
      </c>
      <c r="T12" s="213">
        <f ca="1">INDIRECT("R[-1]",FALSE)</f>
        <v>2</v>
      </c>
      <c r="U12" s="188">
        <f ca="1">INDIRECT("R[-1]",FALSE)+1</f>
        <v>4</v>
      </c>
      <c r="V12" s="213">
        <f ca="1">INDIRECT("R[-1]",FALSE)</f>
        <v>2</v>
      </c>
      <c r="W12" s="186" t="str">
        <f t="shared" ca="1" si="0"/>
        <v>239.8.14.204</v>
      </c>
      <c r="X12" s="186" t="s">
        <v>566</v>
      </c>
      <c r="Y12" s="272" t="s">
        <v>830</v>
      </c>
      <c r="Z12" s="188" t="s">
        <v>796</v>
      </c>
      <c r="AA12" s="188" t="s">
        <v>797</v>
      </c>
      <c r="AB12" s="188" t="s">
        <v>798</v>
      </c>
      <c r="AC12" s="188" t="str">
        <f>IFERROR(IF(ISBLANK(O12),"","0x1013"),"")</f>
        <v>0x1013</v>
      </c>
      <c r="AD12" s="221" t="str">
        <f>IFERROR(IF(ISBLANK(R12),"","0x1014"),"")</f>
        <v/>
      </c>
      <c r="AE12" s="274">
        <v>740</v>
      </c>
    </row>
    <row r="13" spans="1:31" x14ac:dyDescent="0.3">
      <c r="A13" s="226">
        <f t="shared" ca="1" si="4"/>
        <v>11</v>
      </c>
      <c r="B13" s="185" t="s">
        <v>605</v>
      </c>
      <c r="C13" s="188" t="s">
        <v>601</v>
      </c>
      <c r="D13" s="188">
        <v>11090</v>
      </c>
      <c r="E13" s="187">
        <v>207</v>
      </c>
      <c r="F13" s="188" t="s">
        <v>606</v>
      </c>
      <c r="G13" s="188" t="s">
        <v>589</v>
      </c>
      <c r="H13" s="188">
        <v>4.008</v>
      </c>
      <c r="I13" s="186" t="s">
        <v>562</v>
      </c>
      <c r="J13" s="188" t="s">
        <v>331</v>
      </c>
      <c r="K13" s="186" t="s">
        <v>563</v>
      </c>
      <c r="L13" s="188" t="s">
        <v>607</v>
      </c>
      <c r="M13" s="188">
        <v>384</v>
      </c>
      <c r="N13" s="205" t="s">
        <v>565</v>
      </c>
      <c r="O13" s="188" t="s">
        <v>608</v>
      </c>
      <c r="P13" s="188">
        <v>384</v>
      </c>
      <c r="Q13" s="221" t="s">
        <v>565</v>
      </c>
      <c r="R13" s="221"/>
      <c r="S13" s="280">
        <f t="shared" ca="1" si="5"/>
        <v>814</v>
      </c>
      <c r="T13" s="213">
        <f ca="1">INDIRECT("R[-1]",FALSE)</f>
        <v>2</v>
      </c>
      <c r="U13" s="188">
        <f ca="1">INDIRECT("R[-1]",FALSE)+1</f>
        <v>5</v>
      </c>
      <c r="V13" s="213">
        <f ca="1">INDIRECT("R[-1]",FALSE)</f>
        <v>2</v>
      </c>
      <c r="W13" s="186" t="str">
        <f t="shared" ca="1" si="0"/>
        <v>239.8.14.205</v>
      </c>
      <c r="X13" s="186" t="s">
        <v>566</v>
      </c>
      <c r="Y13" s="272" t="s">
        <v>830</v>
      </c>
      <c r="Z13" s="188" t="s">
        <v>796</v>
      </c>
      <c r="AA13" s="188" t="s">
        <v>797</v>
      </c>
      <c r="AB13" s="188" t="s">
        <v>798</v>
      </c>
      <c r="AC13" s="188" t="str">
        <f t="shared" ref="AC13:AC62" si="6">IFERROR(IF(ISBLANK(O13),"","0x1013"),"")</f>
        <v>0x1013</v>
      </c>
      <c r="AD13" s="221" t="str">
        <f t="shared" ref="AD13:AD62" si="7">IFERROR(IF(ISBLANK(R13),"","0x1014"),"")</f>
        <v/>
      </c>
      <c r="AE13" s="277">
        <v>739</v>
      </c>
    </row>
    <row r="14" spans="1:31" x14ac:dyDescent="0.3">
      <c r="A14" s="226">
        <f t="shared" ca="1" si="4"/>
        <v>12</v>
      </c>
      <c r="B14" s="185" t="s">
        <v>610</v>
      </c>
      <c r="C14" s="188" t="s">
        <v>601</v>
      </c>
      <c r="D14" s="188">
        <v>11090</v>
      </c>
      <c r="E14" s="187">
        <v>208</v>
      </c>
      <c r="F14" s="188" t="s">
        <v>611</v>
      </c>
      <c r="G14" s="188" t="s">
        <v>612</v>
      </c>
      <c r="H14" s="188">
        <v>3.0840000000000001</v>
      </c>
      <c r="I14" s="186" t="s">
        <v>562</v>
      </c>
      <c r="J14" s="188" t="s">
        <v>331</v>
      </c>
      <c r="K14" s="186" t="s">
        <v>563</v>
      </c>
      <c r="L14" s="188" t="s">
        <v>613</v>
      </c>
      <c r="M14" s="188">
        <v>192</v>
      </c>
      <c r="N14" s="205" t="s">
        <v>565</v>
      </c>
      <c r="O14" s="188"/>
      <c r="P14" s="188"/>
      <c r="Q14" s="221"/>
      <c r="R14" s="221"/>
      <c r="S14" s="280">
        <f t="shared" ca="1" si="5"/>
        <v>814</v>
      </c>
      <c r="T14" s="213">
        <f ca="1">INDIRECT("R[-1]",FALSE)</f>
        <v>2</v>
      </c>
      <c r="U14" s="188">
        <f ca="1">INDIRECT("R[-1]",FALSE)+1</f>
        <v>6</v>
      </c>
      <c r="V14" s="213">
        <f ca="1">INDIRECT("R[-1]",FALSE)</f>
        <v>2</v>
      </c>
      <c r="W14" s="186" t="str">
        <f t="shared" ca="1" si="0"/>
        <v>239.8.14.206</v>
      </c>
      <c r="X14" s="186" t="s">
        <v>566</v>
      </c>
      <c r="Y14" s="272" t="s">
        <v>830</v>
      </c>
      <c r="Z14" s="188" t="s">
        <v>796</v>
      </c>
      <c r="AA14" s="188" t="s">
        <v>797</v>
      </c>
      <c r="AB14" s="188" t="s">
        <v>798</v>
      </c>
      <c r="AC14" s="188" t="str">
        <f t="shared" si="6"/>
        <v/>
      </c>
      <c r="AD14" s="221" t="str">
        <f t="shared" si="7"/>
        <v/>
      </c>
      <c r="AE14" s="277">
        <f t="shared" ref="AE14:AE22" ca="1" si="8">INDIRECT("R[-1]",FALSE)</f>
        <v>739</v>
      </c>
    </row>
    <row r="15" spans="1:31" x14ac:dyDescent="0.3">
      <c r="A15" s="226">
        <f t="shared" ca="1" si="4"/>
        <v>13</v>
      </c>
      <c r="B15" s="182" t="s">
        <v>614</v>
      </c>
      <c r="C15" s="189" t="s">
        <v>601</v>
      </c>
      <c r="D15" s="189">
        <v>11090</v>
      </c>
      <c r="E15" s="184">
        <v>212</v>
      </c>
      <c r="F15" s="189" t="s">
        <v>615</v>
      </c>
      <c r="G15" s="189" t="s">
        <v>616</v>
      </c>
      <c r="H15" s="189">
        <v>4</v>
      </c>
      <c r="I15" s="183" t="s">
        <v>562</v>
      </c>
      <c r="J15" s="189" t="s">
        <v>331</v>
      </c>
      <c r="K15" s="183" t="s">
        <v>563</v>
      </c>
      <c r="L15" s="189" t="s">
        <v>564</v>
      </c>
      <c r="M15" s="189">
        <v>192</v>
      </c>
      <c r="N15" s="204" t="s">
        <v>565</v>
      </c>
      <c r="O15" s="189"/>
      <c r="P15" s="189"/>
      <c r="Q15" s="220"/>
      <c r="R15" s="220"/>
      <c r="S15" s="281">
        <v>812</v>
      </c>
      <c r="T15" s="214">
        <v>1</v>
      </c>
      <c r="U15" s="189">
        <v>1</v>
      </c>
      <c r="V15" s="214">
        <v>3</v>
      </c>
      <c r="W15" s="183" t="str">
        <f t="shared" si="0"/>
        <v>239.8.12.101</v>
      </c>
      <c r="X15" s="183" t="s">
        <v>566</v>
      </c>
      <c r="Y15" s="275" t="s">
        <v>830</v>
      </c>
      <c r="Z15" s="189" t="s">
        <v>796</v>
      </c>
      <c r="AA15" s="189" t="s">
        <v>797</v>
      </c>
      <c r="AB15" s="189" t="s">
        <v>798</v>
      </c>
      <c r="AC15" s="189" t="str">
        <f t="shared" si="6"/>
        <v/>
      </c>
      <c r="AD15" s="220" t="str">
        <f t="shared" si="7"/>
        <v/>
      </c>
      <c r="AE15" s="277">
        <f t="shared" ca="1" si="8"/>
        <v>739</v>
      </c>
    </row>
    <row r="16" spans="1:31" x14ac:dyDescent="0.3">
      <c r="A16" s="226">
        <f t="shared" ca="1" si="4"/>
        <v>14</v>
      </c>
      <c r="B16" s="182" t="s">
        <v>617</v>
      </c>
      <c r="C16" s="189" t="s">
        <v>601</v>
      </c>
      <c r="D16" s="189">
        <v>11090</v>
      </c>
      <c r="E16" s="184">
        <v>217</v>
      </c>
      <c r="F16" s="189" t="s">
        <v>618</v>
      </c>
      <c r="G16" s="189" t="s">
        <v>619</v>
      </c>
      <c r="H16" s="189">
        <v>4</v>
      </c>
      <c r="I16" s="183" t="s">
        <v>562</v>
      </c>
      <c r="J16" s="189" t="s">
        <v>331</v>
      </c>
      <c r="K16" s="183" t="s">
        <v>563</v>
      </c>
      <c r="L16" s="189" t="s">
        <v>620</v>
      </c>
      <c r="M16" s="189">
        <v>128</v>
      </c>
      <c r="N16" s="204" t="s">
        <v>565</v>
      </c>
      <c r="O16" s="189" t="s">
        <v>621</v>
      </c>
      <c r="P16" s="189">
        <v>128</v>
      </c>
      <c r="Q16" s="220" t="s">
        <v>565</v>
      </c>
      <c r="R16" s="220"/>
      <c r="S16" s="281">
        <f t="shared" ref="S16:T20" ca="1" si="9">INDIRECT("R[-1]",FALSE)</f>
        <v>812</v>
      </c>
      <c r="T16" s="215">
        <f t="shared" ca="1" si="9"/>
        <v>1</v>
      </c>
      <c r="U16" s="189">
        <f ca="1">INDIRECT("R[-1]",FALSE)+1</f>
        <v>2</v>
      </c>
      <c r="V16" s="215">
        <f ca="1">INDIRECT("R[-1]",FALSE)</f>
        <v>3</v>
      </c>
      <c r="W16" s="183" t="str">
        <f t="shared" ca="1" si="0"/>
        <v>239.8.12.102</v>
      </c>
      <c r="X16" s="183" t="s">
        <v>566</v>
      </c>
      <c r="Y16" s="275" t="s">
        <v>830</v>
      </c>
      <c r="Z16" s="189" t="s">
        <v>796</v>
      </c>
      <c r="AA16" s="189" t="s">
        <v>797</v>
      </c>
      <c r="AB16" s="189" t="s">
        <v>798</v>
      </c>
      <c r="AC16" s="189" t="str">
        <f t="shared" si="6"/>
        <v>0x1013</v>
      </c>
      <c r="AD16" s="220" t="str">
        <f t="shared" si="7"/>
        <v/>
      </c>
      <c r="AE16" s="277">
        <f t="shared" ca="1" si="8"/>
        <v>739</v>
      </c>
    </row>
    <row r="17" spans="1:31" x14ac:dyDescent="0.3">
      <c r="A17" s="226">
        <f t="shared" ca="1" si="4"/>
        <v>15</v>
      </c>
      <c r="B17" s="182" t="s">
        <v>622</v>
      </c>
      <c r="C17" s="189" t="s">
        <v>601</v>
      </c>
      <c r="D17" s="189">
        <v>11090</v>
      </c>
      <c r="E17" s="184">
        <v>218</v>
      </c>
      <c r="F17" s="189" t="s">
        <v>623</v>
      </c>
      <c r="G17" s="189" t="s">
        <v>589</v>
      </c>
      <c r="H17" s="189">
        <v>2.484</v>
      </c>
      <c r="I17" s="183" t="s">
        <v>562</v>
      </c>
      <c r="J17" s="189" t="s">
        <v>331</v>
      </c>
      <c r="K17" s="183" t="s">
        <v>563</v>
      </c>
      <c r="L17" s="189" t="s">
        <v>624</v>
      </c>
      <c r="M17" s="189">
        <v>192</v>
      </c>
      <c r="N17" s="204" t="s">
        <v>565</v>
      </c>
      <c r="O17" s="189" t="s">
        <v>625</v>
      </c>
      <c r="P17" s="189">
        <v>192</v>
      </c>
      <c r="Q17" s="220" t="s">
        <v>565</v>
      </c>
      <c r="R17" s="220"/>
      <c r="S17" s="281">
        <f t="shared" ca="1" si="9"/>
        <v>812</v>
      </c>
      <c r="T17" s="215">
        <f t="shared" ca="1" si="9"/>
        <v>1</v>
      </c>
      <c r="U17" s="189">
        <f ca="1">INDIRECT("R[-1]",FALSE)+1</f>
        <v>3</v>
      </c>
      <c r="V17" s="215">
        <f ca="1">INDIRECT("R[-1]",FALSE)</f>
        <v>3</v>
      </c>
      <c r="W17" s="183" t="str">
        <f t="shared" ca="1" si="0"/>
        <v>239.8.12.103</v>
      </c>
      <c r="X17" s="183" t="s">
        <v>566</v>
      </c>
      <c r="Y17" s="275" t="s">
        <v>830</v>
      </c>
      <c r="Z17" s="189" t="s">
        <v>796</v>
      </c>
      <c r="AA17" s="189" t="s">
        <v>797</v>
      </c>
      <c r="AB17" s="189" t="s">
        <v>798</v>
      </c>
      <c r="AC17" s="189" t="str">
        <f t="shared" si="6"/>
        <v>0x1013</v>
      </c>
      <c r="AD17" s="220" t="str">
        <f t="shared" si="7"/>
        <v/>
      </c>
      <c r="AE17" s="277">
        <f t="shared" ca="1" si="8"/>
        <v>739</v>
      </c>
    </row>
    <row r="18" spans="1:31" x14ac:dyDescent="0.3">
      <c r="A18" s="226">
        <f t="shared" ca="1" si="4"/>
        <v>16</v>
      </c>
      <c r="B18" s="182" t="s">
        <v>626</v>
      </c>
      <c r="C18" s="189" t="s">
        <v>601</v>
      </c>
      <c r="D18" s="189">
        <v>11090</v>
      </c>
      <c r="E18" s="184">
        <v>235</v>
      </c>
      <c r="F18" s="189" t="s">
        <v>627</v>
      </c>
      <c r="G18" s="189" t="s">
        <v>577</v>
      </c>
      <c r="H18" s="189">
        <v>2.5419999999999998</v>
      </c>
      <c r="I18" s="183" t="s">
        <v>562</v>
      </c>
      <c r="J18" s="189" t="s">
        <v>331</v>
      </c>
      <c r="K18" s="183" t="s">
        <v>563</v>
      </c>
      <c r="L18" s="189" t="s">
        <v>628</v>
      </c>
      <c r="M18" s="189">
        <v>192</v>
      </c>
      <c r="N18" s="204" t="s">
        <v>565</v>
      </c>
      <c r="O18" s="189" t="s">
        <v>629</v>
      </c>
      <c r="P18" s="189">
        <v>192</v>
      </c>
      <c r="Q18" s="220" t="s">
        <v>565</v>
      </c>
      <c r="R18" s="220"/>
      <c r="S18" s="281">
        <f t="shared" ca="1" si="9"/>
        <v>812</v>
      </c>
      <c r="T18" s="215">
        <f t="shared" ca="1" si="9"/>
        <v>1</v>
      </c>
      <c r="U18" s="189">
        <f ca="1">INDIRECT("R[-1]",FALSE)+1</f>
        <v>4</v>
      </c>
      <c r="V18" s="215">
        <f ca="1">INDIRECT("R[-1]",FALSE)</f>
        <v>3</v>
      </c>
      <c r="W18" s="183" t="str">
        <f t="shared" ca="1" si="0"/>
        <v>239.8.12.104</v>
      </c>
      <c r="X18" s="183" t="s">
        <v>566</v>
      </c>
      <c r="Y18" s="275" t="s">
        <v>830</v>
      </c>
      <c r="Z18" s="189" t="s">
        <v>796</v>
      </c>
      <c r="AA18" s="189" t="s">
        <v>797</v>
      </c>
      <c r="AB18" s="189" t="s">
        <v>798</v>
      </c>
      <c r="AC18" s="189" t="str">
        <f t="shared" si="6"/>
        <v>0x1013</v>
      </c>
      <c r="AD18" s="220" t="str">
        <f t="shared" si="7"/>
        <v/>
      </c>
      <c r="AE18" s="277">
        <f t="shared" ca="1" si="8"/>
        <v>739</v>
      </c>
    </row>
    <row r="19" spans="1:31" x14ac:dyDescent="0.3">
      <c r="A19" s="226">
        <f t="shared" ca="1" si="4"/>
        <v>17</v>
      </c>
      <c r="B19" s="182" t="s">
        <v>630</v>
      </c>
      <c r="C19" s="189" t="s">
        <v>631</v>
      </c>
      <c r="D19" s="189">
        <v>11091</v>
      </c>
      <c r="E19" s="184">
        <v>222</v>
      </c>
      <c r="F19" s="189" t="s">
        <v>632</v>
      </c>
      <c r="G19" s="189" t="s">
        <v>633</v>
      </c>
      <c r="H19" s="189">
        <v>2.484</v>
      </c>
      <c r="I19" s="183" t="s">
        <v>562</v>
      </c>
      <c r="J19" s="189" t="s">
        <v>331</v>
      </c>
      <c r="K19" s="183" t="s">
        <v>563</v>
      </c>
      <c r="L19" s="189" t="s">
        <v>634</v>
      </c>
      <c r="M19" s="189">
        <v>192</v>
      </c>
      <c r="N19" s="204" t="s">
        <v>565</v>
      </c>
      <c r="O19" s="189" t="s">
        <v>635</v>
      </c>
      <c r="P19" s="189">
        <v>192</v>
      </c>
      <c r="Q19" s="220" t="s">
        <v>565</v>
      </c>
      <c r="R19" s="220"/>
      <c r="S19" s="281">
        <f t="shared" ca="1" si="9"/>
        <v>812</v>
      </c>
      <c r="T19" s="215">
        <f t="shared" ca="1" si="9"/>
        <v>1</v>
      </c>
      <c r="U19" s="189">
        <f ca="1">INDIRECT("R[-1]",FALSE)+1</f>
        <v>5</v>
      </c>
      <c r="V19" s="215">
        <f ca="1">INDIRECT("R[-1]",FALSE)</f>
        <v>3</v>
      </c>
      <c r="W19" s="183" t="str">
        <f t="shared" ca="1" si="0"/>
        <v>239.8.12.105</v>
      </c>
      <c r="X19" s="183" t="s">
        <v>566</v>
      </c>
      <c r="Y19" s="275" t="s">
        <v>830</v>
      </c>
      <c r="Z19" s="189" t="s">
        <v>796</v>
      </c>
      <c r="AA19" s="189" t="s">
        <v>797</v>
      </c>
      <c r="AB19" s="189" t="s">
        <v>798</v>
      </c>
      <c r="AC19" s="189" t="str">
        <f t="shared" si="6"/>
        <v>0x1013</v>
      </c>
      <c r="AD19" s="220" t="str">
        <f t="shared" si="7"/>
        <v/>
      </c>
      <c r="AE19" s="277">
        <f t="shared" ca="1" si="8"/>
        <v>739</v>
      </c>
    </row>
    <row r="20" spans="1:31" x14ac:dyDescent="0.3">
      <c r="A20" s="226">
        <f t="shared" ca="1" si="4"/>
        <v>18</v>
      </c>
      <c r="B20" s="182" t="s">
        <v>636</v>
      </c>
      <c r="C20" s="189" t="s">
        <v>631</v>
      </c>
      <c r="D20" s="189">
        <v>11091</v>
      </c>
      <c r="E20" s="184">
        <v>225</v>
      </c>
      <c r="F20" s="189" t="s">
        <v>637</v>
      </c>
      <c r="G20" s="189" t="s">
        <v>638</v>
      </c>
      <c r="H20" s="189">
        <v>2.996</v>
      </c>
      <c r="I20" s="183" t="s">
        <v>562</v>
      </c>
      <c r="J20" s="189" t="s">
        <v>331</v>
      </c>
      <c r="K20" s="183" t="s">
        <v>563</v>
      </c>
      <c r="L20" s="189" t="s">
        <v>586</v>
      </c>
      <c r="M20" s="189">
        <v>128</v>
      </c>
      <c r="N20" s="204" t="s">
        <v>562</v>
      </c>
      <c r="O20" s="189"/>
      <c r="P20" s="189"/>
      <c r="Q20" s="220"/>
      <c r="R20" s="220"/>
      <c r="S20" s="281">
        <f t="shared" ca="1" si="9"/>
        <v>812</v>
      </c>
      <c r="T20" s="215">
        <f t="shared" ca="1" si="9"/>
        <v>1</v>
      </c>
      <c r="U20" s="189">
        <f ca="1">INDIRECT("R[-1]",FALSE)+1</f>
        <v>6</v>
      </c>
      <c r="V20" s="215">
        <f ca="1">INDIRECT("R[-1]",FALSE)</f>
        <v>3</v>
      </c>
      <c r="W20" s="183" t="str">
        <f t="shared" ca="1" si="0"/>
        <v>239.8.12.106</v>
      </c>
      <c r="X20" s="183" t="s">
        <v>566</v>
      </c>
      <c r="Y20" s="275" t="s">
        <v>830</v>
      </c>
      <c r="Z20" s="189" t="s">
        <v>796</v>
      </c>
      <c r="AA20" s="189" t="s">
        <v>797</v>
      </c>
      <c r="AB20" s="189" t="s">
        <v>798</v>
      </c>
      <c r="AC20" s="189" t="str">
        <f t="shared" si="6"/>
        <v/>
      </c>
      <c r="AD20" s="220" t="str">
        <f t="shared" si="7"/>
        <v/>
      </c>
      <c r="AE20" s="277">
        <f t="shared" ca="1" si="8"/>
        <v>739</v>
      </c>
    </row>
    <row r="21" spans="1:31" x14ac:dyDescent="0.3">
      <c r="A21" s="226">
        <f t="shared" ca="1" si="4"/>
        <v>19</v>
      </c>
      <c r="B21" s="185" t="s">
        <v>639</v>
      </c>
      <c r="C21" s="188" t="s">
        <v>631</v>
      </c>
      <c r="D21" s="188">
        <v>11091</v>
      </c>
      <c r="E21" s="187">
        <v>227</v>
      </c>
      <c r="F21" s="188" t="s">
        <v>640</v>
      </c>
      <c r="G21" s="188" t="s">
        <v>641</v>
      </c>
      <c r="H21" s="188">
        <v>2.9</v>
      </c>
      <c r="I21" s="186" t="s">
        <v>562</v>
      </c>
      <c r="J21" s="188" t="s">
        <v>331</v>
      </c>
      <c r="K21" s="186" t="s">
        <v>563</v>
      </c>
      <c r="L21" s="188" t="s">
        <v>642</v>
      </c>
      <c r="M21" s="188">
        <v>128</v>
      </c>
      <c r="N21" s="205" t="s">
        <v>565</v>
      </c>
      <c r="O21" s="188" t="s">
        <v>643</v>
      </c>
      <c r="P21" s="188">
        <v>128</v>
      </c>
      <c r="Q21" s="221" t="s">
        <v>565</v>
      </c>
      <c r="R21" s="221"/>
      <c r="S21" s="281">
        <f t="shared" ref="S21:S26" ca="1" si="10">INDIRECT("R[-1]",FALSE)</f>
        <v>812</v>
      </c>
      <c r="T21" s="216">
        <v>2</v>
      </c>
      <c r="U21" s="188">
        <v>1</v>
      </c>
      <c r="V21" s="216">
        <v>4</v>
      </c>
      <c r="W21" s="186" t="str">
        <f t="shared" ca="1" si="0"/>
        <v>239.8.12.201</v>
      </c>
      <c r="X21" s="186" t="s">
        <v>566</v>
      </c>
      <c r="Y21" s="272" t="s">
        <v>830</v>
      </c>
      <c r="Z21" s="188" t="s">
        <v>796</v>
      </c>
      <c r="AA21" s="188" t="s">
        <v>797</v>
      </c>
      <c r="AB21" s="188" t="s">
        <v>798</v>
      </c>
      <c r="AC21" s="188" t="str">
        <f t="shared" si="6"/>
        <v>0x1013</v>
      </c>
      <c r="AD21" s="221" t="str">
        <f t="shared" si="7"/>
        <v/>
      </c>
      <c r="AE21" s="277">
        <f t="shared" ca="1" si="8"/>
        <v>739</v>
      </c>
    </row>
    <row r="22" spans="1:31" x14ac:dyDescent="0.3">
      <c r="A22" s="226">
        <f t="shared" ca="1" si="4"/>
        <v>20</v>
      </c>
      <c r="B22" s="185" t="s">
        <v>644</v>
      </c>
      <c r="C22" s="188" t="s">
        <v>631</v>
      </c>
      <c r="D22" s="188">
        <v>11091</v>
      </c>
      <c r="E22" s="188">
        <v>228</v>
      </c>
      <c r="F22" s="188" t="s">
        <v>645</v>
      </c>
      <c r="G22" s="188" t="s">
        <v>611</v>
      </c>
      <c r="H22" s="188">
        <v>1.78</v>
      </c>
      <c r="I22" s="186" t="s">
        <v>562</v>
      </c>
      <c r="J22" s="188" t="s">
        <v>331</v>
      </c>
      <c r="K22" s="186" t="s">
        <v>563</v>
      </c>
      <c r="L22" s="188" t="s">
        <v>646</v>
      </c>
      <c r="M22" s="188">
        <v>192</v>
      </c>
      <c r="N22" s="205" t="s">
        <v>565</v>
      </c>
      <c r="O22" s="188"/>
      <c r="P22" s="188"/>
      <c r="Q22" s="221"/>
      <c r="R22" s="221"/>
      <c r="S22" s="281">
        <f t="shared" ca="1" si="10"/>
        <v>812</v>
      </c>
      <c r="T22" s="213">
        <f t="shared" ref="T22:V26" ca="1" si="11">INDIRECT("R[-1]",FALSE)</f>
        <v>2</v>
      </c>
      <c r="U22" s="188">
        <f ca="1">INDIRECT("R[-1]",FALSE)+1</f>
        <v>2</v>
      </c>
      <c r="V22" s="213">
        <f t="shared" ca="1" si="11"/>
        <v>4</v>
      </c>
      <c r="W22" s="186" t="str">
        <f t="shared" ca="1" si="0"/>
        <v>239.8.12.202</v>
      </c>
      <c r="X22" s="186" t="s">
        <v>566</v>
      </c>
      <c r="Y22" s="272" t="s">
        <v>830</v>
      </c>
      <c r="Z22" s="188" t="s">
        <v>796</v>
      </c>
      <c r="AA22" s="188" t="s">
        <v>797</v>
      </c>
      <c r="AB22" s="188" t="s">
        <v>798</v>
      </c>
      <c r="AC22" s="188" t="str">
        <f t="shared" si="6"/>
        <v/>
      </c>
      <c r="AD22" s="221" t="str">
        <f t="shared" si="7"/>
        <v/>
      </c>
      <c r="AE22" s="277">
        <f t="shared" ca="1" si="8"/>
        <v>739</v>
      </c>
    </row>
    <row r="23" spans="1:31" x14ac:dyDescent="0.3">
      <c r="A23" s="226">
        <f t="shared" ca="1" si="4"/>
        <v>21</v>
      </c>
      <c r="B23" s="185" t="s">
        <v>647</v>
      </c>
      <c r="C23" s="188" t="s">
        <v>631</v>
      </c>
      <c r="D23" s="188">
        <v>11091</v>
      </c>
      <c r="E23" s="187">
        <v>229</v>
      </c>
      <c r="F23" s="188" t="s">
        <v>648</v>
      </c>
      <c r="G23" s="188" t="s">
        <v>585</v>
      </c>
      <c r="H23" s="188">
        <v>15</v>
      </c>
      <c r="I23" s="186" t="s">
        <v>562</v>
      </c>
      <c r="J23" s="188" t="s">
        <v>331</v>
      </c>
      <c r="K23" s="186" t="s">
        <v>563</v>
      </c>
      <c r="L23" s="188" t="s">
        <v>649</v>
      </c>
      <c r="M23" s="188">
        <v>128</v>
      </c>
      <c r="N23" s="205" t="s">
        <v>565</v>
      </c>
      <c r="O23" s="188" t="s">
        <v>650</v>
      </c>
      <c r="P23" s="188">
        <v>128</v>
      </c>
      <c r="Q23" s="221" t="s">
        <v>565</v>
      </c>
      <c r="R23" s="221"/>
      <c r="S23" s="281">
        <f t="shared" ca="1" si="10"/>
        <v>812</v>
      </c>
      <c r="T23" s="213">
        <f t="shared" ca="1" si="11"/>
        <v>2</v>
      </c>
      <c r="U23" s="188">
        <f ca="1">INDIRECT("R[-1]",FALSE)+1</f>
        <v>3</v>
      </c>
      <c r="V23" s="213">
        <f t="shared" ca="1" si="11"/>
        <v>4</v>
      </c>
      <c r="W23" s="186" t="str">
        <f t="shared" ca="1" si="0"/>
        <v>239.8.12.203</v>
      </c>
      <c r="X23" s="186" t="s">
        <v>566</v>
      </c>
      <c r="Y23" s="272" t="s">
        <v>830</v>
      </c>
      <c r="Z23" s="188" t="s">
        <v>796</v>
      </c>
      <c r="AA23" s="188" t="s">
        <v>797</v>
      </c>
      <c r="AB23" s="188" t="s">
        <v>798</v>
      </c>
      <c r="AC23" s="188" t="str">
        <f t="shared" si="6"/>
        <v>0x1013</v>
      </c>
      <c r="AD23" s="221" t="str">
        <f t="shared" si="7"/>
        <v/>
      </c>
      <c r="AE23" s="274">
        <v>738</v>
      </c>
    </row>
    <row r="24" spans="1:31" x14ac:dyDescent="0.3">
      <c r="A24" s="226">
        <f t="shared" ca="1" si="4"/>
        <v>22</v>
      </c>
      <c r="B24" s="185" t="s">
        <v>651</v>
      </c>
      <c r="C24" s="188" t="s">
        <v>631</v>
      </c>
      <c r="D24" s="188">
        <v>11091</v>
      </c>
      <c r="E24" s="187">
        <v>412</v>
      </c>
      <c r="F24" s="188" t="s">
        <v>652</v>
      </c>
      <c r="G24" s="188" t="s">
        <v>653</v>
      </c>
      <c r="H24" s="188">
        <v>1.78</v>
      </c>
      <c r="I24" s="186" t="s">
        <v>562</v>
      </c>
      <c r="J24" s="188" t="s">
        <v>331</v>
      </c>
      <c r="K24" s="186" t="s">
        <v>563</v>
      </c>
      <c r="L24" s="188" t="s">
        <v>654</v>
      </c>
      <c r="M24" s="188">
        <v>192</v>
      </c>
      <c r="N24" s="205" t="s">
        <v>565</v>
      </c>
      <c r="O24" s="188"/>
      <c r="P24" s="188"/>
      <c r="Q24" s="221"/>
      <c r="R24" s="221"/>
      <c r="S24" s="281">
        <f t="shared" ca="1" si="10"/>
        <v>812</v>
      </c>
      <c r="T24" s="213">
        <f t="shared" ca="1" si="11"/>
        <v>2</v>
      </c>
      <c r="U24" s="188">
        <f ca="1">INDIRECT("R[-1]",FALSE)+1</f>
        <v>4</v>
      </c>
      <c r="V24" s="213">
        <f t="shared" ca="1" si="11"/>
        <v>4</v>
      </c>
      <c r="W24" s="186" t="str">
        <f t="shared" ca="1" si="0"/>
        <v>239.8.12.204</v>
      </c>
      <c r="X24" s="186" t="s">
        <v>566</v>
      </c>
      <c r="Y24" s="272" t="s">
        <v>830</v>
      </c>
      <c r="Z24" s="188" t="s">
        <v>796</v>
      </c>
      <c r="AA24" s="188" t="s">
        <v>797</v>
      </c>
      <c r="AB24" s="188" t="s">
        <v>798</v>
      </c>
      <c r="AC24" s="188" t="str">
        <f t="shared" si="6"/>
        <v/>
      </c>
      <c r="AD24" s="221" t="str">
        <f t="shared" si="7"/>
        <v/>
      </c>
      <c r="AE24" s="274">
        <f t="shared" ref="AE24:AE32" ca="1" si="12">INDIRECT("R[-1]",FALSE)</f>
        <v>738</v>
      </c>
    </row>
    <row r="25" spans="1:31" x14ac:dyDescent="0.3">
      <c r="A25" s="226">
        <f t="shared" ca="1" si="4"/>
        <v>23</v>
      </c>
      <c r="B25" s="185" t="s">
        <v>655</v>
      </c>
      <c r="C25" s="188" t="s">
        <v>656</v>
      </c>
      <c r="D25" s="188">
        <v>11093</v>
      </c>
      <c r="E25" s="187">
        <v>250</v>
      </c>
      <c r="F25" s="188" t="s">
        <v>657</v>
      </c>
      <c r="G25" s="188" t="s">
        <v>658</v>
      </c>
      <c r="H25" s="188">
        <v>15</v>
      </c>
      <c r="I25" s="186" t="s">
        <v>562</v>
      </c>
      <c r="J25" s="188" t="s">
        <v>331</v>
      </c>
      <c r="K25" s="186" t="s">
        <v>563</v>
      </c>
      <c r="L25" s="188" t="s">
        <v>659</v>
      </c>
      <c r="M25" s="188">
        <v>128</v>
      </c>
      <c r="N25" s="205" t="s">
        <v>562</v>
      </c>
      <c r="O25" s="188" t="s">
        <v>660</v>
      </c>
      <c r="P25" s="188">
        <v>128</v>
      </c>
      <c r="Q25" s="221" t="s">
        <v>562</v>
      </c>
      <c r="R25" s="221"/>
      <c r="S25" s="281">
        <f t="shared" ca="1" si="10"/>
        <v>812</v>
      </c>
      <c r="T25" s="213">
        <f t="shared" ca="1" si="11"/>
        <v>2</v>
      </c>
      <c r="U25" s="188">
        <f ca="1">INDIRECT("R[-1]",FALSE)+1</f>
        <v>5</v>
      </c>
      <c r="V25" s="213">
        <f t="shared" ca="1" si="11"/>
        <v>4</v>
      </c>
      <c r="W25" s="186" t="str">
        <f t="shared" ca="1" si="0"/>
        <v>239.8.12.205</v>
      </c>
      <c r="X25" s="186" t="s">
        <v>566</v>
      </c>
      <c r="Y25" s="272" t="s">
        <v>830</v>
      </c>
      <c r="Z25" s="188" t="s">
        <v>796</v>
      </c>
      <c r="AA25" s="188" t="s">
        <v>797</v>
      </c>
      <c r="AB25" s="188" t="s">
        <v>798</v>
      </c>
      <c r="AC25" s="188" t="str">
        <f t="shared" si="6"/>
        <v>0x1013</v>
      </c>
      <c r="AD25" s="221" t="str">
        <f t="shared" si="7"/>
        <v/>
      </c>
      <c r="AE25" s="274">
        <f t="shared" ca="1" si="12"/>
        <v>738</v>
      </c>
    </row>
    <row r="26" spans="1:31" x14ac:dyDescent="0.3">
      <c r="A26" s="226">
        <f t="shared" ca="1" si="4"/>
        <v>24</v>
      </c>
      <c r="B26" s="185" t="s">
        <v>661</v>
      </c>
      <c r="C26" s="188" t="s">
        <v>656</v>
      </c>
      <c r="D26" s="188">
        <v>11093</v>
      </c>
      <c r="E26" s="187">
        <v>257</v>
      </c>
      <c r="F26" s="188" t="s">
        <v>662</v>
      </c>
      <c r="G26" s="188" t="s">
        <v>663</v>
      </c>
      <c r="H26" s="188">
        <v>4</v>
      </c>
      <c r="I26" s="186" t="s">
        <v>562</v>
      </c>
      <c r="J26" s="188" t="s">
        <v>331</v>
      </c>
      <c r="K26" s="186" t="s">
        <v>563</v>
      </c>
      <c r="L26" s="188" t="s">
        <v>664</v>
      </c>
      <c r="M26" s="188">
        <v>128</v>
      </c>
      <c r="N26" s="205" t="s">
        <v>565</v>
      </c>
      <c r="O26" s="188"/>
      <c r="P26" s="188"/>
      <c r="Q26" s="221"/>
      <c r="R26" s="221"/>
      <c r="S26" s="281">
        <f t="shared" ca="1" si="10"/>
        <v>812</v>
      </c>
      <c r="T26" s="213">
        <f t="shared" ca="1" si="11"/>
        <v>2</v>
      </c>
      <c r="U26" s="188">
        <f ca="1">INDIRECT("R[-1]",FALSE)+1</f>
        <v>6</v>
      </c>
      <c r="V26" s="213">
        <f t="shared" ca="1" si="11"/>
        <v>4</v>
      </c>
      <c r="W26" s="186" t="str">
        <f t="shared" ca="1" si="0"/>
        <v>239.8.12.206</v>
      </c>
      <c r="X26" s="186" t="s">
        <v>566</v>
      </c>
      <c r="Y26" s="272" t="s">
        <v>830</v>
      </c>
      <c r="Z26" s="188" t="s">
        <v>796</v>
      </c>
      <c r="AA26" s="188" t="s">
        <v>797</v>
      </c>
      <c r="AB26" s="188" t="s">
        <v>798</v>
      </c>
      <c r="AC26" s="188" t="str">
        <f t="shared" si="6"/>
        <v/>
      </c>
      <c r="AD26" s="221" t="str">
        <f t="shared" si="7"/>
        <v/>
      </c>
      <c r="AE26" s="274">
        <f t="shared" ca="1" si="12"/>
        <v>738</v>
      </c>
    </row>
    <row r="27" spans="1:31" x14ac:dyDescent="0.3">
      <c r="A27" s="226">
        <f t="shared" ca="1" si="4"/>
        <v>25</v>
      </c>
      <c r="B27" s="182" t="s">
        <v>665</v>
      </c>
      <c r="C27" s="189" t="s">
        <v>656</v>
      </c>
      <c r="D27" s="189">
        <v>11093</v>
      </c>
      <c r="E27" s="184">
        <v>259</v>
      </c>
      <c r="F27" s="189" t="s">
        <v>666</v>
      </c>
      <c r="G27" s="189" t="s">
        <v>667</v>
      </c>
      <c r="H27" s="189">
        <v>1.78</v>
      </c>
      <c r="I27" s="183" t="s">
        <v>562</v>
      </c>
      <c r="J27" s="189" t="s">
        <v>331</v>
      </c>
      <c r="K27" s="183" t="s">
        <v>563</v>
      </c>
      <c r="L27" s="189" t="s">
        <v>668</v>
      </c>
      <c r="M27" s="189">
        <v>192</v>
      </c>
      <c r="N27" s="204" t="s">
        <v>565</v>
      </c>
      <c r="O27" s="189"/>
      <c r="P27" s="189"/>
      <c r="Q27" s="220"/>
      <c r="R27" s="220"/>
      <c r="S27" s="282">
        <v>810</v>
      </c>
      <c r="T27" s="214">
        <v>1</v>
      </c>
      <c r="U27" s="189">
        <v>1</v>
      </c>
      <c r="V27" s="214">
        <v>5</v>
      </c>
      <c r="W27" s="183" t="str">
        <f t="shared" si="0"/>
        <v>239.8.10.101</v>
      </c>
      <c r="X27" s="183" t="s">
        <v>566</v>
      </c>
      <c r="Y27" s="275" t="s">
        <v>830</v>
      </c>
      <c r="Z27" s="189" t="s">
        <v>796</v>
      </c>
      <c r="AA27" s="189" t="s">
        <v>797</v>
      </c>
      <c r="AB27" s="189" t="s">
        <v>798</v>
      </c>
      <c r="AC27" s="189" t="str">
        <f t="shared" si="6"/>
        <v/>
      </c>
      <c r="AD27" s="220" t="str">
        <f t="shared" si="7"/>
        <v/>
      </c>
      <c r="AE27" s="274">
        <f t="shared" ca="1" si="12"/>
        <v>738</v>
      </c>
    </row>
    <row r="28" spans="1:31" x14ac:dyDescent="0.3">
      <c r="A28" s="226">
        <f t="shared" ca="1" si="4"/>
        <v>26</v>
      </c>
      <c r="B28" s="182" t="s">
        <v>669</v>
      </c>
      <c r="C28" s="189" t="s">
        <v>670</v>
      </c>
      <c r="D28" s="189">
        <v>11094</v>
      </c>
      <c r="E28" s="184">
        <v>309</v>
      </c>
      <c r="F28" s="189" t="s">
        <v>671</v>
      </c>
      <c r="G28" s="189" t="s">
        <v>672</v>
      </c>
      <c r="H28" s="189">
        <v>2.7370000000000001</v>
      </c>
      <c r="I28" s="183" t="s">
        <v>562</v>
      </c>
      <c r="J28" s="189" t="s">
        <v>331</v>
      </c>
      <c r="K28" s="183" t="s">
        <v>563</v>
      </c>
      <c r="L28" s="189" t="s">
        <v>673</v>
      </c>
      <c r="M28" s="189">
        <v>128</v>
      </c>
      <c r="N28" s="204" t="s">
        <v>565</v>
      </c>
      <c r="O28" s="189"/>
      <c r="P28" s="189"/>
      <c r="Q28" s="220"/>
      <c r="R28" s="220"/>
      <c r="S28" s="282">
        <f t="shared" ref="S28:T32" ca="1" si="13">INDIRECT("R[-1]",FALSE)</f>
        <v>810</v>
      </c>
      <c r="T28" s="215">
        <f t="shared" ca="1" si="13"/>
        <v>1</v>
      </c>
      <c r="U28" s="189">
        <f ca="1">INDIRECT("R[-1]",FALSE)+1</f>
        <v>2</v>
      </c>
      <c r="V28" s="215">
        <f ca="1">INDIRECT("R[-1]",FALSE)</f>
        <v>5</v>
      </c>
      <c r="W28" s="183" t="str">
        <f t="shared" ca="1" si="0"/>
        <v>239.8.10.102</v>
      </c>
      <c r="X28" s="183" t="s">
        <v>566</v>
      </c>
      <c r="Y28" s="275" t="s">
        <v>830</v>
      </c>
      <c r="Z28" s="189" t="s">
        <v>796</v>
      </c>
      <c r="AA28" s="189" t="s">
        <v>797</v>
      </c>
      <c r="AB28" s="189" t="s">
        <v>798</v>
      </c>
      <c r="AC28" s="189" t="str">
        <f t="shared" si="6"/>
        <v/>
      </c>
      <c r="AD28" s="220" t="str">
        <f t="shared" si="7"/>
        <v/>
      </c>
      <c r="AE28" s="274">
        <f t="shared" ca="1" si="12"/>
        <v>738</v>
      </c>
    </row>
    <row r="29" spans="1:31" x14ac:dyDescent="0.3">
      <c r="A29" s="226">
        <f t="shared" ca="1" si="4"/>
        <v>27</v>
      </c>
      <c r="B29" s="182" t="s">
        <v>674</v>
      </c>
      <c r="C29" s="189" t="s">
        <v>670</v>
      </c>
      <c r="D29" s="189">
        <v>11094</v>
      </c>
      <c r="E29" s="184">
        <v>310</v>
      </c>
      <c r="F29" s="189" t="s">
        <v>675</v>
      </c>
      <c r="G29" s="189" t="s">
        <v>676</v>
      </c>
      <c r="H29" s="189">
        <v>1.78</v>
      </c>
      <c r="I29" s="183" t="s">
        <v>562</v>
      </c>
      <c r="J29" s="189" t="s">
        <v>331</v>
      </c>
      <c r="K29" s="183" t="s">
        <v>563</v>
      </c>
      <c r="L29" s="189" t="s">
        <v>677</v>
      </c>
      <c r="M29" s="189">
        <v>192</v>
      </c>
      <c r="N29" s="204" t="s">
        <v>565</v>
      </c>
      <c r="O29" s="189"/>
      <c r="P29" s="189"/>
      <c r="Q29" s="220"/>
      <c r="R29" s="220"/>
      <c r="S29" s="282">
        <f t="shared" ca="1" si="13"/>
        <v>810</v>
      </c>
      <c r="T29" s="215">
        <f t="shared" ca="1" si="13"/>
        <v>1</v>
      </c>
      <c r="U29" s="189">
        <f ca="1">INDIRECT("R[-1]",FALSE)+1</f>
        <v>3</v>
      </c>
      <c r="V29" s="215">
        <f ca="1">INDIRECT("R[-1]",FALSE)</f>
        <v>5</v>
      </c>
      <c r="W29" s="183" t="str">
        <f t="shared" ca="1" si="0"/>
        <v>239.8.10.103</v>
      </c>
      <c r="X29" s="183" t="s">
        <v>566</v>
      </c>
      <c r="Y29" s="275" t="s">
        <v>830</v>
      </c>
      <c r="Z29" s="189" t="s">
        <v>796</v>
      </c>
      <c r="AA29" s="189" t="s">
        <v>797</v>
      </c>
      <c r="AB29" s="189" t="s">
        <v>798</v>
      </c>
      <c r="AC29" s="189" t="str">
        <f t="shared" si="6"/>
        <v/>
      </c>
      <c r="AD29" s="220" t="str">
        <f t="shared" si="7"/>
        <v/>
      </c>
      <c r="AE29" s="274">
        <f t="shared" ca="1" si="12"/>
        <v>738</v>
      </c>
    </row>
    <row r="30" spans="1:31" x14ac:dyDescent="0.3">
      <c r="A30" s="226">
        <f t="shared" ca="1" si="4"/>
        <v>28</v>
      </c>
      <c r="B30" s="182" t="s">
        <v>678</v>
      </c>
      <c r="C30" s="189" t="s">
        <v>670</v>
      </c>
      <c r="D30" s="189">
        <v>11094</v>
      </c>
      <c r="E30" s="184">
        <v>312</v>
      </c>
      <c r="F30" s="189" t="s">
        <v>679</v>
      </c>
      <c r="G30" s="189" t="s">
        <v>680</v>
      </c>
      <c r="H30" s="189">
        <v>1.78</v>
      </c>
      <c r="I30" s="183" t="s">
        <v>562</v>
      </c>
      <c r="J30" s="189" t="s">
        <v>331</v>
      </c>
      <c r="K30" s="183" t="s">
        <v>563</v>
      </c>
      <c r="L30" s="189" t="s">
        <v>681</v>
      </c>
      <c r="M30" s="189">
        <v>192</v>
      </c>
      <c r="N30" s="204" t="s">
        <v>565</v>
      </c>
      <c r="O30" s="189"/>
      <c r="P30" s="189"/>
      <c r="Q30" s="220"/>
      <c r="R30" s="220"/>
      <c r="S30" s="282">
        <f t="shared" ca="1" si="13"/>
        <v>810</v>
      </c>
      <c r="T30" s="215">
        <f t="shared" ca="1" si="13"/>
        <v>1</v>
      </c>
      <c r="U30" s="189">
        <f ca="1">INDIRECT("R[-1]",FALSE)+1</f>
        <v>4</v>
      </c>
      <c r="V30" s="215">
        <f ca="1">INDIRECT("R[-1]",FALSE)</f>
        <v>5</v>
      </c>
      <c r="W30" s="183" t="str">
        <f t="shared" ca="1" si="0"/>
        <v>239.8.10.104</v>
      </c>
      <c r="X30" s="183" t="s">
        <v>566</v>
      </c>
      <c r="Y30" s="275" t="s">
        <v>830</v>
      </c>
      <c r="Z30" s="189" t="s">
        <v>796</v>
      </c>
      <c r="AA30" s="189" t="s">
        <v>797</v>
      </c>
      <c r="AB30" s="189" t="s">
        <v>798</v>
      </c>
      <c r="AC30" s="189" t="str">
        <f t="shared" si="6"/>
        <v/>
      </c>
      <c r="AD30" s="220" t="str">
        <f t="shared" si="7"/>
        <v/>
      </c>
      <c r="AE30" s="274">
        <f t="shared" ca="1" si="12"/>
        <v>738</v>
      </c>
    </row>
    <row r="31" spans="1:31" x14ac:dyDescent="0.3">
      <c r="A31" s="226">
        <f t="shared" ca="1" si="4"/>
        <v>29</v>
      </c>
      <c r="B31" s="182" t="s">
        <v>682</v>
      </c>
      <c r="C31" s="189" t="s">
        <v>670</v>
      </c>
      <c r="D31" s="189">
        <v>11094</v>
      </c>
      <c r="E31" s="184">
        <v>330</v>
      </c>
      <c r="F31" s="189" t="s">
        <v>683</v>
      </c>
      <c r="G31" s="189" t="s">
        <v>684</v>
      </c>
      <c r="H31" s="189">
        <v>1.78</v>
      </c>
      <c r="I31" s="183" t="s">
        <v>562</v>
      </c>
      <c r="J31" s="189" t="s">
        <v>331</v>
      </c>
      <c r="K31" s="183" t="s">
        <v>563</v>
      </c>
      <c r="L31" s="189" t="s">
        <v>685</v>
      </c>
      <c r="M31" s="189">
        <v>192</v>
      </c>
      <c r="N31" s="204" t="s">
        <v>565</v>
      </c>
      <c r="O31" s="189"/>
      <c r="P31" s="189"/>
      <c r="Q31" s="220"/>
      <c r="R31" s="220"/>
      <c r="S31" s="282">
        <f t="shared" ca="1" si="13"/>
        <v>810</v>
      </c>
      <c r="T31" s="215">
        <f t="shared" ca="1" si="13"/>
        <v>1</v>
      </c>
      <c r="U31" s="189">
        <f ca="1">INDIRECT("R[-1]",FALSE)+1</f>
        <v>5</v>
      </c>
      <c r="V31" s="215">
        <f ca="1">INDIRECT("R[-1]",FALSE)</f>
        <v>5</v>
      </c>
      <c r="W31" s="183" t="str">
        <f t="shared" ca="1" si="0"/>
        <v>239.8.10.105</v>
      </c>
      <c r="X31" s="183" t="s">
        <v>566</v>
      </c>
      <c r="Y31" s="275" t="s">
        <v>830</v>
      </c>
      <c r="Z31" s="189" t="s">
        <v>796</v>
      </c>
      <c r="AA31" s="189" t="s">
        <v>797</v>
      </c>
      <c r="AB31" s="189" t="s">
        <v>798</v>
      </c>
      <c r="AC31" s="189" t="str">
        <f t="shared" si="6"/>
        <v/>
      </c>
      <c r="AD31" s="220" t="str">
        <f t="shared" si="7"/>
        <v/>
      </c>
      <c r="AE31" s="274">
        <f t="shared" ca="1" si="12"/>
        <v>738</v>
      </c>
    </row>
    <row r="32" spans="1:31" x14ac:dyDescent="0.3">
      <c r="A32" s="226">
        <f t="shared" ca="1" si="4"/>
        <v>30</v>
      </c>
      <c r="B32" s="182" t="s">
        <v>686</v>
      </c>
      <c r="C32" s="189" t="s">
        <v>687</v>
      </c>
      <c r="D32" s="189">
        <v>11100</v>
      </c>
      <c r="E32" s="184">
        <v>100</v>
      </c>
      <c r="F32" s="189" t="s">
        <v>688</v>
      </c>
      <c r="G32" s="189" t="s">
        <v>616</v>
      </c>
      <c r="H32" s="189">
        <v>4</v>
      </c>
      <c r="I32" s="183" t="s">
        <v>562</v>
      </c>
      <c r="J32" s="189" t="s">
        <v>331</v>
      </c>
      <c r="K32" s="183" t="s">
        <v>563</v>
      </c>
      <c r="L32" s="189" t="s">
        <v>689</v>
      </c>
      <c r="M32" s="189">
        <v>192</v>
      </c>
      <c r="N32" s="204" t="s">
        <v>565</v>
      </c>
      <c r="O32" s="189"/>
      <c r="P32" s="189"/>
      <c r="Q32" s="220"/>
      <c r="R32" s="220"/>
      <c r="S32" s="282">
        <f t="shared" ca="1" si="13"/>
        <v>810</v>
      </c>
      <c r="T32" s="215">
        <f t="shared" ca="1" si="13"/>
        <v>1</v>
      </c>
      <c r="U32" s="189">
        <f ca="1">INDIRECT("R[-1]",FALSE)+1</f>
        <v>6</v>
      </c>
      <c r="V32" s="215">
        <f ca="1">INDIRECT("R[-1]",FALSE)</f>
        <v>5</v>
      </c>
      <c r="W32" s="183" t="str">
        <f t="shared" ca="1" si="0"/>
        <v>239.8.10.106</v>
      </c>
      <c r="X32" s="183" t="s">
        <v>566</v>
      </c>
      <c r="Y32" s="275" t="s">
        <v>830</v>
      </c>
      <c r="Z32" s="189" t="s">
        <v>796</v>
      </c>
      <c r="AA32" s="189" t="s">
        <v>797</v>
      </c>
      <c r="AB32" s="189" t="s">
        <v>798</v>
      </c>
      <c r="AC32" s="189" t="str">
        <f t="shared" si="6"/>
        <v/>
      </c>
      <c r="AD32" s="220" t="str">
        <f t="shared" si="7"/>
        <v/>
      </c>
      <c r="AE32" s="274">
        <f t="shared" ca="1" si="12"/>
        <v>738</v>
      </c>
    </row>
    <row r="33" spans="1:31" x14ac:dyDescent="0.3">
      <c r="A33" s="226">
        <f t="shared" ca="1" si="4"/>
        <v>31</v>
      </c>
      <c r="B33" s="185" t="s">
        <v>690</v>
      </c>
      <c r="C33" s="188" t="s">
        <v>687</v>
      </c>
      <c r="D33" s="188">
        <v>11100</v>
      </c>
      <c r="E33" s="188">
        <v>402</v>
      </c>
      <c r="F33" s="188" t="s">
        <v>691</v>
      </c>
      <c r="G33" s="188" t="s">
        <v>692</v>
      </c>
      <c r="H33" s="188">
        <v>2.484</v>
      </c>
      <c r="I33" s="186" t="s">
        <v>562</v>
      </c>
      <c r="J33" s="188" t="s">
        <v>331</v>
      </c>
      <c r="K33" s="186" t="s">
        <v>563</v>
      </c>
      <c r="L33" s="188" t="s">
        <v>693</v>
      </c>
      <c r="M33" s="188">
        <v>192</v>
      </c>
      <c r="N33" s="205" t="s">
        <v>565</v>
      </c>
      <c r="O33" s="188" t="s">
        <v>694</v>
      </c>
      <c r="P33" s="188">
        <v>192</v>
      </c>
      <c r="Q33" s="221" t="s">
        <v>565</v>
      </c>
      <c r="R33" s="221"/>
      <c r="S33" s="282">
        <f t="shared" ref="S33:S38" ca="1" si="14">INDIRECT("R[-1]",FALSE)</f>
        <v>810</v>
      </c>
      <c r="T33" s="216">
        <v>2</v>
      </c>
      <c r="U33" s="188">
        <v>1</v>
      </c>
      <c r="V33" s="216">
        <v>6</v>
      </c>
      <c r="W33" s="186" t="str">
        <f t="shared" ca="1" si="0"/>
        <v>239.8.10.201</v>
      </c>
      <c r="X33" s="186" t="s">
        <v>566</v>
      </c>
      <c r="Y33" s="272" t="s">
        <v>830</v>
      </c>
      <c r="Z33" s="188" t="s">
        <v>796</v>
      </c>
      <c r="AA33" s="188" t="s">
        <v>797</v>
      </c>
      <c r="AB33" s="188" t="s">
        <v>798</v>
      </c>
      <c r="AC33" s="188" t="str">
        <f t="shared" si="6"/>
        <v>0x1013</v>
      </c>
      <c r="AD33" s="221" t="str">
        <f t="shared" si="7"/>
        <v/>
      </c>
      <c r="AE33" s="277">
        <v>737</v>
      </c>
    </row>
    <row r="34" spans="1:31" x14ac:dyDescent="0.3">
      <c r="A34" s="226">
        <f t="shared" ca="1" si="4"/>
        <v>32</v>
      </c>
      <c r="B34" s="185" t="s">
        <v>696</v>
      </c>
      <c r="C34" s="188" t="s">
        <v>687</v>
      </c>
      <c r="D34" s="188">
        <v>11100</v>
      </c>
      <c r="E34" s="187">
        <v>404</v>
      </c>
      <c r="F34" s="188" t="s">
        <v>697</v>
      </c>
      <c r="G34" s="188" t="s">
        <v>698</v>
      </c>
      <c r="H34" s="188">
        <v>3.18</v>
      </c>
      <c r="I34" s="186" t="s">
        <v>562</v>
      </c>
      <c r="J34" s="188" t="s">
        <v>331</v>
      </c>
      <c r="K34" s="186" t="s">
        <v>563</v>
      </c>
      <c r="L34" s="188" t="s">
        <v>613</v>
      </c>
      <c r="M34" s="188">
        <v>192</v>
      </c>
      <c r="N34" s="205" t="s">
        <v>565</v>
      </c>
      <c r="O34" s="188" t="s">
        <v>699</v>
      </c>
      <c r="P34" s="188">
        <v>192</v>
      </c>
      <c r="Q34" s="221" t="s">
        <v>565</v>
      </c>
      <c r="R34" s="221"/>
      <c r="S34" s="282">
        <f t="shared" ca="1" si="14"/>
        <v>810</v>
      </c>
      <c r="T34" s="213">
        <f t="shared" ref="T34:V38" ca="1" si="15">INDIRECT("R[-1]",FALSE)</f>
        <v>2</v>
      </c>
      <c r="U34" s="188">
        <f ca="1">INDIRECT("R[-1]",FALSE)+1</f>
        <v>2</v>
      </c>
      <c r="V34" s="213">
        <f t="shared" ca="1" si="15"/>
        <v>6</v>
      </c>
      <c r="W34" s="186" t="str">
        <f t="shared" ca="1" si="0"/>
        <v>239.8.10.202</v>
      </c>
      <c r="X34" s="186" t="s">
        <v>566</v>
      </c>
      <c r="Y34" s="272" t="s">
        <v>830</v>
      </c>
      <c r="Z34" s="188" t="s">
        <v>796</v>
      </c>
      <c r="AA34" s="188" t="s">
        <v>797</v>
      </c>
      <c r="AB34" s="188" t="s">
        <v>798</v>
      </c>
      <c r="AC34" s="188" t="str">
        <f t="shared" si="6"/>
        <v>0x1013</v>
      </c>
      <c r="AD34" s="221" t="str">
        <f t="shared" si="7"/>
        <v/>
      </c>
      <c r="AE34" s="277">
        <f t="shared" ref="AE34:AE42" ca="1" si="16">INDIRECT("R[-1]",FALSE)</f>
        <v>737</v>
      </c>
    </row>
    <row r="35" spans="1:31" x14ac:dyDescent="0.3">
      <c r="A35" s="226">
        <f t="shared" ca="1" si="4"/>
        <v>33</v>
      </c>
      <c r="B35" s="185" t="s">
        <v>700</v>
      </c>
      <c r="C35" s="188" t="s">
        <v>687</v>
      </c>
      <c r="D35" s="188">
        <v>11100</v>
      </c>
      <c r="E35" s="187">
        <v>408</v>
      </c>
      <c r="F35" s="188" t="s">
        <v>701</v>
      </c>
      <c r="G35" s="188" t="s">
        <v>702</v>
      </c>
      <c r="H35" s="188">
        <v>2.9</v>
      </c>
      <c r="I35" s="186" t="s">
        <v>562</v>
      </c>
      <c r="J35" s="188" t="s">
        <v>331</v>
      </c>
      <c r="K35" s="186" t="s">
        <v>563</v>
      </c>
      <c r="L35" s="188" t="s">
        <v>703</v>
      </c>
      <c r="M35" s="188">
        <v>96</v>
      </c>
      <c r="N35" s="205" t="s">
        <v>565</v>
      </c>
      <c r="O35" s="188" t="s">
        <v>704</v>
      </c>
      <c r="P35" s="188">
        <v>96</v>
      </c>
      <c r="Q35" s="221" t="s">
        <v>565</v>
      </c>
      <c r="R35" s="221"/>
      <c r="S35" s="282">
        <f t="shared" ca="1" si="14"/>
        <v>810</v>
      </c>
      <c r="T35" s="213">
        <f t="shared" ca="1" si="15"/>
        <v>2</v>
      </c>
      <c r="U35" s="188">
        <f ca="1">INDIRECT("R[-1]",FALSE)+1</f>
        <v>3</v>
      </c>
      <c r="V35" s="213">
        <f t="shared" ca="1" si="15"/>
        <v>6</v>
      </c>
      <c r="W35" s="186" t="str">
        <f t="shared" ref="W35:W62" ca="1" si="17">"239.8."&amp;RIGHT(S35,2)&amp;"."&amp;(T35*100)+U35</f>
        <v>239.8.10.203</v>
      </c>
      <c r="X35" s="186" t="s">
        <v>566</v>
      </c>
      <c r="Y35" s="272" t="s">
        <v>830</v>
      </c>
      <c r="Z35" s="188" t="s">
        <v>796</v>
      </c>
      <c r="AA35" s="188" t="s">
        <v>797</v>
      </c>
      <c r="AB35" s="188" t="s">
        <v>798</v>
      </c>
      <c r="AC35" s="188" t="str">
        <f t="shared" si="6"/>
        <v>0x1013</v>
      </c>
      <c r="AD35" s="221" t="str">
        <f t="shared" si="7"/>
        <v/>
      </c>
      <c r="AE35" s="277">
        <f t="shared" ca="1" si="16"/>
        <v>737</v>
      </c>
    </row>
    <row r="36" spans="1:31" x14ac:dyDescent="0.3">
      <c r="A36" s="226">
        <f t="shared" ca="1" si="4"/>
        <v>34</v>
      </c>
      <c r="B36" s="185" t="s">
        <v>705</v>
      </c>
      <c r="C36" s="188" t="s">
        <v>687</v>
      </c>
      <c r="D36" s="188">
        <v>11100</v>
      </c>
      <c r="E36" s="187">
        <v>410</v>
      </c>
      <c r="F36" s="188" t="s">
        <v>706</v>
      </c>
      <c r="G36" s="188" t="s">
        <v>707</v>
      </c>
      <c r="H36" s="188">
        <v>4.0999999999999996</v>
      </c>
      <c r="I36" s="186" t="s">
        <v>562</v>
      </c>
      <c r="J36" s="188" t="s">
        <v>331</v>
      </c>
      <c r="K36" s="186" t="s">
        <v>563</v>
      </c>
      <c r="L36" s="188" t="s">
        <v>708</v>
      </c>
      <c r="M36" s="188">
        <v>128</v>
      </c>
      <c r="N36" s="205" t="s">
        <v>562</v>
      </c>
      <c r="O36" s="188"/>
      <c r="P36" s="188"/>
      <c r="Q36" s="221"/>
      <c r="R36" s="221"/>
      <c r="S36" s="282">
        <f t="shared" ca="1" si="14"/>
        <v>810</v>
      </c>
      <c r="T36" s="213">
        <f t="shared" ca="1" si="15"/>
        <v>2</v>
      </c>
      <c r="U36" s="188">
        <f ca="1">INDIRECT("R[-1]",FALSE)+1</f>
        <v>4</v>
      </c>
      <c r="V36" s="213">
        <f t="shared" ca="1" si="15"/>
        <v>6</v>
      </c>
      <c r="W36" s="186" t="str">
        <f t="shared" ca="1" si="17"/>
        <v>239.8.10.204</v>
      </c>
      <c r="X36" s="186" t="s">
        <v>566</v>
      </c>
      <c r="Y36" s="272" t="s">
        <v>830</v>
      </c>
      <c r="Z36" s="188" t="s">
        <v>796</v>
      </c>
      <c r="AA36" s="188" t="s">
        <v>797</v>
      </c>
      <c r="AB36" s="188" t="s">
        <v>798</v>
      </c>
      <c r="AC36" s="188" t="str">
        <f t="shared" si="6"/>
        <v/>
      </c>
      <c r="AD36" s="221" t="str">
        <f t="shared" si="7"/>
        <v/>
      </c>
      <c r="AE36" s="277">
        <f t="shared" ca="1" si="16"/>
        <v>737</v>
      </c>
    </row>
    <row r="37" spans="1:31" x14ac:dyDescent="0.3">
      <c r="A37" s="226">
        <f t="shared" ca="1" si="4"/>
        <v>35</v>
      </c>
      <c r="B37" s="185" t="s">
        <v>709</v>
      </c>
      <c r="C37" s="188" t="s">
        <v>710</v>
      </c>
      <c r="D37" s="188">
        <v>11101</v>
      </c>
      <c r="E37" s="187">
        <v>503</v>
      </c>
      <c r="F37" s="188" t="s">
        <v>711</v>
      </c>
      <c r="G37" s="188" t="s">
        <v>616</v>
      </c>
      <c r="H37" s="188">
        <v>4</v>
      </c>
      <c r="I37" s="186" t="s">
        <v>562</v>
      </c>
      <c r="J37" s="188" t="s">
        <v>331</v>
      </c>
      <c r="K37" s="186" t="s">
        <v>563</v>
      </c>
      <c r="L37" s="188" t="s">
        <v>712</v>
      </c>
      <c r="M37" s="188">
        <v>128</v>
      </c>
      <c r="N37" s="205" t="s">
        <v>565</v>
      </c>
      <c r="O37" s="188"/>
      <c r="P37" s="188"/>
      <c r="Q37" s="221"/>
      <c r="R37" s="221"/>
      <c r="S37" s="282">
        <f t="shared" ca="1" si="14"/>
        <v>810</v>
      </c>
      <c r="T37" s="213">
        <f t="shared" ca="1" si="15"/>
        <v>2</v>
      </c>
      <c r="U37" s="188">
        <f ca="1">INDIRECT("R[-1]",FALSE)+1</f>
        <v>5</v>
      </c>
      <c r="V37" s="213">
        <f t="shared" ca="1" si="15"/>
        <v>6</v>
      </c>
      <c r="W37" s="186" t="str">
        <f t="shared" ca="1" si="17"/>
        <v>239.8.10.205</v>
      </c>
      <c r="X37" s="186" t="s">
        <v>566</v>
      </c>
      <c r="Y37" s="272" t="s">
        <v>830</v>
      </c>
      <c r="Z37" s="188" t="s">
        <v>796</v>
      </c>
      <c r="AA37" s="188" t="s">
        <v>797</v>
      </c>
      <c r="AB37" s="188" t="s">
        <v>798</v>
      </c>
      <c r="AC37" s="188" t="str">
        <f t="shared" si="6"/>
        <v/>
      </c>
      <c r="AD37" s="221" t="str">
        <f t="shared" si="7"/>
        <v/>
      </c>
      <c r="AE37" s="277">
        <f t="shared" ca="1" si="16"/>
        <v>737</v>
      </c>
    </row>
    <row r="38" spans="1:31" x14ac:dyDescent="0.3">
      <c r="A38" s="226">
        <f t="shared" ca="1" si="4"/>
        <v>36</v>
      </c>
      <c r="B38" s="185" t="s">
        <v>713</v>
      </c>
      <c r="C38" s="188" t="s">
        <v>710</v>
      </c>
      <c r="D38" s="188">
        <v>11101</v>
      </c>
      <c r="E38" s="187">
        <v>508</v>
      </c>
      <c r="F38" s="188" t="s">
        <v>714</v>
      </c>
      <c r="G38" s="188" t="s">
        <v>707</v>
      </c>
      <c r="H38" s="188">
        <v>15</v>
      </c>
      <c r="I38" s="186" t="s">
        <v>562</v>
      </c>
      <c r="J38" s="188" t="s">
        <v>331</v>
      </c>
      <c r="K38" s="186" t="s">
        <v>563</v>
      </c>
      <c r="L38" s="188" t="s">
        <v>708</v>
      </c>
      <c r="M38" s="188">
        <v>128</v>
      </c>
      <c r="N38" s="205" t="s">
        <v>562</v>
      </c>
      <c r="O38" s="188" t="s">
        <v>715</v>
      </c>
      <c r="P38" s="188">
        <v>128</v>
      </c>
      <c r="Q38" s="221" t="s">
        <v>562</v>
      </c>
      <c r="R38" s="221"/>
      <c r="S38" s="282">
        <f t="shared" ca="1" si="14"/>
        <v>810</v>
      </c>
      <c r="T38" s="213">
        <f t="shared" ca="1" si="15"/>
        <v>2</v>
      </c>
      <c r="U38" s="188">
        <f ca="1">INDIRECT("R[-1]",FALSE)+1</f>
        <v>6</v>
      </c>
      <c r="V38" s="213">
        <f t="shared" ca="1" si="15"/>
        <v>6</v>
      </c>
      <c r="W38" s="186" t="str">
        <f t="shared" ca="1" si="17"/>
        <v>239.8.10.206</v>
      </c>
      <c r="X38" s="186" t="s">
        <v>566</v>
      </c>
      <c r="Y38" s="272" t="s">
        <v>830</v>
      </c>
      <c r="Z38" s="188" t="s">
        <v>796</v>
      </c>
      <c r="AA38" s="188" t="s">
        <v>797</v>
      </c>
      <c r="AB38" s="188" t="s">
        <v>798</v>
      </c>
      <c r="AC38" s="188" t="str">
        <f t="shared" si="6"/>
        <v>0x1013</v>
      </c>
      <c r="AD38" s="221" t="str">
        <f t="shared" si="7"/>
        <v/>
      </c>
      <c r="AE38" s="277">
        <f t="shared" ca="1" si="16"/>
        <v>737</v>
      </c>
    </row>
    <row r="39" spans="1:31" x14ac:dyDescent="0.3">
      <c r="A39" s="226">
        <f t="shared" ca="1" si="4"/>
        <v>37</v>
      </c>
      <c r="B39" s="182" t="s">
        <v>716</v>
      </c>
      <c r="C39" s="189" t="s">
        <v>710</v>
      </c>
      <c r="D39" s="189">
        <v>11101</v>
      </c>
      <c r="E39" s="184">
        <v>514</v>
      </c>
      <c r="F39" s="189" t="s">
        <v>717</v>
      </c>
      <c r="G39" s="189" t="s">
        <v>675</v>
      </c>
      <c r="H39" s="189">
        <v>2.9</v>
      </c>
      <c r="I39" s="183" t="s">
        <v>562</v>
      </c>
      <c r="J39" s="189" t="s">
        <v>331</v>
      </c>
      <c r="K39" s="183" t="s">
        <v>563</v>
      </c>
      <c r="L39" s="189" t="s">
        <v>718</v>
      </c>
      <c r="M39" s="189">
        <v>96</v>
      </c>
      <c r="N39" s="204" t="s">
        <v>562</v>
      </c>
      <c r="O39" s="189" t="s">
        <v>719</v>
      </c>
      <c r="P39" s="189">
        <v>96</v>
      </c>
      <c r="Q39" s="220" t="s">
        <v>562</v>
      </c>
      <c r="R39" s="220"/>
      <c r="S39" s="281">
        <v>808</v>
      </c>
      <c r="T39" s="214">
        <v>1</v>
      </c>
      <c r="U39" s="189">
        <v>1</v>
      </c>
      <c r="V39" s="214">
        <v>7</v>
      </c>
      <c r="W39" s="183" t="str">
        <f t="shared" si="17"/>
        <v>239.8.08.101</v>
      </c>
      <c r="X39" s="183" t="s">
        <v>566</v>
      </c>
      <c r="Y39" s="275" t="s">
        <v>830</v>
      </c>
      <c r="Z39" s="189" t="s">
        <v>796</v>
      </c>
      <c r="AA39" s="189" t="s">
        <v>797</v>
      </c>
      <c r="AB39" s="189" t="s">
        <v>798</v>
      </c>
      <c r="AC39" s="189" t="str">
        <f t="shared" si="6"/>
        <v>0x1013</v>
      </c>
      <c r="AD39" s="220" t="str">
        <f t="shared" si="7"/>
        <v/>
      </c>
      <c r="AE39" s="277">
        <f t="shared" ca="1" si="16"/>
        <v>737</v>
      </c>
    </row>
    <row r="40" spans="1:31" x14ac:dyDescent="0.3">
      <c r="A40" s="226">
        <f t="shared" ca="1" si="4"/>
        <v>38</v>
      </c>
      <c r="B40" s="182" t="s">
        <v>720</v>
      </c>
      <c r="C40" s="189" t="s">
        <v>721</v>
      </c>
      <c r="D40" s="189">
        <v>11102</v>
      </c>
      <c r="E40" s="189">
        <v>604</v>
      </c>
      <c r="F40" s="189" t="s">
        <v>722</v>
      </c>
      <c r="G40" s="189" t="s">
        <v>723</v>
      </c>
      <c r="H40" s="189">
        <v>5</v>
      </c>
      <c r="I40" s="183" t="s">
        <v>562</v>
      </c>
      <c r="J40" s="189" t="s">
        <v>331</v>
      </c>
      <c r="K40" s="183" t="s">
        <v>563</v>
      </c>
      <c r="L40" s="189" t="s">
        <v>724</v>
      </c>
      <c r="M40" s="189">
        <v>128</v>
      </c>
      <c r="N40" s="204" t="s">
        <v>565</v>
      </c>
      <c r="O40" s="189" t="s">
        <v>725</v>
      </c>
      <c r="P40" s="189">
        <v>64</v>
      </c>
      <c r="Q40" s="220" t="s">
        <v>565</v>
      </c>
      <c r="R40" s="220"/>
      <c r="S40" s="281">
        <f t="shared" ref="S40:T44" ca="1" si="18">INDIRECT("R[-1]",FALSE)</f>
        <v>808</v>
      </c>
      <c r="T40" s="215">
        <f t="shared" ca="1" si="18"/>
        <v>1</v>
      </c>
      <c r="U40" s="189">
        <f ca="1">INDIRECT("R[-1]",FALSE)+1</f>
        <v>2</v>
      </c>
      <c r="V40" s="215">
        <f ca="1">INDIRECT("R[-1]",FALSE)</f>
        <v>7</v>
      </c>
      <c r="W40" s="183" t="str">
        <f t="shared" ca="1" si="17"/>
        <v>239.8.08.102</v>
      </c>
      <c r="X40" s="183" t="s">
        <v>566</v>
      </c>
      <c r="Y40" s="275" t="s">
        <v>830</v>
      </c>
      <c r="Z40" s="189" t="s">
        <v>796</v>
      </c>
      <c r="AA40" s="189" t="s">
        <v>797</v>
      </c>
      <c r="AB40" s="189" t="s">
        <v>798</v>
      </c>
      <c r="AC40" s="189" t="str">
        <f t="shared" si="6"/>
        <v>0x1013</v>
      </c>
      <c r="AD40" s="220" t="str">
        <f t="shared" si="7"/>
        <v/>
      </c>
      <c r="AE40" s="277">
        <f t="shared" ca="1" si="16"/>
        <v>737</v>
      </c>
    </row>
    <row r="41" spans="1:31" x14ac:dyDescent="0.3">
      <c r="A41" s="226">
        <f t="shared" ca="1" si="4"/>
        <v>39</v>
      </c>
      <c r="B41" s="182" t="s">
        <v>726</v>
      </c>
      <c r="C41" s="189" t="s">
        <v>721</v>
      </c>
      <c r="D41" s="189">
        <v>11102</v>
      </c>
      <c r="E41" s="184">
        <v>608</v>
      </c>
      <c r="F41" s="189" t="s">
        <v>727</v>
      </c>
      <c r="G41" s="189" t="s">
        <v>577</v>
      </c>
      <c r="H41" s="189">
        <v>2.9</v>
      </c>
      <c r="I41" s="183" t="s">
        <v>562</v>
      </c>
      <c r="J41" s="189" t="s">
        <v>331</v>
      </c>
      <c r="K41" s="183" t="s">
        <v>563</v>
      </c>
      <c r="L41" s="189" t="s">
        <v>578</v>
      </c>
      <c r="M41" s="189">
        <v>128</v>
      </c>
      <c r="N41" s="204" t="s">
        <v>565</v>
      </c>
      <c r="O41" s="189" t="s">
        <v>628</v>
      </c>
      <c r="P41" s="189">
        <v>96</v>
      </c>
      <c r="Q41" s="220" t="s">
        <v>565</v>
      </c>
      <c r="R41" s="220"/>
      <c r="S41" s="281">
        <f t="shared" ca="1" si="18"/>
        <v>808</v>
      </c>
      <c r="T41" s="215">
        <f t="shared" ca="1" si="18"/>
        <v>1</v>
      </c>
      <c r="U41" s="189">
        <f ca="1">INDIRECT("R[-1]",FALSE)+1</f>
        <v>3</v>
      </c>
      <c r="V41" s="215">
        <f ca="1">INDIRECT("R[-1]",FALSE)</f>
        <v>7</v>
      </c>
      <c r="W41" s="183" t="str">
        <f t="shared" ca="1" si="17"/>
        <v>239.8.08.103</v>
      </c>
      <c r="X41" s="183" t="s">
        <v>566</v>
      </c>
      <c r="Y41" s="275" t="s">
        <v>830</v>
      </c>
      <c r="Z41" s="189" t="s">
        <v>796</v>
      </c>
      <c r="AA41" s="189" t="s">
        <v>797</v>
      </c>
      <c r="AB41" s="189" t="s">
        <v>798</v>
      </c>
      <c r="AC41" s="189" t="str">
        <f t="shared" si="6"/>
        <v>0x1013</v>
      </c>
      <c r="AD41" s="220" t="str">
        <f t="shared" si="7"/>
        <v/>
      </c>
      <c r="AE41" s="277">
        <f t="shared" ca="1" si="16"/>
        <v>737</v>
      </c>
    </row>
    <row r="42" spans="1:31" x14ac:dyDescent="0.3">
      <c r="A42" s="226">
        <f t="shared" ca="1" si="4"/>
        <v>40</v>
      </c>
      <c r="B42" s="182" t="s">
        <v>728</v>
      </c>
      <c r="C42" s="189" t="s">
        <v>721</v>
      </c>
      <c r="D42" s="189">
        <v>11102</v>
      </c>
      <c r="E42" s="184">
        <v>611</v>
      </c>
      <c r="F42" s="189" t="s">
        <v>729</v>
      </c>
      <c r="G42" s="189" t="s">
        <v>730</v>
      </c>
      <c r="H42" s="189">
        <v>5</v>
      </c>
      <c r="I42" s="183" t="s">
        <v>562</v>
      </c>
      <c r="J42" s="189" t="s">
        <v>331</v>
      </c>
      <c r="K42" s="183" t="s">
        <v>563</v>
      </c>
      <c r="L42" s="189" t="s">
        <v>731</v>
      </c>
      <c r="M42" s="189">
        <v>128</v>
      </c>
      <c r="N42" s="204" t="s">
        <v>565</v>
      </c>
      <c r="O42" s="189" t="s">
        <v>732</v>
      </c>
      <c r="P42" s="189">
        <v>64</v>
      </c>
      <c r="Q42" s="220" t="s">
        <v>565</v>
      </c>
      <c r="R42" s="220"/>
      <c r="S42" s="281">
        <f t="shared" ca="1" si="18"/>
        <v>808</v>
      </c>
      <c r="T42" s="215">
        <f t="shared" ca="1" si="18"/>
        <v>1</v>
      </c>
      <c r="U42" s="189">
        <f ca="1">INDIRECT("R[-1]",FALSE)+1</f>
        <v>4</v>
      </c>
      <c r="V42" s="215">
        <f ca="1">INDIRECT("R[-1]",FALSE)</f>
        <v>7</v>
      </c>
      <c r="W42" s="183" t="str">
        <f t="shared" ca="1" si="17"/>
        <v>239.8.08.104</v>
      </c>
      <c r="X42" s="183" t="s">
        <v>566</v>
      </c>
      <c r="Y42" s="275" t="s">
        <v>830</v>
      </c>
      <c r="Z42" s="189" t="s">
        <v>796</v>
      </c>
      <c r="AA42" s="189" t="s">
        <v>797</v>
      </c>
      <c r="AB42" s="189" t="s">
        <v>798</v>
      </c>
      <c r="AC42" s="189" t="str">
        <f t="shared" si="6"/>
        <v>0x1013</v>
      </c>
      <c r="AD42" s="220" t="str">
        <f t="shared" si="7"/>
        <v/>
      </c>
      <c r="AE42" s="277">
        <f t="shared" ca="1" si="16"/>
        <v>737</v>
      </c>
    </row>
    <row r="43" spans="1:31" x14ac:dyDescent="0.3">
      <c r="A43" s="226">
        <f t="shared" ca="1" si="4"/>
        <v>41</v>
      </c>
      <c r="B43" s="182" t="s">
        <v>733</v>
      </c>
      <c r="C43" s="189" t="s">
        <v>721</v>
      </c>
      <c r="D43" s="189">
        <v>11102</v>
      </c>
      <c r="E43" s="184">
        <v>612</v>
      </c>
      <c r="F43" s="189" t="s">
        <v>734</v>
      </c>
      <c r="G43" s="189" t="s">
        <v>735</v>
      </c>
      <c r="H43" s="189">
        <v>1.78</v>
      </c>
      <c r="I43" s="183" t="s">
        <v>562</v>
      </c>
      <c r="J43" s="189" t="s">
        <v>331</v>
      </c>
      <c r="K43" s="183" t="s">
        <v>563</v>
      </c>
      <c r="L43" s="189" t="s">
        <v>736</v>
      </c>
      <c r="M43" s="189">
        <v>192</v>
      </c>
      <c r="N43" s="204" t="s">
        <v>565</v>
      </c>
      <c r="O43" s="189"/>
      <c r="P43" s="189"/>
      <c r="Q43" s="220"/>
      <c r="R43" s="220"/>
      <c r="S43" s="281">
        <f t="shared" ca="1" si="18"/>
        <v>808</v>
      </c>
      <c r="T43" s="215">
        <f t="shared" ca="1" si="18"/>
        <v>1</v>
      </c>
      <c r="U43" s="189">
        <f ca="1">INDIRECT("R[-1]",FALSE)+1</f>
        <v>5</v>
      </c>
      <c r="V43" s="215">
        <f ca="1">INDIRECT("R[-1]",FALSE)</f>
        <v>7</v>
      </c>
      <c r="W43" s="183" t="str">
        <f t="shared" ca="1" si="17"/>
        <v>239.8.08.105</v>
      </c>
      <c r="X43" s="183" t="s">
        <v>566</v>
      </c>
      <c r="Y43" s="275" t="s">
        <v>830</v>
      </c>
      <c r="Z43" s="189" t="s">
        <v>796</v>
      </c>
      <c r="AA43" s="189" t="s">
        <v>797</v>
      </c>
      <c r="AB43" s="189" t="s">
        <v>798</v>
      </c>
      <c r="AC43" s="189" t="str">
        <f t="shared" si="6"/>
        <v/>
      </c>
      <c r="AD43" s="220" t="str">
        <f t="shared" si="7"/>
        <v/>
      </c>
      <c r="AE43" s="274">
        <v>735</v>
      </c>
    </row>
    <row r="44" spans="1:31" x14ac:dyDescent="0.3">
      <c r="A44" s="226">
        <f t="shared" ca="1" si="4"/>
        <v>42</v>
      </c>
      <c r="B44" s="182" t="s">
        <v>738</v>
      </c>
      <c r="C44" s="189" t="s">
        <v>739</v>
      </c>
      <c r="D44" s="189">
        <v>11103</v>
      </c>
      <c r="E44" s="184">
        <v>712</v>
      </c>
      <c r="F44" s="189" t="s">
        <v>740</v>
      </c>
      <c r="G44" s="189" t="s">
        <v>603</v>
      </c>
      <c r="H44" s="189">
        <v>4</v>
      </c>
      <c r="I44" s="183" t="s">
        <v>562</v>
      </c>
      <c r="J44" s="189" t="s">
        <v>331</v>
      </c>
      <c r="K44" s="183" t="s">
        <v>563</v>
      </c>
      <c r="L44" s="189" t="s">
        <v>604</v>
      </c>
      <c r="M44" s="189">
        <v>192</v>
      </c>
      <c r="N44" s="204" t="s">
        <v>565</v>
      </c>
      <c r="O44" s="189"/>
      <c r="P44" s="189"/>
      <c r="Q44" s="220"/>
      <c r="R44" s="220"/>
      <c r="S44" s="281">
        <f t="shared" ca="1" si="18"/>
        <v>808</v>
      </c>
      <c r="T44" s="215">
        <f t="shared" ca="1" si="18"/>
        <v>1</v>
      </c>
      <c r="U44" s="189">
        <f ca="1">INDIRECT("R[-1]",FALSE)+1</f>
        <v>6</v>
      </c>
      <c r="V44" s="215">
        <f ca="1">INDIRECT("R[-1]",FALSE)</f>
        <v>7</v>
      </c>
      <c r="W44" s="183" t="str">
        <f t="shared" ca="1" si="17"/>
        <v>239.8.08.106</v>
      </c>
      <c r="X44" s="183" t="s">
        <v>566</v>
      </c>
      <c r="Y44" s="275" t="s">
        <v>830</v>
      </c>
      <c r="Z44" s="189" t="s">
        <v>796</v>
      </c>
      <c r="AA44" s="189" t="s">
        <v>797</v>
      </c>
      <c r="AB44" s="189" t="s">
        <v>798</v>
      </c>
      <c r="AC44" s="189" t="str">
        <f t="shared" si="6"/>
        <v/>
      </c>
      <c r="AD44" s="220" t="str">
        <f t="shared" si="7"/>
        <v/>
      </c>
      <c r="AE44" s="274">
        <f t="shared" ref="AE44:AE52" ca="1" si="19">INDIRECT("R[-1]",FALSE)</f>
        <v>735</v>
      </c>
    </row>
    <row r="45" spans="1:31" x14ac:dyDescent="0.3">
      <c r="A45" s="226">
        <f t="shared" ca="1" si="4"/>
        <v>43</v>
      </c>
      <c r="B45" s="185" t="s">
        <v>741</v>
      </c>
      <c r="C45" s="188" t="s">
        <v>739</v>
      </c>
      <c r="D45" s="188">
        <v>11103</v>
      </c>
      <c r="E45" s="187">
        <v>713</v>
      </c>
      <c r="F45" s="188" t="s">
        <v>742</v>
      </c>
      <c r="G45" s="188" t="s">
        <v>743</v>
      </c>
      <c r="H45" s="188">
        <v>5</v>
      </c>
      <c r="I45" s="186" t="s">
        <v>562</v>
      </c>
      <c r="J45" s="188" t="s">
        <v>331</v>
      </c>
      <c r="K45" s="186" t="s">
        <v>563</v>
      </c>
      <c r="L45" s="188" t="s">
        <v>564</v>
      </c>
      <c r="M45" s="188">
        <v>128</v>
      </c>
      <c r="N45" s="205" t="s">
        <v>565</v>
      </c>
      <c r="O45" s="188" t="s">
        <v>744</v>
      </c>
      <c r="P45" s="188">
        <v>96</v>
      </c>
      <c r="Q45" s="221" t="s">
        <v>565</v>
      </c>
      <c r="R45" s="221"/>
      <c r="S45" s="281">
        <f t="shared" ref="S45:S50" ca="1" si="20">INDIRECT("R[-1]",FALSE)</f>
        <v>808</v>
      </c>
      <c r="T45" s="216">
        <v>2</v>
      </c>
      <c r="U45" s="188">
        <v>1</v>
      </c>
      <c r="V45" s="216">
        <v>8</v>
      </c>
      <c r="W45" s="186" t="str">
        <f t="shared" ca="1" si="17"/>
        <v>239.8.08.201</v>
      </c>
      <c r="X45" s="186" t="s">
        <v>566</v>
      </c>
      <c r="Y45" s="272" t="s">
        <v>830</v>
      </c>
      <c r="Z45" s="188" t="s">
        <v>796</v>
      </c>
      <c r="AA45" s="188" t="s">
        <v>797</v>
      </c>
      <c r="AB45" s="188" t="s">
        <v>798</v>
      </c>
      <c r="AC45" s="188" t="str">
        <f t="shared" si="6"/>
        <v>0x1013</v>
      </c>
      <c r="AD45" s="221" t="str">
        <f t="shared" si="7"/>
        <v/>
      </c>
      <c r="AE45" s="274">
        <f t="shared" ca="1" si="19"/>
        <v>735</v>
      </c>
    </row>
    <row r="46" spans="1:31" x14ac:dyDescent="0.3">
      <c r="A46" s="226">
        <f t="shared" ca="1" si="4"/>
        <v>44</v>
      </c>
      <c r="B46" s="185" t="s">
        <v>745</v>
      </c>
      <c r="C46" s="188" t="s">
        <v>739</v>
      </c>
      <c r="D46" s="188">
        <v>11103</v>
      </c>
      <c r="E46" s="187">
        <v>714</v>
      </c>
      <c r="F46" s="188" t="s">
        <v>746</v>
      </c>
      <c r="G46" s="188" t="s">
        <v>747</v>
      </c>
      <c r="H46" s="188">
        <v>15</v>
      </c>
      <c r="I46" s="186" t="s">
        <v>562</v>
      </c>
      <c r="J46" s="188" t="s">
        <v>331</v>
      </c>
      <c r="K46" s="186" t="s">
        <v>563</v>
      </c>
      <c r="L46" s="188" t="s">
        <v>748</v>
      </c>
      <c r="M46" s="188">
        <v>256</v>
      </c>
      <c r="N46" s="205" t="s">
        <v>565</v>
      </c>
      <c r="O46" s="188"/>
      <c r="P46" s="188"/>
      <c r="Q46" s="221"/>
      <c r="R46" s="221"/>
      <c r="S46" s="281">
        <f t="shared" ca="1" si="20"/>
        <v>808</v>
      </c>
      <c r="T46" s="213">
        <f t="shared" ref="T46:V50" ca="1" si="21">INDIRECT("R[-1]",FALSE)</f>
        <v>2</v>
      </c>
      <c r="U46" s="188">
        <f ca="1">INDIRECT("R[-1]",FALSE)+1</f>
        <v>2</v>
      </c>
      <c r="V46" s="213">
        <f t="shared" ca="1" si="21"/>
        <v>8</v>
      </c>
      <c r="W46" s="186" t="str">
        <f t="shared" ca="1" si="17"/>
        <v>239.8.08.202</v>
      </c>
      <c r="X46" s="186" t="s">
        <v>566</v>
      </c>
      <c r="Y46" s="272" t="s">
        <v>830</v>
      </c>
      <c r="Z46" s="188" t="s">
        <v>796</v>
      </c>
      <c r="AA46" s="188" t="s">
        <v>797</v>
      </c>
      <c r="AB46" s="188" t="s">
        <v>798</v>
      </c>
      <c r="AC46" s="188" t="str">
        <f t="shared" si="6"/>
        <v/>
      </c>
      <c r="AD46" s="221" t="str">
        <f t="shared" si="7"/>
        <v/>
      </c>
      <c r="AE46" s="274">
        <f t="shared" ca="1" si="19"/>
        <v>735</v>
      </c>
    </row>
    <row r="47" spans="1:31" x14ac:dyDescent="0.3">
      <c r="A47" s="226">
        <f t="shared" ca="1" si="4"/>
        <v>45</v>
      </c>
      <c r="B47" s="185" t="s">
        <v>749</v>
      </c>
      <c r="C47" s="188" t="s">
        <v>739</v>
      </c>
      <c r="D47" s="188">
        <v>11103</v>
      </c>
      <c r="E47" s="188">
        <v>726</v>
      </c>
      <c r="F47" s="188" t="s">
        <v>750</v>
      </c>
      <c r="G47" s="188" t="s">
        <v>751</v>
      </c>
      <c r="H47" s="188">
        <v>3.2309999999999999</v>
      </c>
      <c r="I47" s="186" t="s">
        <v>562</v>
      </c>
      <c r="J47" s="188" t="s">
        <v>331</v>
      </c>
      <c r="K47" s="186" t="s">
        <v>563</v>
      </c>
      <c r="L47" s="188" t="s">
        <v>752</v>
      </c>
      <c r="M47" s="188">
        <v>192</v>
      </c>
      <c r="N47" s="205" t="s">
        <v>565</v>
      </c>
      <c r="O47" s="188" t="s">
        <v>625</v>
      </c>
      <c r="P47" s="188">
        <v>192</v>
      </c>
      <c r="Q47" s="221" t="s">
        <v>565</v>
      </c>
      <c r="R47" s="221"/>
      <c r="S47" s="281">
        <f t="shared" ca="1" si="20"/>
        <v>808</v>
      </c>
      <c r="T47" s="213">
        <f t="shared" ca="1" si="21"/>
        <v>2</v>
      </c>
      <c r="U47" s="188">
        <f ca="1">INDIRECT("R[-1]",FALSE)+1</f>
        <v>3</v>
      </c>
      <c r="V47" s="213">
        <f t="shared" ca="1" si="21"/>
        <v>8</v>
      </c>
      <c r="W47" s="186" t="str">
        <f t="shared" ca="1" si="17"/>
        <v>239.8.08.203</v>
      </c>
      <c r="X47" s="186" t="s">
        <v>566</v>
      </c>
      <c r="Y47" s="272" t="s">
        <v>830</v>
      </c>
      <c r="Z47" s="188" t="s">
        <v>796</v>
      </c>
      <c r="AA47" s="188" t="s">
        <v>797</v>
      </c>
      <c r="AB47" s="188" t="s">
        <v>798</v>
      </c>
      <c r="AC47" s="188" t="str">
        <f t="shared" si="6"/>
        <v>0x1013</v>
      </c>
      <c r="AD47" s="221" t="str">
        <f t="shared" si="7"/>
        <v/>
      </c>
      <c r="AE47" s="274">
        <f t="shared" ca="1" si="19"/>
        <v>735</v>
      </c>
    </row>
    <row r="48" spans="1:31" x14ac:dyDescent="0.3">
      <c r="A48" s="226">
        <f t="shared" ca="1" si="4"/>
        <v>46</v>
      </c>
      <c r="B48" s="185" t="s">
        <v>753</v>
      </c>
      <c r="C48" s="188" t="s">
        <v>754</v>
      </c>
      <c r="D48" s="188">
        <v>11105</v>
      </c>
      <c r="E48" s="187">
        <v>200</v>
      </c>
      <c r="F48" s="188" t="s">
        <v>755</v>
      </c>
      <c r="G48" s="188" t="s">
        <v>577</v>
      </c>
      <c r="H48" s="188">
        <v>2.7370000000000001</v>
      </c>
      <c r="I48" s="186" t="s">
        <v>562</v>
      </c>
      <c r="J48" s="188" t="s">
        <v>331</v>
      </c>
      <c r="K48" s="186" t="s">
        <v>563</v>
      </c>
      <c r="L48" s="188" t="s">
        <v>578</v>
      </c>
      <c r="M48" s="188">
        <v>128</v>
      </c>
      <c r="N48" s="205" t="s">
        <v>565</v>
      </c>
      <c r="O48" s="188"/>
      <c r="P48" s="188"/>
      <c r="Q48" s="221"/>
      <c r="R48" s="221"/>
      <c r="S48" s="281">
        <f t="shared" ca="1" si="20"/>
        <v>808</v>
      </c>
      <c r="T48" s="213">
        <f t="shared" ca="1" si="21"/>
        <v>2</v>
      </c>
      <c r="U48" s="188">
        <f ca="1">INDIRECT("R[-1]",FALSE)+1</f>
        <v>4</v>
      </c>
      <c r="V48" s="213">
        <f t="shared" ca="1" si="21"/>
        <v>8</v>
      </c>
      <c r="W48" s="186" t="str">
        <f t="shared" ca="1" si="17"/>
        <v>239.8.08.204</v>
      </c>
      <c r="X48" s="186" t="s">
        <v>566</v>
      </c>
      <c r="Y48" s="272" t="s">
        <v>830</v>
      </c>
      <c r="Z48" s="188" t="s">
        <v>796</v>
      </c>
      <c r="AA48" s="188" t="s">
        <v>797</v>
      </c>
      <c r="AB48" s="188" t="s">
        <v>798</v>
      </c>
      <c r="AC48" s="188" t="str">
        <f t="shared" si="6"/>
        <v/>
      </c>
      <c r="AD48" s="221" t="str">
        <f t="shared" si="7"/>
        <v/>
      </c>
      <c r="AE48" s="274">
        <f t="shared" ca="1" si="19"/>
        <v>735</v>
      </c>
    </row>
    <row r="49" spans="1:31" x14ac:dyDescent="0.3">
      <c r="A49" s="226">
        <f t="shared" ca="1" si="4"/>
        <v>47</v>
      </c>
      <c r="B49" s="185" t="s">
        <v>756</v>
      </c>
      <c r="C49" s="188" t="s">
        <v>757</v>
      </c>
      <c r="D49" s="188">
        <v>11106</v>
      </c>
      <c r="E49" s="187">
        <v>300</v>
      </c>
      <c r="F49" s="188" t="s">
        <v>755</v>
      </c>
      <c r="G49" s="188" t="s">
        <v>570</v>
      </c>
      <c r="H49" s="188">
        <v>4</v>
      </c>
      <c r="I49" s="186" t="s">
        <v>562</v>
      </c>
      <c r="J49" s="188" t="s">
        <v>331</v>
      </c>
      <c r="K49" s="186" t="s">
        <v>563</v>
      </c>
      <c r="L49" s="188" t="s">
        <v>758</v>
      </c>
      <c r="M49" s="188">
        <v>192</v>
      </c>
      <c r="N49" s="205" t="s">
        <v>565</v>
      </c>
      <c r="O49" s="188"/>
      <c r="P49" s="188"/>
      <c r="Q49" s="221"/>
      <c r="R49" s="221"/>
      <c r="S49" s="281">
        <f t="shared" ca="1" si="20"/>
        <v>808</v>
      </c>
      <c r="T49" s="213">
        <f t="shared" ca="1" si="21"/>
        <v>2</v>
      </c>
      <c r="U49" s="188">
        <f ca="1">INDIRECT("R[-1]",FALSE)+1</f>
        <v>5</v>
      </c>
      <c r="V49" s="213">
        <f t="shared" ca="1" si="21"/>
        <v>8</v>
      </c>
      <c r="W49" s="186" t="str">
        <f t="shared" ca="1" si="17"/>
        <v>239.8.08.205</v>
      </c>
      <c r="X49" s="186" t="s">
        <v>566</v>
      </c>
      <c r="Y49" s="272" t="s">
        <v>830</v>
      </c>
      <c r="Z49" s="188" t="s">
        <v>796</v>
      </c>
      <c r="AA49" s="188" t="s">
        <v>797</v>
      </c>
      <c r="AB49" s="188" t="s">
        <v>798</v>
      </c>
      <c r="AC49" s="188" t="str">
        <f t="shared" si="6"/>
        <v/>
      </c>
      <c r="AD49" s="221" t="str">
        <f t="shared" si="7"/>
        <v/>
      </c>
      <c r="AE49" s="274">
        <f t="shared" ca="1" si="19"/>
        <v>735</v>
      </c>
    </row>
    <row r="50" spans="1:31" x14ac:dyDescent="0.3">
      <c r="A50" s="226">
        <f t="shared" ca="1" si="4"/>
        <v>48</v>
      </c>
      <c r="B50" s="185" t="s">
        <v>759</v>
      </c>
      <c r="C50" s="188" t="s">
        <v>760</v>
      </c>
      <c r="D50" s="188">
        <v>11107</v>
      </c>
      <c r="E50" s="187">
        <v>119</v>
      </c>
      <c r="F50" s="188" t="s">
        <v>638</v>
      </c>
      <c r="G50" s="188" t="s">
        <v>761</v>
      </c>
      <c r="H50" s="188">
        <v>4</v>
      </c>
      <c r="I50" s="186" t="s">
        <v>562</v>
      </c>
      <c r="J50" s="188" t="s">
        <v>331</v>
      </c>
      <c r="K50" s="186" t="s">
        <v>563</v>
      </c>
      <c r="L50" s="188" t="s">
        <v>762</v>
      </c>
      <c r="M50" s="188">
        <v>384</v>
      </c>
      <c r="N50" s="205" t="s">
        <v>565</v>
      </c>
      <c r="O50" s="188"/>
      <c r="P50" s="188"/>
      <c r="Q50" s="221"/>
      <c r="R50" s="221"/>
      <c r="S50" s="281">
        <f t="shared" ca="1" si="20"/>
        <v>808</v>
      </c>
      <c r="T50" s="213">
        <f t="shared" ca="1" si="21"/>
        <v>2</v>
      </c>
      <c r="U50" s="188">
        <f ca="1">INDIRECT("R[-1]",FALSE)+1</f>
        <v>6</v>
      </c>
      <c r="V50" s="213">
        <f t="shared" ca="1" si="21"/>
        <v>8</v>
      </c>
      <c r="W50" s="186" t="str">
        <f t="shared" ca="1" si="17"/>
        <v>239.8.08.206</v>
      </c>
      <c r="X50" s="186" t="s">
        <v>566</v>
      </c>
      <c r="Y50" s="272" t="s">
        <v>830</v>
      </c>
      <c r="Z50" s="188" t="s">
        <v>796</v>
      </c>
      <c r="AA50" s="188" t="s">
        <v>797</v>
      </c>
      <c r="AB50" s="188" t="s">
        <v>798</v>
      </c>
      <c r="AC50" s="188" t="str">
        <f t="shared" si="6"/>
        <v/>
      </c>
      <c r="AD50" s="221" t="str">
        <f t="shared" si="7"/>
        <v/>
      </c>
      <c r="AE50" s="274">
        <f t="shared" ca="1" si="19"/>
        <v>735</v>
      </c>
    </row>
    <row r="51" spans="1:31" x14ac:dyDescent="0.3">
      <c r="A51" s="226">
        <f t="shared" ca="1" si="4"/>
        <v>49</v>
      </c>
      <c r="B51" s="182" t="s">
        <v>763</v>
      </c>
      <c r="C51" s="189" t="s">
        <v>764</v>
      </c>
      <c r="D51" s="189">
        <v>11108</v>
      </c>
      <c r="E51" s="184">
        <v>400</v>
      </c>
      <c r="F51" s="189" t="s">
        <v>755</v>
      </c>
      <c r="G51" s="189" t="s">
        <v>598</v>
      </c>
      <c r="H51" s="189">
        <v>3.0379999999999998</v>
      </c>
      <c r="I51" s="183" t="s">
        <v>562</v>
      </c>
      <c r="J51" s="189" t="s">
        <v>331</v>
      </c>
      <c r="K51" s="183" t="s">
        <v>563</v>
      </c>
      <c r="L51" s="189" t="s">
        <v>599</v>
      </c>
      <c r="M51" s="189">
        <v>384</v>
      </c>
      <c r="N51" s="204" t="s">
        <v>565</v>
      </c>
      <c r="O51" s="189"/>
      <c r="P51" s="189"/>
      <c r="Q51" s="220"/>
      <c r="R51" s="220"/>
      <c r="S51" s="282">
        <v>806</v>
      </c>
      <c r="T51" s="214">
        <v>1</v>
      </c>
      <c r="U51" s="189">
        <v>1</v>
      </c>
      <c r="V51" s="214">
        <v>13</v>
      </c>
      <c r="W51" s="183" t="str">
        <f t="shared" si="17"/>
        <v>239.8.06.101</v>
      </c>
      <c r="X51" s="183" t="s">
        <v>566</v>
      </c>
      <c r="Y51" s="275" t="s">
        <v>830</v>
      </c>
      <c r="Z51" s="189" t="s">
        <v>796</v>
      </c>
      <c r="AA51" s="189" t="s">
        <v>797</v>
      </c>
      <c r="AB51" s="189" t="s">
        <v>798</v>
      </c>
      <c r="AC51" s="189" t="str">
        <f t="shared" si="6"/>
        <v/>
      </c>
      <c r="AD51" s="220" t="str">
        <f t="shared" si="7"/>
        <v/>
      </c>
      <c r="AE51" s="274">
        <f t="shared" ca="1" si="19"/>
        <v>735</v>
      </c>
    </row>
    <row r="52" spans="1:31" x14ac:dyDescent="0.3">
      <c r="A52" s="226">
        <f t="shared" ca="1" si="4"/>
        <v>50</v>
      </c>
      <c r="B52" s="182" t="s">
        <v>765</v>
      </c>
      <c r="C52" s="189" t="s">
        <v>764</v>
      </c>
      <c r="D52" s="189">
        <v>11108</v>
      </c>
      <c r="E52" s="184">
        <v>500</v>
      </c>
      <c r="F52" s="189" t="s">
        <v>638</v>
      </c>
      <c r="G52" s="189" t="s">
        <v>638</v>
      </c>
      <c r="H52" s="189">
        <v>2.9750000000000001</v>
      </c>
      <c r="I52" s="183" t="s">
        <v>562</v>
      </c>
      <c r="J52" s="189" t="s">
        <v>331</v>
      </c>
      <c r="K52" s="183" t="s">
        <v>563</v>
      </c>
      <c r="L52" s="189" t="s">
        <v>590</v>
      </c>
      <c r="M52" s="189">
        <v>192</v>
      </c>
      <c r="N52" s="204" t="s">
        <v>565</v>
      </c>
      <c r="O52" s="189"/>
      <c r="P52" s="189"/>
      <c r="Q52" s="220"/>
      <c r="R52" s="220"/>
      <c r="S52" s="282">
        <f t="shared" ref="S52:T56" ca="1" si="22">INDIRECT("R[-1]",FALSE)</f>
        <v>806</v>
      </c>
      <c r="T52" s="215">
        <f t="shared" ca="1" si="22"/>
        <v>1</v>
      </c>
      <c r="U52" s="189">
        <f ca="1">INDIRECT("R[-1]",FALSE)+1</f>
        <v>2</v>
      </c>
      <c r="V52" s="215">
        <f ca="1">INDIRECT("R[-1]",FALSE)</f>
        <v>13</v>
      </c>
      <c r="W52" s="183" t="str">
        <f t="shared" ca="1" si="17"/>
        <v>239.8.06.102</v>
      </c>
      <c r="X52" s="183" t="s">
        <v>566</v>
      </c>
      <c r="Y52" s="275" t="s">
        <v>830</v>
      </c>
      <c r="Z52" s="189" t="s">
        <v>796</v>
      </c>
      <c r="AA52" s="189" t="s">
        <v>797</v>
      </c>
      <c r="AB52" s="189" t="s">
        <v>798</v>
      </c>
      <c r="AC52" s="189" t="str">
        <f t="shared" si="6"/>
        <v/>
      </c>
      <c r="AD52" s="220" t="str">
        <f t="shared" si="7"/>
        <v/>
      </c>
      <c r="AE52" s="274">
        <f t="shared" ca="1" si="19"/>
        <v>735</v>
      </c>
    </row>
    <row r="53" spans="1:31" x14ac:dyDescent="0.3">
      <c r="A53" s="226">
        <f t="shared" ca="1" si="4"/>
        <v>51</v>
      </c>
      <c r="B53" s="182" t="s">
        <v>766</v>
      </c>
      <c r="C53" s="189" t="s">
        <v>764</v>
      </c>
      <c r="D53" s="189">
        <v>11108</v>
      </c>
      <c r="E53" s="184">
        <v>512</v>
      </c>
      <c r="F53" s="189" t="s">
        <v>598</v>
      </c>
      <c r="G53" s="189" t="s">
        <v>589</v>
      </c>
      <c r="H53" s="189">
        <v>3.97</v>
      </c>
      <c r="I53" s="183" t="s">
        <v>562</v>
      </c>
      <c r="J53" s="189" t="s">
        <v>331</v>
      </c>
      <c r="K53" s="183" t="s">
        <v>563</v>
      </c>
      <c r="L53" s="189" t="s">
        <v>625</v>
      </c>
      <c r="M53" s="189">
        <v>192</v>
      </c>
      <c r="N53" s="204" t="s">
        <v>565</v>
      </c>
      <c r="O53" s="189"/>
      <c r="P53" s="189"/>
      <c r="Q53" s="220"/>
      <c r="R53" s="220"/>
      <c r="S53" s="282">
        <f t="shared" ca="1" si="22"/>
        <v>806</v>
      </c>
      <c r="T53" s="215">
        <f t="shared" ca="1" si="22"/>
        <v>1</v>
      </c>
      <c r="U53" s="189">
        <f ca="1">INDIRECT("R[-1]",FALSE)+1</f>
        <v>3</v>
      </c>
      <c r="V53" s="215">
        <f ca="1">INDIRECT("R[-1]",FALSE)</f>
        <v>13</v>
      </c>
      <c r="W53" s="183" t="str">
        <f t="shared" ca="1" si="17"/>
        <v>239.8.06.103</v>
      </c>
      <c r="X53" s="183" t="s">
        <v>566</v>
      </c>
      <c r="Y53" s="275" t="s">
        <v>830</v>
      </c>
      <c r="Z53" s="189" t="s">
        <v>796</v>
      </c>
      <c r="AA53" s="189" t="s">
        <v>797</v>
      </c>
      <c r="AB53" s="189" t="s">
        <v>798</v>
      </c>
      <c r="AC53" s="189" t="str">
        <f t="shared" si="6"/>
        <v/>
      </c>
      <c r="AD53" s="220" t="str">
        <f t="shared" si="7"/>
        <v/>
      </c>
      <c r="AE53" s="277">
        <v>734</v>
      </c>
    </row>
    <row r="54" spans="1:31" x14ac:dyDescent="0.3">
      <c r="A54" s="226">
        <f t="shared" ca="1" si="4"/>
        <v>52</v>
      </c>
      <c r="B54" s="182" t="s">
        <v>767</v>
      </c>
      <c r="C54" s="189" t="s">
        <v>764</v>
      </c>
      <c r="D54" s="189">
        <v>11108</v>
      </c>
      <c r="E54" s="184">
        <v>600</v>
      </c>
      <c r="F54" s="189" t="s">
        <v>688</v>
      </c>
      <c r="G54" s="189" t="s">
        <v>616</v>
      </c>
      <c r="H54" s="189">
        <v>4</v>
      </c>
      <c r="I54" s="183" t="s">
        <v>562</v>
      </c>
      <c r="J54" s="189" t="s">
        <v>331</v>
      </c>
      <c r="K54" s="183" t="s">
        <v>563</v>
      </c>
      <c r="L54" s="189" t="s">
        <v>768</v>
      </c>
      <c r="M54" s="189">
        <v>192</v>
      </c>
      <c r="N54" s="204" t="s">
        <v>565</v>
      </c>
      <c r="O54" s="189"/>
      <c r="P54" s="189"/>
      <c r="Q54" s="220"/>
      <c r="R54" s="220"/>
      <c r="S54" s="282">
        <f t="shared" ca="1" si="22"/>
        <v>806</v>
      </c>
      <c r="T54" s="215">
        <f t="shared" ca="1" si="22"/>
        <v>1</v>
      </c>
      <c r="U54" s="189">
        <f ca="1">INDIRECT("R[-1]",FALSE)+1</f>
        <v>4</v>
      </c>
      <c r="V54" s="215">
        <f ca="1">INDIRECT("R[-1]",FALSE)</f>
        <v>13</v>
      </c>
      <c r="W54" s="183" t="str">
        <f t="shared" ca="1" si="17"/>
        <v>239.8.06.104</v>
      </c>
      <c r="X54" s="183" t="s">
        <v>566</v>
      </c>
      <c r="Y54" s="275" t="s">
        <v>830</v>
      </c>
      <c r="Z54" s="189" t="s">
        <v>796</v>
      </c>
      <c r="AA54" s="189" t="s">
        <v>797</v>
      </c>
      <c r="AB54" s="189" t="s">
        <v>798</v>
      </c>
      <c r="AC54" s="189" t="str">
        <f t="shared" si="6"/>
        <v/>
      </c>
      <c r="AD54" s="220" t="str">
        <f t="shared" si="7"/>
        <v/>
      </c>
      <c r="AE54" s="277">
        <f t="shared" ref="AE54:AE62" ca="1" si="23">INDIRECT("R[-1]",FALSE)</f>
        <v>734</v>
      </c>
    </row>
    <row r="55" spans="1:31" x14ac:dyDescent="0.3">
      <c r="A55" s="226">
        <f t="shared" ca="1" si="4"/>
        <v>53</v>
      </c>
      <c r="B55" s="194" t="s">
        <v>769</v>
      </c>
      <c r="C55" s="189" t="s">
        <v>770</v>
      </c>
      <c r="D55" s="189">
        <v>11109</v>
      </c>
      <c r="E55" s="184">
        <v>143</v>
      </c>
      <c r="F55" s="189" t="s">
        <v>771</v>
      </c>
      <c r="G55" s="189" t="s">
        <v>672</v>
      </c>
      <c r="H55" s="189">
        <v>3.05</v>
      </c>
      <c r="I55" s="183" t="s">
        <v>562</v>
      </c>
      <c r="J55" s="189" t="s">
        <v>331</v>
      </c>
      <c r="K55" s="183" t="s">
        <v>563</v>
      </c>
      <c r="L55" s="189" t="s">
        <v>673</v>
      </c>
      <c r="M55" s="189">
        <v>128</v>
      </c>
      <c r="N55" s="204" t="s">
        <v>565</v>
      </c>
      <c r="O55" s="189"/>
      <c r="P55" s="189"/>
      <c r="Q55" s="220"/>
      <c r="R55" s="220"/>
      <c r="S55" s="282">
        <f t="shared" ca="1" si="22"/>
        <v>806</v>
      </c>
      <c r="T55" s="215">
        <f t="shared" ca="1" si="22"/>
        <v>1</v>
      </c>
      <c r="U55" s="189">
        <f ca="1">INDIRECT("R[-1]",FALSE)+1</f>
        <v>5</v>
      </c>
      <c r="V55" s="215">
        <f ca="1">INDIRECT("R[-1]",FALSE)</f>
        <v>13</v>
      </c>
      <c r="W55" s="183" t="str">
        <f t="shared" ca="1" si="17"/>
        <v>239.8.06.105</v>
      </c>
      <c r="X55" s="183" t="s">
        <v>566</v>
      </c>
      <c r="Y55" s="275" t="s">
        <v>830</v>
      </c>
      <c r="Z55" s="189" t="s">
        <v>796</v>
      </c>
      <c r="AA55" s="189" t="s">
        <v>797</v>
      </c>
      <c r="AB55" s="189" t="s">
        <v>798</v>
      </c>
      <c r="AC55" s="189" t="str">
        <f t="shared" si="6"/>
        <v/>
      </c>
      <c r="AD55" s="220" t="str">
        <f t="shared" si="7"/>
        <v/>
      </c>
      <c r="AE55" s="277">
        <f t="shared" ca="1" si="23"/>
        <v>734</v>
      </c>
    </row>
    <row r="56" spans="1:31" x14ac:dyDescent="0.3">
      <c r="A56" s="226">
        <f t="shared" ca="1" si="4"/>
        <v>54</v>
      </c>
      <c r="B56" s="182" t="s">
        <v>772</v>
      </c>
      <c r="C56" s="189" t="s">
        <v>770</v>
      </c>
      <c r="D56" s="189">
        <v>11109</v>
      </c>
      <c r="E56" s="184">
        <v>224</v>
      </c>
      <c r="F56" s="189" t="s">
        <v>773</v>
      </c>
      <c r="G56" s="189" t="s">
        <v>692</v>
      </c>
      <c r="H56" s="189">
        <v>1.78</v>
      </c>
      <c r="I56" s="183" t="s">
        <v>562</v>
      </c>
      <c r="J56" s="189" t="s">
        <v>331</v>
      </c>
      <c r="K56" s="183" t="s">
        <v>563</v>
      </c>
      <c r="L56" s="189" t="s">
        <v>693</v>
      </c>
      <c r="M56" s="189">
        <v>192</v>
      </c>
      <c r="N56" s="204" t="s">
        <v>565</v>
      </c>
      <c r="O56" s="189"/>
      <c r="P56" s="189"/>
      <c r="Q56" s="220"/>
      <c r="R56" s="220"/>
      <c r="S56" s="282">
        <f t="shared" ca="1" si="22"/>
        <v>806</v>
      </c>
      <c r="T56" s="215">
        <f t="shared" ca="1" si="22"/>
        <v>1</v>
      </c>
      <c r="U56" s="189">
        <f ca="1">INDIRECT("R[-1]",FALSE)+1</f>
        <v>6</v>
      </c>
      <c r="V56" s="215">
        <f ca="1">INDIRECT("R[-1]",FALSE)</f>
        <v>13</v>
      </c>
      <c r="W56" s="183" t="str">
        <f t="shared" ca="1" si="17"/>
        <v>239.8.06.106</v>
      </c>
      <c r="X56" s="183" t="s">
        <v>566</v>
      </c>
      <c r="Y56" s="275" t="s">
        <v>830</v>
      </c>
      <c r="Z56" s="189" t="s">
        <v>796</v>
      </c>
      <c r="AA56" s="189" t="s">
        <v>797</v>
      </c>
      <c r="AB56" s="189" t="s">
        <v>798</v>
      </c>
      <c r="AC56" s="189" t="str">
        <f t="shared" si="6"/>
        <v/>
      </c>
      <c r="AD56" s="220" t="str">
        <f t="shared" si="7"/>
        <v/>
      </c>
      <c r="AE56" s="277">
        <f t="shared" ca="1" si="23"/>
        <v>734</v>
      </c>
    </row>
    <row r="57" spans="1:31" x14ac:dyDescent="0.3">
      <c r="A57" s="226">
        <f t="shared" ca="1" si="4"/>
        <v>55</v>
      </c>
      <c r="B57" s="185" t="s">
        <v>774</v>
      </c>
      <c r="C57" s="188" t="s">
        <v>770</v>
      </c>
      <c r="D57" s="188">
        <v>11109</v>
      </c>
      <c r="E57" s="187">
        <v>406</v>
      </c>
      <c r="F57" s="188" t="s">
        <v>775</v>
      </c>
      <c r="G57" s="188" t="s">
        <v>589</v>
      </c>
      <c r="H57" s="188">
        <v>1.78</v>
      </c>
      <c r="I57" s="186" t="s">
        <v>562</v>
      </c>
      <c r="J57" s="188" t="s">
        <v>331</v>
      </c>
      <c r="K57" s="186" t="s">
        <v>563</v>
      </c>
      <c r="L57" s="188" t="s">
        <v>776</v>
      </c>
      <c r="M57" s="188">
        <v>192</v>
      </c>
      <c r="N57" s="205" t="s">
        <v>565</v>
      </c>
      <c r="O57" s="188"/>
      <c r="P57" s="188"/>
      <c r="Q57" s="221"/>
      <c r="R57" s="221"/>
      <c r="S57" s="282">
        <f t="shared" ref="S57:S62" ca="1" si="24">INDIRECT("R[-1]",FALSE)</f>
        <v>806</v>
      </c>
      <c r="T57" s="216">
        <v>2</v>
      </c>
      <c r="U57" s="188">
        <v>1</v>
      </c>
      <c r="V57" s="216">
        <v>10</v>
      </c>
      <c r="W57" s="186" t="str">
        <f t="shared" ca="1" si="17"/>
        <v>239.8.06.201</v>
      </c>
      <c r="X57" s="186" t="s">
        <v>566</v>
      </c>
      <c r="Y57" s="272" t="s">
        <v>830</v>
      </c>
      <c r="Z57" s="188" t="s">
        <v>796</v>
      </c>
      <c r="AA57" s="188" t="s">
        <v>797</v>
      </c>
      <c r="AB57" s="188" t="s">
        <v>798</v>
      </c>
      <c r="AC57" s="188" t="str">
        <f t="shared" si="6"/>
        <v/>
      </c>
      <c r="AD57" s="221" t="str">
        <f t="shared" si="7"/>
        <v/>
      </c>
      <c r="AE57" s="277">
        <f t="shared" ca="1" si="23"/>
        <v>734</v>
      </c>
    </row>
    <row r="58" spans="1:31" x14ac:dyDescent="0.3">
      <c r="A58" s="226">
        <f t="shared" ca="1" si="4"/>
        <v>56</v>
      </c>
      <c r="B58" s="185" t="s">
        <v>777</v>
      </c>
      <c r="C58" s="188" t="s">
        <v>770</v>
      </c>
      <c r="D58" s="188">
        <v>11109</v>
      </c>
      <c r="E58" s="188">
        <v>700</v>
      </c>
      <c r="F58" s="188" t="s">
        <v>755</v>
      </c>
      <c r="G58" s="188" t="s">
        <v>778</v>
      </c>
      <c r="H58" s="188">
        <v>1.78</v>
      </c>
      <c r="I58" s="186" t="s">
        <v>562</v>
      </c>
      <c r="J58" s="188" t="s">
        <v>331</v>
      </c>
      <c r="K58" s="186" t="s">
        <v>563</v>
      </c>
      <c r="L58" s="188" t="s">
        <v>643</v>
      </c>
      <c r="M58" s="188">
        <v>192</v>
      </c>
      <c r="N58" s="205" t="s">
        <v>565</v>
      </c>
      <c r="O58" s="188"/>
      <c r="P58" s="188"/>
      <c r="Q58" s="221"/>
      <c r="R58" s="221"/>
      <c r="S58" s="282">
        <f t="shared" ca="1" si="24"/>
        <v>806</v>
      </c>
      <c r="T58" s="213">
        <f t="shared" ref="T58:V62" ca="1" si="25">INDIRECT("R[-1]",FALSE)</f>
        <v>2</v>
      </c>
      <c r="U58" s="188">
        <f ca="1">INDIRECT("R[-1]",FALSE)+1</f>
        <v>2</v>
      </c>
      <c r="V58" s="213">
        <f t="shared" ca="1" si="25"/>
        <v>10</v>
      </c>
      <c r="W58" s="186" t="str">
        <f t="shared" ca="1" si="17"/>
        <v>239.8.06.202</v>
      </c>
      <c r="X58" s="186" t="s">
        <v>566</v>
      </c>
      <c r="Y58" s="272" t="s">
        <v>830</v>
      </c>
      <c r="Z58" s="188" t="s">
        <v>796</v>
      </c>
      <c r="AA58" s="188" t="s">
        <v>797</v>
      </c>
      <c r="AB58" s="188" t="s">
        <v>798</v>
      </c>
      <c r="AC58" s="188" t="str">
        <f t="shared" si="6"/>
        <v/>
      </c>
      <c r="AD58" s="221" t="str">
        <f t="shared" si="7"/>
        <v/>
      </c>
      <c r="AE58" s="277">
        <f t="shared" ca="1" si="23"/>
        <v>734</v>
      </c>
    </row>
    <row r="59" spans="1:31" x14ac:dyDescent="0.3">
      <c r="A59" s="226">
        <f t="shared" ca="1" si="4"/>
        <v>57</v>
      </c>
      <c r="B59" s="185"/>
      <c r="C59" s="188"/>
      <c r="D59" s="188"/>
      <c r="E59" s="187"/>
      <c r="F59" s="188"/>
      <c r="G59" s="188"/>
      <c r="H59" s="188"/>
      <c r="I59" s="186"/>
      <c r="J59" s="188"/>
      <c r="K59" s="186"/>
      <c r="L59" s="188"/>
      <c r="M59" s="188"/>
      <c r="N59" s="205"/>
      <c r="O59" s="188"/>
      <c r="P59" s="188"/>
      <c r="Q59" s="221"/>
      <c r="R59" s="221"/>
      <c r="S59" s="282">
        <f t="shared" ca="1" si="24"/>
        <v>806</v>
      </c>
      <c r="T59" s="213">
        <f t="shared" ca="1" si="25"/>
        <v>2</v>
      </c>
      <c r="U59" s="188">
        <f ca="1">INDIRECT("R[-1]",FALSE)+1</f>
        <v>3</v>
      </c>
      <c r="V59" s="213">
        <f t="shared" ca="1" si="25"/>
        <v>10</v>
      </c>
      <c r="W59" s="186" t="str">
        <f t="shared" ca="1" si="17"/>
        <v>239.8.06.203</v>
      </c>
      <c r="X59" s="186" t="s">
        <v>566</v>
      </c>
      <c r="Y59" s="272" t="s">
        <v>830</v>
      </c>
      <c r="Z59" s="188" t="s">
        <v>796</v>
      </c>
      <c r="AA59" s="188" t="s">
        <v>797</v>
      </c>
      <c r="AB59" s="188" t="s">
        <v>798</v>
      </c>
      <c r="AC59" s="188" t="str">
        <f t="shared" si="6"/>
        <v/>
      </c>
      <c r="AD59" s="221" t="str">
        <f t="shared" si="7"/>
        <v/>
      </c>
      <c r="AE59" s="277">
        <f t="shared" ca="1" si="23"/>
        <v>734</v>
      </c>
    </row>
    <row r="60" spans="1:31" x14ac:dyDescent="0.3">
      <c r="A60" s="226">
        <f t="shared" ca="1" si="4"/>
        <v>58</v>
      </c>
      <c r="B60" s="185"/>
      <c r="C60" s="188"/>
      <c r="D60" s="188"/>
      <c r="E60" s="187"/>
      <c r="F60" s="188"/>
      <c r="G60" s="188"/>
      <c r="H60" s="188"/>
      <c r="I60" s="186"/>
      <c r="J60" s="188"/>
      <c r="K60" s="186"/>
      <c r="L60" s="188"/>
      <c r="M60" s="188"/>
      <c r="N60" s="205"/>
      <c r="O60" s="188"/>
      <c r="P60" s="188"/>
      <c r="Q60" s="221"/>
      <c r="R60" s="221"/>
      <c r="S60" s="282">
        <f t="shared" ca="1" si="24"/>
        <v>806</v>
      </c>
      <c r="T60" s="213">
        <f t="shared" ca="1" si="25"/>
        <v>2</v>
      </c>
      <c r="U60" s="188">
        <f ca="1">INDIRECT("R[-1]",FALSE)+1</f>
        <v>4</v>
      </c>
      <c r="V60" s="213">
        <f t="shared" ca="1" si="25"/>
        <v>10</v>
      </c>
      <c r="W60" s="186" t="str">
        <f t="shared" ca="1" si="17"/>
        <v>239.8.06.204</v>
      </c>
      <c r="X60" s="186" t="s">
        <v>566</v>
      </c>
      <c r="Y60" s="272" t="s">
        <v>830</v>
      </c>
      <c r="Z60" s="188" t="s">
        <v>796</v>
      </c>
      <c r="AA60" s="188" t="s">
        <v>797</v>
      </c>
      <c r="AB60" s="188" t="s">
        <v>798</v>
      </c>
      <c r="AC60" s="188" t="str">
        <f t="shared" si="6"/>
        <v/>
      </c>
      <c r="AD60" s="221" t="str">
        <f t="shared" si="7"/>
        <v/>
      </c>
      <c r="AE60" s="277">
        <f t="shared" ca="1" si="23"/>
        <v>734</v>
      </c>
    </row>
    <row r="61" spans="1:31" x14ac:dyDescent="0.3">
      <c r="A61" s="226">
        <f t="shared" ca="1" si="4"/>
        <v>59</v>
      </c>
      <c r="B61" s="185"/>
      <c r="C61" s="188"/>
      <c r="D61" s="188"/>
      <c r="E61" s="187"/>
      <c r="F61" s="188"/>
      <c r="G61" s="188"/>
      <c r="H61" s="188"/>
      <c r="I61" s="186"/>
      <c r="J61" s="188"/>
      <c r="K61" s="186"/>
      <c r="L61" s="188"/>
      <c r="M61" s="188"/>
      <c r="N61" s="205"/>
      <c r="O61" s="188"/>
      <c r="P61" s="188"/>
      <c r="Q61" s="221"/>
      <c r="R61" s="221"/>
      <c r="S61" s="282">
        <f t="shared" ca="1" si="24"/>
        <v>806</v>
      </c>
      <c r="T61" s="213">
        <f t="shared" ca="1" si="25"/>
        <v>2</v>
      </c>
      <c r="U61" s="188">
        <f ca="1">INDIRECT("R[-1]",FALSE)+1</f>
        <v>5</v>
      </c>
      <c r="V61" s="213">
        <f t="shared" ca="1" si="25"/>
        <v>10</v>
      </c>
      <c r="W61" s="186" t="str">
        <f t="shared" ca="1" si="17"/>
        <v>239.8.06.205</v>
      </c>
      <c r="X61" s="186" t="s">
        <v>566</v>
      </c>
      <c r="Y61" s="272" t="s">
        <v>830</v>
      </c>
      <c r="Z61" s="188" t="s">
        <v>796</v>
      </c>
      <c r="AA61" s="188" t="s">
        <v>797</v>
      </c>
      <c r="AB61" s="188" t="s">
        <v>798</v>
      </c>
      <c r="AC61" s="188" t="str">
        <f t="shared" si="6"/>
        <v/>
      </c>
      <c r="AD61" s="221" t="str">
        <f t="shared" si="7"/>
        <v/>
      </c>
      <c r="AE61" s="277">
        <f t="shared" ca="1" si="23"/>
        <v>734</v>
      </c>
    </row>
    <row r="62" spans="1:31" x14ac:dyDescent="0.3">
      <c r="A62" s="227">
        <f t="shared" ca="1" si="4"/>
        <v>60</v>
      </c>
      <c r="B62" s="190"/>
      <c r="C62" s="209"/>
      <c r="D62" s="209"/>
      <c r="E62" s="192"/>
      <c r="F62" s="209"/>
      <c r="G62" s="209"/>
      <c r="H62" s="209"/>
      <c r="I62" s="191"/>
      <c r="J62" s="209"/>
      <c r="K62" s="191"/>
      <c r="L62" s="209"/>
      <c r="M62" s="209"/>
      <c r="N62" s="206"/>
      <c r="O62" s="209"/>
      <c r="P62" s="209"/>
      <c r="Q62" s="222"/>
      <c r="R62" s="222"/>
      <c r="S62" s="283">
        <f t="shared" ca="1" si="24"/>
        <v>806</v>
      </c>
      <c r="T62" s="217">
        <f t="shared" ca="1" si="25"/>
        <v>2</v>
      </c>
      <c r="U62" s="209">
        <f ca="1">INDIRECT("R[-1]",FALSE)+1</f>
        <v>6</v>
      </c>
      <c r="V62" s="217">
        <f t="shared" ca="1" si="25"/>
        <v>10</v>
      </c>
      <c r="W62" s="191" t="str">
        <f t="shared" ca="1" si="17"/>
        <v>239.8.06.206</v>
      </c>
      <c r="X62" s="191" t="s">
        <v>566</v>
      </c>
      <c r="Y62" s="276" t="s">
        <v>830</v>
      </c>
      <c r="Z62" s="209" t="s">
        <v>796</v>
      </c>
      <c r="AA62" s="209" t="s">
        <v>797</v>
      </c>
      <c r="AB62" s="209" t="s">
        <v>798</v>
      </c>
      <c r="AC62" s="209" t="str">
        <f t="shared" si="6"/>
        <v/>
      </c>
      <c r="AD62" s="222" t="str">
        <f t="shared" si="7"/>
        <v/>
      </c>
      <c r="AE62" s="278">
        <f t="shared" ca="1" si="23"/>
        <v>734</v>
      </c>
    </row>
  </sheetData>
  <hyperlinks>
    <hyperlink ref="Y3" location="'Linear &amp; VOD Profiles'!A1" display="Lnear 4:3"/>
    <hyperlink ref="Y4" location="'Linear &amp; VOD Profiles'!A1" display="Lnear 4:3"/>
    <hyperlink ref="Y5:Y8" location="'Linear &amp; VOD Profiles'!A1" display="Lnear 4:3"/>
    <hyperlink ref="Y9" location="'Linear &amp; VOD Profiles'!A1" display="Lnear 4:3"/>
    <hyperlink ref="Y10:Y14" location="'Linear &amp; VOD Profiles'!A1" display="Lnear 4:3"/>
    <hyperlink ref="Y15" location="'Linear &amp; VOD Profiles'!A1" display="Lnear 4:3"/>
    <hyperlink ref="Y16" location="'Linear &amp; VOD Profiles'!A1" display="Lnear 4:3"/>
    <hyperlink ref="Y17:Y20" location="'Linear &amp; VOD Profiles'!A1" display="Lnear 4:3"/>
    <hyperlink ref="Y21" location="'Linear &amp; VOD Profiles'!A1" display="Lnear 4:3"/>
    <hyperlink ref="Y22:Y26" location="'Linear &amp; VOD Profiles'!A1" display="Lnear 4:3"/>
    <hyperlink ref="Y27" location="'Linear &amp; VOD Profiles'!A1" display="Lnear 4:3"/>
    <hyperlink ref="Y28" location="'Linear &amp; VOD Profiles'!A1" display="Lnear 4:3"/>
    <hyperlink ref="Y29:Y32" location="'Linear &amp; VOD Profiles'!A1" display="Lnear 4:3"/>
    <hyperlink ref="Y33" location="'Linear &amp; VOD Profiles'!A1" display="Lnear 4:3"/>
    <hyperlink ref="Y34:Y38" location="'Linear &amp; VOD Profiles'!A1" display="Lnear 4:3"/>
    <hyperlink ref="Y39" location="'Linear &amp; VOD Profiles'!A1" display="Lnear 4:3"/>
    <hyperlink ref="Y40" location="'Linear &amp; VOD Profiles'!A1" display="Lnear 4:3"/>
    <hyperlink ref="Y41:Y44" location="'Linear &amp; VOD Profiles'!A1" display="Lnear 4:3"/>
    <hyperlink ref="Y45" location="'Linear &amp; VOD Profiles'!A1" display="Lnear 4:3"/>
    <hyperlink ref="Y46:Y50" location="'Linear &amp; VOD Profiles'!A1" display="Lnear 4:3"/>
    <hyperlink ref="Y51" location="'Linear &amp; VOD Profiles'!A1" display="Lnear 4:3"/>
    <hyperlink ref="Y52" location="'Linear &amp; VOD Profiles'!A1" display="Lnear 4:3"/>
    <hyperlink ref="Y53:Y56" location="'Linear &amp; VOD Profiles'!A1" display="Lnear 4:3"/>
    <hyperlink ref="Y57" location="'Linear &amp; VOD Profiles'!A1" display="Lnear 4:3"/>
    <hyperlink ref="Y58:Y62" location="'Linear &amp; VOD Profiles'!A1" display="Lnear 4:3"/>
    <hyperlink ref="AE3" location="'Rack Elevation'!AD9" display="'Rack Elevation'!AD9"/>
    <hyperlink ref="AE4:AE12" location="'Rack Elevation'!AD9" display="'Rack Elevation'!AD9"/>
    <hyperlink ref="AE13:AE22" location="'Rack Elevation'!AD10" display="'Rack Elevation'!AD10"/>
    <hyperlink ref="AE23:AE32" location="'Rack Elevation'!AD11" display="'Rack Elevation'!AD11"/>
    <hyperlink ref="AE33:AE42" location="'Rack Elevation'!AD12" display="'Rack Elevation'!AD12"/>
    <hyperlink ref="AE43:AE52" location="'Rack Elevation'!AD14" display="'Rack Elevation'!AD14"/>
    <hyperlink ref="AE53:AE62" location="'Rack Elevation'!AD15" display="'Rack Elevation'!AD15"/>
    <hyperlink ref="S3:S14" location="'Rack Elevation'!AH35" display="'Rack Elevation'!AH35"/>
    <hyperlink ref="S15:S26" location="'Rack Elevation'!AH37" display="'Rack Elevation'!AH37"/>
    <hyperlink ref="S27:S38" location="'Rack Elevation'!AH39" display="'Rack Elevation'!AH39"/>
    <hyperlink ref="S39:S50" location="'Rack Elevation'!AH41" display="'Rack Elevation'!AH41"/>
    <hyperlink ref="S51:S62" location="'Rack Elevation'!AH43" display="'Rack Elevation'!AH43"/>
  </hyperlink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32"/>
  <sheetViews>
    <sheetView workbookViewId="0"/>
  </sheetViews>
  <sheetFormatPr defaultColWidth="44.44140625" defaultRowHeight="13.2" x14ac:dyDescent="0.25"/>
  <cols>
    <col min="1" max="1" width="13.44140625" style="26" bestFit="1" customWidth="1"/>
    <col min="2" max="2" width="13.33203125" style="26" bestFit="1" customWidth="1"/>
    <col min="3" max="3" width="20.109375" style="26" bestFit="1" customWidth="1"/>
    <col min="4" max="4" width="12.33203125" style="26" bestFit="1" customWidth="1"/>
    <col min="5" max="5" width="15.88671875" style="26" bestFit="1" customWidth="1"/>
    <col min="6" max="6" width="20.6640625" style="26" bestFit="1" customWidth="1"/>
    <col min="7" max="7" width="18" style="26" bestFit="1" customWidth="1"/>
    <col min="8" max="8" width="25" style="26" bestFit="1" customWidth="1"/>
    <col min="9" max="9" width="26.109375" style="26" bestFit="1" customWidth="1"/>
    <col min="10" max="10" width="14.44140625" style="26" bestFit="1" customWidth="1"/>
    <col min="11" max="11" width="33.33203125" style="26" bestFit="1" customWidth="1"/>
    <col min="12" max="12" width="14.44140625" style="26" bestFit="1" customWidth="1"/>
    <col min="13" max="16384" width="44.44140625" style="26"/>
  </cols>
  <sheetData>
    <row r="1" spans="1:12" s="248" customFormat="1" ht="20.399999999999999" x14ac:dyDescent="0.35">
      <c r="A1" s="258" t="s">
        <v>810</v>
      </c>
      <c r="B1" s="494" t="s">
        <v>802</v>
      </c>
      <c r="C1" s="494"/>
      <c r="D1" s="495"/>
      <c r="E1" s="246"/>
      <c r="F1" s="246"/>
      <c r="G1" s="246"/>
      <c r="H1" s="247"/>
      <c r="I1" s="247"/>
      <c r="J1" s="247"/>
      <c r="K1" s="247"/>
      <c r="L1" s="247"/>
    </row>
    <row r="2" spans="1:12" s="248" customFormat="1" ht="28.8" thickBot="1" x14ac:dyDescent="0.45">
      <c r="A2" s="236" t="s">
        <v>804</v>
      </c>
      <c r="B2" s="255" t="s">
        <v>801</v>
      </c>
      <c r="C2" s="256" t="s">
        <v>787</v>
      </c>
      <c r="D2" s="257" t="s">
        <v>803</v>
      </c>
      <c r="E2" s="249"/>
      <c r="F2" s="249"/>
      <c r="G2" s="250"/>
      <c r="H2" s="251"/>
      <c r="I2" s="251"/>
      <c r="J2" s="251"/>
      <c r="K2" s="251"/>
      <c r="L2" s="251"/>
    </row>
    <row r="3" spans="1:12" s="33" customFormat="1" ht="15" customHeight="1" x14ac:dyDescent="0.25">
      <c r="A3" s="237">
        <v>48</v>
      </c>
      <c r="B3" s="238">
        <v>350</v>
      </c>
      <c r="C3" s="238" t="s">
        <v>805</v>
      </c>
      <c r="D3" s="239">
        <f>A3+B3</f>
        <v>398</v>
      </c>
      <c r="E3" s="252"/>
      <c r="F3" s="252"/>
      <c r="G3" s="253"/>
      <c r="H3" s="254"/>
      <c r="I3" s="254"/>
      <c r="J3" s="254"/>
      <c r="K3" s="254"/>
      <c r="L3" s="254"/>
    </row>
    <row r="4" spans="1:12" s="33" customFormat="1" ht="15" customHeight="1" x14ac:dyDescent="0.25">
      <c r="A4" s="240">
        <v>48</v>
      </c>
      <c r="B4" s="241">
        <v>650</v>
      </c>
      <c r="C4" s="241" t="s">
        <v>806</v>
      </c>
      <c r="D4" s="242">
        <f>A4+B4</f>
        <v>698</v>
      </c>
      <c r="E4" s="252"/>
      <c r="F4" s="252"/>
      <c r="G4" s="253"/>
      <c r="H4" s="254"/>
      <c r="I4" s="254"/>
      <c r="J4" s="254"/>
      <c r="K4" s="254"/>
      <c r="L4" s="254"/>
    </row>
    <row r="5" spans="1:12" s="33" customFormat="1" ht="15" customHeight="1" x14ac:dyDescent="0.25">
      <c r="A5" s="240">
        <v>48</v>
      </c>
      <c r="B5" s="241">
        <v>950</v>
      </c>
      <c r="C5" s="241" t="s">
        <v>806</v>
      </c>
      <c r="D5" s="242">
        <f>A5+B5</f>
        <v>998</v>
      </c>
      <c r="E5" s="252"/>
      <c r="F5" s="252"/>
      <c r="G5" s="253"/>
      <c r="H5" s="254"/>
      <c r="I5" s="254"/>
      <c r="J5" s="254"/>
      <c r="K5" s="254"/>
      <c r="L5" s="254"/>
    </row>
    <row r="6" spans="1:12" s="33" customFormat="1" ht="15" customHeight="1" x14ac:dyDescent="0.25">
      <c r="A6" s="240">
        <v>48</v>
      </c>
      <c r="B6" s="241">
        <v>1250</v>
      </c>
      <c r="C6" s="241" t="s">
        <v>807</v>
      </c>
      <c r="D6" s="242">
        <f>A6+B6</f>
        <v>1298</v>
      </c>
      <c r="E6" s="252"/>
      <c r="F6" s="252"/>
      <c r="G6" s="253"/>
      <c r="H6" s="254"/>
      <c r="I6" s="254"/>
      <c r="J6" s="254"/>
      <c r="K6" s="254"/>
      <c r="L6" s="254"/>
    </row>
    <row r="7" spans="1:12" s="33" customFormat="1" ht="15" customHeight="1" x14ac:dyDescent="0.25">
      <c r="A7" s="240">
        <v>48</v>
      </c>
      <c r="B7" s="241">
        <v>1500</v>
      </c>
      <c r="C7" s="241" t="s">
        <v>808</v>
      </c>
      <c r="D7" s="242">
        <f>A7+B7</f>
        <v>1548</v>
      </c>
      <c r="E7" s="252"/>
      <c r="F7" s="252"/>
      <c r="G7" s="253"/>
      <c r="H7" s="254"/>
      <c r="I7" s="254"/>
      <c r="J7" s="254"/>
      <c r="K7" s="254"/>
      <c r="L7" s="254"/>
    </row>
    <row r="8" spans="1:12" s="33" customFormat="1" ht="15" customHeight="1" thickBot="1" x14ac:dyDescent="0.3">
      <c r="A8" s="243">
        <v>48</v>
      </c>
      <c r="B8" s="244"/>
      <c r="C8" s="244"/>
      <c r="D8" s="245" t="str">
        <f>IF(B8&gt;0,B8+A8,"")</f>
        <v/>
      </c>
      <c r="E8" s="252"/>
      <c r="F8" s="252"/>
      <c r="G8" s="253"/>
      <c r="H8" s="254"/>
      <c r="I8" s="254"/>
      <c r="J8" s="254"/>
      <c r="K8" s="254"/>
      <c r="L8" s="254"/>
    </row>
    <row r="9" spans="1:12" s="235" customFormat="1" ht="15" customHeight="1" x14ac:dyDescent="0.25">
      <c r="A9" s="259" t="s">
        <v>818</v>
      </c>
      <c r="B9" s="260">
        <v>0.1</v>
      </c>
      <c r="C9" s="261"/>
      <c r="D9" s="262"/>
      <c r="E9" s="232"/>
      <c r="F9" s="232"/>
      <c r="G9" s="233"/>
      <c r="H9" s="234"/>
      <c r="I9" s="234"/>
      <c r="J9" s="234"/>
      <c r="K9" s="234"/>
      <c r="L9" s="234"/>
    </row>
    <row r="10" spans="1:12" s="235" customFormat="1" ht="15" customHeight="1" x14ac:dyDescent="0.25">
      <c r="A10" s="263" t="s">
        <v>819</v>
      </c>
      <c r="B10" s="230" t="str">
        <f>(SUM(D3:D8)+((SUM(D3:D8))*0.1))&amp;" kbps"</f>
        <v>5434 kbps</v>
      </c>
      <c r="C10" s="231"/>
      <c r="D10" s="264"/>
      <c r="E10" s="232"/>
      <c r="F10" s="232"/>
      <c r="G10" s="233"/>
      <c r="H10" s="234"/>
      <c r="I10" s="234"/>
      <c r="J10" s="234"/>
      <c r="K10" s="234"/>
      <c r="L10" s="234"/>
    </row>
    <row r="11" spans="1:12" s="235" customFormat="1" ht="15" customHeight="1" thickBot="1" x14ac:dyDescent="0.3">
      <c r="A11" s="265" t="s">
        <v>820</v>
      </c>
      <c r="B11" s="266" t="s">
        <v>821</v>
      </c>
      <c r="C11" s="267"/>
      <c r="D11" s="268"/>
      <c r="E11" s="232"/>
      <c r="F11" s="232"/>
      <c r="G11" s="233"/>
      <c r="H11" s="234"/>
      <c r="I11" s="234"/>
      <c r="J11" s="234"/>
      <c r="K11" s="234"/>
      <c r="L11" s="234"/>
    </row>
    <row r="12" spans="1:12" s="235" customFormat="1" ht="15" customHeight="1" thickBot="1" x14ac:dyDescent="0.3">
      <c r="B12" s="231"/>
      <c r="C12" s="231"/>
      <c r="D12" s="231"/>
      <c r="E12" s="232"/>
      <c r="F12" s="232"/>
      <c r="G12" s="233"/>
      <c r="H12" s="234"/>
      <c r="I12" s="234"/>
      <c r="J12" s="234"/>
      <c r="K12" s="234"/>
      <c r="L12" s="234"/>
    </row>
    <row r="13" spans="1:12" s="235" customFormat="1" ht="21" x14ac:dyDescent="0.3">
      <c r="A13" s="258" t="s">
        <v>810</v>
      </c>
      <c r="B13" s="494" t="s">
        <v>809</v>
      </c>
      <c r="C13" s="494"/>
      <c r="D13" s="495"/>
      <c r="E13" s="232"/>
      <c r="F13" s="232"/>
      <c r="G13" s="233"/>
      <c r="H13" s="234"/>
      <c r="I13" s="234"/>
      <c r="J13" s="234"/>
      <c r="K13" s="234"/>
      <c r="L13" s="234"/>
    </row>
    <row r="14" spans="1:12" ht="27" thickBot="1" x14ac:dyDescent="0.3">
      <c r="A14" s="236" t="s">
        <v>804</v>
      </c>
      <c r="B14" s="255" t="s">
        <v>801</v>
      </c>
      <c r="C14" s="256" t="s">
        <v>787</v>
      </c>
      <c r="D14" s="257" t="s">
        <v>803</v>
      </c>
      <c r="E14" s="232"/>
      <c r="F14" s="232"/>
      <c r="G14" s="233"/>
      <c r="H14" s="234"/>
      <c r="I14" s="234"/>
      <c r="J14" s="234"/>
      <c r="K14" s="234"/>
      <c r="L14" s="234"/>
    </row>
    <row r="15" spans="1:12" ht="15" customHeight="1" x14ac:dyDescent="0.25">
      <c r="A15" s="237">
        <v>48</v>
      </c>
      <c r="B15" s="238">
        <v>250</v>
      </c>
      <c r="C15" s="238" t="s">
        <v>812</v>
      </c>
      <c r="D15" s="239">
        <f>A15+B15</f>
        <v>298</v>
      </c>
      <c r="E15" s="232"/>
      <c r="F15" s="232"/>
      <c r="G15" s="233"/>
      <c r="H15" s="234"/>
      <c r="I15" s="234"/>
      <c r="J15" s="234"/>
      <c r="K15" s="234"/>
      <c r="L15" s="234"/>
    </row>
    <row r="16" spans="1:12" ht="15" customHeight="1" x14ac:dyDescent="0.25">
      <c r="A16" s="240">
        <v>48</v>
      </c>
      <c r="B16" s="241">
        <v>500</v>
      </c>
      <c r="C16" s="241" t="s">
        <v>813</v>
      </c>
      <c r="D16" s="242">
        <f>A16+B16</f>
        <v>548</v>
      </c>
      <c r="E16" s="232"/>
      <c r="F16" s="232"/>
      <c r="G16" s="233"/>
      <c r="H16" s="234"/>
      <c r="I16" s="234"/>
      <c r="J16" s="234"/>
      <c r="K16" s="234"/>
      <c r="L16" s="234"/>
    </row>
    <row r="17" spans="1:12" ht="15" customHeight="1" x14ac:dyDescent="0.25">
      <c r="A17" s="240">
        <v>48</v>
      </c>
      <c r="B17" s="241">
        <v>1000</v>
      </c>
      <c r="C17" s="241" t="s">
        <v>814</v>
      </c>
      <c r="D17" s="242">
        <f>A17+B17</f>
        <v>1048</v>
      </c>
    </row>
    <row r="18" spans="1:12" ht="15" customHeight="1" x14ac:dyDescent="0.25">
      <c r="A18" s="240">
        <v>48</v>
      </c>
      <c r="B18" s="241">
        <v>1500</v>
      </c>
      <c r="C18" s="241" t="s">
        <v>815</v>
      </c>
      <c r="D18" s="242">
        <f>A18+B18</f>
        <v>1548</v>
      </c>
    </row>
    <row r="19" spans="1:12" ht="15" customHeight="1" x14ac:dyDescent="0.25">
      <c r="A19" s="240">
        <v>48</v>
      </c>
      <c r="B19" s="241">
        <v>2000</v>
      </c>
      <c r="C19" s="241" t="s">
        <v>816</v>
      </c>
      <c r="D19" s="242">
        <f>A19+B19</f>
        <v>2048</v>
      </c>
    </row>
    <row r="20" spans="1:12" ht="15" customHeight="1" thickBot="1" x14ac:dyDescent="0.3">
      <c r="A20" s="243">
        <v>48</v>
      </c>
      <c r="B20" s="244">
        <v>3750</v>
      </c>
      <c r="C20" s="244" t="s">
        <v>817</v>
      </c>
      <c r="D20" s="245">
        <f>IF(B20&gt;0,B20+A20,"")</f>
        <v>3798</v>
      </c>
    </row>
    <row r="21" spans="1:12" s="235" customFormat="1" ht="15" customHeight="1" x14ac:dyDescent="0.25">
      <c r="A21" s="259" t="s">
        <v>818</v>
      </c>
      <c r="B21" s="260">
        <v>0.1</v>
      </c>
      <c r="C21" s="261"/>
      <c r="D21" s="262"/>
      <c r="E21" s="232"/>
      <c r="F21" s="232"/>
      <c r="G21" s="233"/>
      <c r="H21" s="234"/>
      <c r="I21" s="234"/>
      <c r="J21" s="234"/>
      <c r="K21" s="234"/>
      <c r="L21" s="234"/>
    </row>
    <row r="22" spans="1:12" s="235" customFormat="1" ht="15" customHeight="1" x14ac:dyDescent="0.25">
      <c r="A22" s="263" t="s">
        <v>819</v>
      </c>
      <c r="B22" s="230" t="str">
        <f>(SUM(D15:D20)+((SUM(D15:D20))*0.1))&amp;" kbps"</f>
        <v>10216.8 kbps</v>
      </c>
      <c r="C22" s="231"/>
      <c r="D22" s="264"/>
      <c r="E22" s="232"/>
      <c r="F22" s="232"/>
      <c r="G22" s="233"/>
      <c r="H22" s="234"/>
      <c r="I22" s="234"/>
      <c r="J22" s="234"/>
      <c r="K22" s="234"/>
      <c r="L22" s="234"/>
    </row>
    <row r="23" spans="1:12" s="235" customFormat="1" ht="15" customHeight="1" thickBot="1" x14ac:dyDescent="0.3">
      <c r="A23" s="265" t="s">
        <v>820</v>
      </c>
      <c r="B23" s="266" t="s">
        <v>821</v>
      </c>
      <c r="C23" s="267"/>
      <c r="D23" s="268"/>
      <c r="E23" s="232"/>
      <c r="F23" s="232"/>
      <c r="G23" s="233"/>
      <c r="H23" s="234"/>
      <c r="I23" s="234"/>
      <c r="J23" s="234"/>
      <c r="K23" s="234"/>
      <c r="L23" s="234"/>
    </row>
    <row r="24" spans="1:12" ht="15" customHeight="1" x14ac:dyDescent="0.25"/>
    <row r="25" spans="1:12" ht="15" customHeight="1" thickBot="1" x14ac:dyDescent="0.3"/>
    <row r="26" spans="1:12" s="248" customFormat="1" ht="20.399999999999999" x14ac:dyDescent="0.35">
      <c r="A26" s="258" t="s">
        <v>811</v>
      </c>
      <c r="B26" s="494" t="s">
        <v>802</v>
      </c>
      <c r="C26" s="494"/>
      <c r="D26" s="495"/>
      <c r="E26" s="246"/>
      <c r="F26" s="246"/>
      <c r="G26" s="246"/>
      <c r="H26" s="247"/>
      <c r="I26" s="247"/>
      <c r="J26" s="247"/>
      <c r="K26" s="247"/>
      <c r="L26" s="247"/>
    </row>
    <row r="27" spans="1:12" s="248" customFormat="1" ht="28.8" thickBot="1" x14ac:dyDescent="0.45">
      <c r="A27" s="236" t="s">
        <v>804</v>
      </c>
      <c r="B27" s="255" t="s">
        <v>801</v>
      </c>
      <c r="C27" s="256" t="s">
        <v>787</v>
      </c>
      <c r="D27" s="257" t="s">
        <v>803</v>
      </c>
      <c r="E27" s="249"/>
      <c r="F27" s="249"/>
      <c r="G27" s="250"/>
      <c r="H27" s="251"/>
      <c r="I27" s="251"/>
      <c r="J27" s="251"/>
      <c r="K27" s="251"/>
      <c r="L27" s="251"/>
    </row>
    <row r="28" spans="1:12" s="33" customFormat="1" ht="15" customHeight="1" x14ac:dyDescent="0.25">
      <c r="A28" s="237">
        <v>48</v>
      </c>
      <c r="B28" s="238">
        <v>350</v>
      </c>
      <c r="C28" s="238" t="s">
        <v>805</v>
      </c>
      <c r="D28" s="239">
        <f>A28+B28</f>
        <v>398</v>
      </c>
      <c r="E28" s="252"/>
      <c r="F28" s="252"/>
      <c r="G28" s="253"/>
      <c r="H28" s="254"/>
      <c r="I28" s="254"/>
      <c r="J28" s="254"/>
      <c r="K28" s="254"/>
      <c r="L28" s="254"/>
    </row>
    <row r="29" spans="1:12" s="33" customFormat="1" ht="15" customHeight="1" x14ac:dyDescent="0.25">
      <c r="A29" s="240">
        <v>96</v>
      </c>
      <c r="B29" s="241">
        <v>650</v>
      </c>
      <c r="C29" s="241" t="s">
        <v>806</v>
      </c>
      <c r="D29" s="242">
        <f>A29+B29</f>
        <v>746</v>
      </c>
      <c r="E29" s="252"/>
      <c r="F29" s="252"/>
      <c r="G29" s="253"/>
      <c r="H29" s="254"/>
      <c r="I29" s="254"/>
      <c r="J29" s="254"/>
      <c r="K29" s="254"/>
      <c r="L29" s="254"/>
    </row>
    <row r="30" spans="1:12" s="33" customFormat="1" ht="15" customHeight="1" x14ac:dyDescent="0.25">
      <c r="A30" s="240">
        <v>96</v>
      </c>
      <c r="B30" s="241">
        <v>950</v>
      </c>
      <c r="C30" s="241" t="s">
        <v>806</v>
      </c>
      <c r="D30" s="242">
        <f>A30+B30</f>
        <v>1046</v>
      </c>
      <c r="E30" s="252"/>
      <c r="F30" s="252"/>
      <c r="G30" s="253"/>
      <c r="H30" s="254"/>
      <c r="I30" s="254"/>
      <c r="J30" s="254"/>
      <c r="K30" s="254"/>
      <c r="L30" s="254"/>
    </row>
    <row r="31" spans="1:12" s="33" customFormat="1" ht="15" customHeight="1" x14ac:dyDescent="0.25">
      <c r="A31" s="240">
        <v>128</v>
      </c>
      <c r="B31" s="241">
        <v>1250</v>
      </c>
      <c r="C31" s="241" t="s">
        <v>807</v>
      </c>
      <c r="D31" s="242">
        <f>A31+B31</f>
        <v>1378</v>
      </c>
      <c r="E31" s="252"/>
      <c r="F31" s="252"/>
      <c r="G31" s="253"/>
      <c r="H31" s="254"/>
      <c r="I31" s="254"/>
      <c r="J31" s="254"/>
      <c r="K31" s="254"/>
      <c r="L31" s="254"/>
    </row>
    <row r="32" spans="1:12" s="33" customFormat="1" ht="15" customHeight="1" x14ac:dyDescent="0.25">
      <c r="A32" s="240">
        <v>128</v>
      </c>
      <c r="B32" s="241">
        <v>1500</v>
      </c>
      <c r="C32" s="241" t="s">
        <v>808</v>
      </c>
      <c r="D32" s="242">
        <f>A32+B32</f>
        <v>1628</v>
      </c>
      <c r="E32" s="252"/>
      <c r="F32" s="252"/>
      <c r="G32" s="253"/>
      <c r="H32" s="254"/>
      <c r="I32" s="254"/>
      <c r="J32" s="254"/>
      <c r="K32" s="254"/>
      <c r="L32" s="254"/>
    </row>
    <row r="33" spans="1:12" s="33" customFormat="1" ht="15" customHeight="1" thickBot="1" x14ac:dyDescent="0.3">
      <c r="A33" s="243">
        <v>128</v>
      </c>
      <c r="B33" s="244"/>
      <c r="C33" s="244"/>
      <c r="D33" s="245" t="str">
        <f>IF(B33&gt;0,B33+A33,"")</f>
        <v/>
      </c>
      <c r="E33" s="252"/>
      <c r="F33" s="252"/>
      <c r="G33" s="253"/>
      <c r="H33" s="254"/>
      <c r="I33" s="254"/>
      <c r="J33" s="254"/>
      <c r="K33" s="254"/>
      <c r="L33" s="254"/>
    </row>
    <row r="34" spans="1:12" s="235" customFormat="1" ht="15" customHeight="1" x14ac:dyDescent="0.25">
      <c r="A34" s="259" t="s">
        <v>818</v>
      </c>
      <c r="B34" s="260">
        <v>0.1</v>
      </c>
      <c r="C34" s="261"/>
      <c r="D34" s="262"/>
      <c r="E34" s="232"/>
      <c r="F34" s="232"/>
      <c r="G34" s="233"/>
      <c r="H34" s="234"/>
      <c r="I34" s="234"/>
      <c r="J34" s="234"/>
      <c r="K34" s="234"/>
      <c r="L34" s="234"/>
    </row>
    <row r="35" spans="1:12" s="235" customFormat="1" ht="15" customHeight="1" x14ac:dyDescent="0.25">
      <c r="A35" s="263" t="s">
        <v>819</v>
      </c>
      <c r="B35" s="230" t="str">
        <f>(SUM(D28:D33)+((SUM(D28:D33))*0.1))&amp;" kbps"</f>
        <v>5715.6 kbps</v>
      </c>
      <c r="C35" s="231"/>
      <c r="D35" s="264"/>
      <c r="E35" s="232"/>
      <c r="F35" s="232"/>
      <c r="G35" s="233"/>
      <c r="H35" s="234"/>
      <c r="I35" s="234"/>
      <c r="J35" s="234"/>
      <c r="K35" s="234"/>
      <c r="L35" s="234"/>
    </row>
    <row r="36" spans="1:12" s="235" customFormat="1" ht="15" customHeight="1" thickBot="1" x14ac:dyDescent="0.3">
      <c r="A36" s="265" t="s">
        <v>820</v>
      </c>
      <c r="B36" s="266" t="s">
        <v>821</v>
      </c>
      <c r="C36" s="267"/>
      <c r="D36" s="268"/>
      <c r="E36" s="232"/>
      <c r="F36" s="232"/>
      <c r="G36" s="233"/>
      <c r="H36" s="234"/>
      <c r="I36" s="234"/>
      <c r="J36" s="234"/>
      <c r="K36" s="234"/>
      <c r="L36" s="234"/>
    </row>
    <row r="37" spans="1:12" s="235" customFormat="1" ht="15" customHeight="1" thickBot="1" x14ac:dyDescent="0.3">
      <c r="B37" s="231"/>
      <c r="C37" s="231"/>
      <c r="D37" s="231"/>
      <c r="E37" s="232"/>
      <c r="F37" s="232"/>
      <c r="G37" s="233"/>
      <c r="H37" s="234"/>
      <c r="I37" s="234"/>
      <c r="J37" s="234"/>
      <c r="K37" s="234"/>
      <c r="L37" s="234"/>
    </row>
    <row r="38" spans="1:12" s="235" customFormat="1" ht="21" x14ac:dyDescent="0.3">
      <c r="A38" s="258" t="s">
        <v>811</v>
      </c>
      <c r="B38" s="494" t="s">
        <v>809</v>
      </c>
      <c r="C38" s="494"/>
      <c r="D38" s="495"/>
      <c r="E38" s="232"/>
      <c r="F38" s="232"/>
      <c r="G38" s="233"/>
      <c r="H38" s="234"/>
      <c r="I38" s="234"/>
      <c r="J38" s="234"/>
      <c r="K38" s="234"/>
      <c r="L38" s="234"/>
    </row>
    <row r="39" spans="1:12" ht="40.200000000000003" thickBot="1" x14ac:dyDescent="0.3">
      <c r="A39" s="236" t="s">
        <v>804</v>
      </c>
      <c r="B39" s="255" t="s">
        <v>801</v>
      </c>
      <c r="C39" s="256" t="s">
        <v>787</v>
      </c>
      <c r="D39" s="257" t="s">
        <v>803</v>
      </c>
      <c r="E39" s="232"/>
      <c r="F39" s="232"/>
      <c r="G39" s="233"/>
      <c r="H39" s="234"/>
      <c r="I39" s="234"/>
      <c r="J39" s="234"/>
      <c r="K39" s="234"/>
      <c r="L39" s="234"/>
    </row>
    <row r="40" spans="1:12" ht="15" customHeight="1" x14ac:dyDescent="0.25">
      <c r="A40" s="237">
        <v>48</v>
      </c>
      <c r="B40" s="238">
        <v>250</v>
      </c>
      <c r="C40" s="238" t="s">
        <v>812</v>
      </c>
      <c r="D40" s="239">
        <f>A40+B40</f>
        <v>298</v>
      </c>
      <c r="E40" s="232"/>
      <c r="F40" s="232"/>
      <c r="G40" s="233"/>
      <c r="H40" s="234"/>
      <c r="I40" s="234"/>
      <c r="J40" s="234"/>
      <c r="K40" s="234"/>
      <c r="L40" s="234"/>
    </row>
    <row r="41" spans="1:12" ht="15" customHeight="1" x14ac:dyDescent="0.25">
      <c r="A41" s="240">
        <v>96</v>
      </c>
      <c r="B41" s="241">
        <v>500</v>
      </c>
      <c r="C41" s="241" t="s">
        <v>813</v>
      </c>
      <c r="D41" s="242">
        <f>A41+B41</f>
        <v>596</v>
      </c>
      <c r="E41" s="232"/>
      <c r="F41" s="232"/>
      <c r="G41" s="233"/>
      <c r="H41" s="234"/>
      <c r="I41" s="234"/>
      <c r="J41" s="234"/>
      <c r="K41" s="234"/>
      <c r="L41" s="234"/>
    </row>
    <row r="42" spans="1:12" ht="15" customHeight="1" x14ac:dyDescent="0.25">
      <c r="A42" s="240">
        <v>96</v>
      </c>
      <c r="B42" s="241">
        <v>1000</v>
      </c>
      <c r="C42" s="241" t="s">
        <v>814</v>
      </c>
      <c r="D42" s="242">
        <f>A42+B42</f>
        <v>1096</v>
      </c>
    </row>
    <row r="43" spans="1:12" ht="15" customHeight="1" x14ac:dyDescent="0.25">
      <c r="A43" s="240">
        <v>128</v>
      </c>
      <c r="B43" s="241">
        <v>1500</v>
      </c>
      <c r="C43" s="241" t="s">
        <v>815</v>
      </c>
      <c r="D43" s="242">
        <f>A43+B43</f>
        <v>1628</v>
      </c>
    </row>
    <row r="44" spans="1:12" ht="15" customHeight="1" x14ac:dyDescent="0.25">
      <c r="A44" s="240">
        <v>128</v>
      </c>
      <c r="B44" s="241">
        <v>2000</v>
      </c>
      <c r="C44" s="241" t="s">
        <v>816</v>
      </c>
      <c r="D44" s="242">
        <f>A44+B44</f>
        <v>2128</v>
      </c>
    </row>
    <row r="45" spans="1:12" ht="15" customHeight="1" thickBot="1" x14ac:dyDescent="0.3">
      <c r="A45" s="243">
        <v>128</v>
      </c>
      <c r="B45" s="244">
        <v>3750</v>
      </c>
      <c r="C45" s="244" t="s">
        <v>817</v>
      </c>
      <c r="D45" s="245">
        <f>IF(B45&gt;0,B45+A45,"")</f>
        <v>3878</v>
      </c>
    </row>
    <row r="46" spans="1:12" s="235" customFormat="1" ht="15" customHeight="1" x14ac:dyDescent="0.25">
      <c r="A46" s="259" t="s">
        <v>818</v>
      </c>
      <c r="B46" s="260">
        <v>0.1</v>
      </c>
      <c r="C46" s="261"/>
      <c r="D46" s="262"/>
      <c r="E46" s="232"/>
      <c r="F46" s="232"/>
      <c r="G46" s="233"/>
      <c r="H46" s="234"/>
      <c r="I46" s="234"/>
      <c r="J46" s="234"/>
      <c r="K46" s="234"/>
      <c r="L46" s="234"/>
    </row>
    <row r="47" spans="1:12" s="235" customFormat="1" ht="15" customHeight="1" x14ac:dyDescent="0.25">
      <c r="A47" s="263" t="s">
        <v>819</v>
      </c>
      <c r="B47" s="230" t="str">
        <f>(SUM(D40:D45)+((SUM(D40:D45))*0.1))&amp;" kbps"</f>
        <v>10586.4 kbps</v>
      </c>
      <c r="C47" s="231"/>
      <c r="D47" s="264"/>
      <c r="E47" s="232"/>
      <c r="F47" s="232"/>
      <c r="G47" s="233"/>
      <c r="H47" s="234"/>
      <c r="I47" s="234"/>
      <c r="J47" s="234"/>
      <c r="K47" s="234"/>
      <c r="L47" s="234"/>
    </row>
    <row r="48" spans="1:12" s="235" customFormat="1" ht="15" customHeight="1" thickBot="1" x14ac:dyDescent="0.3">
      <c r="A48" s="265" t="s">
        <v>820</v>
      </c>
      <c r="B48" s="266" t="s">
        <v>821</v>
      </c>
      <c r="C48" s="267"/>
      <c r="D48" s="268"/>
      <c r="E48" s="232"/>
      <c r="F48" s="232"/>
      <c r="G48" s="233"/>
      <c r="H48" s="234"/>
      <c r="I48" s="234"/>
      <c r="J48" s="234"/>
      <c r="K48" s="234"/>
      <c r="L48" s="234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</sheetData>
  <mergeCells count="4">
    <mergeCell ref="B1:D1"/>
    <mergeCell ref="B13:D13"/>
    <mergeCell ref="B26:D26"/>
    <mergeCell ref="B38:D38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30CA28B45474AA41FAE69BD1C946E" ma:contentTypeVersion="5" ma:contentTypeDescription="Create a new document." ma:contentTypeScope="" ma:versionID="8d88a8039fae2b038157cba3e0e0288d">
  <xsd:schema xmlns:xsd="http://www.w3.org/2001/XMLSchema" xmlns:p="http://schemas.microsoft.com/office/2006/metadata/properties" targetNamespace="http://schemas.microsoft.com/office/2006/metadata/properties" ma:root="true" ma:fieldsID="4e990f2329aae36b5203d28b5c11d80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8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4D6906FA-9C5E-4E39-BD9D-B535BB678293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D582871-EED9-455B-A552-73AC3D98C9B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6F383C6-4EC6-47C3-A5EB-611B8E039A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BA2FF1-C6CF-4CE9-B68E-49AFE4058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Row-3 Layout</vt:lpstr>
      <vt:lpstr>Row-1 Layout</vt:lpstr>
      <vt:lpstr>Old Rack Elevation</vt:lpstr>
      <vt:lpstr>Sheet1</vt:lpstr>
      <vt:lpstr>_RACK00_</vt:lpstr>
      <vt:lpstr>_RACK01_</vt:lpstr>
      <vt:lpstr>_RACK02_</vt:lpstr>
      <vt:lpstr>_RACK04_</vt:lpstr>
      <vt:lpstr>_RACK05_</vt:lpstr>
      <vt:lpstr>_RU_</vt:lpstr>
      <vt:lpstr>'Port Requirements'!_ValidDevices_</vt:lpstr>
      <vt:lpstr>_VLANS_DEVICE</vt:lpstr>
      <vt:lpstr>_VLANS_FUNCTION</vt:lpstr>
      <vt:lpstr>_VLANS_IP</vt:lpstr>
      <vt:lpstr>_VLANS_PORT</vt:lpstr>
      <vt:lpstr>_VLANS_VLAN</vt:lpstr>
      <vt:lpstr>'Old Rack Elevation'!Print_Area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Harmonic Config Workbook</dc:title>
  <dc:subject/>
  <dc:creator>Fuzail Hasan</dc:creator>
  <cp:keywords/>
  <dc:description/>
  <cp:lastModifiedBy>Janardhan</cp:lastModifiedBy>
  <cp:lastPrinted>2017-09-05T06:00:38Z</cp:lastPrinted>
  <dcterms:created xsi:type="dcterms:W3CDTF">2005-12-13T21:30:59Z</dcterms:created>
  <dcterms:modified xsi:type="dcterms:W3CDTF">2017-10-03T08:26:16Z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i4>1</vt:i4>
  </property>
  <property fmtid="{D5CDD505-2E9C-101B-9397-08002B2CF9AE}" pid="3" name="Department">
    <vt:lpwstr>System Engineering</vt:lpwstr>
  </property>
  <property fmtid="{D5CDD505-2E9C-101B-9397-08002B2CF9AE}" pid="4" name="ContentType">
    <vt:lpwstr>Document</vt:lpwstr>
  </property>
</Properties>
</file>