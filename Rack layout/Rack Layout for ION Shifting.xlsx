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0" yWindow="0" windowWidth="23040" windowHeight="9336"/>
  </bookViews>
  <sheets>
    <sheet name="Sheet1" sheetId="1" r:id="rId1"/>
  </sheets>
  <definedNames>
    <definedName name="_ValidDevices_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" i="1" l="1"/>
  <c r="M45" i="1"/>
  <c r="K45" i="1"/>
  <c r="M44" i="1"/>
  <c r="K44" i="1"/>
  <c r="M42" i="1"/>
  <c r="K42" i="1"/>
  <c r="M41" i="1"/>
  <c r="K41" i="1"/>
  <c r="M40" i="1"/>
  <c r="K40" i="1"/>
  <c r="M39" i="1"/>
  <c r="K39" i="1"/>
  <c r="M38" i="1"/>
  <c r="K38" i="1"/>
  <c r="M37" i="1"/>
  <c r="K37" i="1"/>
  <c r="M36" i="1"/>
  <c r="K36" i="1"/>
  <c r="M35" i="1"/>
  <c r="K35" i="1"/>
  <c r="M34" i="1"/>
  <c r="K34" i="1"/>
  <c r="M32" i="1"/>
  <c r="K32" i="1"/>
  <c r="M29" i="1"/>
  <c r="K29" i="1"/>
  <c r="M26" i="1"/>
  <c r="K26" i="1"/>
  <c r="M23" i="1"/>
  <c r="K23" i="1"/>
  <c r="M20" i="1"/>
  <c r="K20" i="1"/>
  <c r="M19" i="1"/>
  <c r="K19" i="1"/>
  <c r="M17" i="1"/>
  <c r="K17" i="1"/>
  <c r="M16" i="1"/>
  <c r="K16" i="1"/>
  <c r="M14" i="1"/>
  <c r="K14" i="1"/>
  <c r="M13" i="1"/>
  <c r="K13" i="1"/>
  <c r="M11" i="1"/>
  <c r="K11" i="1"/>
  <c r="M9" i="1"/>
  <c r="K9" i="1"/>
  <c r="M5" i="1"/>
  <c r="K5" i="1"/>
  <c r="M4" i="1"/>
  <c r="K4" i="1"/>
  <c r="G5" i="1"/>
  <c r="G9" i="1"/>
  <c r="E5" i="1"/>
  <c r="E9" i="1"/>
  <c r="E11" i="1"/>
  <c r="E14" i="1"/>
  <c r="E16" i="1"/>
  <c r="E17" i="1"/>
  <c r="E20" i="1"/>
  <c r="E23" i="1"/>
  <c r="E26" i="1"/>
  <c r="E29" i="1"/>
  <c r="E32" i="1"/>
  <c r="E34" i="1"/>
  <c r="E35" i="1"/>
  <c r="E36" i="1"/>
  <c r="E37" i="1"/>
  <c r="E38" i="1"/>
  <c r="E39" i="1"/>
  <c r="E40" i="1"/>
  <c r="E41" i="1"/>
  <c r="E42" i="1"/>
  <c r="E44" i="1"/>
  <c r="E45" i="1"/>
  <c r="E46" i="1"/>
  <c r="G11" i="1"/>
  <c r="G14" i="1"/>
  <c r="G16" i="1"/>
  <c r="G17" i="1"/>
  <c r="G20" i="1"/>
  <c r="G23" i="1"/>
  <c r="G26" i="1"/>
  <c r="G29" i="1"/>
  <c r="G32" i="1"/>
  <c r="G34" i="1"/>
  <c r="G35" i="1"/>
  <c r="G36" i="1"/>
  <c r="G37" i="1"/>
  <c r="G38" i="1"/>
  <c r="G39" i="1"/>
  <c r="G40" i="1"/>
  <c r="G41" i="1"/>
  <c r="G42" i="1"/>
  <c r="G44" i="1"/>
  <c r="G45" i="1"/>
  <c r="C45" i="1"/>
  <c r="B44" i="1"/>
  <c r="C44" i="1"/>
  <c r="B43" i="1"/>
  <c r="B42" i="1"/>
  <c r="C43" i="1"/>
  <c r="C42" i="1"/>
  <c r="B41" i="1"/>
  <c r="C41" i="1"/>
  <c r="B40" i="1"/>
  <c r="C40" i="1"/>
  <c r="B39" i="1"/>
  <c r="B38" i="1"/>
  <c r="C39" i="1"/>
  <c r="C38" i="1"/>
  <c r="B37" i="1"/>
  <c r="C37" i="1"/>
  <c r="B36" i="1"/>
  <c r="C36" i="1"/>
  <c r="B35" i="1"/>
  <c r="B34" i="1"/>
  <c r="C35" i="1"/>
  <c r="B33" i="1"/>
  <c r="C34" i="1"/>
  <c r="B32" i="1"/>
  <c r="C33" i="1"/>
  <c r="C32" i="1"/>
  <c r="B31" i="1"/>
  <c r="B30" i="1"/>
  <c r="C31" i="1"/>
  <c r="C30" i="1"/>
  <c r="B29" i="1"/>
  <c r="B28" i="1"/>
  <c r="C29" i="1"/>
  <c r="C28" i="1"/>
  <c r="B27" i="1"/>
  <c r="C27" i="1"/>
  <c r="B26" i="1"/>
  <c r="C26" i="1"/>
  <c r="B25" i="1"/>
  <c r="B24" i="1"/>
  <c r="C25" i="1"/>
  <c r="B23" i="1"/>
  <c r="C24" i="1"/>
  <c r="B22" i="1"/>
  <c r="C23" i="1"/>
  <c r="C22" i="1"/>
  <c r="B21" i="1"/>
  <c r="B20" i="1"/>
  <c r="C21" i="1"/>
  <c r="C20" i="1"/>
  <c r="B19" i="1"/>
  <c r="B18" i="1"/>
  <c r="C19" i="1"/>
  <c r="B17" i="1"/>
  <c r="C18" i="1"/>
  <c r="B16" i="1"/>
  <c r="C17" i="1"/>
  <c r="C16" i="1"/>
  <c r="B15" i="1"/>
  <c r="C15" i="1"/>
  <c r="B14" i="1"/>
  <c r="B13" i="1"/>
  <c r="C14" i="1"/>
  <c r="B12" i="1"/>
  <c r="C13" i="1"/>
  <c r="C12" i="1"/>
  <c r="B11" i="1"/>
  <c r="B10" i="1"/>
  <c r="C11" i="1"/>
  <c r="B9" i="1"/>
  <c r="C10" i="1"/>
  <c r="C9" i="1"/>
  <c r="B8" i="1"/>
  <c r="C8" i="1"/>
  <c r="B7" i="1"/>
  <c r="B6" i="1"/>
  <c r="C7" i="1"/>
  <c r="C6" i="1"/>
  <c r="B5" i="1"/>
  <c r="B4" i="1"/>
  <c r="C5" i="1"/>
  <c r="G31" i="1" l="1"/>
  <c r="E31" i="1"/>
  <c r="G33" i="1"/>
  <c r="E33" i="1"/>
  <c r="G28" i="1"/>
  <c r="E28" i="1"/>
  <c r="E30" i="1"/>
  <c r="G30" i="1"/>
  <c r="E27" i="1"/>
  <c r="G27" i="1"/>
  <c r="G25" i="1"/>
  <c r="E25" i="1"/>
  <c r="G24" i="1"/>
  <c r="E24" i="1"/>
  <c r="E22" i="1"/>
  <c r="G22" i="1"/>
  <c r="E21" i="1"/>
  <c r="G21" i="1"/>
  <c r="G19" i="1"/>
  <c r="E19" i="1"/>
  <c r="E18" i="1"/>
  <c r="G18" i="1"/>
  <c r="G15" i="1"/>
  <c r="E15" i="1"/>
  <c r="E12" i="1"/>
  <c r="G12" i="1"/>
  <c r="G13" i="1"/>
  <c r="E13" i="1"/>
  <c r="E10" i="1"/>
  <c r="G10" i="1"/>
  <c r="G6" i="1"/>
  <c r="G7" i="1"/>
  <c r="G8" i="1"/>
  <c r="E6" i="1"/>
  <c r="E7" i="1"/>
  <c r="E8" i="1"/>
  <c r="E43" i="1"/>
  <c r="G43" i="1"/>
  <c r="G4" i="1"/>
  <c r="E4" i="1"/>
  <c r="C4" i="1"/>
  <c r="M24" i="1" l="1"/>
  <c r="K24" i="1"/>
  <c r="M31" i="1"/>
  <c r="K31" i="1"/>
  <c r="M7" i="1"/>
  <c r="K7" i="1"/>
  <c r="K22" i="1"/>
  <c r="M22" i="1"/>
  <c r="M6" i="1"/>
  <c r="K6" i="1"/>
  <c r="M15" i="1"/>
  <c r="K15" i="1"/>
  <c r="M25" i="1"/>
  <c r="K25" i="1"/>
  <c r="M33" i="1"/>
  <c r="K33" i="1"/>
  <c r="M8" i="1"/>
  <c r="K8" i="1"/>
  <c r="K28" i="1"/>
  <c r="M28" i="1"/>
  <c r="M30" i="1"/>
  <c r="K30" i="1"/>
  <c r="M43" i="1"/>
  <c r="K43" i="1"/>
  <c r="K10" i="1"/>
  <c r="M10" i="1"/>
  <c r="M12" i="1"/>
  <c r="K12" i="1"/>
  <c r="M18" i="1"/>
  <c r="K18" i="1"/>
  <c r="M21" i="1"/>
  <c r="K21" i="1"/>
  <c r="M27" i="1"/>
  <c r="K27" i="1"/>
</calcChain>
</file>

<file path=xl/sharedStrings.xml><?xml version="1.0" encoding="utf-8"?>
<sst xmlns="http://schemas.openxmlformats.org/spreadsheetml/2006/main" count="49" uniqueCount="46">
  <si>
    <t>STS</t>
  </si>
  <si>
    <t>Inch</t>
  </si>
  <si>
    <t>RU</t>
  </si>
  <si>
    <t>XT1K</t>
  </si>
  <si>
    <t>ION 3</t>
  </si>
  <si>
    <t>ION 4</t>
  </si>
  <si>
    <t>ION 5</t>
  </si>
  <si>
    <t>ION 6</t>
  </si>
  <si>
    <t>ION BU</t>
  </si>
  <si>
    <t>CTP 1</t>
  </si>
  <si>
    <t>CTP 2</t>
  </si>
  <si>
    <t>MGT Switch</t>
  </si>
  <si>
    <t>ION1</t>
  </si>
  <si>
    <t>ION2</t>
  </si>
  <si>
    <t>SDI Router</t>
  </si>
  <si>
    <t>Patch Panel</t>
  </si>
  <si>
    <t>ROW 1 Rack 6</t>
  </si>
  <si>
    <t>ROW 1 Rack 8</t>
  </si>
  <si>
    <t>Swaping</t>
  </si>
  <si>
    <t>600</t>
  </si>
  <si>
    <t>800</t>
  </si>
  <si>
    <t>Quintech RF Splitter - 6-1</t>
  </si>
  <si>
    <t>Quintech RF Splitter - 6-2</t>
  </si>
  <si>
    <t>Quintech RF Splitter - 6-3</t>
  </si>
  <si>
    <t>Quintech RF Splitter - 6-4</t>
  </si>
  <si>
    <t>Quintech RF Splitter - 6-5</t>
  </si>
  <si>
    <t>C2960-24TS-L Ctrl Switch 6-1</t>
  </si>
  <si>
    <t>C3850-48T-S- Data Switch 6-1</t>
  </si>
  <si>
    <t>Proview 7K 6-1</t>
  </si>
  <si>
    <t>Proview 7K 6-2</t>
  </si>
  <si>
    <t>Proview 7K 6-3</t>
  </si>
  <si>
    <t>Proview 7K 6-4</t>
  </si>
  <si>
    <t>Proview 7K 6-5</t>
  </si>
  <si>
    <t>Proview 7K 6-6</t>
  </si>
  <si>
    <t>Proview 7K 6-7</t>
  </si>
  <si>
    <t>Proview 7K 6-8</t>
  </si>
  <si>
    <t>Proview 7K 6-9</t>
  </si>
  <si>
    <t>Proview 7K 6-10</t>
  </si>
  <si>
    <t>Proview 7K 6-11</t>
  </si>
  <si>
    <t>Proview 7K 6-12</t>
  </si>
  <si>
    <t>Proview 7K 6-13</t>
  </si>
  <si>
    <t>Proview 7K 6-14</t>
  </si>
  <si>
    <t>Proview 7K 6-Bkp-1</t>
  </si>
  <si>
    <t>Proview 7K 6-Bkp-2</t>
  </si>
  <si>
    <t>ATS MDU 6-2Main</t>
  </si>
  <si>
    <t>ATS MDU 6-1Main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</si>
</sst>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8"/>
      <name val="Arial"/>
      <family val="2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name val="Times New Roman"/>
      <family val="1"/>
    </font>
    <font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5">
    <xf numFmtId="0" fontId="0" fillId="0" borderId="0" xfId="0"/>
    <xf numFmtId="0" fontId="2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6" fillId="2" borderId="0" xfId="2" quotePrefix="1" applyFont="1" applyFill="1" applyBorder="1"/>
    <xf numFmtId="0" fontId="7" fillId="2" borderId="1" xfId="2" quotePrefix="1" applyFont="1" applyFill="1" applyBorder="1" applyAlignment="1">
      <alignment horizontal="center"/>
    </xf>
    <xf numFmtId="0" fontId="6" fillId="2" borderId="0" xfId="2" applyFont="1" applyFill="1" applyBorder="1" applyAlignment="1">
      <alignment horizontal="center"/>
    </xf>
    <xf numFmtId="0" fontId="6" fillId="2" borderId="0" xfId="2" applyFont="1" applyFill="1" applyBorder="1"/>
    <xf numFmtId="0" fontId="4" fillId="0" borderId="0" xfId="1" applyFont="1" applyFill="1" applyAlignment="1">
      <alignment horizontal="left"/>
    </xf>
    <xf numFmtId="0" fontId="8" fillId="4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left"/>
    </xf>
    <xf numFmtId="0" fontId="8" fillId="2" borderId="1" xfId="2" applyFont="1" applyFill="1" applyBorder="1" applyAlignment="1">
      <alignment horizontal="left"/>
    </xf>
    <xf numFmtId="0" fontId="8" fillId="0" borderId="5" xfId="2" applyFont="1" applyFill="1" applyBorder="1" applyAlignment="1">
      <alignment horizontal="center"/>
    </xf>
    <xf numFmtId="0" fontId="8" fillId="0" borderId="6" xfId="2" applyFont="1" applyFill="1" applyBorder="1" applyAlignment="1">
      <alignment horizontal="center"/>
    </xf>
    <xf numFmtId="2" fontId="8" fillId="0" borderId="7" xfId="2" applyNumberFormat="1" applyFont="1" applyFill="1" applyBorder="1" applyAlignment="1">
      <alignment horizontal="center"/>
    </xf>
    <xf numFmtId="0" fontId="8" fillId="0" borderId="8" xfId="2" applyFont="1" applyFill="1" applyBorder="1" applyAlignment="1">
      <alignment horizontal="center"/>
    </xf>
    <xf numFmtId="2" fontId="8" fillId="0" borderId="9" xfId="2" applyNumberFormat="1" applyFont="1" applyFill="1" applyBorder="1" applyAlignment="1">
      <alignment horizontal="center"/>
    </xf>
    <xf numFmtId="0" fontId="8" fillId="0" borderId="10" xfId="2" applyFont="1" applyFill="1" applyBorder="1" applyAlignment="1">
      <alignment horizontal="center"/>
    </xf>
    <xf numFmtId="0" fontId="8" fillId="5" borderId="4" xfId="2" quotePrefix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textRotation="255"/>
    </xf>
    <xf numFmtId="0" fontId="8" fillId="3" borderId="2" xfId="2" quotePrefix="1" applyFont="1" applyFill="1" applyBorder="1" applyAlignment="1">
      <alignment horizontal="center" vertical="center"/>
    </xf>
    <xf numFmtId="0" fontId="8" fillId="3" borderId="3" xfId="2" quotePrefix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</cellXfs>
  <cellStyles count="3">
    <cellStyle name="Normal" xfId="0" builtinId="0"/>
    <cellStyle name="Normal 3 3 7" xfId="1"/>
    <cellStyle name="Normal_Rack Elevation v1 1 2" xfId="2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6"/>
  <sheetViews>
    <sheetView tabSelected="1" workbookViewId="0">
      <selection activeCell="F37" sqref="F37"/>
    </sheetView>
  </sheetViews>
  <sheetFormatPr defaultRowHeight="14.4" x14ac:dyDescent="0.3"/>
  <cols>
    <col min="1" max="1" width="3.44140625" customWidth="1"/>
    <col min="5" max="5" width="3.77734375" customWidth="1"/>
    <col min="6" max="6" width="33.77734375" customWidth="1"/>
    <col min="7" max="8" width="3.77734375" customWidth="1"/>
    <col min="10" max="11" width="3.77734375" customWidth="1"/>
    <col min="12" max="12" width="33.77734375" customWidth="1"/>
    <col min="13" max="13" width="3.77734375" customWidth="1"/>
    <col min="14" max="14" width="10" bestFit="1" customWidth="1"/>
  </cols>
  <sheetData>
    <row r="2" spans="2:13" ht="16.2" thickBot="1" x14ac:dyDescent="0.35">
      <c r="E2" s="1"/>
      <c r="F2" s="2" t="s">
        <v>16</v>
      </c>
      <c r="G2" s="3"/>
      <c r="K2" s="1"/>
      <c r="L2" s="2" t="s">
        <v>17</v>
      </c>
      <c r="M2" s="3"/>
    </row>
    <row r="3" spans="2:13" x14ac:dyDescent="0.3">
      <c r="B3" s="13" t="s">
        <v>1</v>
      </c>
      <c r="C3" s="14" t="s">
        <v>2</v>
      </c>
      <c r="E3" s="4"/>
      <c r="F3" s="5" t="s">
        <v>19</v>
      </c>
      <c r="G3" s="4"/>
      <c r="I3" s="20" t="s">
        <v>18</v>
      </c>
      <c r="K3" s="4"/>
      <c r="L3" s="5" t="s">
        <v>20</v>
      </c>
      <c r="M3" s="4"/>
    </row>
    <row r="4" spans="2:13" x14ac:dyDescent="0.3">
      <c r="B4" s="15">
        <f t="shared" ref="B4:B44" ca="1" si="0">(INDIRECT("R[+1]",FALSE))+1.75</f>
        <v>73.5</v>
      </c>
      <c r="C4" s="16" t="str">
        <f t="shared" ref="C4:C44" ca="1" si="1">TEXT((INDIRECT("C[-1]",FALSE))/1.75,"00")</f>
        <v>42</v>
      </c>
      <c r="E4" s="6" t="str">
        <f>IF(LEN(F4)=0,"",C4)</f>
        <v/>
      </c>
      <c r="F4" s="9"/>
      <c r="G4" s="7" t="str">
        <f>IF(LEN(F4)=0,"",C4)</f>
        <v/>
      </c>
      <c r="I4" s="20"/>
      <c r="K4" s="6" t="str">
        <f t="shared" ref="K4:K46" si="2">IF(LEN(L4)=0,"",G4)</f>
        <v/>
      </c>
      <c r="L4" s="9" t="s">
        <v>21</v>
      </c>
      <c r="M4" s="7" t="str">
        <f t="shared" ref="M4:M45" si="3">IF(LEN(L4)=0,"",G4)</f>
        <v/>
      </c>
    </row>
    <row r="5" spans="2:13" x14ac:dyDescent="0.3">
      <c r="B5" s="15">
        <f t="shared" ca="1" si="0"/>
        <v>71.75</v>
      </c>
      <c r="C5" s="16" t="str">
        <f t="shared" ca="1" si="1"/>
        <v>41</v>
      </c>
      <c r="E5" s="6" t="str">
        <f t="shared" ref="E5:E10" si="4">IF(LEN(F5)=0,"",C5)</f>
        <v/>
      </c>
      <c r="F5" s="8"/>
      <c r="G5" s="7" t="str">
        <f t="shared" ref="G5:G9" si="5">IF(LEN(F5)=0,"",C5)</f>
        <v/>
      </c>
      <c r="I5" s="20"/>
      <c r="K5" s="6" t="str">
        <f t="shared" si="2"/>
        <v/>
      </c>
      <c r="L5" s="9" t="s">
        <v>22</v>
      </c>
      <c r="M5" s="7" t="str">
        <f t="shared" si="3"/>
        <v/>
      </c>
    </row>
    <row r="6" spans="2:13" x14ac:dyDescent="0.3">
      <c r="B6" s="15">
        <f t="shared" ca="1" si="0"/>
        <v>70</v>
      </c>
      <c r="C6" s="16" t="str">
        <f t="shared" ca="1" si="1"/>
        <v>40</v>
      </c>
      <c r="E6" s="6" t="str">
        <f t="shared" ca="1" si="4"/>
        <v>40</v>
      </c>
      <c r="F6" s="10" t="s">
        <v>9</v>
      </c>
      <c r="G6" s="7" t="str">
        <f t="shared" ca="1" si="5"/>
        <v>40</v>
      </c>
      <c r="I6" s="20"/>
      <c r="K6" s="6" t="str">
        <f t="shared" si="2"/>
        <v/>
      </c>
      <c r="L6" s="8"/>
      <c r="M6" s="7" t="str">
        <f t="shared" si="3"/>
        <v/>
      </c>
    </row>
    <row r="7" spans="2:13" x14ac:dyDescent="0.3">
      <c r="B7" s="15">
        <f t="shared" ca="1" si="0"/>
        <v>68.25</v>
      </c>
      <c r="C7" s="16" t="str">
        <f t="shared" ca="1" si="1"/>
        <v>39</v>
      </c>
      <c r="E7" s="6" t="str">
        <f t="shared" ca="1" si="4"/>
        <v>39</v>
      </c>
      <c r="F7" s="9" t="s">
        <v>9</v>
      </c>
      <c r="G7" s="7" t="str">
        <f t="shared" ca="1" si="5"/>
        <v>39</v>
      </c>
      <c r="I7" s="20"/>
      <c r="K7" s="6" t="str">
        <f t="shared" ca="1" si="2"/>
        <v>39</v>
      </c>
      <c r="L7" s="9" t="s">
        <v>23</v>
      </c>
      <c r="M7" s="7" t="str">
        <f t="shared" ca="1" si="3"/>
        <v>39</v>
      </c>
    </row>
    <row r="8" spans="2:13" x14ac:dyDescent="0.3">
      <c r="B8" s="15">
        <f t="shared" ca="1" si="0"/>
        <v>66.5</v>
      </c>
      <c r="C8" s="16" t="str">
        <f t="shared" ca="1" si="1"/>
        <v>38</v>
      </c>
      <c r="E8" s="6" t="str">
        <f t="shared" ca="1" si="4"/>
        <v>38</v>
      </c>
      <c r="F8" s="10" t="s">
        <v>10</v>
      </c>
      <c r="G8" s="7" t="str">
        <f t="shared" ca="1" si="5"/>
        <v>38</v>
      </c>
      <c r="I8" s="20"/>
      <c r="K8" s="6" t="str">
        <f t="shared" ca="1" si="2"/>
        <v>38</v>
      </c>
      <c r="L8" s="9" t="s">
        <v>24</v>
      </c>
      <c r="M8" s="7" t="str">
        <f t="shared" ca="1" si="3"/>
        <v>38</v>
      </c>
    </row>
    <row r="9" spans="2:13" x14ac:dyDescent="0.3">
      <c r="B9" s="15">
        <f t="shared" ca="1" si="0"/>
        <v>64.75</v>
      </c>
      <c r="C9" s="16" t="str">
        <f t="shared" ca="1" si="1"/>
        <v>37</v>
      </c>
      <c r="E9" s="6" t="str">
        <f t="shared" si="4"/>
        <v/>
      </c>
      <c r="F9" s="8"/>
      <c r="G9" s="7" t="str">
        <f t="shared" si="5"/>
        <v/>
      </c>
      <c r="I9" s="20"/>
      <c r="K9" s="6" t="str">
        <f t="shared" si="2"/>
        <v/>
      </c>
      <c r="L9" s="8"/>
      <c r="M9" s="7" t="str">
        <f t="shared" si="3"/>
        <v/>
      </c>
    </row>
    <row r="10" spans="2:13" x14ac:dyDescent="0.3">
      <c r="B10" s="15">
        <f t="shared" ca="1" si="0"/>
        <v>63</v>
      </c>
      <c r="C10" s="16" t="str">
        <f t="shared" ca="1" si="1"/>
        <v>36</v>
      </c>
      <c r="E10" s="6" t="str">
        <f t="shared" ca="1" si="4"/>
        <v>36</v>
      </c>
      <c r="F10" s="9" t="s">
        <v>11</v>
      </c>
      <c r="G10" s="7" t="str">
        <f t="shared" ref="G10:G45" ca="1" si="6">IF(LEN(F10)=0,"",C10)</f>
        <v>36</v>
      </c>
      <c r="I10" s="20"/>
      <c r="K10" s="6" t="str">
        <f t="shared" ca="1" si="2"/>
        <v>36</v>
      </c>
      <c r="L10" s="9" t="s">
        <v>25</v>
      </c>
      <c r="M10" s="7" t="str">
        <f t="shared" ca="1" si="3"/>
        <v>36</v>
      </c>
    </row>
    <row r="11" spans="2:13" x14ac:dyDescent="0.3">
      <c r="B11" s="15">
        <f t="shared" ca="1" si="0"/>
        <v>61.25</v>
      </c>
      <c r="C11" s="16" t="str">
        <f t="shared" ca="1" si="1"/>
        <v>35</v>
      </c>
      <c r="E11" s="6" t="str">
        <f t="shared" ref="E11:E46" si="7">IF(LEN(F11)=0,"",C11)</f>
        <v/>
      </c>
      <c r="F11" s="8"/>
      <c r="G11" s="7" t="str">
        <f t="shared" si="6"/>
        <v/>
      </c>
      <c r="I11" s="20"/>
      <c r="K11" s="6" t="str">
        <f t="shared" si="2"/>
        <v/>
      </c>
      <c r="L11" s="8"/>
      <c r="M11" s="7" t="str">
        <f t="shared" si="3"/>
        <v/>
      </c>
    </row>
    <row r="12" spans="2:13" x14ac:dyDescent="0.3">
      <c r="B12" s="15">
        <f t="shared" ca="1" si="0"/>
        <v>59.5</v>
      </c>
      <c r="C12" s="16" t="str">
        <f t="shared" ca="1" si="1"/>
        <v>34</v>
      </c>
      <c r="E12" s="6" t="str">
        <f t="shared" ca="1" si="7"/>
        <v>34</v>
      </c>
      <c r="F12" s="23" t="s">
        <v>3</v>
      </c>
      <c r="G12" s="7" t="str">
        <f t="shared" ca="1" si="6"/>
        <v>34</v>
      </c>
      <c r="I12" s="20"/>
      <c r="K12" s="6" t="str">
        <f t="shared" ca="1" si="2"/>
        <v>34</v>
      </c>
      <c r="L12" s="19" t="s">
        <v>26</v>
      </c>
      <c r="M12" s="7" t="str">
        <f t="shared" ca="1" si="3"/>
        <v>34</v>
      </c>
    </row>
    <row r="13" spans="2:13" x14ac:dyDescent="0.3">
      <c r="B13" s="15">
        <f t="shared" ca="1" si="0"/>
        <v>57.75</v>
      </c>
      <c r="C13" s="16" t="str">
        <f t="shared" ca="1" si="1"/>
        <v>33</v>
      </c>
      <c r="E13" s="6" t="str">
        <f t="shared" si="7"/>
        <v/>
      </c>
      <c r="F13" s="24"/>
      <c r="G13" s="7" t="str">
        <f t="shared" si="6"/>
        <v/>
      </c>
      <c r="I13" s="20"/>
      <c r="K13" s="6" t="str">
        <f t="shared" si="2"/>
        <v/>
      </c>
      <c r="L13" s="8"/>
      <c r="M13" s="7" t="str">
        <f t="shared" si="3"/>
        <v/>
      </c>
    </row>
    <row r="14" spans="2:13" x14ac:dyDescent="0.3">
      <c r="B14" s="15">
        <f t="shared" ca="1" si="0"/>
        <v>56</v>
      </c>
      <c r="C14" s="16" t="str">
        <f t="shared" ca="1" si="1"/>
        <v>32</v>
      </c>
      <c r="E14" s="6" t="str">
        <f t="shared" si="7"/>
        <v/>
      </c>
      <c r="F14" s="8"/>
      <c r="G14" s="7" t="str">
        <f t="shared" si="6"/>
        <v/>
      </c>
      <c r="I14" s="20"/>
      <c r="K14" s="6" t="str">
        <f t="shared" si="2"/>
        <v/>
      </c>
      <c r="L14" s="19" t="s">
        <v>27</v>
      </c>
      <c r="M14" s="7" t="str">
        <f t="shared" si="3"/>
        <v/>
      </c>
    </row>
    <row r="15" spans="2:13" x14ac:dyDescent="0.3">
      <c r="B15" s="15">
        <f t="shared" ca="1" si="0"/>
        <v>54.25</v>
      </c>
      <c r="C15" s="16" t="str">
        <f t="shared" ca="1" si="1"/>
        <v>31</v>
      </c>
      <c r="E15" s="6" t="str">
        <f t="shared" ca="1" si="7"/>
        <v>31</v>
      </c>
      <c r="F15" s="23" t="s">
        <v>3</v>
      </c>
      <c r="G15" s="7" t="str">
        <f t="shared" ca="1" si="6"/>
        <v>31</v>
      </c>
      <c r="I15" s="20"/>
      <c r="K15" s="6" t="str">
        <f t="shared" si="2"/>
        <v/>
      </c>
      <c r="L15" s="8"/>
      <c r="M15" s="7" t="str">
        <f t="shared" si="3"/>
        <v/>
      </c>
    </row>
    <row r="16" spans="2:13" x14ac:dyDescent="0.3">
      <c r="B16" s="15">
        <f t="shared" ca="1" si="0"/>
        <v>52.5</v>
      </c>
      <c r="C16" s="16" t="str">
        <f t="shared" ca="1" si="1"/>
        <v>30</v>
      </c>
      <c r="E16" s="6" t="str">
        <f t="shared" si="7"/>
        <v/>
      </c>
      <c r="F16" s="24"/>
      <c r="G16" s="7" t="str">
        <f t="shared" si="6"/>
        <v/>
      </c>
      <c r="I16" s="20"/>
      <c r="K16" s="6" t="str">
        <f t="shared" si="2"/>
        <v/>
      </c>
      <c r="L16" s="9" t="s">
        <v>28</v>
      </c>
      <c r="M16" s="7" t="str">
        <f t="shared" si="3"/>
        <v/>
      </c>
    </row>
    <row r="17" spans="2:13" x14ac:dyDescent="0.3">
      <c r="B17" s="15">
        <f t="shared" ca="1" si="0"/>
        <v>50.75</v>
      </c>
      <c r="C17" s="16" t="str">
        <f t="shared" ca="1" si="1"/>
        <v>29</v>
      </c>
      <c r="E17" s="6" t="str">
        <f t="shared" si="7"/>
        <v/>
      </c>
      <c r="F17" s="8"/>
      <c r="G17" s="7" t="str">
        <f t="shared" si="6"/>
        <v/>
      </c>
      <c r="I17" s="20"/>
      <c r="K17" s="6" t="str">
        <f t="shared" si="2"/>
        <v/>
      </c>
      <c r="L17" s="10" t="s">
        <v>29</v>
      </c>
      <c r="M17" s="7" t="str">
        <f t="shared" si="3"/>
        <v/>
      </c>
    </row>
    <row r="18" spans="2:13" x14ac:dyDescent="0.3">
      <c r="B18" s="15">
        <f t="shared" ca="1" si="0"/>
        <v>49</v>
      </c>
      <c r="C18" s="16" t="str">
        <f t="shared" ca="1" si="1"/>
        <v>28</v>
      </c>
      <c r="E18" s="6" t="str">
        <f t="shared" ca="1" si="7"/>
        <v>28</v>
      </c>
      <c r="F18" s="23" t="s">
        <v>14</v>
      </c>
      <c r="G18" s="7" t="str">
        <f t="shared" ca="1" si="6"/>
        <v>28</v>
      </c>
      <c r="I18" s="20"/>
      <c r="K18" s="6" t="str">
        <f t="shared" si="2"/>
        <v/>
      </c>
      <c r="L18" s="8"/>
      <c r="M18" s="7" t="str">
        <f t="shared" si="3"/>
        <v/>
      </c>
    </row>
    <row r="19" spans="2:13" x14ac:dyDescent="0.3">
      <c r="B19" s="15">
        <f t="shared" ca="1" si="0"/>
        <v>47.25</v>
      </c>
      <c r="C19" s="16" t="str">
        <f t="shared" ca="1" si="1"/>
        <v>27</v>
      </c>
      <c r="E19" s="6" t="str">
        <f t="shared" si="7"/>
        <v/>
      </c>
      <c r="F19" s="24"/>
      <c r="G19" s="7" t="str">
        <f t="shared" si="6"/>
        <v/>
      </c>
      <c r="I19" s="20"/>
      <c r="K19" s="6" t="str">
        <f t="shared" si="2"/>
        <v/>
      </c>
      <c r="L19" s="9" t="s">
        <v>30</v>
      </c>
      <c r="M19" s="7" t="str">
        <f t="shared" si="3"/>
        <v/>
      </c>
    </row>
    <row r="20" spans="2:13" x14ac:dyDescent="0.3">
      <c r="B20" s="15">
        <f t="shared" ca="1" si="0"/>
        <v>45.5</v>
      </c>
      <c r="C20" s="16" t="str">
        <f t="shared" ca="1" si="1"/>
        <v>26</v>
      </c>
      <c r="E20" s="6" t="str">
        <f t="shared" si="7"/>
        <v/>
      </c>
      <c r="F20" s="8"/>
      <c r="G20" s="7" t="str">
        <f t="shared" si="6"/>
        <v/>
      </c>
      <c r="I20" s="20"/>
      <c r="K20" s="6" t="str">
        <f t="shared" si="2"/>
        <v/>
      </c>
      <c r="L20" s="10" t="s">
        <v>31</v>
      </c>
      <c r="M20" s="7" t="str">
        <f t="shared" si="3"/>
        <v/>
      </c>
    </row>
    <row r="21" spans="2:13" x14ac:dyDescent="0.3">
      <c r="B21" s="15">
        <f t="shared" ca="1" si="0"/>
        <v>43.75</v>
      </c>
      <c r="C21" s="16" t="str">
        <f t="shared" ca="1" si="1"/>
        <v>25</v>
      </c>
      <c r="E21" s="6" t="str">
        <f t="shared" ca="1" si="7"/>
        <v>25</v>
      </c>
      <c r="F21" s="9" t="s">
        <v>15</v>
      </c>
      <c r="G21" s="7" t="str">
        <f t="shared" ca="1" si="6"/>
        <v>25</v>
      </c>
      <c r="I21" s="20"/>
      <c r="K21" s="6" t="str">
        <f t="shared" si="2"/>
        <v/>
      </c>
      <c r="L21" s="8"/>
      <c r="M21" s="7" t="str">
        <f t="shared" si="3"/>
        <v/>
      </c>
    </row>
    <row r="22" spans="2:13" x14ac:dyDescent="0.3">
      <c r="B22" s="15">
        <f t="shared" ca="1" si="0"/>
        <v>42</v>
      </c>
      <c r="C22" s="16" t="str">
        <f t="shared" ca="1" si="1"/>
        <v>24</v>
      </c>
      <c r="E22" s="6" t="str">
        <f t="shared" ca="1" si="7"/>
        <v>24</v>
      </c>
      <c r="F22" s="9" t="s">
        <v>15</v>
      </c>
      <c r="G22" s="7" t="str">
        <f t="shared" ca="1" si="6"/>
        <v>24</v>
      </c>
      <c r="I22" s="20"/>
      <c r="K22" s="6" t="str">
        <f t="shared" ca="1" si="2"/>
        <v>24</v>
      </c>
      <c r="L22" s="9" t="s">
        <v>32</v>
      </c>
      <c r="M22" s="7" t="str">
        <f t="shared" ca="1" si="3"/>
        <v>24</v>
      </c>
    </row>
    <row r="23" spans="2:13" x14ac:dyDescent="0.3">
      <c r="B23" s="15">
        <f t="shared" ca="1" si="0"/>
        <v>40.25</v>
      </c>
      <c r="C23" s="16" t="str">
        <f t="shared" ca="1" si="1"/>
        <v>23</v>
      </c>
      <c r="E23" s="6" t="str">
        <f t="shared" si="7"/>
        <v/>
      </c>
      <c r="F23" s="8"/>
      <c r="G23" s="7" t="str">
        <f t="shared" si="6"/>
        <v/>
      </c>
      <c r="I23" s="20"/>
      <c r="K23" s="6" t="str">
        <f t="shared" si="2"/>
        <v/>
      </c>
      <c r="L23" s="10" t="s">
        <v>33</v>
      </c>
      <c r="M23" s="7" t="str">
        <f t="shared" si="3"/>
        <v/>
      </c>
    </row>
    <row r="24" spans="2:13" x14ac:dyDescent="0.3">
      <c r="B24" s="15">
        <f t="shared" ca="1" si="0"/>
        <v>38.5</v>
      </c>
      <c r="C24" s="16" t="str">
        <f t="shared" ca="1" si="1"/>
        <v>22</v>
      </c>
      <c r="E24" s="6" t="str">
        <f t="shared" ca="1" si="7"/>
        <v>22</v>
      </c>
      <c r="F24" s="9" t="s">
        <v>12</v>
      </c>
      <c r="G24" s="7" t="str">
        <f t="shared" ca="1" si="6"/>
        <v>22</v>
      </c>
      <c r="I24" s="20"/>
      <c r="K24" s="6" t="str">
        <f t="shared" si="2"/>
        <v/>
      </c>
      <c r="L24" s="8"/>
      <c r="M24" s="7" t="str">
        <f t="shared" si="3"/>
        <v/>
      </c>
    </row>
    <row r="25" spans="2:13" x14ac:dyDescent="0.3">
      <c r="B25" s="15">
        <f t="shared" ca="1" si="0"/>
        <v>36.75</v>
      </c>
      <c r="C25" s="16" t="str">
        <f t="shared" ca="1" si="1"/>
        <v>21</v>
      </c>
      <c r="E25" s="6" t="str">
        <f t="shared" ca="1" si="7"/>
        <v>21</v>
      </c>
      <c r="F25" s="10" t="s">
        <v>13</v>
      </c>
      <c r="G25" s="7" t="str">
        <f t="shared" ca="1" si="6"/>
        <v>21</v>
      </c>
      <c r="I25" s="20"/>
      <c r="K25" s="6" t="str">
        <f t="shared" ca="1" si="2"/>
        <v>21</v>
      </c>
      <c r="L25" s="9" t="s">
        <v>34</v>
      </c>
      <c r="M25" s="7" t="str">
        <f t="shared" ca="1" si="3"/>
        <v>21</v>
      </c>
    </row>
    <row r="26" spans="2:13" x14ac:dyDescent="0.3">
      <c r="B26" s="15">
        <f t="shared" ca="1" si="0"/>
        <v>35</v>
      </c>
      <c r="C26" s="16" t="str">
        <f t="shared" ca="1" si="1"/>
        <v>20</v>
      </c>
      <c r="E26" s="6" t="str">
        <f t="shared" si="7"/>
        <v/>
      </c>
      <c r="F26" s="8"/>
      <c r="G26" s="7" t="str">
        <f t="shared" si="6"/>
        <v/>
      </c>
      <c r="I26" s="20"/>
      <c r="K26" s="6" t="str">
        <f t="shared" si="2"/>
        <v/>
      </c>
      <c r="L26" s="10" t="s">
        <v>35</v>
      </c>
      <c r="M26" s="7" t="str">
        <f t="shared" si="3"/>
        <v/>
      </c>
    </row>
    <row r="27" spans="2:13" x14ac:dyDescent="0.3">
      <c r="B27" s="15">
        <f t="shared" ca="1" si="0"/>
        <v>33.25</v>
      </c>
      <c r="C27" s="16" t="str">
        <f t="shared" ca="1" si="1"/>
        <v>19</v>
      </c>
      <c r="E27" s="6" t="str">
        <f t="shared" ca="1" si="7"/>
        <v>19</v>
      </c>
      <c r="F27" s="9" t="s">
        <v>4</v>
      </c>
      <c r="G27" s="7" t="str">
        <f t="shared" ca="1" si="6"/>
        <v>19</v>
      </c>
      <c r="I27" s="20"/>
      <c r="K27" s="6" t="str">
        <f t="shared" si="2"/>
        <v/>
      </c>
      <c r="L27" s="8"/>
      <c r="M27" s="7" t="str">
        <f t="shared" si="3"/>
        <v/>
      </c>
    </row>
    <row r="28" spans="2:13" x14ac:dyDescent="0.3">
      <c r="B28" s="15">
        <f t="shared" ca="1" si="0"/>
        <v>31.5</v>
      </c>
      <c r="C28" s="16" t="str">
        <f t="shared" ca="1" si="1"/>
        <v>18</v>
      </c>
      <c r="E28" s="6" t="str">
        <f t="shared" ca="1" si="7"/>
        <v>18</v>
      </c>
      <c r="F28" s="10" t="s">
        <v>5</v>
      </c>
      <c r="G28" s="7" t="str">
        <f t="shared" ca="1" si="6"/>
        <v>18</v>
      </c>
      <c r="I28" s="20"/>
      <c r="K28" s="6" t="str">
        <f t="shared" ca="1" si="2"/>
        <v>18</v>
      </c>
      <c r="L28" s="9" t="s">
        <v>36</v>
      </c>
      <c r="M28" s="7" t="str">
        <f t="shared" ca="1" si="3"/>
        <v>18</v>
      </c>
    </row>
    <row r="29" spans="2:13" x14ac:dyDescent="0.3">
      <c r="B29" s="15">
        <f t="shared" ca="1" si="0"/>
        <v>29.75</v>
      </c>
      <c r="C29" s="16" t="str">
        <f t="shared" ca="1" si="1"/>
        <v>17</v>
      </c>
      <c r="E29" s="6" t="str">
        <f t="shared" si="7"/>
        <v/>
      </c>
      <c r="F29" s="8"/>
      <c r="G29" s="7" t="str">
        <f t="shared" si="6"/>
        <v/>
      </c>
      <c r="I29" s="20"/>
      <c r="K29" s="6" t="str">
        <f t="shared" si="2"/>
        <v/>
      </c>
      <c r="L29" s="10" t="s">
        <v>37</v>
      </c>
      <c r="M29" s="7" t="str">
        <f t="shared" si="3"/>
        <v/>
      </c>
    </row>
    <row r="30" spans="2:13" x14ac:dyDescent="0.3">
      <c r="B30" s="15">
        <f t="shared" ca="1" si="0"/>
        <v>28</v>
      </c>
      <c r="C30" s="16" t="str">
        <f t="shared" ca="1" si="1"/>
        <v>16</v>
      </c>
      <c r="E30" s="6" t="str">
        <f t="shared" ca="1" si="7"/>
        <v>16</v>
      </c>
      <c r="F30" s="9" t="s">
        <v>6</v>
      </c>
      <c r="G30" s="7" t="str">
        <f t="shared" ca="1" si="6"/>
        <v>16</v>
      </c>
      <c r="I30" s="20"/>
      <c r="K30" s="6" t="str">
        <f t="shared" si="2"/>
        <v/>
      </c>
      <c r="L30" s="8"/>
      <c r="M30" s="7" t="str">
        <f t="shared" si="3"/>
        <v/>
      </c>
    </row>
    <row r="31" spans="2:13" x14ac:dyDescent="0.3">
      <c r="B31" s="15">
        <f t="shared" ca="1" si="0"/>
        <v>26.25</v>
      </c>
      <c r="C31" s="16" t="str">
        <f t="shared" ca="1" si="1"/>
        <v>15</v>
      </c>
      <c r="E31" s="6" t="str">
        <f t="shared" ca="1" si="7"/>
        <v>15</v>
      </c>
      <c r="F31" s="10" t="s">
        <v>7</v>
      </c>
      <c r="G31" s="7" t="str">
        <f t="shared" ca="1" si="6"/>
        <v>15</v>
      </c>
      <c r="I31" s="20"/>
      <c r="K31" s="6" t="str">
        <f t="shared" ca="1" si="2"/>
        <v>15</v>
      </c>
      <c r="L31" s="9" t="s">
        <v>38</v>
      </c>
      <c r="M31" s="7" t="str">
        <f t="shared" ca="1" si="3"/>
        <v>15</v>
      </c>
    </row>
    <row r="32" spans="2:13" x14ac:dyDescent="0.3">
      <c r="B32" s="15">
        <f t="shared" ca="1" si="0"/>
        <v>24.5</v>
      </c>
      <c r="C32" s="16" t="str">
        <f t="shared" ca="1" si="1"/>
        <v>14</v>
      </c>
      <c r="E32" s="6" t="str">
        <f t="shared" si="7"/>
        <v/>
      </c>
      <c r="F32" s="8"/>
      <c r="G32" s="7" t="str">
        <f t="shared" si="6"/>
        <v/>
      </c>
      <c r="I32" s="20"/>
      <c r="K32" s="6" t="str">
        <f t="shared" si="2"/>
        <v/>
      </c>
      <c r="L32" s="10" t="s">
        <v>39</v>
      </c>
      <c r="M32" s="7" t="str">
        <f t="shared" si="3"/>
        <v/>
      </c>
    </row>
    <row r="33" spans="2:13" x14ac:dyDescent="0.3">
      <c r="B33" s="15">
        <f t="shared" ca="1" si="0"/>
        <v>22.75</v>
      </c>
      <c r="C33" s="16" t="str">
        <f t="shared" ca="1" si="1"/>
        <v>13</v>
      </c>
      <c r="E33" s="6" t="str">
        <f t="shared" ca="1" si="7"/>
        <v>13</v>
      </c>
      <c r="F33" s="9" t="s">
        <v>8</v>
      </c>
      <c r="G33" s="7" t="str">
        <f t="shared" ca="1" si="6"/>
        <v>13</v>
      </c>
      <c r="I33" s="20"/>
      <c r="K33" s="6" t="str">
        <f t="shared" si="2"/>
        <v/>
      </c>
      <c r="L33" s="8"/>
      <c r="M33" s="7" t="str">
        <f t="shared" si="3"/>
        <v/>
      </c>
    </row>
    <row r="34" spans="2:13" x14ac:dyDescent="0.3">
      <c r="B34" s="15">
        <f t="shared" ca="1" si="0"/>
        <v>21</v>
      </c>
      <c r="C34" s="16" t="str">
        <f t="shared" ca="1" si="1"/>
        <v>12</v>
      </c>
      <c r="E34" s="6" t="str">
        <f t="shared" si="7"/>
        <v/>
      </c>
      <c r="F34" s="10"/>
      <c r="G34" s="7" t="str">
        <f t="shared" si="6"/>
        <v/>
      </c>
      <c r="I34" s="20"/>
      <c r="K34" s="6" t="str">
        <f t="shared" si="2"/>
        <v/>
      </c>
      <c r="L34" s="9" t="s">
        <v>40</v>
      </c>
      <c r="M34" s="7" t="str">
        <f t="shared" si="3"/>
        <v/>
      </c>
    </row>
    <row r="35" spans="2:13" x14ac:dyDescent="0.3">
      <c r="B35" s="15">
        <f t="shared" ca="1" si="0"/>
        <v>19.25</v>
      </c>
      <c r="C35" s="16" t="str">
        <f t="shared" ca="1" si="1"/>
        <v>11</v>
      </c>
      <c r="E35" s="6" t="str">
        <f t="shared" si="7"/>
        <v/>
      </c>
      <c r="F35" s="8"/>
      <c r="G35" s="7" t="str">
        <f t="shared" si="6"/>
        <v/>
      </c>
      <c r="I35" s="20"/>
      <c r="K35" s="6" t="str">
        <f t="shared" si="2"/>
        <v/>
      </c>
      <c r="L35" s="10" t="s">
        <v>41</v>
      </c>
      <c r="M35" s="7" t="str">
        <f t="shared" si="3"/>
        <v/>
      </c>
    </row>
    <row r="36" spans="2:13" x14ac:dyDescent="0.3">
      <c r="B36" s="15">
        <f t="shared" ca="1" si="0"/>
        <v>17.5</v>
      </c>
      <c r="C36" s="16" t="str">
        <f t="shared" ca="1" si="1"/>
        <v>10</v>
      </c>
      <c r="E36" s="6" t="str">
        <f t="shared" si="7"/>
        <v/>
      </c>
      <c r="F36" s="9"/>
      <c r="G36" s="7" t="str">
        <f t="shared" si="6"/>
        <v/>
      </c>
      <c r="I36" s="20"/>
      <c r="K36" s="6" t="str">
        <f t="shared" si="2"/>
        <v/>
      </c>
      <c r="L36" s="8"/>
      <c r="M36" s="7" t="str">
        <f t="shared" si="3"/>
        <v/>
      </c>
    </row>
    <row r="37" spans="2:13" x14ac:dyDescent="0.3">
      <c r="B37" s="15">
        <f t="shared" ca="1" si="0"/>
        <v>15.75</v>
      </c>
      <c r="C37" s="16" t="str">
        <f t="shared" ca="1" si="1"/>
        <v>09</v>
      </c>
      <c r="E37" s="6" t="str">
        <f t="shared" si="7"/>
        <v/>
      </c>
      <c r="F37" s="10"/>
      <c r="G37" s="7" t="str">
        <f t="shared" si="6"/>
        <v/>
      </c>
      <c r="I37" s="20"/>
      <c r="K37" s="6" t="str">
        <f t="shared" si="2"/>
        <v/>
      </c>
      <c r="L37" s="9" t="s">
        <v>42</v>
      </c>
      <c r="M37" s="7" t="str">
        <f t="shared" si="3"/>
        <v/>
      </c>
    </row>
    <row r="38" spans="2:13" x14ac:dyDescent="0.3">
      <c r="B38" s="15">
        <f t="shared" ca="1" si="0"/>
        <v>14</v>
      </c>
      <c r="C38" s="16" t="str">
        <f t="shared" ca="1" si="1"/>
        <v>08</v>
      </c>
      <c r="E38" s="6" t="str">
        <f t="shared" si="7"/>
        <v/>
      </c>
      <c r="F38" s="8"/>
      <c r="G38" s="7" t="str">
        <f t="shared" si="6"/>
        <v/>
      </c>
      <c r="I38" s="20"/>
      <c r="K38" s="6" t="str">
        <f t="shared" si="2"/>
        <v/>
      </c>
      <c r="L38" s="9" t="s">
        <v>43</v>
      </c>
      <c r="M38" s="7" t="str">
        <f t="shared" si="3"/>
        <v/>
      </c>
    </row>
    <row r="39" spans="2:13" x14ac:dyDescent="0.3">
      <c r="B39" s="15">
        <f t="shared" ca="1" si="0"/>
        <v>12.25</v>
      </c>
      <c r="C39" s="16" t="str">
        <f t="shared" ca="1" si="1"/>
        <v>07</v>
      </c>
      <c r="E39" s="6" t="str">
        <f t="shared" si="7"/>
        <v/>
      </c>
      <c r="F39" s="9"/>
      <c r="G39" s="7" t="str">
        <f t="shared" si="6"/>
        <v/>
      </c>
      <c r="I39" s="20"/>
      <c r="K39" s="6" t="str">
        <f t="shared" si="2"/>
        <v/>
      </c>
      <c r="L39" s="8"/>
      <c r="M39" s="7" t="str">
        <f t="shared" si="3"/>
        <v/>
      </c>
    </row>
    <row r="40" spans="2:13" x14ac:dyDescent="0.3">
      <c r="B40" s="15">
        <f t="shared" ca="1" si="0"/>
        <v>10.5</v>
      </c>
      <c r="C40" s="16" t="str">
        <f t="shared" ca="1" si="1"/>
        <v>06</v>
      </c>
      <c r="E40" s="6" t="str">
        <f t="shared" si="7"/>
        <v/>
      </c>
      <c r="F40" s="9"/>
      <c r="G40" s="7" t="str">
        <f t="shared" si="6"/>
        <v/>
      </c>
      <c r="I40" s="20"/>
      <c r="K40" s="6" t="str">
        <f t="shared" si="2"/>
        <v/>
      </c>
      <c r="L40" s="8"/>
      <c r="M40" s="7" t="str">
        <f t="shared" si="3"/>
        <v/>
      </c>
    </row>
    <row r="41" spans="2:13" x14ac:dyDescent="0.3">
      <c r="B41" s="15">
        <f t="shared" ca="1" si="0"/>
        <v>8.75</v>
      </c>
      <c r="C41" s="16" t="str">
        <f t="shared" ca="1" si="1"/>
        <v>05</v>
      </c>
      <c r="E41" s="6" t="str">
        <f t="shared" si="7"/>
        <v/>
      </c>
      <c r="F41" s="11"/>
      <c r="G41" s="7" t="str">
        <f t="shared" si="6"/>
        <v/>
      </c>
      <c r="I41" s="20"/>
      <c r="K41" s="6" t="str">
        <f t="shared" si="2"/>
        <v/>
      </c>
      <c r="L41" s="21" t="s">
        <v>44</v>
      </c>
      <c r="M41" s="7" t="str">
        <f t="shared" si="3"/>
        <v/>
      </c>
    </row>
    <row r="42" spans="2:13" x14ac:dyDescent="0.3">
      <c r="B42" s="15">
        <f t="shared" ca="1" si="0"/>
        <v>7</v>
      </c>
      <c r="C42" s="16" t="str">
        <f t="shared" ca="1" si="1"/>
        <v>04</v>
      </c>
      <c r="E42" s="6" t="str">
        <f t="shared" si="7"/>
        <v/>
      </c>
      <c r="F42" s="11"/>
      <c r="G42" s="7" t="str">
        <f t="shared" si="6"/>
        <v/>
      </c>
      <c r="I42" s="20"/>
      <c r="K42" s="6" t="str">
        <f t="shared" si="2"/>
        <v/>
      </c>
      <c r="L42" s="22"/>
      <c r="M42" s="7" t="str">
        <f t="shared" si="3"/>
        <v/>
      </c>
    </row>
    <row r="43" spans="2:13" x14ac:dyDescent="0.3">
      <c r="B43" s="15">
        <f t="shared" ca="1" si="0"/>
        <v>5.25</v>
      </c>
      <c r="C43" s="16" t="str">
        <f t="shared" ca="1" si="1"/>
        <v>03</v>
      </c>
      <c r="E43" s="6" t="str">
        <f t="shared" ca="1" si="7"/>
        <v>03</v>
      </c>
      <c r="F43" s="21" t="s">
        <v>0</v>
      </c>
      <c r="G43" s="7" t="str">
        <f t="shared" ca="1" si="6"/>
        <v>03</v>
      </c>
      <c r="I43" s="20"/>
      <c r="K43" s="6" t="str">
        <f t="shared" si="2"/>
        <v/>
      </c>
      <c r="L43" s="8"/>
      <c r="M43" s="7" t="str">
        <f t="shared" si="3"/>
        <v/>
      </c>
    </row>
    <row r="44" spans="2:13" x14ac:dyDescent="0.3">
      <c r="B44" s="15">
        <f t="shared" ca="1" si="0"/>
        <v>3.5</v>
      </c>
      <c r="C44" s="16" t="str">
        <f t="shared" ca="1" si="1"/>
        <v>02</v>
      </c>
      <c r="E44" s="6" t="str">
        <f t="shared" si="7"/>
        <v/>
      </c>
      <c r="F44" s="22"/>
      <c r="G44" s="7" t="str">
        <f t="shared" si="6"/>
        <v/>
      </c>
      <c r="I44" s="20"/>
      <c r="K44" s="6" t="str">
        <f t="shared" si="2"/>
        <v/>
      </c>
      <c r="L44" s="21" t="s">
        <v>45</v>
      </c>
      <c r="M44" s="7" t="str">
        <f t="shared" si="3"/>
        <v/>
      </c>
    </row>
    <row r="45" spans="2:13" ht="15" thickBot="1" x14ac:dyDescent="0.35">
      <c r="B45" s="17">
        <v>1.75</v>
      </c>
      <c r="C45" s="18" t="str">
        <f ca="1">TEXT((INDIRECT("C[-1]",FALSE))/1.75,"00")</f>
        <v>01</v>
      </c>
      <c r="E45" s="6" t="str">
        <f t="shared" si="7"/>
        <v/>
      </c>
      <c r="F45" s="11"/>
      <c r="G45" s="7" t="str">
        <f t="shared" si="6"/>
        <v/>
      </c>
      <c r="I45" s="20"/>
      <c r="K45" s="6" t="str">
        <f t="shared" si="2"/>
        <v/>
      </c>
      <c r="L45" s="22"/>
      <c r="M45" s="7" t="str">
        <f t="shared" si="3"/>
        <v/>
      </c>
    </row>
    <row r="46" spans="2:13" x14ac:dyDescent="0.3">
      <c r="E46" s="6" t="str">
        <f t="shared" si="7"/>
        <v/>
      </c>
      <c r="F46" s="12"/>
      <c r="G46" s="6"/>
      <c r="I46" s="20"/>
      <c r="K46" s="6" t="str">
        <f t="shared" si="2"/>
        <v/>
      </c>
      <c r="L46" s="12"/>
      <c r="M46" s="6"/>
    </row>
  </sheetData>
  <mergeCells count="7">
    <mergeCell ref="I3:I46"/>
    <mergeCell ref="L41:L42"/>
    <mergeCell ref="L44:L45"/>
    <mergeCell ref="F43:F44"/>
    <mergeCell ref="F12:F13"/>
    <mergeCell ref="F15:F16"/>
    <mergeCell ref="F18:F19"/>
  </mergeCells>
  <conditionalFormatting sqref="B4:C45">
    <cfRule type="expression" dxfId="0" priority="1">
      <formula>MOD(ROW(),2)=0</formula>
    </cfRule>
  </conditionalFormatting>
  <dataValidations disablePrompts="1" count="1">
    <dataValidation type="list" allowBlank="1" showInputMessage="1" sqref="F42 F38 L14 L12">
      <formula1>_ValidDevices_</formula1>
    </dataValidation>
  </dataValidations>
  <pageMargins left="0.7" right="0.7" top="0.75" bottom="0.75" header="0.3" footer="0.3"/>
  <ignoredErrors>
    <ignoredError sqref="L3 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</dc:creator>
  <cp:lastModifiedBy>Janardhan</cp:lastModifiedBy>
  <dcterms:created xsi:type="dcterms:W3CDTF">2017-09-27T12:25:29Z</dcterms:created>
  <dcterms:modified xsi:type="dcterms:W3CDTF">2017-09-27T13:14:17Z</dcterms:modified>
</cp:coreProperties>
</file>