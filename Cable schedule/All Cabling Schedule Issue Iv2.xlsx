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drawings/drawing4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0074386\Desktop\"/>
    </mc:Choice>
  </mc:AlternateContent>
  <bookViews>
    <workbookView xWindow="15" yWindow="3480" windowWidth="19215" windowHeight="5895" tabRatio="683"/>
  </bookViews>
  <sheets>
    <sheet name="RF Schedule" sheetId="7" r:id="rId1"/>
    <sheet name="Video Schedule" sheetId="6" r:id="rId2"/>
    <sheet name="Audio Schedule" sheetId="8" r:id="rId3"/>
    <sheet name="ASI Schedule" sheetId="9" r:id="rId4"/>
    <sheet name="Network Schedule" sheetId="1" r:id="rId5"/>
    <sheet name="Cable No Legend" sheetId="10" r:id="rId6"/>
  </sheets>
  <definedNames>
    <definedName name="_xlnm._FilterDatabase" localSheetId="3" hidden="1">'ASI Schedule'!$A$7:$Q$15</definedName>
    <definedName name="_xlnm._FilterDatabase" localSheetId="2" hidden="1">'Audio Schedule'!$A$7:$Q$116</definedName>
    <definedName name="_xlnm._FilterDatabase" localSheetId="4" hidden="1">'Network Schedule'!$A$7:$Q$145</definedName>
    <definedName name="_xlnm._FilterDatabase" localSheetId="0" hidden="1">'RF Schedule'!$A$6:$Q$63</definedName>
    <definedName name="_xlnm._FilterDatabase" localSheetId="1" hidden="1">'Video Schedule'!$A$7:$Q$111</definedName>
    <definedName name="_xlnm.Print_Area" localSheetId="3">'ASI Schedule'!$A$1:$Q$15</definedName>
    <definedName name="_xlnm.Print_Area" localSheetId="2">'Audio Schedule'!$A$1:$Q$116</definedName>
    <definedName name="_xlnm.Print_Area" localSheetId="4">'Network Schedule'!$A$1:$Q$145</definedName>
    <definedName name="_xlnm.Print_Area" localSheetId="0">'RF Schedule'!$A$1:$Q$105</definedName>
    <definedName name="_xlnm.Print_Area" localSheetId="1">'Video Schedule'!$A$1:$Q$111</definedName>
    <definedName name="_xlnm.Print_Titles" localSheetId="3">'ASI Schedule'!$1:$7</definedName>
    <definedName name="_xlnm.Print_Titles" localSheetId="2">'Audio Schedule'!$1:$7</definedName>
    <definedName name="_xlnm.Print_Titles" localSheetId="4">'Network Schedule'!$1:$7</definedName>
    <definedName name="_xlnm.Print_Titles" localSheetId="0">'RF Schedule'!$1:$7</definedName>
    <definedName name="_xlnm.Print_Titles" localSheetId="1">'Video Schedule'!$1:$7</definedName>
    <definedName name="solver_lin" localSheetId="3" hidden="1">0</definedName>
    <definedName name="solver_lin" localSheetId="2" hidden="1">0</definedName>
    <definedName name="solver_lin" localSheetId="4" hidden="1">0</definedName>
    <definedName name="solver_lin" localSheetId="0" hidden="1">0</definedName>
    <definedName name="solver_lin" localSheetId="1" hidden="1">0</definedName>
    <definedName name="solver_num" localSheetId="3" hidden="1">0</definedName>
    <definedName name="solver_num" localSheetId="2" hidden="1">0</definedName>
    <definedName name="solver_num" localSheetId="4" hidden="1">0</definedName>
    <definedName name="solver_num" localSheetId="0" hidden="1">0</definedName>
    <definedName name="solver_num" localSheetId="1" hidden="1">0</definedName>
    <definedName name="solver_opt" localSheetId="3" hidden="1">'ASI Schedule'!$S$11</definedName>
    <definedName name="solver_opt" localSheetId="2" hidden="1">'Audio Schedule'!$S$11</definedName>
    <definedName name="solver_opt" localSheetId="4" hidden="1">'Network Schedule'!$S$11</definedName>
    <definedName name="solver_opt" localSheetId="0" hidden="1">'RF Schedule'!$S$10</definedName>
    <definedName name="solver_opt" localSheetId="1" hidden="1">'Video Schedule'!$S$11</definedName>
    <definedName name="solver_tmp" localSheetId="3" hidden="1">#NULL!</definedName>
    <definedName name="solver_tmp" localSheetId="2" hidden="1">#NULL!</definedName>
    <definedName name="solver_tmp" localSheetId="4" hidden="1">#NULL!</definedName>
    <definedName name="solver_tmp" localSheetId="0" hidden="1">#NULL!</definedName>
    <definedName name="solver_tmp" localSheetId="1" hidden="1">#NULL!</definedName>
    <definedName name="solver_typ" localSheetId="3" hidden="1">1</definedName>
    <definedName name="solver_typ" localSheetId="2" hidden="1">1</definedName>
    <definedName name="solver_typ" localSheetId="4" hidden="1">1</definedName>
    <definedName name="solver_typ" localSheetId="0" hidden="1">1</definedName>
    <definedName name="solver_typ" localSheetId="1" hidden="1">1</definedName>
    <definedName name="solver_val" localSheetId="3" hidden="1">0</definedName>
    <definedName name="solver_val" localSheetId="2" hidden="1">0</definedName>
    <definedName name="solver_val" localSheetId="4" hidden="1">0</definedName>
    <definedName name="solver_val" localSheetId="0" hidden="1">0</definedName>
    <definedName name="solver_val" localSheetId="1" hidden="1">0</definedName>
    <definedName name="Z_D8F10920_E766_11D0_9DB9_444553540000_.wvu.PrintArea" localSheetId="3" hidden="1">'ASI Schedule'!$B$1:$Q$15</definedName>
    <definedName name="Z_D8F10920_E766_11D0_9DB9_444553540000_.wvu.PrintArea" localSheetId="2" hidden="1">'Audio Schedule'!$B$1:$Q$116</definedName>
    <definedName name="Z_D8F10920_E766_11D0_9DB9_444553540000_.wvu.PrintArea" localSheetId="4" hidden="1">'Network Schedule'!$B$1:$Q$145</definedName>
    <definedName name="Z_D8F10920_E766_11D0_9DB9_444553540000_.wvu.PrintArea" localSheetId="0" hidden="1">'RF Schedule'!$B$1:$Q$105</definedName>
    <definedName name="Z_D8F10920_E766_11D0_9DB9_444553540000_.wvu.PrintArea" localSheetId="1" hidden="1">'Video Schedule'!$B$1:$Q$111</definedName>
    <definedName name="Z_D8F10920_E766_11D0_9DB9_444553540000_.wvu.PrintTitles" localSheetId="3" hidden="1">'ASI Schedule'!$1:$7</definedName>
    <definedName name="Z_D8F10920_E766_11D0_9DB9_444553540000_.wvu.PrintTitles" localSheetId="2" hidden="1">'Audio Schedule'!$1:$7</definedName>
    <definedName name="Z_D8F10920_E766_11D0_9DB9_444553540000_.wvu.PrintTitles" localSheetId="4" hidden="1">'Network Schedule'!$1:$7</definedName>
    <definedName name="Z_D8F10920_E766_11D0_9DB9_444553540000_.wvu.PrintTitles" localSheetId="0" hidden="1">'RF Schedule'!$1:$7</definedName>
    <definedName name="Z_D8F10920_E766_11D0_9DB9_444553540000_.wvu.PrintTitles" localSheetId="1" hidden="1">'Video Schedule'!$1:$7</definedName>
  </definedNames>
  <calcPr calcId="152511" fullPrecision="0"/>
  <customWorkbookViews>
    <customWorkbookView name="Steve Hanson - Personal View" guid="{D8F10920-E766-11D0-9DB9-444553540000}" autoUpdate="1" mergeInterval="15" personalView="1" maximized="1" windowWidth="1018" windowHeight="635" activeSheetId="1" showComments="commIndAndComment"/>
  </customWorkbookViews>
</workbook>
</file>

<file path=xl/calcChain.xml><?xml version="1.0" encoding="utf-8"?>
<calcChain xmlns="http://schemas.openxmlformats.org/spreadsheetml/2006/main">
  <c r="F34" i="9" l="1"/>
  <c r="A5" i="10"/>
  <c r="A6" i="10" s="1"/>
  <c r="A7" i="10" s="1"/>
  <c r="A8" i="10" s="1"/>
  <c r="A10" i="10" s="1"/>
  <c r="A11" i="10" s="1"/>
  <c r="A12" i="10" s="1"/>
  <c r="A13" i="10" s="1"/>
  <c r="A14" i="10" s="1"/>
  <c r="A10" i="9"/>
  <c r="A13" i="9" s="1"/>
  <c r="E2" i="9"/>
  <c r="A10" i="8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E2" i="8"/>
  <c r="A9" i="7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E2" i="7"/>
  <c r="A10" i="6"/>
  <c r="A11" i="6" s="1"/>
  <c r="A12" i="6" s="1"/>
  <c r="A13" i="6"/>
  <c r="A14" i="6" s="1"/>
  <c r="A15" i="6" s="1"/>
  <c r="A16" i="6" s="1"/>
  <c r="A17" i="6" s="1"/>
  <c r="A18" i="6" s="1"/>
  <c r="A19" i="6" s="1"/>
  <c r="A20" i="6" s="1"/>
  <c r="A21" i="6" s="1"/>
  <c r="A22" i="6" s="1"/>
  <c r="A23" i="6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E2" i="6"/>
  <c r="E2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3" i="1" s="1"/>
  <c r="A85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100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40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</calcChain>
</file>

<file path=xl/comments1.xml><?xml version="1.0" encoding="utf-8"?>
<comments xmlns="http://schemas.openxmlformats.org/spreadsheetml/2006/main">
  <authors>
    <author>Pavan Dharawad</author>
  </authors>
  <commentList>
    <comment ref="B40" authorId="0" shapeId="0">
      <text>
        <r>
          <rPr>
            <b/>
            <sz val="8"/>
            <color indexed="81"/>
            <rFont val="Tahoma"/>
            <charset val="1"/>
          </rPr>
          <t>Pavan Dharawad:</t>
        </r>
        <r>
          <rPr>
            <sz val="8"/>
            <color indexed="81"/>
            <rFont val="Tahoma"/>
            <charset val="1"/>
          </rPr>
          <t xml:space="preserve">
Legend to be changed for the input </t>
        </r>
      </text>
    </comment>
    <comment ref="B60" authorId="0" shapeId="0">
      <text>
        <r>
          <rPr>
            <b/>
            <sz val="8"/>
            <color indexed="81"/>
            <rFont val="Tahoma"/>
            <charset val="1"/>
          </rPr>
          <t>Pavan Dharawad:</t>
        </r>
        <r>
          <rPr>
            <sz val="8"/>
            <color indexed="81"/>
            <rFont val="Tahoma"/>
            <charset val="1"/>
          </rPr>
          <t xml:space="preserve">
Legend to be changed for the output network</t>
        </r>
      </text>
    </comment>
    <comment ref="B83" authorId="0" shapeId="0">
      <text>
        <r>
          <rPr>
            <b/>
            <sz val="8"/>
            <color indexed="81"/>
            <rFont val="Tahoma"/>
            <family val="2"/>
          </rPr>
          <t>Pavan Dharawad:</t>
        </r>
        <r>
          <rPr>
            <sz val="8"/>
            <color indexed="81"/>
            <rFont val="Tahoma"/>
            <family val="2"/>
          </rPr>
          <t xml:space="preserve">
Can be named Tables main</t>
        </r>
      </text>
    </comment>
    <comment ref="B85" authorId="0" shapeId="0">
      <text>
        <r>
          <rPr>
            <b/>
            <sz val="8"/>
            <color indexed="81"/>
            <rFont val="Tahoma"/>
            <family val="2"/>
          </rPr>
          <t>Pavan Dharawad:</t>
        </r>
        <r>
          <rPr>
            <sz val="8"/>
            <color indexed="81"/>
            <rFont val="Tahoma"/>
            <family val="2"/>
          </rPr>
          <t xml:space="preserve">
Can be named PSI main</t>
        </r>
      </text>
    </comment>
  </commentList>
</comments>
</file>

<file path=xl/sharedStrings.xml><?xml version="1.0" encoding="utf-8"?>
<sst xmlns="http://schemas.openxmlformats.org/spreadsheetml/2006/main" count="5690" uniqueCount="1616">
  <si>
    <t>Sr.No.</t>
  </si>
  <si>
    <t>Gray</t>
  </si>
  <si>
    <t>SOURCE</t>
  </si>
  <si>
    <t xml:space="preserve"> DESTINATION</t>
  </si>
  <si>
    <t>CABLE</t>
  </si>
  <si>
    <t xml:space="preserve">  Equipment</t>
  </si>
  <si>
    <t>Conn</t>
  </si>
  <si>
    <t>Location</t>
  </si>
  <si>
    <t>Area</t>
  </si>
  <si>
    <t>Timed</t>
  </si>
  <si>
    <t>BNC</t>
  </si>
  <si>
    <t>Issue:</t>
  </si>
  <si>
    <t>Date:</t>
  </si>
  <si>
    <t>Job No:</t>
  </si>
  <si>
    <t>TYPE</t>
  </si>
  <si>
    <t>LENGTH</t>
  </si>
  <si>
    <t>Est</t>
  </si>
  <si>
    <t>CIRCUIT/REMARKS</t>
  </si>
  <si>
    <t>CABLE NO.</t>
  </si>
  <si>
    <t>Total Cables =</t>
  </si>
  <si>
    <t xml:space="preserve"> Equipment</t>
  </si>
  <si>
    <t>SLEEVE</t>
  </si>
  <si>
    <t>COL.</t>
  </si>
  <si>
    <t>Chg</t>
  </si>
  <si>
    <t>Iss</t>
  </si>
  <si>
    <t>Act</t>
  </si>
  <si>
    <t>Sr. No.</t>
  </si>
  <si>
    <t>RCA Plg</t>
  </si>
  <si>
    <t>I</t>
  </si>
  <si>
    <t>Orange</t>
  </si>
  <si>
    <t>XXX</t>
  </si>
  <si>
    <t>HARMONICS</t>
  </si>
  <si>
    <t>Noida</t>
  </si>
  <si>
    <t>RF7001</t>
  </si>
  <si>
    <t>RF7002</t>
  </si>
  <si>
    <t>RF7003</t>
  </si>
  <si>
    <t>RF7004</t>
  </si>
  <si>
    <t>RF7005</t>
  </si>
  <si>
    <t>RF7006</t>
  </si>
  <si>
    <t>RF7007</t>
  </si>
  <si>
    <t>RF7008</t>
  </si>
  <si>
    <t>RF7009</t>
  </si>
  <si>
    <t>RF7010</t>
  </si>
  <si>
    <t>RF7011</t>
  </si>
  <si>
    <t>RF7012</t>
  </si>
  <si>
    <t>RF7013</t>
  </si>
  <si>
    <t>RF7014</t>
  </si>
  <si>
    <t>RF7015</t>
  </si>
  <si>
    <t>RF7016</t>
  </si>
  <si>
    <t>RF7017</t>
  </si>
  <si>
    <t>RF7018</t>
  </si>
  <si>
    <t>RF7019</t>
  </si>
  <si>
    <t>RF7020</t>
  </si>
  <si>
    <t>RF7021</t>
  </si>
  <si>
    <t>RF7022</t>
  </si>
  <si>
    <t>RF7023</t>
  </si>
  <si>
    <t>RF7024</t>
  </si>
  <si>
    <t>RF7025</t>
  </si>
  <si>
    <t>RF7026</t>
  </si>
  <si>
    <t>RF7027</t>
  </si>
  <si>
    <t>RF7028</t>
  </si>
  <si>
    <t>RF7029</t>
  </si>
  <si>
    <t>RF7030</t>
  </si>
  <si>
    <t>RF7031</t>
  </si>
  <si>
    <t>RF7032</t>
  </si>
  <si>
    <t>RF7051</t>
  </si>
  <si>
    <t>RF7052</t>
  </si>
  <si>
    <t>RF7053</t>
  </si>
  <si>
    <t>RF7054</t>
  </si>
  <si>
    <t>RF7055</t>
  </si>
  <si>
    <t>RF7056</t>
  </si>
  <si>
    <t>RF7061</t>
  </si>
  <si>
    <t>RF7062</t>
  </si>
  <si>
    <t>RF7063</t>
  </si>
  <si>
    <t>RF7064</t>
  </si>
  <si>
    <t>RF7065</t>
  </si>
  <si>
    <t>RF7066</t>
  </si>
  <si>
    <t>RF7067</t>
  </si>
  <si>
    <t>RF7068</t>
  </si>
  <si>
    <t>RF7069</t>
  </si>
  <si>
    <t>RF7070</t>
  </si>
  <si>
    <t>RF7071</t>
  </si>
  <si>
    <t>RF7072</t>
  </si>
  <si>
    <t>RF7073</t>
  </si>
  <si>
    <t>RF7074</t>
  </si>
  <si>
    <t>RF7075</t>
  </si>
  <si>
    <t>RF7076</t>
  </si>
  <si>
    <t>RF7077</t>
  </si>
  <si>
    <t>RF7078</t>
  </si>
  <si>
    <t>RF7079</t>
  </si>
  <si>
    <t>RF7080</t>
  </si>
  <si>
    <t>RF7081</t>
  </si>
  <si>
    <t>RF7082</t>
  </si>
  <si>
    <t>F Connector</t>
  </si>
  <si>
    <t>CER</t>
  </si>
  <si>
    <t>RG6 Coax</t>
  </si>
  <si>
    <t>Blk</t>
  </si>
  <si>
    <t>VIDEO CABLE SCHEDULE</t>
  </si>
  <si>
    <t>HD VID</t>
  </si>
  <si>
    <t>Violet</t>
  </si>
  <si>
    <t>NETWORK CABLE SCHEDULE</t>
  </si>
  <si>
    <t>AUDIO CABLE SCHEDULE</t>
  </si>
  <si>
    <t>2 PAIR ANLG AUD</t>
  </si>
  <si>
    <t>AA11001</t>
  </si>
  <si>
    <t>AA11002</t>
  </si>
  <si>
    <t>AA11003</t>
  </si>
  <si>
    <t>AA11004</t>
  </si>
  <si>
    <t>AA11005</t>
  </si>
  <si>
    <t>AA11006</t>
  </si>
  <si>
    <t>AA11007</t>
  </si>
  <si>
    <t>AA11008</t>
  </si>
  <si>
    <t>AA11009</t>
  </si>
  <si>
    <t>AA11010</t>
  </si>
  <si>
    <t>AA11011</t>
  </si>
  <si>
    <t>AA11012</t>
  </si>
  <si>
    <t>AA11013</t>
  </si>
  <si>
    <t>AA11014</t>
  </si>
  <si>
    <t>AA11015</t>
  </si>
  <si>
    <t>AA11016</t>
  </si>
  <si>
    <t>AA11017</t>
  </si>
  <si>
    <t>AA11018</t>
  </si>
  <si>
    <t>AA11019</t>
  </si>
  <si>
    <t>AA11020</t>
  </si>
  <si>
    <t>AA11021</t>
  </si>
  <si>
    <t>AA11022</t>
  </si>
  <si>
    <t>AA11023</t>
  </si>
  <si>
    <t>AA11024</t>
  </si>
  <si>
    <t>AA11025</t>
  </si>
  <si>
    <t>AA11026</t>
  </si>
  <si>
    <t>AA11027</t>
  </si>
  <si>
    <t>AA11028</t>
  </si>
  <si>
    <t>AA11029</t>
  </si>
  <si>
    <t>AA11030</t>
  </si>
  <si>
    <t>AA11031</t>
  </si>
  <si>
    <t>AA11032</t>
  </si>
  <si>
    <t>AA11101</t>
  </si>
  <si>
    <t>AA11102</t>
  </si>
  <si>
    <t>AA11103</t>
  </si>
  <si>
    <t>AA11104</t>
  </si>
  <si>
    <t>AA11105</t>
  </si>
  <si>
    <t>AA11106</t>
  </si>
  <si>
    <t>AA11107</t>
  </si>
  <si>
    <t>AA11108</t>
  </si>
  <si>
    <t>AA11109</t>
  </si>
  <si>
    <t>AA11110</t>
  </si>
  <si>
    <t>AA11111</t>
  </si>
  <si>
    <t>AA11112</t>
  </si>
  <si>
    <t>DN3248</t>
  </si>
  <si>
    <t>AS8001</t>
  </si>
  <si>
    <t>AS8002</t>
  </si>
  <si>
    <t>AS8101</t>
  </si>
  <si>
    <t>White</t>
  </si>
  <si>
    <t>RJ45</t>
  </si>
  <si>
    <t>CAT6</t>
  </si>
  <si>
    <t>DN3404</t>
  </si>
  <si>
    <t>DN3406</t>
  </si>
  <si>
    <t>Blue</t>
  </si>
  <si>
    <t>Cable Naming Legends</t>
  </si>
  <si>
    <t>Cable Type</t>
  </si>
  <si>
    <t>Numbering Details</t>
  </si>
  <si>
    <t>Signal Type</t>
  </si>
  <si>
    <t>Prefix</t>
  </si>
  <si>
    <t>Range</t>
  </si>
  <si>
    <t>1000-2000</t>
  </si>
  <si>
    <t>Video</t>
  </si>
  <si>
    <t>Analog|Reference Signal</t>
  </si>
  <si>
    <t>Digital Video</t>
  </si>
  <si>
    <t>AV</t>
  </si>
  <si>
    <t>Audio</t>
  </si>
  <si>
    <t>Analog Audio</t>
  </si>
  <si>
    <t>AA</t>
  </si>
  <si>
    <t>Digital Audio</t>
  </si>
  <si>
    <t>DA</t>
  </si>
  <si>
    <t>CAT6|CAT6a</t>
  </si>
  <si>
    <t>Management Network</t>
  </si>
  <si>
    <t>CAT6|CAT5</t>
  </si>
  <si>
    <t>MN</t>
  </si>
  <si>
    <t>ASI</t>
  </si>
  <si>
    <t>RG6|RG11</t>
  </si>
  <si>
    <t>RF|IF Signal</t>
  </si>
  <si>
    <t>RF</t>
  </si>
  <si>
    <t>5000-6000</t>
  </si>
  <si>
    <t>Power</t>
  </si>
  <si>
    <t>PW</t>
  </si>
  <si>
    <t>KVM</t>
  </si>
  <si>
    <t>1|2.5 sq mm, 3 Core, Power Cable</t>
  </si>
  <si>
    <t>KVM Cable</t>
  </si>
  <si>
    <t>RF7033</t>
  </si>
  <si>
    <t>RF7034</t>
  </si>
  <si>
    <t>RF7035</t>
  </si>
  <si>
    <t>RF7036</t>
  </si>
  <si>
    <t>RF7037</t>
  </si>
  <si>
    <t>RF7038</t>
  </si>
  <si>
    <t>RF7039</t>
  </si>
  <si>
    <t>RF7040</t>
  </si>
  <si>
    <t>RF7041</t>
  </si>
  <si>
    <t>RF7042</t>
  </si>
  <si>
    <t>RF7043</t>
  </si>
  <si>
    <t>RF7044</t>
  </si>
  <si>
    <t>RF7045</t>
  </si>
  <si>
    <t>RF7046</t>
  </si>
  <si>
    <t>RF7047</t>
  </si>
  <si>
    <t>RF7048</t>
  </si>
  <si>
    <t>RF7049</t>
  </si>
  <si>
    <t>RF7050</t>
  </si>
  <si>
    <t>RECEIEVE DISH OUTPUT</t>
  </si>
  <si>
    <t>RF IN, ANALOG STB 1</t>
  </si>
  <si>
    <t>RF IN, ANALOG STB 2</t>
  </si>
  <si>
    <t>RF IN, ANALOG STB 3</t>
  </si>
  <si>
    <t>RF IN, ANALOG STB 4</t>
  </si>
  <si>
    <t>RF IN, ANALOG STB 5</t>
  </si>
  <si>
    <t>RF IN, ANALOG STB 6</t>
  </si>
  <si>
    <t>RF IN, ANALOG STB 7</t>
  </si>
  <si>
    <t>RF IN, ANALOG STB 8</t>
  </si>
  <si>
    <t>RF IN, ANALOG STB 9</t>
  </si>
  <si>
    <t>RF IN, ANALOG STB 10</t>
  </si>
  <si>
    <t>RF IN, ANALOG STB 11</t>
  </si>
  <si>
    <t>RF IN, ANALOG STB 12</t>
  </si>
  <si>
    <t>RF IN, ANALOG STB 13</t>
  </si>
  <si>
    <t>RF IN, ANALOG STB 14</t>
  </si>
  <si>
    <t>RF IN, ANALOG STB 15</t>
  </si>
  <si>
    <t>RF IN, ANALOG STB 16</t>
  </si>
  <si>
    <t>RF IN, ANALOG STB 17</t>
  </si>
  <si>
    <t>RF IN, ANALOG STB 18</t>
  </si>
  <si>
    <t>RF IN, ANALOG STB 19</t>
  </si>
  <si>
    <t>RF IN, ANALOG STB 20</t>
  </si>
  <si>
    <t>RF IN, ANALOG STB 21</t>
  </si>
  <si>
    <t>RF IN, ANALOG STB 22</t>
  </si>
  <si>
    <t>RF IN, ANALOG STB 23</t>
  </si>
  <si>
    <t>RF IN, ANALOG STB 24</t>
  </si>
  <si>
    <t>RF IN, ANALOG STB 25</t>
  </si>
  <si>
    <t>RF IN, ANALOG STB 26</t>
  </si>
  <si>
    <t>RF IN, ANALOG STB 27</t>
  </si>
  <si>
    <t>RF IN, ANALOG STB 28</t>
  </si>
  <si>
    <t>RF IN, ANALOG STB 29</t>
  </si>
  <si>
    <t>RF IN, ANALOG STB 30</t>
  </si>
  <si>
    <t>RF IN, ANALOG STB 31</t>
  </si>
  <si>
    <t>RF IN, ANALOG STB 32</t>
  </si>
  <si>
    <t>RF IN, ANALOG STB 33</t>
  </si>
  <si>
    <t>RF IN, ANALOG STB 34</t>
  </si>
  <si>
    <t>RF IN, ANALOG STB 35</t>
  </si>
  <si>
    <t>RF IN, ANALOG STB 36</t>
  </si>
  <si>
    <t>RF IN, ANALOG STB 37</t>
  </si>
  <si>
    <t>RF IN, ANALOG STB 38</t>
  </si>
  <si>
    <t>RF IN, ANALOG STB 39</t>
  </si>
  <si>
    <t>RF IN, ANALOG STB 40</t>
  </si>
  <si>
    <t>RF IN, ANALOG STB 41</t>
  </si>
  <si>
    <t>RF IN, ANALOG STB 42</t>
  </si>
  <si>
    <t>RF IN, ANALOG STB 43</t>
  </si>
  <si>
    <t>RF IN, ANALOG STB 44</t>
  </si>
  <si>
    <t>RF IN, ANALOG STB 45</t>
  </si>
  <si>
    <t>RF IN, ANALOG STB 46</t>
  </si>
  <si>
    <t>RF IN, ANALOG STB 47</t>
  </si>
  <si>
    <t>RF IN, ANALOG STB 48</t>
  </si>
  <si>
    <t>RF IN, ANALOG STB 49</t>
  </si>
  <si>
    <t>RF IN, ANALOG STB 50</t>
  </si>
  <si>
    <t>RF IN, ANALOG STB 51</t>
  </si>
  <si>
    <t>RF IN, ANALOG STB 52</t>
  </si>
  <si>
    <t>RF IN, ANALOG STB 53</t>
  </si>
  <si>
    <t>RF IN, ANALOG STB 54</t>
  </si>
  <si>
    <t>RF IN, ANALOG STB 55</t>
  </si>
  <si>
    <t>RF IN, ANALOG STB 56</t>
  </si>
  <si>
    <t>BAY 3</t>
  </si>
  <si>
    <t>RF7083</t>
  </si>
  <si>
    <t>RF7084</t>
  </si>
  <si>
    <t>RF7085</t>
  </si>
  <si>
    <t>RF7086</t>
  </si>
  <si>
    <t>RF7087</t>
  </si>
  <si>
    <t>RF7088</t>
  </si>
  <si>
    <t>RF7089</t>
  </si>
  <si>
    <t>RF7090</t>
  </si>
  <si>
    <t>RF7091</t>
  </si>
  <si>
    <t>RF7092</t>
  </si>
  <si>
    <t>RF7093</t>
  </si>
  <si>
    <t>RF7094</t>
  </si>
  <si>
    <t>RF7095</t>
  </si>
  <si>
    <t>RF7096</t>
  </si>
  <si>
    <t>RF7097</t>
  </si>
  <si>
    <t>RF7098</t>
  </si>
  <si>
    <t>RF7099</t>
  </si>
  <si>
    <t>RF7100</t>
  </si>
  <si>
    <t>ENVIVIO_AIRTEL DTH HE PROJECT</t>
  </si>
  <si>
    <t>BAY 4</t>
  </si>
  <si>
    <t>RF IN, RECEIEVE IP PIRD 1</t>
  </si>
  <si>
    <t>RF IN, RECEIEVE IP PIRD 2</t>
  </si>
  <si>
    <t>RF IN, RECEIEVE IP PIRD 3</t>
  </si>
  <si>
    <t>RF IN, RECEIEVE IP PIRD 4</t>
  </si>
  <si>
    <t>RF IN, RECEIEVE IP PIRD 5</t>
  </si>
  <si>
    <t>RF IN, RECEIEVE IP PIRD 6</t>
  </si>
  <si>
    <t>RF IN, RECEIEVE IP PIRD 7</t>
  </si>
  <si>
    <t>RF IN, RECEIEVE IP PIRD 8</t>
  </si>
  <si>
    <t>RF IN, RECEIEVE IP PIRD 9</t>
  </si>
  <si>
    <t>RF IN, RECEIEVE IP PIRD 10</t>
  </si>
  <si>
    <t>RF IN, RECEIEVE IP PIRD 11</t>
  </si>
  <si>
    <t>RF IN, RECEIEVE IP PIRD 12</t>
  </si>
  <si>
    <t>RF IN, RECEIEVE IP PIRD 13</t>
  </si>
  <si>
    <t>RF IN, RECEIEVE IP PIRD 14</t>
  </si>
  <si>
    <t>RF IN, RECEIEVE IP PIRD 15</t>
  </si>
  <si>
    <t>RF IN, RECEIEVE IP PIRD 16</t>
  </si>
  <si>
    <t>RF IN, RECEIEVE IP PIRD 17</t>
  </si>
  <si>
    <t>RF IN, RECEIEVE IP PIRD 18</t>
  </si>
  <si>
    <t>RF IN, RECEIEVE IP PIRD 19</t>
  </si>
  <si>
    <t>RF IN, RECEIEVE IP PIRD 20</t>
  </si>
  <si>
    <t>RF IN, RECEIEVE IP PIRD 21</t>
  </si>
  <si>
    <t>RF IN, RECEIEVE IP PIRD 22</t>
  </si>
  <si>
    <t>RF IN, RECEIEVE IP PIRD 23</t>
  </si>
  <si>
    <t>RF IN, RECEIEVE IP PIRD 24</t>
  </si>
  <si>
    <t>RF IN, RECEIEVE IP PIRD 25</t>
  </si>
  <si>
    <t>RF IN, RECEIEVE IP PIRD 26</t>
  </si>
  <si>
    <t>RF IN, RECEIEVE IP PIRD 27</t>
  </si>
  <si>
    <t>RF IN, RECEIEVE IP PIRD 28</t>
  </si>
  <si>
    <t>RF IN, RECEIEVE IP PIRD 29</t>
  </si>
  <si>
    <t>RF IN, RECEIEVE IP PIRD 30</t>
  </si>
  <si>
    <t>RF IN, RECEIEVE IP PIRD 31</t>
  </si>
  <si>
    <t>RF IN, RECEIEVE IP PIRD 32</t>
  </si>
  <si>
    <t>RF IN, RECEIEVE IP PIRD 33</t>
  </si>
  <si>
    <t>RF IN, RECEIEVE IP PIRD 34</t>
  </si>
  <si>
    <t>RF IN, RECEIEVE IP PIRD 35</t>
  </si>
  <si>
    <t>RF IN, RECEIEVE IP PIRD 36</t>
  </si>
  <si>
    <t>RF IN, RECEIEVE IP PIRD 37</t>
  </si>
  <si>
    <t>RF IN, RECEIEVE IP PIRD 38</t>
  </si>
  <si>
    <t>RF IN, RECEIEVE IP PIRD 39</t>
  </si>
  <si>
    <t>RF IN, RECEIEVE IP PIRD 40</t>
  </si>
  <si>
    <t>CVBS OUT, ANALOG STB 1</t>
  </si>
  <si>
    <t>CVBS IN, A-D CONVERTER 1</t>
  </si>
  <si>
    <t>BAY 1</t>
  </si>
  <si>
    <t>ANLG VID</t>
  </si>
  <si>
    <t>CVBS IN, A-D CONVERTER 2</t>
  </si>
  <si>
    <t>CVBS IN, A-D CONVERTER 3</t>
  </si>
  <si>
    <t>CVBS IN, A-D CONVERTER 4</t>
  </si>
  <si>
    <t>CVBS IN, A-D CONVERTER 5</t>
  </si>
  <si>
    <t>CVBS IN, A-D CONVERTER 6</t>
  </si>
  <si>
    <t>CVBS IN, A-D CONVERTER 7</t>
  </si>
  <si>
    <t>CVBS IN, A-D CONVERTER 8</t>
  </si>
  <si>
    <t>CVBS IN, A-D CONVERTER 9</t>
  </si>
  <si>
    <t>CVBS IN, A-D CONVERTER 10</t>
  </si>
  <si>
    <t>CVBS IN, A-D CONVERTER 11</t>
  </si>
  <si>
    <t>CVBS IN, A-D CONVERTER 12</t>
  </si>
  <si>
    <t>CVBS IN, A-D CONVERTER 13</t>
  </si>
  <si>
    <t>CVBS IN, A-D CONVERTER 14</t>
  </si>
  <si>
    <t>CVBS IN, A-D CONVERTER 15</t>
  </si>
  <si>
    <t>CVBS IN, A-D CONVERTER 16</t>
  </si>
  <si>
    <t>CVBS IN, A-D CONVERTER 17</t>
  </si>
  <si>
    <t>CVBS IN, A-D CONVERTER 18</t>
  </si>
  <si>
    <t>CVBS IN, A-D CONVERTER 19</t>
  </si>
  <si>
    <t>CVBS IN, A-D CONVERTER 20</t>
  </si>
  <si>
    <t>CVBS IN, A-D CONVERTER 21</t>
  </si>
  <si>
    <t>CVBS IN, A-D CONVERTER 22</t>
  </si>
  <si>
    <t>CVBS IN, A-D CONVERTER 23</t>
  </si>
  <si>
    <t>CVBS IN, A-D CONVERTER 24</t>
  </si>
  <si>
    <t>CVBS IN, A-D CONVERTER 25</t>
  </si>
  <si>
    <t>CVBS IN, A-D CONVERTER 26</t>
  </si>
  <si>
    <t>CVBS IN, A-D CONVERTER 27</t>
  </si>
  <si>
    <t>CVBS IN, A-D CONVERTER 28</t>
  </si>
  <si>
    <t>CVBS IN, A-D CONVERTER 29</t>
  </si>
  <si>
    <t>CVBS IN, A-D CONVERTER 30</t>
  </si>
  <si>
    <t>CVBS IN, A-D CONVERTER 31</t>
  </si>
  <si>
    <t>CVBS IN, A-D CONVERTER 32</t>
  </si>
  <si>
    <t>CVBS IN, A-D CONVERTER 33</t>
  </si>
  <si>
    <t>CVBS IN, A-D CONVERTER 34</t>
  </si>
  <si>
    <t>CVBS IN, A-D CONVERTER 35</t>
  </si>
  <si>
    <t>CVBS IN, A-D CONVERTER 36</t>
  </si>
  <si>
    <t>CVBS IN, A-D CONVERTER 37</t>
  </si>
  <si>
    <t>CVBS IN, A-D CONVERTER 38</t>
  </si>
  <si>
    <t>CVBS IN, A-D CONVERTER 39</t>
  </si>
  <si>
    <t>CVBS IN, A-D CONVERTER 40</t>
  </si>
  <si>
    <t>CVBS IN, A-D CONVERTER 41</t>
  </si>
  <si>
    <t>CVBS IN, A-D CONVERTER 42</t>
  </si>
  <si>
    <t>CVBS IN, A-D CONVERTER 43</t>
  </si>
  <si>
    <t>CVBS IN, A-D CONVERTER 44</t>
  </si>
  <si>
    <t>CVBS IN, A-D CONVERTER 45</t>
  </si>
  <si>
    <t>CVBS IN, A-D CONVERTER 46</t>
  </si>
  <si>
    <t>CVBS IN, A-D CONVERTER 47</t>
  </si>
  <si>
    <t>CVBS IN, A-D CONVERTER 48</t>
  </si>
  <si>
    <t>CVBS IN, A-D CONVERTER 49</t>
  </si>
  <si>
    <t>CVBS IN, A-D CONVERTER 50</t>
  </si>
  <si>
    <t>CVBS IN, A-D CONVERTER 51</t>
  </si>
  <si>
    <t>CVBS IN, A-D CONVERTER 52</t>
  </si>
  <si>
    <t>CVBS IN, A-D CONVERTER 53</t>
  </si>
  <si>
    <t>CVBS IN, A-D CONVERTER 54</t>
  </si>
  <si>
    <t>CVBS IN, A-D CONVERTER 55</t>
  </si>
  <si>
    <t>CVBS IN, A-D CONVERTER 56</t>
  </si>
  <si>
    <t>BAY 2</t>
  </si>
  <si>
    <t>CVBS OUT, ANALOG STB 2</t>
  </si>
  <si>
    <t>CVBS OUT, ANALOG STB 3</t>
  </si>
  <si>
    <t>CVBS OUT, ANALOG STB 4</t>
  </si>
  <si>
    <t>CVBS OUT, ANALOG STB 5</t>
  </si>
  <si>
    <t>CVBS OUT, ANALOG STB 6</t>
  </si>
  <si>
    <t>CVBS OUT, ANALOG STB 7</t>
  </si>
  <si>
    <t>CVBS OUT, ANALOG STB 8</t>
  </si>
  <si>
    <t>CVBS OUT, ANALOG STB 9</t>
  </si>
  <si>
    <t>CVBS OUT, ANALOG STB 10</t>
  </si>
  <si>
    <t>CVBS OUT, ANALOG STB 11</t>
  </si>
  <si>
    <t>CVBS OUT, ANALOG STB 12</t>
  </si>
  <si>
    <t>CVBS OUT, ANALOG STB 13</t>
  </si>
  <si>
    <t>CVBS OUT, ANALOG STB 14</t>
  </si>
  <si>
    <t>CVBS OUT, ANALOG STB 15</t>
  </si>
  <si>
    <t>CVBS OUT, ANALOG STB 16</t>
  </si>
  <si>
    <t>CVBS OUT, ANALOG STB 17</t>
  </si>
  <si>
    <t>CVBS OUT, ANALOG STB 18</t>
  </si>
  <si>
    <t>CVBS OUT, ANALOG STB 19</t>
  </si>
  <si>
    <t>CVBS OUT, ANALOG STB 20</t>
  </si>
  <si>
    <t>CVBS OUT, ANALOG STB 21</t>
  </si>
  <si>
    <t>CVBS OUT, ANALOG STB 22</t>
  </si>
  <si>
    <t>CVBS OUT, ANALOG STB 23</t>
  </si>
  <si>
    <t>CVBS OUT, ANALOG STB 24</t>
  </si>
  <si>
    <t>CVBS OUT, ANALOG STB 25</t>
  </si>
  <si>
    <t>CVBS OUT, ANALOG STB 26</t>
  </si>
  <si>
    <t>CVBS OUT, ANALOG STB 27</t>
  </si>
  <si>
    <t>CVBS OUT, ANALOG STB 28</t>
  </si>
  <si>
    <t>CVBS OUT, ANALOG STB 29</t>
  </si>
  <si>
    <t>CVBS OUT, ANALOG STB 30</t>
  </si>
  <si>
    <t>CVBS OUT, ANALOG STB 31</t>
  </si>
  <si>
    <t>CVBS OUT, ANALOG STB 32</t>
  </si>
  <si>
    <t>CVBS OUT, ANALOG STB 33</t>
  </si>
  <si>
    <t>CVBS OUT, ANALOG STB 34</t>
  </si>
  <si>
    <t>CVBS OUT, ANALOG STB 35</t>
  </si>
  <si>
    <t>CVBS OUT, ANALOG STB 36</t>
  </si>
  <si>
    <t>CVBS OUT, ANALOG STB 37</t>
  </si>
  <si>
    <t>CVBS OUT, ANALOG STB 38</t>
  </si>
  <si>
    <t>CVBS OUT, ANALOG STB 39</t>
  </si>
  <si>
    <t>CVBS OUT, ANALOG STB 40</t>
  </si>
  <si>
    <t>CVBS OUT, ANALOG STB 41</t>
  </si>
  <si>
    <t>CVBS OUT, ANALOG STB 42</t>
  </si>
  <si>
    <t>CVBS OUT, ANALOG STB 43</t>
  </si>
  <si>
    <t>CVBS OUT, ANALOG STB 44</t>
  </si>
  <si>
    <t>CVBS OUT, ANALOG STB 45</t>
  </si>
  <si>
    <t>CVBS OUT, ANALOG STB 46</t>
  </si>
  <si>
    <t>CVBS OUT, ANALOG STB 47</t>
  </si>
  <si>
    <t>CVBS OUT, ANALOG STB 48</t>
  </si>
  <si>
    <t>CVBS OUT, ANALOG STB 49</t>
  </si>
  <si>
    <t>CVBS OUT, ANALOG STB 50</t>
  </si>
  <si>
    <t>CVBS OUT, ANALOG STB 51</t>
  </si>
  <si>
    <t>CVBS OUT, ANALOG STB 52</t>
  </si>
  <si>
    <t>CVBS OUT, ANALOG STB 53</t>
  </si>
  <si>
    <t>CVBS OUT, ANALOG STB 54</t>
  </si>
  <si>
    <t>CVBS OUT, ANALOG STB 55</t>
  </si>
  <si>
    <t>CVBS OUT, ANALOG STB 56</t>
  </si>
  <si>
    <t>DIG VID OUT 1, A-D CONVERTER 1</t>
  </si>
  <si>
    <t>DIG VID OUT 1, A-D CONVERTER 2</t>
  </si>
  <si>
    <t>DIG VID OUT 1, A-D CONVERTER 3</t>
  </si>
  <si>
    <t>DIG VID OUT 1, A-D CONVERTER 4</t>
  </si>
  <si>
    <t>DIG VID OUT 1, A-D CONVERTER 5</t>
  </si>
  <si>
    <t>DIG VID OUT 1, A-D CONVERTER 6</t>
  </si>
  <si>
    <t>DIG VID OUT 1, A-D CONVERTER 7</t>
  </si>
  <si>
    <t>DIG VID OUT 1, A-D CONVERTER 8</t>
  </si>
  <si>
    <t>DIG VID OUT 1, A-D CONVERTER 9</t>
  </si>
  <si>
    <t>DIG VID OUT 1, A-D CONVERTER 10</t>
  </si>
  <si>
    <t>DIG VID OUT 1, A-D CONVERTER 11</t>
  </si>
  <si>
    <t>DIG VID OUT 1, A-D CONVERTER 12</t>
  </si>
  <si>
    <t>DIG VID OUT 1, A-D CONVERTER 13</t>
  </si>
  <si>
    <t>DIG VID OUT 1, A-D CONVERTER 14</t>
  </si>
  <si>
    <t>DIG VID OUT 1, A-D CONVERTER 15</t>
  </si>
  <si>
    <t>DIG VID OUT 1, A-D CONVERTER 16</t>
  </si>
  <si>
    <t>DIG VID OUT 1, A-D CONVERTER 17</t>
  </si>
  <si>
    <t>DIG VID OUT 1, A-D CONVERTER 18</t>
  </si>
  <si>
    <t>DIG VID OUT 1, A-D CONVERTER 19</t>
  </si>
  <si>
    <t>DIG VID OUT 1, A-D CONVERTER 20</t>
  </si>
  <si>
    <t>DIG VID OUT 1, A-D CONVERTER 21</t>
  </si>
  <si>
    <t>DIG VID OUT 1, A-D CONVERTER 22</t>
  </si>
  <si>
    <t>DIG VID OUT 1, A-D CONVERTER 23</t>
  </si>
  <si>
    <t>DIG VID OUT 1, A-D CONVERTER 24</t>
  </si>
  <si>
    <t>DIG VID OUT 1, A-D CONVERTER 25</t>
  </si>
  <si>
    <t>DIG VID OUT 1, A-D CONVERTER 26</t>
  </si>
  <si>
    <t>DIG VID OUT 1, A-D CONVERTER 27</t>
  </si>
  <si>
    <t>DIG VID OUT 1, A-D CONVERTER 28</t>
  </si>
  <si>
    <t>DIG VID OUT 1, A-D CONVERTER 29</t>
  </si>
  <si>
    <t>DIG VID OUT 1, A-D CONVERTER 30</t>
  </si>
  <si>
    <t>DIG VID OUT 1, A-D CONVERTER 31</t>
  </si>
  <si>
    <t>DIG VID OUT 1, A-D CONVERTER 32</t>
  </si>
  <si>
    <t>DIG VID OUT 1, A-D CONVERTER 33</t>
  </si>
  <si>
    <t>DIG VID OUT 1, A-D CONVERTER 34</t>
  </si>
  <si>
    <t>DIG VID OUT 1, A-D CONVERTER 35</t>
  </si>
  <si>
    <t>DIG VID OUT 1, A-D CONVERTER 36</t>
  </si>
  <si>
    <t>DIG VID OUT 1, A-D CONVERTER 37</t>
  </si>
  <si>
    <t>DIG VID OUT 1, A-D CONVERTER 38</t>
  </si>
  <si>
    <t>DIG VID OUT 1, A-D CONVERTER 39</t>
  </si>
  <si>
    <t>DIG VID OUT 1, A-D CONVERTER 40</t>
  </si>
  <si>
    <t>DIG VID OUT 1, A-D CONVERTER 41</t>
  </si>
  <si>
    <t>DIG VID OUT 1, A-D CONVERTER 42</t>
  </si>
  <si>
    <t>DIG VID OUT 1, A-D CONVERTER 43</t>
  </si>
  <si>
    <t>DIG VID OUT 1, A-D CONVERTER 44</t>
  </si>
  <si>
    <t>DIG VID OUT 1, A-D CONVERTER 45</t>
  </si>
  <si>
    <t>DIG VID OUT 1, A-D CONVERTER 46</t>
  </si>
  <si>
    <t>DIG VID OUT 1, A-D CONVERTER 47</t>
  </si>
  <si>
    <t>DIG VID OUT 1, A-D CONVERTER 48</t>
  </si>
  <si>
    <t>DIG VID OUT 1, A-D CONVERTER 49</t>
  </si>
  <si>
    <t>DIG VID OUT 1, A-D CONVERTER 50</t>
  </si>
  <si>
    <t>DIG VID OUT 1, A-D CONVERTER 51</t>
  </si>
  <si>
    <t>DIG VID OUT 1, A-D CONVERTER 52</t>
  </si>
  <si>
    <t>DIG VID OUT 1, A-D CONVERTER 53</t>
  </si>
  <si>
    <t>DIG VID OUT 1, A-D CONVERTER 54</t>
  </si>
  <si>
    <t>DIG VID OUT 1, A-D CONVERTER 55</t>
  </si>
  <si>
    <t>DIG VID OUT 1, A-D CONVERTER 56</t>
  </si>
  <si>
    <t>SD ENCODER 1, DIG VID IN 1</t>
  </si>
  <si>
    <t>SD ENCODER 1, DIG VID IN 2</t>
  </si>
  <si>
    <t>SD ENCODER 1, DIG VID IN 3</t>
  </si>
  <si>
    <t>SD ENCODER 1, DIG VID IN 4</t>
  </si>
  <si>
    <t>SD ENCODER 1, DIG VID IN 5</t>
  </si>
  <si>
    <t>SD ENCODER 1, DIG VID IN 6</t>
  </si>
  <si>
    <t>SD ENCODER 1, DIG VID IN 7</t>
  </si>
  <si>
    <t>SD ENCODER 1, DIG VID IN 8</t>
  </si>
  <si>
    <t>SD ENCODER 1, DIG VID IN 9</t>
  </si>
  <si>
    <t>SD ENCODER 1, DIG VID IN 10</t>
  </si>
  <si>
    <t>SD ENCODER 1, DIG VID IN 11</t>
  </si>
  <si>
    <t>SD ENCODER 1, DIG VID IN 12</t>
  </si>
  <si>
    <t>SD ENCODER 1, DIG VID IN 13</t>
  </si>
  <si>
    <t>SD ENCODER 1, DIG VID IN 14</t>
  </si>
  <si>
    <t>SD ENCODER 1, DIG VID IN 15</t>
  </si>
  <si>
    <t>SD ENCODER 1, DIG VID IN 16</t>
  </si>
  <si>
    <t>SD ENCODER 2, DIG VID IN 1</t>
  </si>
  <si>
    <t>SD ENCODER 2, DIG VID IN 2</t>
  </si>
  <si>
    <t>SD ENCODER 2, DIG VID IN 3</t>
  </si>
  <si>
    <t>SD ENCODER 2, DIG VID IN 4</t>
  </si>
  <si>
    <t>SD ENCODER 2, DIG VID IN 5</t>
  </si>
  <si>
    <t>SD ENCODER 2, DIG VID IN 6</t>
  </si>
  <si>
    <t>SD ENCODER 2, DIG VID IN 7</t>
  </si>
  <si>
    <t>SD ENCODER 2, DIG VID IN 8</t>
  </si>
  <si>
    <t>SD ENCODER 2, DIG VID IN 9</t>
  </si>
  <si>
    <t>SD ENCODER 2, DIG VID IN 10</t>
  </si>
  <si>
    <t>SD ENCODER 2, DIG VID IN 11</t>
  </si>
  <si>
    <t>SD ENCODER 2, DIG VID IN 12</t>
  </si>
  <si>
    <t>SD ENCODER 2, DIG VID IN 13</t>
  </si>
  <si>
    <t>SD ENCODER 2, DIG VID IN 14</t>
  </si>
  <si>
    <t>SD ENCODER 2, DIG VID IN 15</t>
  </si>
  <si>
    <t>SD ENCODER 2, DIG VID IN 16</t>
  </si>
  <si>
    <t>SD ENCODER 3, DIG VID IN 1</t>
  </si>
  <si>
    <t>SD ENCODER 3, DIG VID IN 2</t>
  </si>
  <si>
    <t>SD ENCODER 3, DIG VID IN 3</t>
  </si>
  <si>
    <t>SD ENCODER 3, DIG VID IN 4</t>
  </si>
  <si>
    <t>SD ENCODER 3, DIG VID IN 5</t>
  </si>
  <si>
    <t>SD ENCODER 3, DIG VID IN 6</t>
  </si>
  <si>
    <t>SD ENCODER 3, DIG VID IN 7</t>
  </si>
  <si>
    <t>SD ENCODER 3, DIG VID IN 8</t>
  </si>
  <si>
    <t>SD ENCODER 3, DIG VID IN 9</t>
  </si>
  <si>
    <t>SD ENCODER 3, DIG VID IN 10</t>
  </si>
  <si>
    <t>SD ENCODER 3, DIG VID IN 11</t>
  </si>
  <si>
    <t>SD ENCODER 3, DIG VID IN 12</t>
  </si>
  <si>
    <t>SD ENCODER 3, DIG VID IN 13</t>
  </si>
  <si>
    <t>SD ENCODER 3, DIG VID IN 14</t>
  </si>
  <si>
    <t>SD ENCODER 3, DIG VID IN 15</t>
  </si>
  <si>
    <t>SD ENCODER 3, DIG VID IN 16</t>
  </si>
  <si>
    <t>SD ENCODER 4, DIG VID IN 1</t>
  </si>
  <si>
    <t>SD ENCODER 4, DIG VID IN 2</t>
  </si>
  <si>
    <t>SD ENCODER 4, DIG VID IN 3</t>
  </si>
  <si>
    <t>SD ENCODER 4, DIG VID IN 4</t>
  </si>
  <si>
    <t>SD ENCODER 4, DIG VID IN 5</t>
  </si>
  <si>
    <t>SD ENCODER 4, DIG VID IN 6</t>
  </si>
  <si>
    <t>SD ENCODER 4, DIG VID IN 7</t>
  </si>
  <si>
    <t>SD ENCODER 4, DIG VID IN 8</t>
  </si>
  <si>
    <t>DIG VID OUT 2, A-D CONVERTER 1</t>
  </si>
  <si>
    <t>DIG VID OUT 2, A-D CONVERTER 2</t>
  </si>
  <si>
    <t>DIG VID OUT 2, A-D CONVERTER 3</t>
  </si>
  <si>
    <t>DIG VID OUT 2, A-D CONVERTER 4</t>
  </si>
  <si>
    <t>DIG VID OUT 2, A-D CONVERTER 5</t>
  </si>
  <si>
    <t>DIG VID OUT 2, A-D CONVERTER 6</t>
  </si>
  <si>
    <t>DIG VID OUT 2, A-D CONVERTER 7</t>
  </si>
  <si>
    <t>DIG VID OUT 2, A-D CONVERTER 8</t>
  </si>
  <si>
    <t>DIG VID OUT 2, A-D CONVERTER 9</t>
  </si>
  <si>
    <t>DIG VID OUT 2, A-D CONVERTER 10</t>
  </si>
  <si>
    <t>DIG VID OUT 2, A-D CONVERTER 11</t>
  </si>
  <si>
    <t>DIG VID OUT 2, A-D CONVERTER 12</t>
  </si>
  <si>
    <t>DIG VID OUT 2, A-D CONVERTER 13</t>
  </si>
  <si>
    <t>DIG VID OUT 2, A-D CONVERTER 14</t>
  </si>
  <si>
    <t>DIG VID OUT 2, A-D CONVERTER 15</t>
  </si>
  <si>
    <t>DIG VID OUT 2, A-D CONVERTER 16</t>
  </si>
  <si>
    <t>DIG VID OUT 2, A-D CONVERTER 17</t>
  </si>
  <si>
    <t>DIG VID OUT 2, A-D CONVERTER 18</t>
  </si>
  <si>
    <t>DIG VID OUT 2, A-D CONVERTER 19</t>
  </si>
  <si>
    <t>DIG VID OUT 2, A-D CONVERTER 20</t>
  </si>
  <si>
    <t>DIG VID OUT 2, A-D CONVERTER 21</t>
  </si>
  <si>
    <t>DIG VID OUT 2, A-D CONVERTER 22</t>
  </si>
  <si>
    <t>DIG VID OUT 2, A-D CONVERTER 23</t>
  </si>
  <si>
    <t>DIG VID OUT 2, A-D CONVERTER 24</t>
  </si>
  <si>
    <t>DIG VID OUT 2, A-D CONVERTER 25</t>
  </si>
  <si>
    <t>DIG VID OUT 2, A-D CONVERTER 26</t>
  </si>
  <si>
    <t>DIG VID OUT 2, A-D CONVERTER 27</t>
  </si>
  <si>
    <t>DIG VID OUT 2, A-D CONVERTER 28</t>
  </si>
  <si>
    <t>DIG VID OUT 2, A-D CONVERTER 29</t>
  </si>
  <si>
    <t>DIG VID OUT 2, A-D CONVERTER 30</t>
  </si>
  <si>
    <t>DIG VID OUT 2, A-D CONVERTER 31</t>
  </si>
  <si>
    <t>DIG VID OUT 2, A-D CONVERTER 32</t>
  </si>
  <si>
    <t>DIG VID OUT 2, A-D CONVERTER 33</t>
  </si>
  <si>
    <t>DIG VID OUT 2, A-D CONVERTER 34</t>
  </si>
  <si>
    <t>DIG VID OUT 2, A-D CONVERTER 35</t>
  </si>
  <si>
    <t>DIG VID OUT 2, A-D CONVERTER 36</t>
  </si>
  <si>
    <t>DIG VID OUT 2, A-D CONVERTER 37</t>
  </si>
  <si>
    <t>DIG VID OUT 2, A-D CONVERTER 38</t>
  </si>
  <si>
    <t>DIG VID OUT 2, A-D CONVERTER 39</t>
  </si>
  <si>
    <t>DIG VID OUT 2, A-D CONVERTER 40</t>
  </si>
  <si>
    <t>DIG VID OUT 2, A-D CONVERTER 41</t>
  </si>
  <si>
    <t>DIG VID OUT 2, A-D CONVERTER 42</t>
  </si>
  <si>
    <t>DIG VID OUT 2, A-D CONVERTER 43</t>
  </si>
  <si>
    <t>DIG VID OUT 2, A-D CONVERTER 44</t>
  </si>
  <si>
    <t>DIG VID OUT 2, A-D CONVERTER 45</t>
  </si>
  <si>
    <t>DIG VID OUT 2, A-D CONVERTER 46</t>
  </si>
  <si>
    <t>DIG VID OUT 2, A-D CONVERTER 47</t>
  </si>
  <si>
    <t>DIG VID OUT 2, A-D CONVERTER 48</t>
  </si>
  <si>
    <t>DIG VID OUT 2, A-D CONVERTER 49</t>
  </si>
  <si>
    <t>DIG VID OUT 2, A-D CONVERTER 50</t>
  </si>
  <si>
    <t>DIG VID OUT 2, A-D CONVERTER 51</t>
  </si>
  <si>
    <t>DIG VID OUT 2, A-D CONVERTER 52</t>
  </si>
  <si>
    <t>DIG VID OUT 2, A-D CONVERTER 53</t>
  </si>
  <si>
    <t>DIG VID OUT 2, A-D CONVERTER 54</t>
  </si>
  <si>
    <t>DIG VID OUT 2, A-D CONVERTER 55</t>
  </si>
  <si>
    <t>DIG VID OUT 2, A-D CONVERTER 56</t>
  </si>
  <si>
    <t>64X64 HDSDI ROUTER, IN 1</t>
  </si>
  <si>
    <t>64X64 HDSDI ROUTER, IN 2</t>
  </si>
  <si>
    <t>64X64 HDSDI ROUTER, IN 3</t>
  </si>
  <si>
    <t>64X64 HDSDI ROUTER, IN 4</t>
  </si>
  <si>
    <t>64X64 HDSDI ROUTER, IN 5</t>
  </si>
  <si>
    <t>64X64 HDSDI ROUTER, IN 6</t>
  </si>
  <si>
    <t>64X64 HDSDI ROUTER, IN 7</t>
  </si>
  <si>
    <t>64X64 HDSDI ROUTER, IN 8</t>
  </si>
  <si>
    <t>64X64 HDSDI ROUTER, IN 9</t>
  </si>
  <si>
    <t>64X64 HDSDI ROUTER, IN 10</t>
  </si>
  <si>
    <t>64X64 HDSDI ROUTER, IN 11</t>
  </si>
  <si>
    <t>64X64 HDSDI ROUTER, IN 12</t>
  </si>
  <si>
    <t>64X64 HDSDI ROUTER, IN 13</t>
  </si>
  <si>
    <t>64X64 HDSDI ROUTER, IN 14</t>
  </si>
  <si>
    <t>64X64 HDSDI ROUTER, IN 15</t>
  </si>
  <si>
    <t>64X64 HDSDI ROUTER, IN 16</t>
  </si>
  <si>
    <t>64X64 HDSDI ROUTER, IN 17</t>
  </si>
  <si>
    <t>64X64 HDSDI ROUTER, IN 18</t>
  </si>
  <si>
    <t>64X64 HDSDI ROUTER, IN 19</t>
  </si>
  <si>
    <t>64X64 HDSDI ROUTER, IN 20</t>
  </si>
  <si>
    <t>64X64 HDSDI ROUTER, IN 21</t>
  </si>
  <si>
    <t>64X64 HDSDI ROUTER, IN 22</t>
  </si>
  <si>
    <t>64X64 HDSDI ROUTER, IN 23</t>
  </si>
  <si>
    <t>64X64 HDSDI ROUTER, IN 24</t>
  </si>
  <si>
    <t>64X64 HDSDI ROUTER, IN 25</t>
  </si>
  <si>
    <t>64X64 HDSDI ROUTER, IN 26</t>
  </si>
  <si>
    <t>64X64 HDSDI ROUTER, IN 27</t>
  </si>
  <si>
    <t>64X64 HDSDI ROUTER, IN 28</t>
  </si>
  <si>
    <t>64X64 HDSDI ROUTER, IN 29</t>
  </si>
  <si>
    <t>64X64 HDSDI ROUTER, IN 30</t>
  </si>
  <si>
    <t>64X64 HDSDI ROUTER, IN 31</t>
  </si>
  <si>
    <t>64X64 HDSDI ROUTER, IN 32</t>
  </si>
  <si>
    <t>64X64 HDSDI ROUTER, IN 33</t>
  </si>
  <si>
    <t>64X64 HDSDI ROUTER, IN 34</t>
  </si>
  <si>
    <t>64X64 HDSDI ROUTER, IN 35</t>
  </si>
  <si>
    <t>64X64 HDSDI ROUTER, IN 36</t>
  </si>
  <si>
    <t>64X64 HDSDI ROUTER, IN 37</t>
  </si>
  <si>
    <t>64X64 HDSDI ROUTER, IN 38</t>
  </si>
  <si>
    <t>64X64 HDSDI ROUTER, IN 39</t>
  </si>
  <si>
    <t>64X64 HDSDI ROUTER, IN 40</t>
  </si>
  <si>
    <t>64X64 HDSDI ROUTER, IN 41</t>
  </si>
  <si>
    <t>64X64 HDSDI ROUTER, IN 42</t>
  </si>
  <si>
    <t>64X64 HDSDI ROUTER, IN 43</t>
  </si>
  <si>
    <t>64X64 HDSDI ROUTER, IN 44</t>
  </si>
  <si>
    <t>64X64 HDSDI ROUTER, IN 45</t>
  </si>
  <si>
    <t>64X64 HDSDI ROUTER, IN 46</t>
  </si>
  <si>
    <t>64X64 HDSDI ROUTER, IN 47</t>
  </si>
  <si>
    <t>64X64 HDSDI ROUTER, IN 48</t>
  </si>
  <si>
    <t>64X64 HDSDI ROUTER, IN 49</t>
  </si>
  <si>
    <t>64X64 HDSDI ROUTER, IN 50</t>
  </si>
  <si>
    <t>64X64 HDSDI ROUTER, IN 51</t>
  </si>
  <si>
    <t>64X64 HDSDI ROUTER, IN 52</t>
  </si>
  <si>
    <t>64X64 HDSDI ROUTER, IN 53</t>
  </si>
  <si>
    <t>64X64 HDSDI ROUTER, IN 54</t>
  </si>
  <si>
    <t>64X64 HDSDI ROUTER, IN 55</t>
  </si>
  <si>
    <t>64X64 HDSDI ROUTER, IN 56</t>
  </si>
  <si>
    <t>64X64 HDSDI ROUTER, OUT 1</t>
  </si>
  <si>
    <t>64X64 HDSDI ROUTER, OUT 2</t>
  </si>
  <si>
    <t>64X64 HDSDI ROUTER, OUT 3</t>
  </si>
  <si>
    <t>64X64 HDSDI ROUTER, OUT 4</t>
  </si>
  <si>
    <t>64X64 HDSDI ROUTER, OUT 5</t>
  </si>
  <si>
    <t>64X64 HDSDI ROUTER, OUT 6</t>
  </si>
  <si>
    <t>64X64 HDSDI ROUTER, OUT 7</t>
  </si>
  <si>
    <t>64X64 HDSDI ROUTER, OUT 8</t>
  </si>
  <si>
    <t>64X64 HDSDI ROUTER, OUT 9</t>
  </si>
  <si>
    <t>64X64 HDSDI ROUTER, OUT 10</t>
  </si>
  <si>
    <t>64X64 HDSDI ROUTER, OUT 11</t>
  </si>
  <si>
    <t>64X64 HDSDI ROUTER, OUT 12</t>
  </si>
  <si>
    <t>64X64 HDSDI ROUTER, OUT 13</t>
  </si>
  <si>
    <t>64X64 HDSDI ROUTER, OUT 14</t>
  </si>
  <si>
    <t>64X64 HDSDI ROUTER, OUT 15</t>
  </si>
  <si>
    <t>64X64 HDSDI ROUTER, OUT 16</t>
  </si>
  <si>
    <t>SD ENCODER R1, IN 1</t>
  </si>
  <si>
    <t>SD ENCODER R1, IN 2</t>
  </si>
  <si>
    <t>SD ENCODER R1, IN 3</t>
  </si>
  <si>
    <t>SD ENCODER R1, IN 4</t>
  </si>
  <si>
    <t>SD ENCODER R1, IN 5</t>
  </si>
  <si>
    <t>SD ENCODER R1, IN 6</t>
  </si>
  <si>
    <t>SD ENCODER R1, IN 7</t>
  </si>
  <si>
    <t>SD ENCODER R1, IN 8</t>
  </si>
  <si>
    <t>SD ENCODER R1, IN 9</t>
  </si>
  <si>
    <t>SD ENCODER R1, IN 10</t>
  </si>
  <si>
    <t>SD ENCODER R1, IN 11</t>
  </si>
  <si>
    <t>SD ENCODER R1, IN 12</t>
  </si>
  <si>
    <t>SD ENCODER R1, IN 13</t>
  </si>
  <si>
    <t>SD ENCODER R1, IN 14</t>
  </si>
  <si>
    <t>SD ENCODER R1, IN 15</t>
  </si>
  <si>
    <t>SD ENCODER R1, IN 16</t>
  </si>
  <si>
    <t>CER CABLE SCHEDULE, VIDEO 102-XX-XXXX</t>
  </si>
  <si>
    <t>CER CABLE SCHEDULE, RF 102-XX-XXXX</t>
  </si>
  <si>
    <t>CER CABLE SCHEDULE, AUDIO 102-XX-XXXX</t>
  </si>
  <si>
    <t>AUD OUT CH-L, ANALOG STB 1</t>
  </si>
  <si>
    <t>AUD OUT CH-L, ANALOG STB 2</t>
  </si>
  <si>
    <t>AUD OUT CH-R, ANALOG STB 2</t>
  </si>
  <si>
    <t>AUD OUT CH-R, ANALOG STB 1</t>
  </si>
  <si>
    <t>AUD OUT CH-L, ANALOG STB 3</t>
  </si>
  <si>
    <t>AUD OUT CH-L, ANALOG STB 4</t>
  </si>
  <si>
    <t>AUD OUT CH-L, ANALOG STB 5</t>
  </si>
  <si>
    <t>AUD OUT CH-L, ANALOG STB 6</t>
  </si>
  <si>
    <t>AUD OUT CH-L, ANALOG STB 7</t>
  </si>
  <si>
    <t>AUD OUT CH-L, ANALOG STB 8</t>
  </si>
  <si>
    <t>AUD OUT CH-L, ANALOG STB 9</t>
  </si>
  <si>
    <t>AUD OUT CH-L, ANALOG STB 10</t>
  </si>
  <si>
    <t>AUD OUT CH-L, ANALOG STB 11</t>
  </si>
  <si>
    <t>AUD OUT CH-L, ANALOG STB 12</t>
  </si>
  <si>
    <t>AUD OUT CH-L, ANALOG STB 13</t>
  </si>
  <si>
    <t>AUD OUT CH-L, ANALOG STB 14</t>
  </si>
  <si>
    <t>AUD OUT CH-L, ANALOG STB 15</t>
  </si>
  <si>
    <t>AUD OUT CH-L, ANALOG STB 16</t>
  </si>
  <si>
    <t>AUD OUT CH-L, ANALOG STB 17</t>
  </si>
  <si>
    <t>AUD OUT CH-L, ANALOG STB 18</t>
  </si>
  <si>
    <t>AUD OUT CH-L, ANALOG STB 19</t>
  </si>
  <si>
    <t>AUD OUT CH-L, ANALOG STB 20</t>
  </si>
  <si>
    <t>AUD OUT CH-L, ANALOG STB 21</t>
  </si>
  <si>
    <t>AUD OUT CH-L, ANALOG STB 22</t>
  </si>
  <si>
    <t>AUD OUT CH-L, ANALOG STB 23</t>
  </si>
  <si>
    <t>AUD OUT CH-L, ANALOG STB 24</t>
  </si>
  <si>
    <t>AUD OUT CH-L, ANALOG STB 25</t>
  </si>
  <si>
    <t>AUD OUT CH-L, ANALOG STB 26</t>
  </si>
  <si>
    <t>AUD OUT CH-L, ANALOG STB 27</t>
  </si>
  <si>
    <t>AUD OUT CH-L, ANALOG STB 28</t>
  </si>
  <si>
    <t>AUD OUT CH-L, ANALOG STB 29</t>
  </si>
  <si>
    <t>AUD OUT CH-L, ANALOG STB 30</t>
  </si>
  <si>
    <t>AUD OUT CH-L, ANALOG STB 31</t>
  </si>
  <si>
    <t>AUD OUT CH-L, ANALOG STB 32</t>
  </si>
  <si>
    <t>AUD OUT CH-L, ANALOG STB 33</t>
  </si>
  <si>
    <t>AUD OUT CH-L, ANALOG STB 34</t>
  </si>
  <si>
    <t>AUD OUT CH-L, ANALOG STB 35</t>
  </si>
  <si>
    <t>AUD OUT CH-L, ANALOG STB 36</t>
  </si>
  <si>
    <t>AUD OUT CH-L, ANALOG STB 37</t>
  </si>
  <si>
    <t>AUD OUT CH-L, ANALOG STB 38</t>
  </si>
  <si>
    <t>AUD OUT CH-L, ANALOG STB 39</t>
  </si>
  <si>
    <t>AUD OUT CH-L, ANALOG STB 40</t>
  </si>
  <si>
    <t>AUD OUT CH-L, ANALOG STB 41</t>
  </si>
  <si>
    <t>AUD OUT CH-L, ANALOG STB 42</t>
  </si>
  <si>
    <t>AUD OUT CH-L, ANALOG STB 43</t>
  </si>
  <si>
    <t>AUD OUT CH-L, ANALOG STB 44</t>
  </si>
  <si>
    <t>AUD OUT CH-L, ANALOG STB 45</t>
  </si>
  <si>
    <t>AUD OUT CH-L, ANALOG STB 46</t>
  </si>
  <si>
    <t>AUD OUT CH-L, ANALOG STB 47</t>
  </si>
  <si>
    <t>AUD OUT CH-L, ANALOG STB 48</t>
  </si>
  <si>
    <t>AUD OUT CH-L, ANALOG STB 49</t>
  </si>
  <si>
    <t>AUD OUT CH-L, ANALOG STB 50</t>
  </si>
  <si>
    <t>AUD OUT CH-L, ANALOG STB 51</t>
  </si>
  <si>
    <t>AUD OUT CH-L, ANALOG STB 52</t>
  </si>
  <si>
    <t>AUD OUT CH-L, ANALOG STB 53</t>
  </si>
  <si>
    <t>AUD OUT CH-L, ANALOG STB 54</t>
  </si>
  <si>
    <t>AUD OUT CH-L, ANALOG STB 55</t>
  </si>
  <si>
    <t>AUD OUT CH-L, ANALOG STB 56</t>
  </si>
  <si>
    <t>AA11033</t>
  </si>
  <si>
    <t>AA11034</t>
  </si>
  <si>
    <t>AA11035</t>
  </si>
  <si>
    <t>AA11036</t>
  </si>
  <si>
    <t>AA11037</t>
  </si>
  <si>
    <t>AA11038</t>
  </si>
  <si>
    <t>AA11039</t>
  </si>
  <si>
    <t>AA11040</t>
  </si>
  <si>
    <t>AA11041</t>
  </si>
  <si>
    <t>AA11042</t>
  </si>
  <si>
    <t>AA11043</t>
  </si>
  <si>
    <t>AA11044</t>
  </si>
  <si>
    <t>AA11045</t>
  </si>
  <si>
    <t>AA11046</t>
  </si>
  <si>
    <t>AA11047</t>
  </si>
  <si>
    <t>AA11048</t>
  </si>
  <si>
    <t>AA11049</t>
  </si>
  <si>
    <t>AA11050</t>
  </si>
  <si>
    <t>AA11051</t>
  </si>
  <si>
    <t>AA11052</t>
  </si>
  <si>
    <t>AA11053</t>
  </si>
  <si>
    <t>AA11054</t>
  </si>
  <si>
    <t>AA11055</t>
  </si>
  <si>
    <t>AA11056</t>
  </si>
  <si>
    <t>AA11057</t>
  </si>
  <si>
    <t>AA11058</t>
  </si>
  <si>
    <t>AA11059</t>
  </si>
  <si>
    <t>AA11060</t>
  </si>
  <si>
    <t>AA11061</t>
  </si>
  <si>
    <t>AA11062</t>
  </si>
  <si>
    <t>AA11063</t>
  </si>
  <si>
    <t>AA11064</t>
  </si>
  <si>
    <t>AA11065</t>
  </si>
  <si>
    <t>AA11066</t>
  </si>
  <si>
    <t>AA11067</t>
  </si>
  <si>
    <t>AA11068</t>
  </si>
  <si>
    <t>AA11069</t>
  </si>
  <si>
    <t>AA11070</t>
  </si>
  <si>
    <t>AA11071</t>
  </si>
  <si>
    <t>AA11072</t>
  </si>
  <si>
    <t>AA11073</t>
  </si>
  <si>
    <t>AA11074</t>
  </si>
  <si>
    <t>AA11075</t>
  </si>
  <si>
    <t>AA11076</t>
  </si>
  <si>
    <t>AA11077</t>
  </si>
  <si>
    <t>AA11078</t>
  </si>
  <si>
    <t>AA11079</t>
  </si>
  <si>
    <t>AA11080</t>
  </si>
  <si>
    <t>AA11081</t>
  </si>
  <si>
    <t>AA11082</t>
  </si>
  <si>
    <t>AA11083</t>
  </si>
  <si>
    <t>AA11084</t>
  </si>
  <si>
    <t>AA11085</t>
  </si>
  <si>
    <t>AA11086</t>
  </si>
  <si>
    <t>AA11087</t>
  </si>
  <si>
    <t>AA11088</t>
  </si>
  <si>
    <t>AA11089</t>
  </si>
  <si>
    <t>AA11090</t>
  </si>
  <si>
    <t>AA11091</t>
  </si>
  <si>
    <t>AA11092</t>
  </si>
  <si>
    <t>AA11093</t>
  </si>
  <si>
    <t>AA11094</t>
  </si>
  <si>
    <t>AA11095</t>
  </si>
  <si>
    <t>AA11096</t>
  </si>
  <si>
    <t>AA11097</t>
  </si>
  <si>
    <t>AA11098</t>
  </si>
  <si>
    <t>AA11099</t>
  </si>
  <si>
    <t>AA11100</t>
  </si>
  <si>
    <t>1/4 INCH JACK</t>
  </si>
  <si>
    <t>AUD OUT CH-R, ANALOG STB 3</t>
  </si>
  <si>
    <t>AUD OUT CH-R, ANALOG STB 4</t>
  </si>
  <si>
    <t>AUD OUT CH-R, ANALOG STB 5</t>
  </si>
  <si>
    <t>AUD OUT CH-R, ANALOG STB 6</t>
  </si>
  <si>
    <t>AUD OUT CH-R, ANALOG STB 7</t>
  </si>
  <si>
    <t>AUD OUT CH-R, ANALOG STB 8</t>
  </si>
  <si>
    <t>AUD OUT CH-R, ANALOG STB 9</t>
  </si>
  <si>
    <t>AUD OUT CH-R, ANALOG STB 10</t>
  </si>
  <si>
    <t>AUD OUT CH-R, ANALOG STB 11</t>
  </si>
  <si>
    <t>AUD OUT CH-R, ANALOG STB 12</t>
  </si>
  <si>
    <t>AUD OUT CH-R, ANALOG STB 13</t>
  </si>
  <si>
    <t>AUD OUT CH-R, ANALOG STB 14</t>
  </si>
  <si>
    <t>AUD OUT CH-R, ANALOG STB 15</t>
  </si>
  <si>
    <t>AUD OUT CH-R, ANALOG STB 16</t>
  </si>
  <si>
    <t>AUD OUT CH-R, ANALOG STB 17</t>
  </si>
  <si>
    <t>AUD OUT CH-R, ANALOG STB 18</t>
  </si>
  <si>
    <t>AUD OUT CH-R, ANALOG STB 19</t>
  </si>
  <si>
    <t>AUD OUT CH-R, ANALOG STB 20</t>
  </si>
  <si>
    <t>AUD OUT CH-R, ANALOG STB 21</t>
  </si>
  <si>
    <t>AUD OUT CH-R, ANALOG STB 22</t>
  </si>
  <si>
    <t>AUD OUT CH-R, ANALOG STB 23</t>
  </si>
  <si>
    <t>AUD OUT CH-R, ANALOG STB 24</t>
  </si>
  <si>
    <t>AUD OUT CH-R, ANALOG STB 25</t>
  </si>
  <si>
    <t>AUD OUT CH-R, ANALOG STB 26</t>
  </si>
  <si>
    <t>AUD OUT CH-R, ANALOG STB 27</t>
  </si>
  <si>
    <t>AUD OUT CH-R, ANALOG STB 28</t>
  </si>
  <si>
    <t>AUD OUT CH-R, ANALOG STB 29</t>
  </si>
  <si>
    <t>AUD OUT CH-R, ANALOG STB 30</t>
  </si>
  <si>
    <t>AUD OUT CH-R, ANALOG STB 31</t>
  </si>
  <si>
    <t>AUD OUT CH-R, ANALOG STB 32</t>
  </si>
  <si>
    <t>AUD OUT CH-R, ANALOG STB 33</t>
  </si>
  <si>
    <t>AUD OUT CH-R, ANALOG STB 34</t>
  </si>
  <si>
    <t>AUD OUT CH-R, ANALOG STB 35</t>
  </si>
  <si>
    <t>AUD OUT CH-R, ANALOG STB 36</t>
  </si>
  <si>
    <t>AUD OUT CH-R, ANALOG STB 37</t>
  </si>
  <si>
    <t>AUD OUT CH-R, ANALOG STB 38</t>
  </si>
  <si>
    <t>AUD OUT CH-R, ANALOG STB 39</t>
  </si>
  <si>
    <t>AUD OUT CH-R, ANALOG STB 40</t>
  </si>
  <si>
    <t>AUD OUT CH-R, ANALOG STB 41</t>
  </si>
  <si>
    <t>AUD OUT CH-R, ANALOG STB 42</t>
  </si>
  <si>
    <t>AUD OUT CH-R, ANALOG STB 43</t>
  </si>
  <si>
    <t>AUD OUT CH-R, ANALOG STB 44</t>
  </si>
  <si>
    <t>AUD OUT CH-R, ANALOG STB 45</t>
  </si>
  <si>
    <t>AUD OUT CH-R, ANALOG STB 46</t>
  </si>
  <si>
    <t>AUD OUT CH-R, ANALOG STB 47</t>
  </si>
  <si>
    <t>AUD OUT CH-R, ANALOG STB 48</t>
  </si>
  <si>
    <t>AUD OUT CH-R, ANALOG STB 49</t>
  </si>
  <si>
    <t>AUD OUT CH-R, ANALOG STB 50</t>
  </si>
  <si>
    <t>AUD OUT CH-R, ANALOG STB 51</t>
  </si>
  <si>
    <t>AUD OUT CH-R, ANALOG STB 52</t>
  </si>
  <si>
    <t>AUD OUT CH-R, ANALOG STB 53</t>
  </si>
  <si>
    <t>AUD OUT CH-R, ANALOG STB 54</t>
  </si>
  <si>
    <t>AUD OUT CH-R, ANALOG STB 55</t>
  </si>
  <si>
    <t>AUD OUT CH-R, ANALOG STB 56</t>
  </si>
  <si>
    <t>AUD OUT CH-R, A-D CONVERTER 1</t>
  </si>
  <si>
    <t>AUD OUT CH-L, A-D CONVERTER 2</t>
  </si>
  <si>
    <t>AUD OUT CH-R, A-D CONVERTER 2</t>
  </si>
  <si>
    <t>AUD OUT CH-L, A-D CONVERTER 3</t>
  </si>
  <si>
    <t>AUD OUT CH-R, A-D CONVERTER 3</t>
  </si>
  <si>
    <t>AUD OUT CH-L, A-D CONVERTER 4</t>
  </si>
  <si>
    <t>AUD OUT CH-R, A-D CONVERTER 4</t>
  </si>
  <si>
    <t>AUD OUT CH-L, A-D CONVERTER 5</t>
  </si>
  <si>
    <t>AUD OUT CH-R, A-D CONVERTER 5</t>
  </si>
  <si>
    <t>AUD OUT CH-L, A-D CONVERTER 6</t>
  </si>
  <si>
    <t>AUD OUT CH-R, A-D CONVERTER 6</t>
  </si>
  <si>
    <t>AUD OUT CH-L, A-D CONVERTER 7</t>
  </si>
  <si>
    <t>AUD OUT CH-R, A-D CONVERTER 7</t>
  </si>
  <si>
    <t>AUD OUT CH-L, A-D CONVERTER 8</t>
  </si>
  <si>
    <t>AUD OUT CH-R, A-D CONVERTER 8</t>
  </si>
  <si>
    <t>AUD OUT CH-L, A-D CONVERTER 9</t>
  </si>
  <si>
    <t>AUD OUT CH-R, A-D CONVERTER 9</t>
  </si>
  <si>
    <t>AUD OUT CH-L, A-D CONVERTER 10</t>
  </si>
  <si>
    <t>AUD OUT CH-R, A-D CONVERTER 10</t>
  </si>
  <si>
    <t>AUD OUT CH-L, A-D CONVERTER 11</t>
  </si>
  <si>
    <t>AUD OUT CH-R, A-D CONVERTER 11</t>
  </si>
  <si>
    <t>AUD OUT CH-L, A-D CONVERTER 12</t>
  </si>
  <si>
    <t>AUD OUT CH-R, A-D CONVERTER 12</t>
  </si>
  <si>
    <t>AUD OUT CH-L, A-D CONVERTER 13</t>
  </si>
  <si>
    <t>AUD OUT CH-R, A-D CONVERTER 13</t>
  </si>
  <si>
    <t>AUD OUT CH-L, A-D CONVERTER 14</t>
  </si>
  <si>
    <t>AUD OUT CH-R, A-D CONVERTER 14</t>
  </si>
  <si>
    <t>AUD OUT CH-L, A-D CONVERTER 15</t>
  </si>
  <si>
    <t>AUD OUT CH-R, A-D CONVERTER 15</t>
  </si>
  <si>
    <t>AUD OUT CH-L, A-D CONVERTER 16</t>
  </si>
  <si>
    <t>AUD OUT CH-R, A-D CONVERTER 16</t>
  </si>
  <si>
    <t>AUD OUT CH-L, A-D CONVERTER 17</t>
  </si>
  <si>
    <t>AUD OUT CH-R, A-D CONVERTER 17</t>
  </si>
  <si>
    <t>AUD OUT CH-L, A-D CONVERTER 18</t>
  </si>
  <si>
    <t>AUD OUT CH-R, A-D CONVERTER 18</t>
  </si>
  <si>
    <t>AUD OUT CH-L, A-D CONVERTER 19</t>
  </si>
  <si>
    <t>AUD OUT CH-R, A-D CONVERTER 19</t>
  </si>
  <si>
    <t>AUD OUT CH-L, A-D CONVERTER 20</t>
  </si>
  <si>
    <t>AUD OUT CH-R, A-D CONVERTER 20</t>
  </si>
  <si>
    <t>AUD OUT CH-L, A-D CONVERTER 21</t>
  </si>
  <si>
    <t>AUD OUT CH-R, A-D CONVERTER 21</t>
  </si>
  <si>
    <t>AUD OUT CH-L, A-D CONVERTER 22</t>
  </si>
  <si>
    <t>AUD OUT CH-R, A-D CONVERTER 22</t>
  </si>
  <si>
    <t>AUD OUT CH-L, A-D CONVERTER 23</t>
  </si>
  <si>
    <t>AUD OUT CH-R, A-D CONVERTER 23</t>
  </si>
  <si>
    <t>AUD OUT CH-L, A-D CONVERTER 24</t>
  </si>
  <si>
    <t>AUD OUT CH-R, A-D CONVERTER 24</t>
  </si>
  <si>
    <t>AUD OUT CH-L, A-D CONVERTER 25</t>
  </si>
  <si>
    <t>AUD OUT CH-R, A-D CONVERTER 25</t>
  </si>
  <si>
    <t>AUD OUT CH-L, A-D CONVERTER 26</t>
  </si>
  <si>
    <t>AUD OUT CH-R, A-D CONVERTER 26</t>
  </si>
  <si>
    <t>AUD OUT CH-L, A-D CONVERTER 27</t>
  </si>
  <si>
    <t>AUD OUT CH-R, A-D CONVERTER 27</t>
  </si>
  <si>
    <t>AUD OUT CH-L, A-D CONVERTER 28</t>
  </si>
  <si>
    <t>AUD OUT CH-R, A-D CONVERTER 28</t>
  </si>
  <si>
    <t>AUD OUT CH-L, A-D CONVERTER 29</t>
  </si>
  <si>
    <t>AUD OUT CH-R, A-D CONVERTER 29</t>
  </si>
  <si>
    <t>AUD OUT CH-L, A-D CONVERTER 30</t>
  </si>
  <si>
    <t>AUD OUT CH-R, A-D CONVERTER 30</t>
  </si>
  <si>
    <t>AUD OUT CH-L, A-D CONVERTER 31</t>
  </si>
  <si>
    <t>AUD OUT CH-R, A-D CONVERTER 31</t>
  </si>
  <si>
    <t>AUD OUT CH-L, A-D CONVERTER 32</t>
  </si>
  <si>
    <t>AUD OUT CH-R, A-D CONVERTER 32</t>
  </si>
  <si>
    <t>AUD OUT CH-L, A-D CONVERTER 33</t>
  </si>
  <si>
    <t>AUD OUT CH-R, A-D CONVERTER 33</t>
  </si>
  <si>
    <t>AUD OUT CH-L, A-D CONVERTER 34</t>
  </si>
  <si>
    <t>AUD OUT CH-R, A-D CONVERTER 34</t>
  </si>
  <si>
    <t>AUD OUT CH-L, A-D CONVERTER 35</t>
  </si>
  <si>
    <t>AUD OUT CH-R, A-D CONVERTER 35</t>
  </si>
  <si>
    <t>AUD OUT CH-L, A-D CONVERTER 36</t>
  </si>
  <si>
    <t>AUD OUT CH-R, A-D CONVERTER 36</t>
  </si>
  <si>
    <t>AUD OUT CH-L, A-D CONVERTER 37</t>
  </si>
  <si>
    <t>AUD OUT CH-R, A-D CONVERTER 37</t>
  </si>
  <si>
    <t>AUD OUT CH-L, A-D CONVERTER 38</t>
  </si>
  <si>
    <t>AUD OUT CH-R, A-D CONVERTER 38</t>
  </si>
  <si>
    <t>AUD OUT CH-L, A-D CONVERTER 39</t>
  </si>
  <si>
    <t>AUD OUT CH-R, A-D CONVERTER 39</t>
  </si>
  <si>
    <t>AUD OUT CH-L, A-D CONVERTER 40</t>
  </si>
  <si>
    <t>AUD OUT CH-R, A-D CONVERTER 40</t>
  </si>
  <si>
    <t>AUD OUT CH-L, A-D CONVERTER 41</t>
  </si>
  <si>
    <t>AUD OUT CH-R, A-D CONVERTER 41</t>
  </si>
  <si>
    <t>AUD OUT CH-L, A-D CONVERTER 42</t>
  </si>
  <si>
    <t>AUD OUT CH-R, A-D CONVERTER 42</t>
  </si>
  <si>
    <t>AUD OUT CH-L, A-D CONVERTER 43</t>
  </si>
  <si>
    <t>AUD OUT CH-R, A-D CONVERTER 43</t>
  </si>
  <si>
    <t>AUD OUT CH-L, A-D CONVERTER 44</t>
  </si>
  <si>
    <t>AUD OUT CH-R, A-D CONVERTER 44</t>
  </si>
  <si>
    <t>AUD OUT CH-L, A-D CONVERTER 45</t>
  </si>
  <si>
    <t>AUD OUT CH-R, A-D CONVERTER 45</t>
  </si>
  <si>
    <t>AUD OUT CH-L, A-D CONVERTER 46</t>
  </si>
  <si>
    <t>AUD OUT CH-R, A-D CONVERTER 46</t>
  </si>
  <si>
    <t>AUD OUT CH-L, A-D CONVERTER 47</t>
  </si>
  <si>
    <t>AUD OUT CH-R, A-D CONVERTER 47</t>
  </si>
  <si>
    <t>AUD OUT CH-L, A-D CONVERTER 48</t>
  </si>
  <si>
    <t>AUD OUT CH-R, A-D CONVERTER 48</t>
  </si>
  <si>
    <t>AUD OUT CH-L, A-D CONVERTER 49</t>
  </si>
  <si>
    <t>AUD OUT CH-R, A-D CONVERTER 49</t>
  </si>
  <si>
    <t>AUD OUT CH-L, A-D CONVERTER 50</t>
  </si>
  <si>
    <t>AUD OUT CH-R, A-D CONVERTER 50</t>
  </si>
  <si>
    <t>AUD OUT CH-L, A-D CONVERTER 51</t>
  </si>
  <si>
    <t>AUD OUT CH-R, A-D CONVERTER 51</t>
  </si>
  <si>
    <t>AUD OUT CH-L, A-D CONVERTER 52</t>
  </si>
  <si>
    <t>AUD OUT CH-R, A-D CONVERTER 52</t>
  </si>
  <si>
    <t>AUD OUT CH-L, A-D CONVERTER 53</t>
  </si>
  <si>
    <t>AUD OUT CH-R, A-D CONVERTER 53</t>
  </si>
  <si>
    <t>AUD OUT CH-L, A-D CONVERTER 54</t>
  </si>
  <si>
    <t>AUD OUT CH-R, A-D CONVERTER 54</t>
  </si>
  <si>
    <t>AUD OUT CH-L, A-D CONVERTER 55</t>
  </si>
  <si>
    <t>AUD OUT CH-R, A-D CONVERTER 55</t>
  </si>
  <si>
    <t>AUD OUT CH-L, A-D CONVERTER 56</t>
  </si>
  <si>
    <t>AUD OUT CH-R, A-D CONVERTER 56</t>
  </si>
  <si>
    <t>AUD OUT CH-L, A-D CONVERTER 1</t>
  </si>
  <si>
    <t>CER CABLE SCHEDULE, ASI 102-XX-XXXX</t>
  </si>
  <si>
    <t>MUX MAIN, ASI OUT</t>
  </si>
  <si>
    <t>MUX BACKUP, ASI OUT</t>
  </si>
  <si>
    <t>BAY 5</t>
  </si>
  <si>
    <t>32X32 ASI ROUTER, IN 1</t>
  </si>
  <si>
    <t>32X32 ASI ROUTER, IN 2</t>
  </si>
  <si>
    <t>32X32 ASI ROUTER, OUT 1</t>
  </si>
  <si>
    <t>MODULATOR IN</t>
  </si>
  <si>
    <t>CER CABLE SCHEDULE, NETWORK 102-XX-XXXX</t>
  </si>
  <si>
    <t>TS O ETH, IP PIRD 1</t>
  </si>
  <si>
    <t>TS O ETH, IP PIRD 2</t>
  </si>
  <si>
    <t>TS O ETH, IP PIRD 3</t>
  </si>
  <si>
    <t>TS O ETH, IP PIRD 4</t>
  </si>
  <si>
    <t>TS O ETH, IP PIRD 5</t>
  </si>
  <si>
    <t>TS O ETH, IP PIRD 6</t>
  </si>
  <si>
    <t>TS O ETH, IP PIRD 7</t>
  </si>
  <si>
    <t>TS O ETH, IP PIRD 8</t>
  </si>
  <si>
    <t>TS O ETH, IP PIRD 9</t>
  </si>
  <si>
    <t>TS O ETH, IP PIRD 10</t>
  </si>
  <si>
    <t>TS O ETH, IP PIRD 11</t>
  </si>
  <si>
    <t>TS O ETH, IP PIRD 12</t>
  </si>
  <si>
    <t>TS O ETH, IP PIRD 13</t>
  </si>
  <si>
    <t>TS O ETH, IP PIRD 14</t>
  </si>
  <si>
    <t>TS O ETH, IP PIRD 15</t>
  </si>
  <si>
    <t>TS O ETH, IP PIRD 16</t>
  </si>
  <si>
    <t>TS O ETH, IP PIRD 17</t>
  </si>
  <si>
    <t>TS O ETH, IP PIRD 18</t>
  </si>
  <si>
    <t>TS O ETH, IP PIRD 19</t>
  </si>
  <si>
    <t>TS O ETH, IP PIRD 20</t>
  </si>
  <si>
    <t>TS IN 1, ETH 3, SD ENC 1</t>
  </si>
  <si>
    <t>TS IN 1, ETH 3, SD ENC 2</t>
  </si>
  <si>
    <t>TS IN 1, ETH 3, SD ENC 3</t>
  </si>
  <si>
    <t>TS IN 1, ETH 3, SD ENC 4</t>
  </si>
  <si>
    <t>TS IN 1, ETH 3, SD ENC 1R</t>
  </si>
  <si>
    <t>TS IN 1, ETH 3, HD ENC 1</t>
  </si>
  <si>
    <t>TS IN 1, ETH 3, HD ENC 2</t>
  </si>
  <si>
    <t>TS IN 1, ETH 3, HD ENC 3</t>
  </si>
  <si>
    <t>TS IN 1, ETH 3, HD ENC 1R</t>
  </si>
  <si>
    <t>TS O ETH, IP PIRD 21</t>
  </si>
  <si>
    <t>TS O ETH, IP PIRD 22</t>
  </si>
  <si>
    <t>TS O ETH, IP PIRD 23</t>
  </si>
  <si>
    <t>TS O ETH, IP PIRD 24</t>
  </si>
  <si>
    <t>TS O ETH, IP PIRD 25</t>
  </si>
  <si>
    <t>TS O ETH, IP PIRD 26</t>
  </si>
  <si>
    <t>TS O ETH, IP PIRD 27</t>
  </si>
  <si>
    <t>TS O ETH, IP PIRD 28</t>
  </si>
  <si>
    <t>TS O ETH, IP PIRD 29</t>
  </si>
  <si>
    <t>TS O ETH, IP PIRD 30</t>
  </si>
  <si>
    <t>TS O ETH, IP PIRD 31</t>
  </si>
  <si>
    <t>TS O ETH, IP PIRD 32</t>
  </si>
  <si>
    <t>TS O ETH, IP PIRD 33</t>
  </si>
  <si>
    <t>TS O ETH, IP PIRD 34</t>
  </si>
  <si>
    <t>TS O ETH, IP PIRD 35</t>
  </si>
  <si>
    <t>TS O ETH, IP PIRD 36</t>
  </si>
  <si>
    <t>TS O ETH, IP PIRD 37</t>
  </si>
  <si>
    <t>TS O ETH, IP PIRD 38</t>
  </si>
  <si>
    <t>TS O ETH, IP PIRD 39</t>
  </si>
  <si>
    <t>TS O ETH, IP PIRD 40</t>
  </si>
  <si>
    <t>TS IN 2, ETH 4, SD ENC 1</t>
  </si>
  <si>
    <t>TS IN 2, ETH 4, SD ENC 2</t>
  </si>
  <si>
    <t>TS IN 2, ETH 4, SD ENC 3</t>
  </si>
  <si>
    <t>TS IN 2, ETH 4, SD ENC 4</t>
  </si>
  <si>
    <t>TS IN 2, ETH 4, SD ENC 1R</t>
  </si>
  <si>
    <t>TS IN 2, ETH 4, HD ENC 1</t>
  </si>
  <si>
    <t>TS IN 2, ETH 4, HD ENC 2</t>
  </si>
  <si>
    <t>TS IN 2, ETH 4, HD ENC 3</t>
  </si>
  <si>
    <t>TS IN 2, ETH 4, HD ENC 1R</t>
  </si>
  <si>
    <t>TS OP 1, ETH 5, SD ENC 1</t>
  </si>
  <si>
    <t>TS OP 1, ETH 5, SD ENC 2</t>
  </si>
  <si>
    <t>TS OP 1, ETH 5, SD ENC 3</t>
  </si>
  <si>
    <t>TS OP 1, ETH 5, SD ENC 4</t>
  </si>
  <si>
    <t>TS OP 1, ETH 5, SD ENC 1R</t>
  </si>
  <si>
    <t>TS OP 1, ETH 5, HD ENC 1</t>
  </si>
  <si>
    <t>TS OP 1, ETH 5, HD ENC 2</t>
  </si>
  <si>
    <t>TS OP 1, ETH 5, HD ENC 3</t>
  </si>
  <si>
    <t>TS OP 1, ETH 5, HD ENC 1R</t>
  </si>
  <si>
    <t>TS IN, ETH, MUX (MAIN)</t>
  </si>
  <si>
    <t>ETH, CHANNEL PROVIDER (MAIN)</t>
  </si>
  <si>
    <t>ETH, PSI-SI EXTERNAL</t>
  </si>
  <si>
    <t>TS OP 2, ETH 6, SD ENC 1</t>
  </si>
  <si>
    <t>TS OP 2, ETH 6, SD ENC 2</t>
  </si>
  <si>
    <t>TS OP 2, ETH 6, SD ENC 3</t>
  </si>
  <si>
    <t>TS OP 2, ETH 6, SD ENC 4</t>
  </si>
  <si>
    <t>TS OP 2, ETH 6, SD ENC 1R</t>
  </si>
  <si>
    <t>TS OP 2, ETH 6, HD ENC 1</t>
  </si>
  <si>
    <t>TS OP 2, ETH 6, HD ENC 2</t>
  </si>
  <si>
    <t>TS OP 2, ETH 6, HD ENC 3</t>
  </si>
  <si>
    <t>TS OP 2, ETH 6, HD ENC 1R</t>
  </si>
  <si>
    <t>TS IN, ETH, MUX (BACKUP)</t>
  </si>
  <si>
    <t>ETH, CHANNEL PROVIDER (BACKUP)</t>
  </si>
  <si>
    <t>DN3173</t>
  </si>
  <si>
    <t>MN3201</t>
  </si>
  <si>
    <t>MN3202</t>
  </si>
  <si>
    <t>MN3203</t>
  </si>
  <si>
    <t>MN3204</t>
  </si>
  <si>
    <t>MN3205</t>
  </si>
  <si>
    <t>MN3206</t>
  </si>
  <si>
    <t>MN3207</t>
  </si>
  <si>
    <t>MN3208</t>
  </si>
  <si>
    <t>MN3209</t>
  </si>
  <si>
    <t>MN3210</t>
  </si>
  <si>
    <t>MN3211</t>
  </si>
  <si>
    <t>MN3212</t>
  </si>
  <si>
    <t>MN3213</t>
  </si>
  <si>
    <t>MN3214</t>
  </si>
  <si>
    <t>MN3215</t>
  </si>
  <si>
    <t>MN3216</t>
  </si>
  <si>
    <t>MN3217</t>
  </si>
  <si>
    <t>MN3218</t>
  </si>
  <si>
    <t>MN3219</t>
  </si>
  <si>
    <t>MN3220</t>
  </si>
  <si>
    <t>MN3221</t>
  </si>
  <si>
    <t>MN3222</t>
  </si>
  <si>
    <t>MN3223</t>
  </si>
  <si>
    <t>MN3224</t>
  </si>
  <si>
    <t>MN3225</t>
  </si>
  <si>
    <t>MN3226</t>
  </si>
  <si>
    <t>MN3227</t>
  </si>
  <si>
    <t>MN3228</t>
  </si>
  <si>
    <t>MN3229</t>
  </si>
  <si>
    <t>MN3230</t>
  </si>
  <si>
    <t>MN3231</t>
  </si>
  <si>
    <t>MN3232</t>
  </si>
  <si>
    <t>MN3233</t>
  </si>
  <si>
    <t>MN3234</t>
  </si>
  <si>
    <t>MN3235</t>
  </si>
  <si>
    <t>CONTROL|MANAGEMENT SWITCH (MAIN), PORT 1</t>
  </si>
  <si>
    <t>CONTROL|MANAGEMENT SWITCH (MAIN), PORT 2</t>
  </si>
  <si>
    <t>CONTROL|MANAGEMENT SWITCH (MAIN), PORT 3</t>
  </si>
  <si>
    <t>CONTROL|MANAGEMENT SWITCH (MAIN), PORT 4</t>
  </si>
  <si>
    <t>CONTROL|MANAGEMENT SWITCH (MAIN), PORT 5</t>
  </si>
  <si>
    <t>CONTROL|MANAGEMENT SWITCH (MAIN), PORT 6</t>
  </si>
  <si>
    <t>CONTROL|MANAGEMENT SWITCH (MAIN), PORT 7</t>
  </si>
  <si>
    <t>CONTROL|MANAGEMENT SWITCH (MAIN), PORT 8</t>
  </si>
  <si>
    <t>CONTROL|MANAGEMENT SWITCH (MAIN), PORT 9</t>
  </si>
  <si>
    <t>CONTROL|MANAGEMENT SWITCH (MAIN), PORT 10</t>
  </si>
  <si>
    <t>CONTROL|MANAGEMENT SWITCH (MAIN), PORT 11</t>
  </si>
  <si>
    <t>CONTROL|MANAGEMENT SWITCH (MAIN), PORT 12</t>
  </si>
  <si>
    <t>CONTROL|MANAGEMENT SWITCH (MAIN), PORT 13</t>
  </si>
  <si>
    <t>CONTROL|MANAGEMENT SWITCH (MAIN), PORT 14</t>
  </si>
  <si>
    <t>CONTROL|MANAGEMENT SWITCH (MAIN), PORT 15</t>
  </si>
  <si>
    <t>CONTROL|MANAGEMENT SWITCH (MAIN), PORT 16</t>
  </si>
  <si>
    <t>CONTROL|MANAGEMENT SWITCH (MAIN), PORT 17</t>
  </si>
  <si>
    <t>CONTROL|MANAGEMENT SWITCH (MAIN), PORT 18</t>
  </si>
  <si>
    <t>CONTROL|MANAGEMENT SWITCH (MAIN), PORT 19</t>
  </si>
  <si>
    <t>CONTROL|MANAGEMENT SWITCH (MAIN), PORT 20</t>
  </si>
  <si>
    <t>CONTROL|MANAGEMENT SWITCH (MAIN), PORT 21</t>
  </si>
  <si>
    <t>CONTROL|MANAGEMENT SWITCH (MAIN), PORT 22</t>
  </si>
  <si>
    <t>CONTROL|MANAGEMENT SWITCH (MAIN), PORT 23</t>
  </si>
  <si>
    <t>CONTROL|MANAGEMENT SWITCH (MAIN), PORT 24</t>
  </si>
  <si>
    <t>CONTROL|MANAGEMENT SWITCH (MAIN), PORT 25</t>
  </si>
  <si>
    <t>CONTROL|MANAGEMENT SWITCH (MAIN), PORT 26</t>
  </si>
  <si>
    <t>CONTROL|MANAGEMENT SWITCH (MAIN), PORT 27</t>
  </si>
  <si>
    <t>CONTROL|MANAGEMENT SWITCH (MAIN), PORT 28</t>
  </si>
  <si>
    <t>CONTROL|MANAGEMENT SWITCH (MAIN), PORT 29</t>
  </si>
  <si>
    <t>CONTROL|MANAGEMENT SWITCH (MAIN), PORT 30</t>
  </si>
  <si>
    <t>CONTROL|MANAGEMENT SWITCH (MAIN), PORT 31</t>
  </si>
  <si>
    <t>CONTROL|MANAGEMENT SWITCH (MAIN), PORT 32</t>
  </si>
  <si>
    <t>CONTROL|MANAGEMENT SWITCH (MAIN), PORT 33</t>
  </si>
  <si>
    <t>CONTROL|MANAGEMENT SWITCH (MAIN), PORT 34</t>
  </si>
  <si>
    <t>CONTROL|MANAGEMENT SWITCH (MAIN), PORT 35</t>
  </si>
  <si>
    <t>MNGMNT ETH, IP PIRD 1</t>
  </si>
  <si>
    <t>MNGMNT ETH, IP PIRD 2</t>
  </si>
  <si>
    <t>MNGMNT ETH, IP PIRD 3</t>
  </si>
  <si>
    <t>MNGMNT ETH, IP PIRD 4</t>
  </si>
  <si>
    <t>MNGMNT ETH, IP PIRD 5</t>
  </si>
  <si>
    <t>MNGMNT ETH, IP PIRD 6</t>
  </si>
  <si>
    <t>MNGMNT ETH, IP PIRD 7</t>
  </si>
  <si>
    <t>MNGMNT ETH, IP PIRD 8</t>
  </si>
  <si>
    <t>MNGMNT ETH, IP PIRD 9</t>
  </si>
  <si>
    <t>MNGMNT ETH, IP PIRD 10</t>
  </si>
  <si>
    <t>MNGMNT ETH, IP PIRD 11</t>
  </si>
  <si>
    <t>MNGMNT ETH, IP PIRD 12</t>
  </si>
  <si>
    <t>MNGMNT ETH, IP PIRD 13</t>
  </si>
  <si>
    <t>MNGMNT ETH, IP PIRD 14</t>
  </si>
  <si>
    <t>MNGMNT ETH, IP PIRD 15</t>
  </si>
  <si>
    <t>MNGMNT ETH, IP PIRD 16</t>
  </si>
  <si>
    <t>MNGMNT ETH, IP PIRD 17</t>
  </si>
  <si>
    <t>MNGMNT ETH, IP PIRD 18</t>
  </si>
  <si>
    <t>MNGMNT ETH, IP PIRD 19</t>
  </si>
  <si>
    <t>MNGMNT ETH, IP PIRD 20</t>
  </si>
  <si>
    <t>MNGMNT ETH, MUX (MAIN)</t>
  </si>
  <si>
    <t>PORT 48, PIRD|ENC DATA SWITCH (MAIN)</t>
  </si>
  <si>
    <t>PORT 48, ENC|MUX DATA SWITCH (MAIN)</t>
  </si>
  <si>
    <t>ETH, GURU NMX SERVER</t>
  </si>
  <si>
    <t>ETH, 64X64 HDSDI ROUTER</t>
  </si>
  <si>
    <t>ETH, 32X32 ASI ROUTER</t>
  </si>
  <si>
    <t>CONTROL|MANAGEMENT SWITCH (MAIN), PORT 48</t>
  </si>
  <si>
    <t>ENC|MUX DATA SWITCH (BACKUP), PORT 1</t>
  </si>
  <si>
    <t>ENC|MUX DATA SWITCH (BACKUP), PORT 2</t>
  </si>
  <si>
    <t>ENC|MUX DATA SWITCH (BACKUP), PORT 3</t>
  </si>
  <si>
    <t>ENC|MUX DATA SWITCH (BACKUP), PORT 4</t>
  </si>
  <si>
    <t>ENC|MUX DATA SWITCH (BACKUP), PORT 5</t>
  </si>
  <si>
    <t>ENC|MUX DATA SWITCH (BACKUP), PORT 6</t>
  </si>
  <si>
    <t>ENC|MUX DATA SWITCH (BACKUP), PORT 7</t>
  </si>
  <si>
    <t>ENC|MUX DATA SWITCH (BACKUP), PORT 8</t>
  </si>
  <si>
    <t>ENC|MUX DATA SWITCH (BACKUP), PORT 9</t>
  </si>
  <si>
    <t>ENC|MUX DATA SWITCH (BACKUP), PORT 10</t>
  </si>
  <si>
    <t>ENC|MUX DATA SWITCH (BACKUP), PORT 13</t>
  </si>
  <si>
    <t>ENC|MUX DATA SWITCH (MAIN), PORT 1</t>
  </si>
  <si>
    <t>ENC|MUX DATA SWITCH (MAIN), PORT 2</t>
  </si>
  <si>
    <t>ENC|MUX DATA SWITCH (MAIN), PORT 3</t>
  </si>
  <si>
    <t>ENC|MUX DATA SWITCH (MAIN), PORT 4</t>
  </si>
  <si>
    <t>ENC|MUX DATA SWITCH (MAIN), PORT 5</t>
  </si>
  <si>
    <t>ENC|MUX DATA SWITCH (MAIN), PORT 6</t>
  </si>
  <si>
    <t>ENC|MUX DATA SWITCH (MAIN), PORT 7</t>
  </si>
  <si>
    <t>ENC|MUX DATA SWITCH (MAIN), PORT 8</t>
  </si>
  <si>
    <t>ENC|MUX DATA SWITCH (MAIN), PORT 9</t>
  </si>
  <si>
    <t>ENC|MUX DATA SWITCH (MAIN), PORT 10</t>
  </si>
  <si>
    <t>ENC|MUX DATA SWITCH (MAIN), PORT 13</t>
  </si>
  <si>
    <t>ENC|MUX DATA SWITCH (MAIN), PORT 15</t>
  </si>
  <si>
    <t>PIRD|ENC DATA SWITCH (MAIN), PORT 1</t>
  </si>
  <si>
    <t>PIRD|ENC DATA SWITCH (MAIN), PORT 2</t>
  </si>
  <si>
    <t>PIRD|ENC DATA SWITCH (MAIN), PORT 3</t>
  </si>
  <si>
    <t>PIRD|ENC DATA SWITCH (MAIN), PORT 4</t>
  </si>
  <si>
    <t>PIRD|ENC DATA SWITCH (MAIN), PORT 5</t>
  </si>
  <si>
    <t>PIRD|ENC DATA SWITCH (MAIN), PORT 6</t>
  </si>
  <si>
    <t>PIRD|ENC DATA SWITCH (MAIN), PORT 7</t>
  </si>
  <si>
    <t>PIRD|ENC DATA SWITCH (MAIN), PORT 8</t>
  </si>
  <si>
    <t>PIRD|ENC DATA SWITCH (MAIN), PORT 9</t>
  </si>
  <si>
    <t>PIRD|ENC DATA SWITCH (MAIN), PORT 10</t>
  </si>
  <si>
    <t>PIRD|ENC DATA SWITCH (MAIN), PORT 11</t>
  </si>
  <si>
    <t>PIRD|ENC DATA SWITCH (MAIN), PORT 12</t>
  </si>
  <si>
    <t>PIRD|ENC DATA SWITCH (MAIN), PORT 13</t>
  </si>
  <si>
    <t>PIRD|ENC DATA SWITCH (MAIN), PORT 14</t>
  </si>
  <si>
    <t>PIRD|ENC DATA SWITCH (MAIN), PORT 15</t>
  </si>
  <si>
    <t>PIRD|ENC DATA SWITCH (MAIN), PORT 16</t>
  </si>
  <si>
    <t>PIRD|ENC DATA SWITCH (MAIN), PORT 17</t>
  </si>
  <si>
    <t>PIRD|ENC DATA SWITCH (MAIN), PORT 18</t>
  </si>
  <si>
    <t>PIRD|ENC DATA SWITCH (MAIN), PORT 19</t>
  </si>
  <si>
    <t>PIRD|ENC DATA SWITCH (MAIN), PORT 20</t>
  </si>
  <si>
    <t>PIRD|ENC DATA SWITCH (MAIN), PORT 21</t>
  </si>
  <si>
    <t>PIRD|ENC DATA SWITCH (MAIN), PORT 22</t>
  </si>
  <si>
    <t>PIRD|ENC DATA SWITCH (MAIN), PORT 23</t>
  </si>
  <si>
    <t>PIRD|ENC DATA SWITCH (MAIN), PORT 24</t>
  </si>
  <si>
    <t>PIRD|ENC DATA SWITCH (MAIN), PORT 25</t>
  </si>
  <si>
    <t>PIRD|ENC DATA SWITCH (MAIN), PORT 26</t>
  </si>
  <si>
    <t>PIRD|ENC DATA SWITCH (MAIN), PORT 27</t>
  </si>
  <si>
    <t>PIRD|ENC DATA SWITCH (MAIN), PORT 28</t>
  </si>
  <si>
    <t>PIRD|ENC DATA SWITCH (MAIN), PORT 29</t>
  </si>
  <si>
    <t>PIRD|ENC DATA SWITCH (BACKUP), PORT 1</t>
  </si>
  <si>
    <t>PIRD|ENC DATA SWITCH (BACKUP), PORT 2</t>
  </si>
  <si>
    <t>PIRD|ENC DATA SWITCH (BACKUP), PORT 3</t>
  </si>
  <si>
    <t>PIRD|ENC DATA SWITCH (BACKUP), PORT 4</t>
  </si>
  <si>
    <t>PIRD|ENC DATA SWITCH (BACKUP), PORT 5</t>
  </si>
  <si>
    <t>PIRD|ENC DATA SWITCH (BACKUP), PORT 6</t>
  </si>
  <si>
    <t>PIRD|ENC DATA SWITCH (BACKUP), PORT 7</t>
  </si>
  <si>
    <t>PIRD|ENC DATA SWITCH (BACKUP), PORT 8</t>
  </si>
  <si>
    <t>PIRD|ENC DATA SWITCH (BACKUP), PORT 9</t>
  </si>
  <si>
    <t>PIRD|ENC DATA SWITCH (BACKUP), PORT 10</t>
  </si>
  <si>
    <t>PIRD|ENC DATA SWITCH (BACKUP), PORT 11</t>
  </si>
  <si>
    <t>PIRD|ENC DATA SWITCH (BACKUP), PORT 12</t>
  </si>
  <si>
    <t>PIRD|ENC DATA SWITCH (BACKUP), PORT 13</t>
  </si>
  <si>
    <t>PIRD|ENC DATA SWITCH (BACKUP), PORT 14</t>
  </si>
  <si>
    <t>PIRD|ENC DATA SWITCH (BACKUP), PORT 15</t>
  </si>
  <si>
    <t>PIRD|ENC DATA SWITCH (BACKUP), PORT 16</t>
  </si>
  <si>
    <t>PIRD|ENC DATA SWITCH (BACKUP), PORT 17</t>
  </si>
  <si>
    <t>PIRD|ENC DATA SWITCH (BACKUP), PORT 18</t>
  </si>
  <si>
    <t>PIRD|ENC DATA SWITCH (BACKUP), PORT 19</t>
  </si>
  <si>
    <t>PIRD|ENC DATA SWITCH (BACKUP), PORT 20</t>
  </si>
  <si>
    <t>PIRD|ENC DATA SWITCH (BACKUP), PORT 21</t>
  </si>
  <si>
    <t>PIRD|ENC DATA SWITCH (BACKUP), PORT 22</t>
  </si>
  <si>
    <t>PIRD|ENC DATA SWITCH (BACKUP), PORT 23</t>
  </si>
  <si>
    <t>PIRD|ENC DATA SWITCH (BACKUP), PORT 24</t>
  </si>
  <si>
    <t>PIRD|ENC DATA SWITCH (BACKUP), PORT 25</t>
  </si>
  <si>
    <t>PIRD|ENC DATA SWITCH (BACKUP), PORT 26</t>
  </si>
  <si>
    <t>PIRD|ENC DATA SWITCH (BACKUP), PORT 27</t>
  </si>
  <si>
    <t>PIRD|ENC DATA SWITCH (BACKUP), PORT 28</t>
  </si>
  <si>
    <t>PIRD|ENC DATA SWITCH (BACKUP), PORT 29</t>
  </si>
  <si>
    <t>MN3251</t>
  </si>
  <si>
    <t>MN3252</t>
  </si>
  <si>
    <t>MN3253</t>
  </si>
  <si>
    <t>MN3254</t>
  </si>
  <si>
    <t>MN3255</t>
  </si>
  <si>
    <t>MN3256</t>
  </si>
  <si>
    <t>MN3257</t>
  </si>
  <si>
    <t>MN3258</t>
  </si>
  <si>
    <t>MN3259</t>
  </si>
  <si>
    <t>MN3260</t>
  </si>
  <si>
    <t>MN3261</t>
  </si>
  <si>
    <t>MN3262</t>
  </si>
  <si>
    <t>MN3263</t>
  </si>
  <si>
    <t>MN3264</t>
  </si>
  <si>
    <t>MN3265</t>
  </si>
  <si>
    <t>MN3266</t>
  </si>
  <si>
    <t>MN3267</t>
  </si>
  <si>
    <t>MN3268</t>
  </si>
  <si>
    <t>MN3269</t>
  </si>
  <si>
    <t>MN3270</t>
  </si>
  <si>
    <t>MN3271</t>
  </si>
  <si>
    <t>MN3272</t>
  </si>
  <si>
    <t>MN3273</t>
  </si>
  <si>
    <t>CONTROL|MANAGEMENT SWITCH (BACKUP), PORT 1</t>
  </si>
  <si>
    <t>CONTROL|MANAGEMENT SWITCH (BACKUP), PORT 2</t>
  </si>
  <si>
    <t>CONTROL|MANAGEMENT SWITCH (BACKUP), PORT 3</t>
  </si>
  <si>
    <t>CONTROL|MANAGEMENT SWITCH (BACKUP), PORT 4</t>
  </si>
  <si>
    <t>CONTROL|MANAGEMENT SWITCH (BACKUP), PORT 5</t>
  </si>
  <si>
    <t>CONTROL|MANAGEMENT SWITCH (BACKUP), PORT 6</t>
  </si>
  <si>
    <t>CONTROL|MANAGEMENT SWITCH (BACKUP), PORT 7</t>
  </si>
  <si>
    <t>CONTROL|MANAGEMENT SWITCH (BACKUP), PORT 8</t>
  </si>
  <si>
    <t>CONTROL|MANAGEMENT SWITCH (BACKUP), PORT 9</t>
  </si>
  <si>
    <t>CONTROL|MANAGEMENT SWITCH (BACKUP), PORT 10</t>
  </si>
  <si>
    <t>CONTROL|MANAGEMENT SWITCH (BACKUP), PORT 11</t>
  </si>
  <si>
    <t>CONTROL|MANAGEMENT SWITCH (BACKUP), PORT 12</t>
  </si>
  <si>
    <t>CONTROL|MANAGEMENT SWITCH (BACKUP), PORT 13</t>
  </si>
  <si>
    <t>CONTROL|MANAGEMENT SWITCH (BACKUP), PORT 14</t>
  </si>
  <si>
    <t>CONTROL|MANAGEMENT SWITCH (BACKUP), PORT 15</t>
  </si>
  <si>
    <t>CONTROL|MANAGEMENT SWITCH (BACKUP), PORT 16</t>
  </si>
  <si>
    <t>CONTROL|MANAGEMENT SWITCH (BACKUP), PORT 17</t>
  </si>
  <si>
    <t>CONTROL|MANAGEMENT SWITCH (BACKUP), PORT 18</t>
  </si>
  <si>
    <t>CONTROL|MANAGEMENT SWITCH (BACKUP), PORT 19</t>
  </si>
  <si>
    <t>CONTROL|MANAGEMENT SWITCH (BACKUP), PORT 20</t>
  </si>
  <si>
    <t>CONTROL|MANAGEMENT SWITCH (BACKUP), PORT 21</t>
  </si>
  <si>
    <t>CONTROL|MANAGEMENT SWITCH (BACKUP), PORT 22</t>
  </si>
  <si>
    <t>CONTROL|MANAGEMENT SWITCH (BACKUP), PORT 23</t>
  </si>
  <si>
    <t>MNGMNT ETH, IP PIRD 21</t>
  </si>
  <si>
    <t>MNGMNT ETH, IP PIRD 22</t>
  </si>
  <si>
    <t>MNGMNT ETH, IP PIRD 23</t>
  </si>
  <si>
    <t>MNGMNT ETH, IP PIRD 24</t>
  </si>
  <si>
    <t>MNGMNT ETH, IP PIRD 25</t>
  </si>
  <si>
    <t>MNGMNT ETH, IP PIRD 26</t>
  </si>
  <si>
    <t>MNGMNT ETH, IP PIRD 27</t>
  </si>
  <si>
    <t>MNGMNT ETH, IP PIRD 28</t>
  </si>
  <si>
    <t>MNGMNT ETH, IP PIRD 29</t>
  </si>
  <si>
    <t>MNGMNT ETH, IP PIRD 30</t>
  </si>
  <si>
    <t>MNGMNT ETH, IP PIRD 31</t>
  </si>
  <si>
    <t>MNGMNT ETH, IP PIRD 32</t>
  </si>
  <si>
    <t>MNGMNT ETH, IP PIRD 33</t>
  </si>
  <si>
    <t>MNGMNT ETH, IP PIRD 34</t>
  </si>
  <si>
    <t>MNGMNT ETH, IP PIRD 35</t>
  </si>
  <si>
    <t>MNGMNT ETH, IP PIRD 36</t>
  </si>
  <si>
    <t>MNGMNT ETH, IP PIRD 37</t>
  </si>
  <si>
    <t>MNGMNT ETH, IP PIRD 38</t>
  </si>
  <si>
    <t>MNGMNT ETH, IP PIRD 39</t>
  </si>
  <si>
    <t>MNGMNT ETH, IP PIRD 40</t>
  </si>
  <si>
    <t>MNGMNT ETH, SD ENC 1</t>
  </si>
  <si>
    <t>MNGMNT ETH, SD ENC 2</t>
  </si>
  <si>
    <t>MNGMNT ETH, SD ENC 3</t>
  </si>
  <si>
    <t>MNGMNT ETH, SD ENC 4</t>
  </si>
  <si>
    <t>MNGMNT ETH, SD ENC 5</t>
  </si>
  <si>
    <t>MNGMNT ETH, HD ENC 1</t>
  </si>
  <si>
    <t>MNGMNT ETH, HD ENC 2</t>
  </si>
  <si>
    <t>MNGMNT ETH, HD ENC 3</t>
  </si>
  <si>
    <t>MNGMNT ETH, HD ENC 1R</t>
  </si>
  <si>
    <t>MNGMNT ETH, MUX (BACKUP)</t>
  </si>
  <si>
    <t>PORT 48, PIRD|ENC DATA SWITCH (BACKUP)</t>
  </si>
  <si>
    <t>PORT 48, ENC|MUX DATA SWITCH (BACKUP)</t>
  </si>
  <si>
    <t>PORT 48, CONTROL|MANAGEMENT SWITCH (BACKUP)</t>
  </si>
  <si>
    <t>Colour change</t>
  </si>
  <si>
    <t>DIN</t>
  </si>
  <si>
    <t>Data IN Network</t>
  </si>
  <si>
    <t>Data OUT Network</t>
  </si>
  <si>
    <t>DON</t>
  </si>
  <si>
    <t>12 Clear 0ut Mux 1</t>
  </si>
  <si>
    <t>12 Clear out Mux 2</t>
  </si>
  <si>
    <t>Destination</t>
  </si>
  <si>
    <t>32 router</t>
  </si>
  <si>
    <t>Patch pannel(I type)</t>
  </si>
  <si>
    <t>Source</t>
  </si>
  <si>
    <t>Primary MUX Asi</t>
  </si>
  <si>
    <t>Secondary MUX Asi</t>
  </si>
  <si>
    <t>ASI Router Out</t>
  </si>
  <si>
    <t>AV1001</t>
  </si>
  <si>
    <t>SDIM1101</t>
  </si>
  <si>
    <t>SDIM1102</t>
  </si>
  <si>
    <t>SDIM1103</t>
  </si>
  <si>
    <t>SDIM1104</t>
  </si>
  <si>
    <t>SDIM1105</t>
  </si>
  <si>
    <t>SDIM1106</t>
  </si>
  <si>
    <t>SDIM1107</t>
  </si>
  <si>
    <t>SDIM1108</t>
  </si>
  <si>
    <t>SDIM1109</t>
  </si>
  <si>
    <t>SDIM1110</t>
  </si>
  <si>
    <t>SDIM1111</t>
  </si>
  <si>
    <t>SDIM1112</t>
  </si>
  <si>
    <t>SDIM1113</t>
  </si>
  <si>
    <t>SDIM1114</t>
  </si>
  <si>
    <t>SDIM1115</t>
  </si>
  <si>
    <t>SDIM1116</t>
  </si>
  <si>
    <t>SDIM1117</t>
  </si>
  <si>
    <t>SDIM1118</t>
  </si>
  <si>
    <t>SDIM1119</t>
  </si>
  <si>
    <t>SDIM1120</t>
  </si>
  <si>
    <t>SDIM1121</t>
  </si>
  <si>
    <t>SDIM1122</t>
  </si>
  <si>
    <t>SDIM1123</t>
  </si>
  <si>
    <t>SDIM1124</t>
  </si>
  <si>
    <t>SDIM1125</t>
  </si>
  <si>
    <t>SDIM1126</t>
  </si>
  <si>
    <t>SDIM1127</t>
  </si>
  <si>
    <t>SDIM1128</t>
  </si>
  <si>
    <t>SDIM1129</t>
  </si>
  <si>
    <t>SDIM1130</t>
  </si>
  <si>
    <t>SDIM1131</t>
  </si>
  <si>
    <t>SDIM1132</t>
  </si>
  <si>
    <t>SDIM1133</t>
  </si>
  <si>
    <t>SDIM1134</t>
  </si>
  <si>
    <t>SDIM1135</t>
  </si>
  <si>
    <t>SDIM1136</t>
  </si>
  <si>
    <t>SDIM1137</t>
  </si>
  <si>
    <t>SDIM1138</t>
  </si>
  <si>
    <t>SDIM1139</t>
  </si>
  <si>
    <t>SDIM1140</t>
  </si>
  <si>
    <t>SDIM1141</t>
  </si>
  <si>
    <t>SDIM1142</t>
  </si>
  <si>
    <t>SDIM1143</t>
  </si>
  <si>
    <t>SDIM1144</t>
  </si>
  <si>
    <t>SDIM1145</t>
  </si>
  <si>
    <t>SDIM1146</t>
  </si>
  <si>
    <t>SDIM1147</t>
  </si>
  <si>
    <t>SDIM1148</t>
  </si>
  <si>
    <t>SDIM1149</t>
  </si>
  <si>
    <t>SDIM1150</t>
  </si>
  <si>
    <t>SDIM1151</t>
  </si>
  <si>
    <t>SDIM1152</t>
  </si>
  <si>
    <t>SDIM1153</t>
  </si>
  <si>
    <t>SDIM1154</t>
  </si>
  <si>
    <t>SDIM1155</t>
  </si>
  <si>
    <t>SDIM1156</t>
  </si>
  <si>
    <t>SDIB1101</t>
  </si>
  <si>
    <t>SDIB1102</t>
  </si>
  <si>
    <t>SDIB1103</t>
  </si>
  <si>
    <t>SDIB1104</t>
  </si>
  <si>
    <t>SDIB1105</t>
  </si>
  <si>
    <t>SDIB1106</t>
  </si>
  <si>
    <t>SDIB1107</t>
  </si>
  <si>
    <t>SDIB1108</t>
  </si>
  <si>
    <t>SDIB1109</t>
  </si>
  <si>
    <t>SDIB1110</t>
  </si>
  <si>
    <t>SDIB1111</t>
  </si>
  <si>
    <t>SDIB1112</t>
  </si>
  <si>
    <t>SDIB1113</t>
  </si>
  <si>
    <t>SDIB1114</t>
  </si>
  <si>
    <t>SDIB1115</t>
  </si>
  <si>
    <t>SDIB1116</t>
  </si>
  <si>
    <t>SDIB1117</t>
  </si>
  <si>
    <t>SDIB1118</t>
  </si>
  <si>
    <t>SDIB1119</t>
  </si>
  <si>
    <t>SDIB1120</t>
  </si>
  <si>
    <t>SDIB1121</t>
  </si>
  <si>
    <t>SDIB1122</t>
  </si>
  <si>
    <t>SDIB1123</t>
  </si>
  <si>
    <t>SDIB1124</t>
  </si>
  <si>
    <t>SDIB1125</t>
  </si>
  <si>
    <t>SDIB1126</t>
  </si>
  <si>
    <t>SDIB1127</t>
  </si>
  <si>
    <t>SDIB1128</t>
  </si>
  <si>
    <t>SDIB1129</t>
  </si>
  <si>
    <t>SDIB1130</t>
  </si>
  <si>
    <t>SDIB1131</t>
  </si>
  <si>
    <t>SDIB1132</t>
  </si>
  <si>
    <t>SDIB1133</t>
  </si>
  <si>
    <t>SDIB1134</t>
  </si>
  <si>
    <t>SDIB1135</t>
  </si>
  <si>
    <t>SDIB1136</t>
  </si>
  <si>
    <t>SDIB1137</t>
  </si>
  <si>
    <t>SDIB1138</t>
  </si>
  <si>
    <t>SDIB1139</t>
  </si>
  <si>
    <t>SDIB1140</t>
  </si>
  <si>
    <t>SDIB1141</t>
  </si>
  <si>
    <t>SDIB1142</t>
  </si>
  <si>
    <t>SDIB1143</t>
  </si>
  <si>
    <t>SDIB1144</t>
  </si>
  <si>
    <t>SDIB1145</t>
  </si>
  <si>
    <t>SDIB1146</t>
  </si>
  <si>
    <t>SDIB1147</t>
  </si>
  <si>
    <t>SDIB1148</t>
  </si>
  <si>
    <t>SDIB1149</t>
  </si>
  <si>
    <t>SDIB1150</t>
  </si>
  <si>
    <t>SDIB1151</t>
  </si>
  <si>
    <t>SDIB1152</t>
  </si>
  <si>
    <t>SDIB1153</t>
  </si>
  <si>
    <t>SDIB1154</t>
  </si>
  <si>
    <t>SDIB1155</t>
  </si>
  <si>
    <t>SDIB1156</t>
  </si>
  <si>
    <t>Change the  Cable colour</t>
  </si>
  <si>
    <t>SDI1301</t>
  </si>
  <si>
    <t>SDI1302</t>
  </si>
  <si>
    <t>SDI1303</t>
  </si>
  <si>
    <t>SDI1304</t>
  </si>
  <si>
    <t>SDI1305</t>
  </si>
  <si>
    <t>SDI1306</t>
  </si>
  <si>
    <t>SDI1307</t>
  </si>
  <si>
    <t>SDI1308</t>
  </si>
  <si>
    <t>SDI1309</t>
  </si>
  <si>
    <t>SDI1310</t>
  </si>
  <si>
    <t>SDI1311</t>
  </si>
  <si>
    <t>SDI1312</t>
  </si>
  <si>
    <t>SDI1313</t>
  </si>
  <si>
    <t>SDI1314</t>
  </si>
  <si>
    <t>SDI1315</t>
  </si>
  <si>
    <t>SDI1316</t>
  </si>
  <si>
    <t>AV1002</t>
  </si>
  <si>
    <t>AV1003</t>
  </si>
  <si>
    <t>AV1004</t>
  </si>
  <si>
    <t>AV1005</t>
  </si>
  <si>
    <t>AV1006</t>
  </si>
  <si>
    <t>AV1007</t>
  </si>
  <si>
    <t>AV1008</t>
  </si>
  <si>
    <t>AV1009</t>
  </si>
  <si>
    <t>AV1010</t>
  </si>
  <si>
    <t>AV1011</t>
  </si>
  <si>
    <t>AV1012</t>
  </si>
  <si>
    <t>AV1013</t>
  </si>
  <si>
    <t>AV1014</t>
  </si>
  <si>
    <t>AV1015</t>
  </si>
  <si>
    <t>AV1016</t>
  </si>
  <si>
    <t>AV1017</t>
  </si>
  <si>
    <t>AV1018</t>
  </si>
  <si>
    <t>AV1019</t>
  </si>
  <si>
    <t>AV1020</t>
  </si>
  <si>
    <t>AV1021</t>
  </si>
  <si>
    <t>AV1022</t>
  </si>
  <si>
    <t>AV1023</t>
  </si>
  <si>
    <t>AV1024</t>
  </si>
  <si>
    <t>AV1025</t>
  </si>
  <si>
    <t>AV1026</t>
  </si>
  <si>
    <t>AV1027</t>
  </si>
  <si>
    <t>AV1028</t>
  </si>
  <si>
    <t>AV1029</t>
  </si>
  <si>
    <t>AV1030</t>
  </si>
  <si>
    <t>AV1031</t>
  </si>
  <si>
    <t>AV1032</t>
  </si>
  <si>
    <t>AV1033</t>
  </si>
  <si>
    <t>AV1034</t>
  </si>
  <si>
    <t>AV1035</t>
  </si>
  <si>
    <t>AV1036</t>
  </si>
  <si>
    <t>AV1037</t>
  </si>
  <si>
    <t>AV1038</t>
  </si>
  <si>
    <t>AV1039</t>
  </si>
  <si>
    <t>AV1040</t>
  </si>
  <si>
    <t>AV1041</t>
  </si>
  <si>
    <t>AV1042</t>
  </si>
  <si>
    <t>AV1043</t>
  </si>
  <si>
    <t>AV1044</t>
  </si>
  <si>
    <t>AV1045</t>
  </si>
  <si>
    <t>AV1046</t>
  </si>
  <si>
    <t>AV1047</t>
  </si>
  <si>
    <t>AV1048</t>
  </si>
  <si>
    <t>AV1049</t>
  </si>
  <si>
    <t>AV1050</t>
  </si>
  <si>
    <t>AV1051</t>
  </si>
  <si>
    <t>AV1052</t>
  </si>
  <si>
    <t>AV1053</t>
  </si>
  <si>
    <t>AV1054</t>
  </si>
  <si>
    <t>AV1055</t>
  </si>
  <si>
    <t>AV1056</t>
  </si>
  <si>
    <t>DIN3001</t>
  </si>
  <si>
    <t>DIN3002</t>
  </si>
  <si>
    <t>DIN3003</t>
  </si>
  <si>
    <t>DIN3004</t>
  </si>
  <si>
    <t>DIN3005</t>
  </si>
  <si>
    <t>DIN3006</t>
  </si>
  <si>
    <t>DIN3007</t>
  </si>
  <si>
    <t>DIN3008</t>
  </si>
  <si>
    <t>DIN3009</t>
  </si>
  <si>
    <t>DIN3010</t>
  </si>
  <si>
    <t>DIN3011</t>
  </si>
  <si>
    <t>DIN3012</t>
  </si>
  <si>
    <t>DIN3013</t>
  </si>
  <si>
    <t>DIN3014</t>
  </si>
  <si>
    <t>DIN3015</t>
  </si>
  <si>
    <t>DIN3016</t>
  </si>
  <si>
    <t>DIN3017</t>
  </si>
  <si>
    <t>DIN3018</t>
  </si>
  <si>
    <t>DIN3019</t>
  </si>
  <si>
    <t>DIN3020</t>
  </si>
  <si>
    <t>DIN3021</t>
  </si>
  <si>
    <t>DIN3022</t>
  </si>
  <si>
    <t>DIN3023</t>
  </si>
  <si>
    <t>DIN3024</t>
  </si>
  <si>
    <t>DIN3025</t>
  </si>
  <si>
    <t>DIN3026</t>
  </si>
  <si>
    <t>DIN3027</t>
  </si>
  <si>
    <t>DIN3028</t>
  </si>
  <si>
    <t>DIN3029</t>
  </si>
  <si>
    <t>DIN3051</t>
  </si>
  <si>
    <t>DIN3052</t>
  </si>
  <si>
    <t>DIN3053</t>
  </si>
  <si>
    <t>DIN3054</t>
  </si>
  <si>
    <t>DIN3055</t>
  </si>
  <si>
    <t>DIN3056</t>
  </si>
  <si>
    <t>DIN3057</t>
  </si>
  <si>
    <t>DIN3058</t>
  </si>
  <si>
    <t>DIN3059</t>
  </si>
  <si>
    <t>DIN3060</t>
  </si>
  <si>
    <t>DIN3061</t>
  </si>
  <si>
    <t>DIN3062</t>
  </si>
  <si>
    <t>DIN3063</t>
  </si>
  <si>
    <t>DIN3064</t>
  </si>
  <si>
    <t>DIN3065</t>
  </si>
  <si>
    <t>DIN3066</t>
  </si>
  <si>
    <t>DIN3067</t>
  </si>
  <si>
    <t>DIN3068</t>
  </si>
  <si>
    <t>DIN3069</t>
  </si>
  <si>
    <t>DIN3070</t>
  </si>
  <si>
    <t>DIN3071</t>
  </si>
  <si>
    <t>DIN3072</t>
  </si>
  <si>
    <t>DIN3073</t>
  </si>
  <si>
    <t>DIN3074</t>
  </si>
  <si>
    <t>DIN3075</t>
  </si>
  <si>
    <t>DIN3076</t>
  </si>
  <si>
    <t>DIN3077</t>
  </si>
  <si>
    <t>DIN3078</t>
  </si>
  <si>
    <t>DIN3079</t>
  </si>
  <si>
    <t>DON3101</t>
  </si>
  <si>
    <t>DON3102</t>
  </si>
  <si>
    <t>DON3103</t>
  </si>
  <si>
    <t>DON3104</t>
  </si>
  <si>
    <t>DON3105</t>
  </si>
  <si>
    <t>DON3106</t>
  </si>
  <si>
    <t>DON3107</t>
  </si>
  <si>
    <t>DON3108</t>
  </si>
  <si>
    <t>DON3109</t>
  </si>
  <si>
    <t>DON3110</t>
  </si>
  <si>
    <t>DON3151</t>
  </si>
  <si>
    <t>DON3152</t>
  </si>
  <si>
    <t>DON3153</t>
  </si>
  <si>
    <t>DON3154</t>
  </si>
  <si>
    <t>DON3155</t>
  </si>
  <si>
    <t>DON3156</t>
  </si>
  <si>
    <t>DON3157</t>
  </si>
  <si>
    <t>DON3158</t>
  </si>
  <si>
    <t>DON3159</t>
  </si>
  <si>
    <t>DON3160</t>
  </si>
  <si>
    <t>SDIM/SDIB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</si>
</sst>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8"/>
      <name val="Times New Roman"/>
    </font>
    <font>
      <sz val="10"/>
      <name val="Times New Roman"/>
      <family val="1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2" fontId="0" fillId="0" borderId="1" applyNumberFormat="0">
      <alignment horizontal="center"/>
      <protection hidden="1"/>
    </xf>
    <xf numFmtId="2" fontId="1" fillId="0" borderId="1">
      <alignment horizontal="center"/>
      <protection hidden="1"/>
    </xf>
  </cellStyleXfs>
  <cellXfs count="193">
    <xf numFmtId="2" fontId="0" fillId="0" borderId="1" xfId="0">
      <alignment horizontal="center"/>
      <protection hidden="1"/>
    </xf>
    <xf numFmtId="1" fontId="6" fillId="0" borderId="0" xfId="1" applyNumberFormat="1" applyFont="1" applyBorder="1">
      <alignment horizontal="center"/>
      <protection hidden="1"/>
    </xf>
    <xf numFmtId="2" fontId="6" fillId="0" borderId="0" xfId="0" applyFont="1" applyBorder="1" applyAlignment="1">
      <alignment horizontal="left" indent="1" shrinkToFit="1"/>
      <protection hidden="1"/>
    </xf>
    <xf numFmtId="2" fontId="6" fillId="0" borderId="0" xfId="0" applyFont="1" applyBorder="1" applyAlignment="1">
      <alignment horizontal="left" shrinkToFit="1"/>
      <protection hidden="1"/>
    </xf>
    <xf numFmtId="2" fontId="6" fillId="0" borderId="0" xfId="0" applyFont="1" applyBorder="1" applyAlignment="1">
      <alignment horizontal="center"/>
      <protection hidden="1"/>
    </xf>
    <xf numFmtId="1" fontId="6" fillId="0" borderId="0" xfId="0" applyNumberFormat="1" applyFont="1" applyBorder="1" applyAlignment="1">
      <alignment horizontal="center"/>
      <protection hidden="1"/>
    </xf>
    <xf numFmtId="2" fontId="6" fillId="0" borderId="0" xfId="0" applyFont="1" applyBorder="1" applyAlignment="1">
      <alignment horizontal="center" shrinkToFit="1"/>
      <protection hidden="1"/>
    </xf>
    <xf numFmtId="2" fontId="6" fillId="0" borderId="0" xfId="0" applyFont="1" applyBorder="1">
      <alignment horizontal="center"/>
      <protection hidden="1"/>
    </xf>
    <xf numFmtId="1" fontId="6" fillId="0" borderId="0" xfId="0" applyNumberFormat="1" applyFont="1" applyBorder="1" applyAlignment="1" applyProtection="1">
      <alignment horizontal="right" vertical="center"/>
      <protection hidden="1"/>
    </xf>
    <xf numFmtId="1" fontId="6" fillId="0" borderId="0" xfId="0" applyNumberFormat="1" applyFont="1" applyBorder="1" applyAlignment="1" applyProtection="1">
      <alignment horizontal="left" vertical="center" indent="1" shrinkToFit="1"/>
      <protection hidden="1"/>
    </xf>
    <xf numFmtId="2" fontId="7" fillId="0" borderId="0" xfId="0" applyFont="1" applyBorder="1" applyAlignment="1">
      <alignment horizontal="center" shrinkToFit="1"/>
      <protection hidden="1"/>
    </xf>
    <xf numFmtId="2" fontId="6" fillId="0" borderId="0" xfId="0" applyFont="1" applyBorder="1" applyAlignment="1">
      <protection hidden="1"/>
    </xf>
    <xf numFmtId="1" fontId="6" fillId="0" borderId="0" xfId="0" applyNumberFormat="1" applyFont="1" applyBorder="1" applyAlignment="1">
      <protection hidden="1"/>
    </xf>
    <xf numFmtId="2" fontId="6" fillId="0" borderId="0" xfId="0" applyFont="1" applyBorder="1" applyAlignment="1">
      <alignment shrinkToFit="1"/>
      <protection hidden="1"/>
    </xf>
    <xf numFmtId="1" fontId="6" fillId="0" borderId="0" xfId="0" applyNumberFormat="1" applyFont="1" applyBorder="1" applyAlignment="1" applyProtection="1">
      <alignment horizontal="left"/>
      <protection hidden="1"/>
    </xf>
    <xf numFmtId="2" fontId="6" fillId="0" borderId="0" xfId="0" applyFont="1" applyFill="1" applyBorder="1" applyAlignment="1">
      <protection hidden="1"/>
    </xf>
    <xf numFmtId="1" fontId="6" fillId="0" borderId="0" xfId="0" applyNumberFormat="1" applyFont="1" applyFill="1" applyBorder="1" applyAlignment="1">
      <protection hidden="1"/>
    </xf>
    <xf numFmtId="2" fontId="7" fillId="0" borderId="2" xfId="0" applyFont="1" applyBorder="1" applyAlignment="1">
      <alignment horizontal="centerContinuous" shrinkToFit="1"/>
      <protection hidden="1"/>
    </xf>
    <xf numFmtId="1" fontId="6" fillId="0" borderId="0" xfId="0" applyNumberFormat="1" applyFont="1" applyBorder="1">
      <alignment horizontal="center"/>
      <protection hidden="1"/>
    </xf>
    <xf numFmtId="164" fontId="7" fillId="0" borderId="0" xfId="0" applyNumberFormat="1" applyFont="1" applyBorder="1" applyAlignment="1">
      <alignment horizontal="left"/>
      <protection hidden="1"/>
    </xf>
    <xf numFmtId="2" fontId="6" fillId="0" borderId="0" xfId="0" applyFont="1" applyBorder="1" applyAlignment="1">
      <alignment vertical="center" shrinkToFit="1"/>
      <protection hidden="1"/>
    </xf>
    <xf numFmtId="1" fontId="6" fillId="0" borderId="0" xfId="0" applyNumberFormat="1" applyFont="1" applyBorder="1" applyAlignment="1">
      <alignment horizontal="left"/>
      <protection hidden="1"/>
    </xf>
    <xf numFmtId="164" fontId="7" fillId="0" borderId="0" xfId="0" applyNumberFormat="1" applyFont="1" applyBorder="1" applyAlignment="1">
      <alignment horizontal="left" indent="3"/>
      <protection hidden="1"/>
    </xf>
    <xf numFmtId="164" fontId="6" fillId="0" borderId="0" xfId="0" applyNumberFormat="1" applyFont="1" applyBorder="1" applyAlignment="1">
      <protection hidden="1"/>
    </xf>
    <xf numFmtId="2" fontId="6" fillId="0" borderId="0" xfId="0" applyFont="1" applyFill="1" applyBorder="1">
      <alignment horizontal="center"/>
      <protection hidden="1"/>
    </xf>
    <xf numFmtId="1" fontId="6" fillId="0" borderId="0" xfId="0" applyNumberFormat="1" applyFont="1" applyFill="1" applyBorder="1">
      <alignment horizontal="center"/>
      <protection hidden="1"/>
    </xf>
    <xf numFmtId="164" fontId="6" fillId="0" borderId="0" xfId="1" applyNumberFormat="1" applyFont="1" applyBorder="1" applyAlignment="1">
      <alignment horizontal="center"/>
      <protection hidden="1"/>
    </xf>
    <xf numFmtId="2" fontId="7" fillId="0" borderId="2" xfId="0" applyFont="1" applyBorder="1" applyAlignment="1">
      <alignment horizontal="center" vertical="center"/>
      <protection hidden="1"/>
    </xf>
    <xf numFmtId="2" fontId="7" fillId="0" borderId="2" xfId="0" applyFont="1" applyBorder="1" applyAlignment="1">
      <alignment horizontal="center" vertical="center" shrinkToFit="1"/>
      <protection hidden="1"/>
    </xf>
    <xf numFmtId="2" fontId="7" fillId="0" borderId="3" xfId="0" applyFont="1" applyBorder="1" applyAlignment="1">
      <alignment horizontal="center" shrinkToFit="1"/>
      <protection hidden="1"/>
    </xf>
    <xf numFmtId="2" fontId="7" fillId="0" borderId="3" xfId="0" applyFont="1" applyBorder="1" applyAlignment="1">
      <alignment horizontal="center"/>
      <protection hidden="1"/>
    </xf>
    <xf numFmtId="1" fontId="7" fillId="0" borderId="3" xfId="0" applyNumberFormat="1" applyFont="1" applyBorder="1" applyAlignment="1">
      <alignment horizontal="center"/>
      <protection hidden="1"/>
    </xf>
    <xf numFmtId="2" fontId="7" fillId="0" borderId="3" xfId="0" applyFont="1" applyBorder="1" applyAlignment="1">
      <alignment horizontal="center" vertical="center" shrinkToFit="1"/>
      <protection hidden="1"/>
    </xf>
    <xf numFmtId="164" fontId="6" fillId="0" borderId="3" xfId="1" applyNumberFormat="1" applyFont="1" applyBorder="1" applyAlignment="1">
      <alignment horizontal="center"/>
      <protection hidden="1"/>
    </xf>
    <xf numFmtId="1" fontId="6" fillId="0" borderId="4" xfId="0" applyNumberFormat="1" applyFont="1" applyBorder="1" applyAlignment="1">
      <alignment horizontal="center" vertical="center" wrapText="1" shrinkToFit="1"/>
      <protection hidden="1"/>
    </xf>
    <xf numFmtId="49" fontId="6" fillId="0" borderId="5" xfId="0" applyNumberFormat="1" applyFont="1" applyBorder="1" applyAlignment="1">
      <alignment horizontal="center" wrapText="1"/>
      <protection hidden="1"/>
    </xf>
    <xf numFmtId="2" fontId="6" fillId="0" borderId="5" xfId="0" applyFont="1" applyBorder="1" applyAlignment="1">
      <alignment horizontal="left" indent="1" shrinkToFit="1"/>
      <protection hidden="1"/>
    </xf>
    <xf numFmtId="2" fontId="6" fillId="0" borderId="5" xfId="0" applyFont="1" applyBorder="1" applyAlignment="1">
      <alignment horizontal="center"/>
      <protection hidden="1"/>
    </xf>
    <xf numFmtId="1" fontId="6" fillId="0" borderId="5" xfId="0" applyNumberFormat="1" applyFont="1" applyBorder="1" applyAlignment="1">
      <alignment horizontal="center"/>
      <protection hidden="1"/>
    </xf>
    <xf numFmtId="1" fontId="6" fillId="0" borderId="5" xfId="0" applyNumberFormat="1" applyFont="1" applyBorder="1" applyAlignment="1">
      <alignment horizontal="center" shrinkToFit="1"/>
      <protection hidden="1"/>
    </xf>
    <xf numFmtId="164" fontId="6" fillId="0" borderId="5" xfId="1" applyNumberFormat="1" applyFont="1" applyBorder="1" applyAlignment="1">
      <alignment horizontal="center"/>
      <protection hidden="1"/>
    </xf>
    <xf numFmtId="164" fontId="6" fillId="0" borderId="5" xfId="1" applyNumberFormat="1" applyFont="1" applyBorder="1" applyAlignment="1">
      <alignment horizontal="left" indent="1"/>
      <protection hidden="1"/>
    </xf>
    <xf numFmtId="2" fontId="6" fillId="0" borderId="5" xfId="0" applyFont="1" applyFill="1" applyBorder="1" applyAlignment="1">
      <alignment horizontal="left" indent="1"/>
      <protection hidden="1"/>
    </xf>
    <xf numFmtId="1" fontId="6" fillId="0" borderId="5" xfId="0" applyNumberFormat="1" applyFont="1" applyFill="1" applyBorder="1" applyAlignment="1">
      <alignment horizontal="left" indent="1"/>
      <protection hidden="1"/>
    </xf>
    <xf numFmtId="2" fontId="6" fillId="0" borderId="6" xfId="0" applyFont="1" applyBorder="1" applyAlignment="1">
      <alignment horizontal="left" indent="1" shrinkToFit="1"/>
      <protection hidden="1"/>
    </xf>
    <xf numFmtId="2" fontId="7" fillId="0" borderId="5" xfId="0" applyFont="1" applyFill="1" applyBorder="1" applyAlignment="1">
      <alignment horizontal="center"/>
      <protection hidden="1"/>
    </xf>
    <xf numFmtId="1" fontId="7" fillId="0" borderId="5" xfId="0" applyNumberFormat="1" applyFont="1" applyFill="1" applyBorder="1" applyAlignment="1">
      <alignment horizontal="center"/>
      <protection hidden="1"/>
    </xf>
    <xf numFmtId="164" fontId="6" fillId="0" borderId="5" xfId="1" applyNumberFormat="1" applyFont="1" applyFill="1" applyBorder="1" applyAlignment="1">
      <alignment horizontal="center"/>
      <protection hidden="1"/>
    </xf>
    <xf numFmtId="164" fontId="6" fillId="0" borderId="5" xfId="0" applyNumberFormat="1" applyFont="1" applyBorder="1">
      <alignment horizontal="center"/>
      <protection hidden="1"/>
    </xf>
    <xf numFmtId="164" fontId="6" fillId="0" borderId="0" xfId="0" applyNumberFormat="1" applyFont="1" applyBorder="1">
      <alignment horizontal="center"/>
      <protection hidden="1"/>
    </xf>
    <xf numFmtId="1" fontId="6" fillId="0" borderId="7" xfId="0" applyNumberFormat="1" applyFont="1" applyBorder="1" applyAlignment="1">
      <alignment horizontal="center" vertical="center" wrapText="1" shrinkToFit="1"/>
      <protection hidden="1"/>
    </xf>
    <xf numFmtId="1" fontId="6" fillId="0" borderId="7" xfId="0" applyNumberFormat="1" applyFont="1" applyBorder="1" applyAlignment="1">
      <alignment horizontal="center" vertical="center" wrapText="1" shrinkToFit="1"/>
      <protection hidden="1"/>
    </xf>
    <xf numFmtId="1" fontId="7" fillId="0" borderId="8" xfId="0" applyNumberFormat="1" applyFont="1" applyBorder="1" applyAlignment="1">
      <alignment vertical="center" wrapText="1" shrinkToFit="1"/>
      <protection hidden="1"/>
    </xf>
    <xf numFmtId="1" fontId="7" fillId="0" borderId="9" xfId="0" applyNumberFormat="1" applyFont="1" applyBorder="1" applyAlignment="1">
      <alignment vertical="center" wrapText="1" shrinkToFit="1"/>
      <protection hidden="1"/>
    </xf>
    <xf numFmtId="1" fontId="6" fillId="0" borderId="0" xfId="0" applyNumberFormat="1" applyFont="1" applyBorder="1" applyAlignment="1">
      <alignment horizontal="center" vertical="center"/>
      <protection hidden="1"/>
    </xf>
    <xf numFmtId="1" fontId="6" fillId="0" borderId="0" xfId="1" applyNumberFormat="1" applyFont="1" applyBorder="1" applyAlignment="1">
      <alignment horizontal="center" vertical="center"/>
      <protection hidden="1"/>
    </xf>
    <xf numFmtId="2" fontId="6" fillId="0" borderId="0" xfId="0" applyFont="1" applyBorder="1" applyAlignment="1">
      <alignment horizontal="left" vertical="center" shrinkToFit="1"/>
      <protection hidden="1"/>
    </xf>
    <xf numFmtId="2" fontId="6" fillId="0" borderId="0" xfId="0" applyFont="1" applyBorder="1" applyAlignment="1">
      <alignment horizontal="center" vertical="center"/>
      <protection hidden="1"/>
    </xf>
    <xf numFmtId="2" fontId="6" fillId="0" borderId="0" xfId="0" applyFont="1" applyBorder="1" applyAlignment="1">
      <alignment horizontal="center" vertical="center" shrinkToFit="1"/>
      <protection hidden="1"/>
    </xf>
    <xf numFmtId="164" fontId="7" fillId="0" borderId="0" xfId="0" applyNumberFormat="1" applyFont="1" applyBorder="1" applyAlignment="1">
      <alignment horizontal="left" vertical="center"/>
      <protection hidden="1"/>
    </xf>
    <xf numFmtId="1" fontId="6" fillId="0" borderId="0" xfId="0" applyNumberFormat="1" applyFont="1" applyBorder="1" applyAlignment="1" applyProtection="1">
      <alignment horizontal="left" vertical="center" shrinkToFit="1"/>
      <protection hidden="1"/>
    </xf>
    <xf numFmtId="1" fontId="6" fillId="0" borderId="0" xfId="0" applyNumberFormat="1" applyFont="1" applyBorder="1" applyAlignment="1">
      <alignment horizontal="left" vertical="center"/>
      <protection hidden="1"/>
    </xf>
    <xf numFmtId="15" fontId="6" fillId="0" borderId="0" xfId="0" applyNumberFormat="1" applyFont="1" applyBorder="1" applyAlignment="1" applyProtection="1">
      <alignment horizontal="left" vertical="center" shrinkToFit="1"/>
      <protection hidden="1"/>
    </xf>
    <xf numFmtId="164" fontId="6" fillId="0" borderId="0" xfId="0" applyNumberFormat="1" applyFont="1" applyBorder="1" applyAlignment="1">
      <alignment vertical="center"/>
      <protection hidden="1"/>
    </xf>
    <xf numFmtId="2" fontId="6" fillId="0" borderId="0" xfId="0" applyFont="1" applyFill="1" applyBorder="1" applyAlignment="1">
      <alignment horizontal="center" vertical="center"/>
      <protection hidden="1"/>
    </xf>
    <xf numFmtId="1" fontId="6" fillId="0" borderId="0" xfId="0" applyNumberFormat="1" applyFont="1" applyFill="1" applyBorder="1" applyAlignment="1">
      <alignment horizontal="center" vertical="center"/>
      <protection hidden="1"/>
    </xf>
    <xf numFmtId="2" fontId="7" fillId="0" borderId="0" xfId="0" applyFont="1" applyBorder="1" applyAlignment="1">
      <alignment horizontal="center" vertical="center" shrinkToFit="1"/>
      <protection hidden="1"/>
    </xf>
    <xf numFmtId="2" fontId="6" fillId="0" borderId="0" xfId="0" applyFont="1" applyBorder="1" applyAlignment="1">
      <alignment vertical="center"/>
      <protection hidden="1"/>
    </xf>
    <xf numFmtId="1" fontId="6" fillId="0" borderId="0" xfId="0" applyNumberFormat="1" applyFont="1" applyBorder="1" applyAlignment="1">
      <alignment vertical="center"/>
      <protection hidden="1"/>
    </xf>
    <xf numFmtId="1" fontId="6" fillId="0" borderId="0" xfId="0" applyNumberFormat="1" applyFont="1" applyBorder="1" applyAlignment="1" applyProtection="1">
      <alignment horizontal="left" vertical="center"/>
      <protection hidden="1"/>
    </xf>
    <xf numFmtId="164" fontId="6" fillId="0" borderId="0" xfId="1" applyNumberFormat="1" applyFont="1" applyBorder="1" applyAlignment="1">
      <alignment horizontal="center" vertical="center"/>
      <protection hidden="1"/>
    </xf>
    <xf numFmtId="2" fontId="6" fillId="0" borderId="0" xfId="0" applyFont="1" applyFill="1" applyBorder="1" applyAlignment="1">
      <alignment vertical="center"/>
      <protection hidden="1"/>
    </xf>
    <xf numFmtId="1" fontId="6" fillId="0" borderId="0" xfId="0" applyNumberFormat="1" applyFont="1" applyFill="1" applyBorder="1" applyAlignment="1">
      <alignment vertical="center"/>
      <protection hidden="1"/>
    </xf>
    <xf numFmtId="2" fontId="7" fillId="0" borderId="2" xfId="0" applyFont="1" applyBorder="1" applyAlignment="1">
      <alignment horizontal="center" vertical="center" shrinkToFit="1"/>
      <protection hidden="1"/>
    </xf>
    <xf numFmtId="2" fontId="7" fillId="0" borderId="2" xfId="0" applyFont="1" applyBorder="1" applyAlignment="1">
      <alignment horizontal="centerContinuous" vertical="center" shrinkToFit="1"/>
      <protection hidden="1"/>
    </xf>
    <xf numFmtId="2" fontId="7" fillId="0" borderId="2" xfId="0" applyFont="1" applyBorder="1" applyAlignment="1">
      <alignment horizontal="centerContinuous" vertical="center"/>
      <protection hidden="1"/>
    </xf>
    <xf numFmtId="1" fontId="7" fillId="0" borderId="2" xfId="0" applyNumberFormat="1" applyFont="1" applyBorder="1" applyAlignment="1">
      <alignment horizontal="centerContinuous" vertical="center"/>
      <protection hidden="1"/>
    </xf>
    <xf numFmtId="1" fontId="7" fillId="0" borderId="2" xfId="0" applyNumberFormat="1" applyFont="1" applyFill="1" applyBorder="1" applyAlignment="1">
      <alignment horizontal="centerContinuous" vertical="center"/>
      <protection hidden="1"/>
    </xf>
    <xf numFmtId="2" fontId="7" fillId="0" borderId="0" xfId="0" applyFont="1" applyBorder="1" applyAlignment="1">
      <alignment horizontal="center" vertical="center"/>
      <protection hidden="1"/>
    </xf>
    <xf numFmtId="2" fontId="7" fillId="0" borderId="3" xfId="0" applyFont="1" applyBorder="1" applyAlignment="1">
      <alignment horizontal="center" vertical="center"/>
      <protection hidden="1"/>
    </xf>
    <xf numFmtId="1" fontId="7" fillId="0" borderId="3" xfId="0" applyNumberFormat="1" applyFont="1" applyBorder="1" applyAlignment="1">
      <alignment horizontal="center" vertical="center"/>
      <protection hidden="1"/>
    </xf>
    <xf numFmtId="164" fontId="7" fillId="0" borderId="3" xfId="1" applyNumberFormat="1" applyFont="1" applyBorder="1" applyAlignment="1">
      <alignment horizontal="center" vertical="center"/>
      <protection hidden="1"/>
    </xf>
    <xf numFmtId="2" fontId="7" fillId="0" borderId="3" xfId="0" applyFont="1" applyFill="1" applyBorder="1" applyAlignment="1">
      <alignment horizontal="center" vertical="center"/>
      <protection hidden="1"/>
    </xf>
    <xf numFmtId="1" fontId="7" fillId="0" borderId="3" xfId="0" applyNumberFormat="1" applyFont="1" applyFill="1" applyBorder="1" applyAlignment="1">
      <alignment horizontal="center" vertical="center"/>
      <protection hidden="1"/>
    </xf>
    <xf numFmtId="49" fontId="6" fillId="0" borderId="5" xfId="0" applyNumberFormat="1" applyFont="1" applyBorder="1" applyAlignment="1">
      <alignment horizontal="center" vertical="center" wrapText="1"/>
      <protection hidden="1"/>
    </xf>
    <xf numFmtId="2" fontId="6" fillId="0" borderId="5" xfId="0" applyFont="1" applyBorder="1" applyAlignment="1">
      <alignment horizontal="center" vertical="center"/>
      <protection hidden="1"/>
    </xf>
    <xf numFmtId="1" fontId="6" fillId="0" borderId="5" xfId="0" applyNumberFormat="1" applyFont="1" applyBorder="1" applyAlignment="1">
      <alignment horizontal="center" vertical="center"/>
      <protection hidden="1"/>
    </xf>
    <xf numFmtId="1" fontId="6" fillId="0" borderId="5" xfId="0" applyNumberFormat="1" applyFont="1" applyBorder="1" applyAlignment="1">
      <alignment horizontal="center" vertical="center" shrinkToFit="1"/>
      <protection hidden="1"/>
    </xf>
    <xf numFmtId="164" fontId="6" fillId="0" borderId="5" xfId="1" applyNumberFormat="1" applyFont="1" applyBorder="1" applyAlignment="1">
      <alignment horizontal="center" vertical="center"/>
      <protection hidden="1"/>
    </xf>
    <xf numFmtId="164" fontId="6" fillId="0" borderId="5" xfId="1" applyNumberFormat="1" applyFont="1" applyBorder="1" applyAlignment="1">
      <alignment horizontal="left" vertical="center"/>
      <protection hidden="1"/>
    </xf>
    <xf numFmtId="2" fontId="6" fillId="0" borderId="5" xfId="0" applyFont="1" applyFill="1" applyBorder="1" applyAlignment="1">
      <alignment horizontal="left" vertical="center"/>
      <protection hidden="1"/>
    </xf>
    <xf numFmtId="1" fontId="6" fillId="0" borderId="5" xfId="0" applyNumberFormat="1" applyFont="1" applyFill="1" applyBorder="1" applyAlignment="1">
      <alignment horizontal="left" vertical="center"/>
      <protection hidden="1"/>
    </xf>
    <xf numFmtId="2" fontId="6" fillId="0" borderId="6" xfId="0" applyFont="1" applyBorder="1" applyAlignment="1">
      <alignment horizontal="left" vertical="center" shrinkToFit="1"/>
      <protection hidden="1"/>
    </xf>
    <xf numFmtId="2" fontId="7" fillId="0" borderId="5" xfId="0" applyFont="1" applyFill="1" applyBorder="1" applyAlignment="1">
      <alignment horizontal="center" vertical="center"/>
      <protection hidden="1"/>
    </xf>
    <xf numFmtId="1" fontId="7" fillId="0" borderId="5" xfId="0" applyNumberFormat="1" applyFont="1" applyFill="1" applyBorder="1" applyAlignment="1">
      <alignment horizontal="center" vertical="center"/>
      <protection hidden="1"/>
    </xf>
    <xf numFmtId="164" fontId="6" fillId="0" borderId="5" xfId="1" applyNumberFormat="1" applyFont="1" applyFill="1" applyBorder="1" applyAlignment="1">
      <alignment horizontal="center" vertical="center"/>
      <protection hidden="1"/>
    </xf>
    <xf numFmtId="164" fontId="6" fillId="0" borderId="5" xfId="0" applyNumberFormat="1" applyFont="1" applyBorder="1" applyAlignment="1">
      <alignment horizontal="center" vertical="center"/>
      <protection hidden="1"/>
    </xf>
    <xf numFmtId="1" fontId="6" fillId="0" borderId="5" xfId="0" applyNumberFormat="1" applyFont="1" applyBorder="1" applyAlignment="1" applyProtection="1">
      <alignment horizontal="center" vertical="center"/>
      <protection hidden="1"/>
    </xf>
    <xf numFmtId="49" fontId="6" fillId="0" borderId="3" xfId="0" applyNumberFormat="1" applyFont="1" applyBorder="1" applyAlignment="1">
      <alignment horizontal="center" vertical="center" wrapText="1"/>
      <protection hidden="1"/>
    </xf>
    <xf numFmtId="2" fontId="6" fillId="0" borderId="3" xfId="0" applyFont="1" applyBorder="1" applyAlignment="1">
      <alignment horizontal="center" vertical="center"/>
      <protection hidden="1"/>
    </xf>
    <xf numFmtId="1" fontId="6" fillId="0" borderId="3" xfId="0" applyNumberFormat="1" applyFont="1" applyBorder="1" applyAlignment="1">
      <alignment horizontal="center" vertical="center"/>
      <protection hidden="1"/>
    </xf>
    <xf numFmtId="1" fontId="6" fillId="0" borderId="3" xfId="0" applyNumberFormat="1" applyFont="1" applyBorder="1" applyAlignment="1">
      <alignment horizontal="center" vertical="center" shrinkToFit="1"/>
      <protection hidden="1"/>
    </xf>
    <xf numFmtId="164" fontId="6" fillId="0" borderId="3" xfId="1" applyNumberFormat="1" applyFont="1" applyBorder="1" applyAlignment="1">
      <alignment horizontal="center" vertical="center"/>
      <protection hidden="1"/>
    </xf>
    <xf numFmtId="2" fontId="6" fillId="0" borderId="10" xfId="0" applyFont="1" applyBorder="1" applyAlignment="1">
      <alignment horizontal="left" vertical="center" shrinkToFit="1"/>
      <protection hidden="1"/>
    </xf>
    <xf numFmtId="164" fontId="6" fillId="0" borderId="0" xfId="0" applyNumberFormat="1" applyFont="1" applyBorder="1" applyAlignment="1">
      <alignment horizontal="center" vertical="center"/>
      <protection hidden="1"/>
    </xf>
    <xf numFmtId="2" fontId="6" fillId="0" borderId="5" xfId="0" applyFont="1" applyBorder="1" applyAlignment="1">
      <alignment horizontal="left" vertical="center" indent="1" shrinkToFit="1"/>
      <protection hidden="1"/>
    </xf>
    <xf numFmtId="2" fontId="6" fillId="0" borderId="3" xfId="0" applyFont="1" applyBorder="1" applyAlignment="1">
      <alignment horizontal="left" vertical="center" indent="1" shrinkToFit="1"/>
      <protection hidden="1"/>
    </xf>
    <xf numFmtId="2" fontId="6" fillId="0" borderId="0" xfId="0" applyFont="1" applyBorder="1" applyAlignment="1">
      <alignment horizontal="left" vertical="center" indent="1" shrinkToFit="1"/>
      <protection hidden="1"/>
    </xf>
    <xf numFmtId="2" fontId="7" fillId="0" borderId="2" xfId="0" applyFont="1" applyBorder="1" applyAlignment="1">
      <alignment horizontal="center" vertical="center" shrinkToFit="1"/>
      <protection hidden="1"/>
    </xf>
    <xf numFmtId="164" fontId="7" fillId="0" borderId="0" xfId="0" applyNumberFormat="1" applyFont="1" applyBorder="1" applyAlignment="1">
      <alignment horizontal="left"/>
      <protection hidden="1"/>
    </xf>
    <xf numFmtId="2" fontId="7" fillId="0" borderId="0" xfId="0" applyFont="1" applyBorder="1" applyAlignment="1">
      <alignment horizontal="center" shrinkToFit="1"/>
      <protection hidden="1"/>
    </xf>
    <xf numFmtId="1" fontId="6" fillId="0" borderId="7" xfId="0" applyNumberFormat="1" applyFont="1" applyBorder="1" applyAlignment="1">
      <alignment horizontal="center" vertical="center" wrapText="1" shrinkToFit="1"/>
      <protection hidden="1"/>
    </xf>
    <xf numFmtId="2" fontId="6" fillId="0" borderId="3" xfId="0" applyFont="1" applyBorder="1" applyAlignment="1">
      <alignment horizontal="center"/>
      <protection hidden="1"/>
    </xf>
    <xf numFmtId="1" fontId="6" fillId="0" borderId="3" xfId="0" applyNumberFormat="1" applyFont="1" applyBorder="1" applyAlignment="1">
      <alignment horizontal="center"/>
      <protection hidden="1"/>
    </xf>
    <xf numFmtId="2" fontId="7" fillId="0" borderId="2" xfId="0" applyFont="1" applyBorder="1" applyAlignment="1">
      <alignment horizontal="centerContinuous"/>
      <protection hidden="1"/>
    </xf>
    <xf numFmtId="1" fontId="7" fillId="0" borderId="2" xfId="0" applyNumberFormat="1" applyFont="1" applyBorder="1" applyAlignment="1">
      <alignment horizontal="centerContinuous"/>
      <protection hidden="1"/>
    </xf>
    <xf numFmtId="1" fontId="7" fillId="0" borderId="2" xfId="0" applyNumberFormat="1" applyFont="1" applyFill="1" applyBorder="1" applyAlignment="1">
      <alignment horizontal="centerContinuous"/>
      <protection hidden="1"/>
    </xf>
    <xf numFmtId="164" fontId="7" fillId="0" borderId="3" xfId="1" applyNumberFormat="1" applyFont="1" applyBorder="1" applyAlignment="1">
      <alignment horizontal="center"/>
      <protection hidden="1"/>
    </xf>
    <xf numFmtId="2" fontId="7" fillId="0" borderId="3" xfId="0" applyFont="1" applyFill="1" applyBorder="1" applyAlignment="1">
      <alignment horizontal="center"/>
      <protection hidden="1"/>
    </xf>
    <xf numFmtId="1" fontId="7" fillId="0" borderId="3" xfId="0" applyNumberFormat="1" applyFont="1" applyFill="1" applyBorder="1" applyAlignment="1">
      <alignment horizontal="center"/>
      <protection hidden="1"/>
    </xf>
    <xf numFmtId="49" fontId="6" fillId="0" borderId="3" xfId="0" applyNumberFormat="1" applyFont="1" applyBorder="1" applyAlignment="1">
      <alignment horizontal="center" wrapText="1"/>
      <protection hidden="1"/>
    </xf>
    <xf numFmtId="2" fontId="6" fillId="0" borderId="3" xfId="0" applyFont="1" applyBorder="1" applyAlignment="1">
      <alignment horizontal="left" indent="1" shrinkToFit="1"/>
      <protection hidden="1"/>
    </xf>
    <xf numFmtId="1" fontId="6" fillId="0" borderId="3" xfId="0" applyNumberFormat="1" applyFont="1" applyBorder="1" applyAlignment="1">
      <alignment horizontal="center" shrinkToFit="1"/>
      <protection hidden="1"/>
    </xf>
    <xf numFmtId="2" fontId="6" fillId="0" borderId="10" xfId="0" applyFont="1" applyBorder="1" applyAlignment="1">
      <alignment horizontal="left" indent="1" shrinkToFit="1"/>
      <protection hidden="1"/>
    </xf>
    <xf numFmtId="2" fontId="7" fillId="0" borderId="0" xfId="0" applyFont="1" applyBorder="1" applyAlignment="1">
      <alignment shrinkToFit="1"/>
      <protection hidden="1"/>
    </xf>
    <xf numFmtId="2" fontId="7" fillId="0" borderId="0" xfId="0" applyFont="1" applyBorder="1" applyAlignment="1">
      <alignment vertical="center" shrinkToFit="1"/>
      <protection hidden="1"/>
    </xf>
    <xf numFmtId="2" fontId="7" fillId="0" borderId="2" xfId="0" applyFont="1" applyBorder="1" applyAlignment="1">
      <alignment horizontal="center" vertical="center" shrinkToFit="1"/>
      <protection hidden="1"/>
    </xf>
    <xf numFmtId="2" fontId="8" fillId="0" borderId="0" xfId="0" applyFont="1" applyBorder="1" applyAlignment="1">
      <alignment horizontal="center" vertical="center"/>
      <protection hidden="1"/>
    </xf>
    <xf numFmtId="2" fontId="8" fillId="0" borderId="0" xfId="0" applyFont="1" applyBorder="1" applyAlignment="1">
      <alignment horizontal="left" vertical="center"/>
      <protection hidden="1"/>
    </xf>
    <xf numFmtId="2" fontId="7" fillId="0" borderId="2" xfId="0" applyFont="1" applyBorder="1" applyAlignment="1">
      <alignment horizontal="center" vertical="center" shrinkToFit="1"/>
      <protection hidden="1"/>
    </xf>
    <xf numFmtId="2" fontId="8" fillId="0" borderId="5" xfId="0" applyFont="1" applyBorder="1" applyAlignment="1">
      <alignment horizontal="left" vertical="center"/>
      <protection hidden="1"/>
    </xf>
    <xf numFmtId="2" fontId="8" fillId="0" borderId="5" xfId="0" applyFont="1" applyBorder="1" applyAlignment="1">
      <alignment horizontal="center" vertical="center"/>
      <protection hidden="1"/>
    </xf>
    <xf numFmtId="1" fontId="8" fillId="0" borderId="4" xfId="0" applyNumberFormat="1" applyFont="1" applyBorder="1" applyAlignment="1">
      <alignment horizontal="center" vertical="center"/>
      <protection hidden="1"/>
    </xf>
    <xf numFmtId="1" fontId="8" fillId="0" borderId="6" xfId="0" applyNumberFormat="1" applyFont="1" applyBorder="1" applyAlignment="1">
      <alignment horizontal="center" vertical="center"/>
      <protection hidden="1"/>
    </xf>
    <xf numFmtId="1" fontId="8" fillId="0" borderId="7" xfId="0" applyNumberFormat="1" applyFont="1" applyBorder="1" applyAlignment="1">
      <alignment horizontal="center" vertical="center"/>
      <protection hidden="1"/>
    </xf>
    <xf numFmtId="2" fontId="8" fillId="0" borderId="3" xfId="0" applyFont="1" applyBorder="1" applyAlignment="1">
      <alignment horizontal="left" vertical="center"/>
      <protection hidden="1"/>
    </xf>
    <xf numFmtId="2" fontId="8" fillId="0" borderId="3" xfId="0" applyFont="1" applyBorder="1" applyAlignment="1">
      <alignment horizontal="center" vertical="center"/>
      <protection hidden="1"/>
    </xf>
    <xf numFmtId="1" fontId="8" fillId="0" borderId="10" xfId="0" applyNumberFormat="1" applyFont="1" applyBorder="1" applyAlignment="1">
      <alignment horizontal="center" vertical="center"/>
      <protection hidden="1"/>
    </xf>
    <xf numFmtId="1" fontId="8" fillId="0" borderId="11" xfId="0" applyNumberFormat="1" applyFont="1" applyBorder="1" applyAlignment="1">
      <alignment horizontal="center" vertical="center"/>
      <protection hidden="1"/>
    </xf>
    <xf numFmtId="2" fontId="8" fillId="0" borderId="8" xfId="0" applyFont="1" applyBorder="1" applyAlignment="1">
      <alignment horizontal="left" vertical="center"/>
      <protection hidden="1"/>
    </xf>
    <xf numFmtId="2" fontId="8" fillId="0" borderId="8" xfId="0" applyFont="1" applyBorder="1" applyAlignment="1">
      <alignment horizontal="center" vertical="center"/>
      <protection hidden="1"/>
    </xf>
    <xf numFmtId="1" fontId="8" fillId="0" borderId="9" xfId="0" applyNumberFormat="1" applyFont="1" applyBorder="1" applyAlignment="1">
      <alignment horizontal="center" vertical="center"/>
      <protection hidden="1"/>
    </xf>
    <xf numFmtId="2" fontId="9" fillId="0" borderId="3" xfId="0" applyFont="1" applyBorder="1" applyAlignment="1">
      <alignment horizontal="center" vertical="center"/>
      <protection hidden="1"/>
    </xf>
    <xf numFmtId="2" fontId="9" fillId="0" borderId="10" xfId="0" applyFont="1" applyBorder="1" applyAlignment="1">
      <alignment horizontal="center" vertical="center"/>
      <protection hidden="1"/>
    </xf>
    <xf numFmtId="2" fontId="6" fillId="2" borderId="5" xfId="0" applyFont="1" applyFill="1" applyBorder="1" applyAlignment="1">
      <alignment horizontal="center"/>
      <protection hidden="1"/>
    </xf>
    <xf numFmtId="49" fontId="6" fillId="2" borderId="5" xfId="0" applyNumberFormat="1" applyFont="1" applyFill="1" applyBorder="1" applyAlignment="1">
      <alignment horizontal="center" wrapText="1"/>
      <protection hidden="1"/>
    </xf>
    <xf numFmtId="2" fontId="6" fillId="0" borderId="0" xfId="0" applyFont="1" applyBorder="1" applyAlignment="1">
      <alignment horizontal="left"/>
      <protection hidden="1"/>
    </xf>
    <xf numFmtId="0" fontId="6" fillId="0" borderId="0" xfId="0" applyNumberFormat="1" applyFont="1" applyBorder="1">
      <alignment horizontal="center"/>
      <protection hidden="1"/>
    </xf>
    <xf numFmtId="49" fontId="6" fillId="2" borderId="5" xfId="0" applyNumberFormat="1" applyFont="1" applyFill="1" applyBorder="1" applyAlignment="1">
      <alignment horizontal="center" vertical="center" wrapText="1"/>
      <protection hidden="1"/>
    </xf>
    <xf numFmtId="2" fontId="6" fillId="2" borderId="5" xfId="0" applyFont="1" applyFill="1" applyBorder="1" applyAlignment="1">
      <alignment horizontal="center" vertical="center"/>
      <protection hidden="1"/>
    </xf>
    <xf numFmtId="1" fontId="6" fillId="2" borderId="0" xfId="1" applyNumberFormat="1" applyFont="1" applyFill="1" applyBorder="1">
      <alignment horizontal="center"/>
      <protection hidden="1"/>
    </xf>
    <xf numFmtId="1" fontId="6" fillId="2" borderId="0" xfId="0" applyNumberFormat="1" applyFont="1" applyFill="1" applyBorder="1" applyAlignment="1" applyProtection="1">
      <alignment horizontal="right" vertical="center"/>
      <protection hidden="1"/>
    </xf>
    <xf numFmtId="1" fontId="6" fillId="2" borderId="0" xfId="0" applyNumberFormat="1" applyFont="1" applyFill="1" applyBorder="1" applyAlignment="1" applyProtection="1">
      <alignment horizontal="left"/>
      <protection hidden="1"/>
    </xf>
    <xf numFmtId="49" fontId="6" fillId="2" borderId="3" xfId="0" applyNumberFormat="1" applyFont="1" applyFill="1" applyBorder="1" applyAlignment="1">
      <alignment horizontal="center" wrapText="1"/>
      <protection hidden="1"/>
    </xf>
    <xf numFmtId="2" fontId="6" fillId="2" borderId="0" xfId="0" applyFont="1" applyFill="1" applyBorder="1">
      <alignment horizontal="center"/>
      <protection hidden="1"/>
    </xf>
    <xf numFmtId="2" fontId="8" fillId="2" borderId="5" xfId="0" applyFont="1" applyFill="1" applyBorder="1" applyAlignment="1">
      <alignment horizontal="left" vertical="center"/>
      <protection hidden="1"/>
    </xf>
    <xf numFmtId="2" fontId="8" fillId="2" borderId="5" xfId="0" applyFont="1" applyFill="1" applyBorder="1" applyAlignment="1">
      <alignment horizontal="center" vertical="center"/>
      <protection hidden="1"/>
    </xf>
    <xf numFmtId="1" fontId="8" fillId="2" borderId="6" xfId="0" applyNumberFormat="1" applyFont="1" applyFill="1" applyBorder="1" applyAlignment="1">
      <alignment horizontal="center" vertical="center"/>
      <protection hidden="1"/>
    </xf>
    <xf numFmtId="2" fontId="7" fillId="0" borderId="0" xfId="0" applyFont="1" applyBorder="1" applyAlignment="1">
      <alignment horizontal="center" shrinkToFit="1"/>
      <protection hidden="1"/>
    </xf>
    <xf numFmtId="164" fontId="7" fillId="0" borderId="0" xfId="0" applyNumberFormat="1" applyFont="1" applyBorder="1" applyAlignment="1">
      <alignment horizontal="left" vertical="center"/>
      <protection hidden="1"/>
    </xf>
    <xf numFmtId="1" fontId="7" fillId="0" borderId="12" xfId="0" applyNumberFormat="1" applyFont="1" applyBorder="1" applyAlignment="1">
      <alignment horizontal="center" vertical="center" wrapText="1" shrinkToFit="1"/>
      <protection hidden="1"/>
    </xf>
    <xf numFmtId="1" fontId="7" fillId="0" borderId="7" xfId="0" applyNumberFormat="1" applyFont="1" applyBorder="1" applyAlignment="1">
      <alignment horizontal="center" vertical="center" wrapText="1" shrinkToFit="1"/>
      <protection hidden="1"/>
    </xf>
    <xf numFmtId="1" fontId="7" fillId="0" borderId="2" xfId="0" applyNumberFormat="1" applyFont="1" applyBorder="1" applyAlignment="1" applyProtection="1">
      <alignment horizontal="center" vertical="center" wrapText="1"/>
      <protection hidden="1"/>
    </xf>
    <xf numFmtId="2" fontId="7" fillId="0" borderId="3" xfId="0" applyFont="1" applyBorder="1" applyAlignment="1">
      <alignment horizontal="center" vertical="center" wrapText="1"/>
      <protection hidden="1"/>
    </xf>
    <xf numFmtId="2" fontId="7" fillId="0" borderId="2" xfId="0" applyFont="1" applyBorder="1" applyAlignment="1">
      <alignment horizontal="center" vertical="center" shrinkToFit="1"/>
      <protection hidden="1"/>
    </xf>
    <xf numFmtId="164" fontId="7" fillId="0" borderId="2" xfId="0" applyNumberFormat="1" applyFont="1" applyBorder="1" applyAlignment="1">
      <alignment horizontal="center" vertical="center" wrapText="1"/>
      <protection hidden="1"/>
    </xf>
    <xf numFmtId="2" fontId="7" fillId="0" borderId="2" xfId="0" applyFont="1" applyBorder="1" applyAlignment="1">
      <alignment horizontal="center" vertical="center" wrapText="1"/>
      <protection hidden="1"/>
    </xf>
    <xf numFmtId="2" fontId="7" fillId="0" borderId="13" xfId="0" applyFont="1" applyBorder="1" applyAlignment="1">
      <alignment horizontal="center" vertical="center" shrinkToFit="1"/>
      <protection hidden="1"/>
    </xf>
    <xf numFmtId="2" fontId="7" fillId="0" borderId="10" xfId="0" applyFont="1" applyBorder="1" applyAlignment="1">
      <alignment horizontal="center" vertical="center" shrinkToFit="1"/>
      <protection hidden="1"/>
    </xf>
    <xf numFmtId="0" fontId="6" fillId="0" borderId="14" xfId="1" applyNumberFormat="1" applyFont="1" applyBorder="1" applyAlignment="1">
      <alignment horizontal="center" vertical="center" textRotation="90"/>
      <protection hidden="1"/>
    </xf>
    <xf numFmtId="0" fontId="6" fillId="0" borderId="15" xfId="1" applyNumberFormat="1" applyFont="1" applyBorder="1" applyAlignment="1">
      <alignment horizontal="center" vertical="center" textRotation="90"/>
      <protection hidden="1"/>
    </xf>
    <xf numFmtId="0" fontId="6" fillId="0" borderId="8" xfId="1" applyNumberFormat="1" applyFont="1" applyBorder="1" applyAlignment="1">
      <alignment horizontal="center" vertical="center" textRotation="90"/>
      <protection hidden="1"/>
    </xf>
    <xf numFmtId="1" fontId="7" fillId="0" borderId="11" xfId="0" applyNumberFormat="1" applyFont="1" applyBorder="1" applyAlignment="1">
      <alignment horizontal="left" vertical="center" wrapText="1" shrinkToFit="1"/>
      <protection hidden="1"/>
    </xf>
    <xf numFmtId="1" fontId="7" fillId="0" borderId="8" xfId="0" applyNumberFormat="1" applyFont="1" applyBorder="1" applyAlignment="1">
      <alignment horizontal="left" vertical="center" wrapText="1" shrinkToFit="1"/>
      <protection hidden="1"/>
    </xf>
    <xf numFmtId="164" fontId="7" fillId="0" borderId="0" xfId="0" applyNumberFormat="1" applyFont="1" applyBorder="1" applyAlignment="1">
      <alignment horizontal="left"/>
      <protection hidden="1"/>
    </xf>
    <xf numFmtId="1" fontId="7" fillId="0" borderId="2" xfId="0" applyNumberFormat="1" applyFont="1" applyBorder="1" applyAlignment="1" applyProtection="1">
      <alignment horizontal="center" wrapText="1"/>
      <protection hidden="1"/>
    </xf>
    <xf numFmtId="2" fontId="7" fillId="0" borderId="3" xfId="0" applyFont="1" applyBorder="1" applyAlignment="1">
      <alignment horizontal="center" wrapText="1"/>
      <protection hidden="1"/>
    </xf>
    <xf numFmtId="2" fontId="7" fillId="0" borderId="2" xfId="0" applyFont="1" applyBorder="1" applyAlignment="1">
      <alignment horizontal="center" shrinkToFit="1"/>
      <protection hidden="1"/>
    </xf>
    <xf numFmtId="164" fontId="7" fillId="0" borderId="2" xfId="0" applyNumberFormat="1" applyFont="1" applyBorder="1" applyAlignment="1">
      <alignment horizontal="center" wrapText="1"/>
      <protection hidden="1"/>
    </xf>
    <xf numFmtId="2" fontId="7" fillId="0" borderId="2" xfId="0" applyFont="1" applyBorder="1" applyAlignment="1">
      <alignment horizontal="center" wrapText="1"/>
      <protection hidden="1"/>
    </xf>
    <xf numFmtId="164" fontId="6" fillId="0" borderId="14" xfId="1" applyNumberFormat="1" applyFont="1" applyBorder="1" applyAlignment="1">
      <alignment horizontal="center" vertical="center" wrapText="1"/>
      <protection hidden="1"/>
    </xf>
    <xf numFmtId="164" fontId="6" fillId="0" borderId="15" xfId="1" applyNumberFormat="1" applyFont="1" applyBorder="1" applyAlignment="1">
      <alignment horizontal="center" vertical="center" wrapText="1"/>
      <protection hidden="1"/>
    </xf>
    <xf numFmtId="164" fontId="6" fillId="0" borderId="8" xfId="1" applyNumberFormat="1" applyFont="1" applyBorder="1" applyAlignment="1">
      <alignment horizontal="center" vertical="center" wrapText="1"/>
      <protection hidden="1"/>
    </xf>
    <xf numFmtId="1" fontId="7" fillId="2" borderId="2" xfId="0" applyNumberFormat="1" applyFont="1" applyFill="1" applyBorder="1" applyAlignment="1" applyProtection="1">
      <alignment horizontal="center" wrapText="1"/>
      <protection hidden="1"/>
    </xf>
    <xf numFmtId="2" fontId="7" fillId="2" borderId="3" xfId="0" applyFont="1" applyFill="1" applyBorder="1" applyAlignment="1">
      <alignment horizontal="center" wrapText="1"/>
      <protection hidden="1"/>
    </xf>
    <xf numFmtId="2" fontId="9" fillId="0" borderId="4" xfId="0" applyFont="1" applyBorder="1" applyAlignment="1">
      <alignment horizontal="center" vertical="center"/>
      <protection hidden="1"/>
    </xf>
    <xf numFmtId="2" fontId="9" fillId="0" borderId="7" xfId="0" applyFont="1" applyBorder="1" applyAlignment="1">
      <alignment horizontal="center" vertical="center"/>
      <protection hidden="1"/>
    </xf>
    <xf numFmtId="2" fontId="9" fillId="0" borderId="5" xfId="0" applyFont="1" applyBorder="1" applyAlignment="1">
      <alignment horizontal="center" vertical="center"/>
      <protection hidden="1"/>
    </xf>
    <xf numFmtId="2" fontId="9" fillId="0" borderId="3" xfId="0" applyFont="1" applyBorder="1" applyAlignment="1">
      <alignment horizontal="center" vertical="center"/>
      <protection hidden="1"/>
    </xf>
    <xf numFmtId="2" fontId="9" fillId="0" borderId="6" xfId="0" applyFont="1" applyBorder="1" applyAlignment="1">
      <alignment horizontal="center" vertical="center"/>
      <protection hidden="1"/>
    </xf>
    <xf numFmtId="2" fontId="9" fillId="0" borderId="12" xfId="0" applyFont="1" applyBorder="1" applyAlignment="1">
      <alignment horizontal="left" vertical="center"/>
      <protection hidden="1"/>
    </xf>
    <xf numFmtId="2" fontId="9" fillId="0" borderId="2" xfId="0" applyFont="1" applyBorder="1" applyAlignment="1">
      <alignment horizontal="left" vertical="center"/>
      <protection hidden="1"/>
    </xf>
    <xf numFmtId="2" fontId="9" fillId="0" borderId="13" xfId="0" applyFont="1" applyBorder="1" applyAlignment="1">
      <alignment horizontal="left" vertical="center"/>
      <protection hidden="1"/>
    </xf>
  </cellXfs>
  <cellStyles count="2">
    <cellStyle name="Normal" xfId="0" builtinId="0"/>
    <cellStyle name="Number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942975</xdr:colOff>
          <xdr:row>3</xdr:row>
          <xdr:rowOff>19050</xdr:rowOff>
        </xdr:from>
        <xdr:to>
          <xdr:col>7</xdr:col>
          <xdr:colOff>85725</xdr:colOff>
          <xdr:row>4</xdr:row>
          <xdr:rowOff>104775</xdr:rowOff>
        </xdr:to>
        <xdr:sp macro="" textlink="">
          <xdr:nvSpPr>
            <xdr:cNvPr id="8193" name="CommandButton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942975</xdr:colOff>
          <xdr:row>3</xdr:row>
          <xdr:rowOff>9525</xdr:rowOff>
        </xdr:from>
        <xdr:to>
          <xdr:col>6</xdr:col>
          <xdr:colOff>1857375</xdr:colOff>
          <xdr:row>4</xdr:row>
          <xdr:rowOff>95250</xdr:rowOff>
        </xdr:to>
        <xdr:sp macro="" textlink="">
          <xdr:nvSpPr>
            <xdr:cNvPr id="10241" name="CommandButton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942975</xdr:colOff>
          <xdr:row>3</xdr:row>
          <xdr:rowOff>19050</xdr:rowOff>
        </xdr:from>
        <xdr:to>
          <xdr:col>7</xdr:col>
          <xdr:colOff>438150</xdr:colOff>
          <xdr:row>4</xdr:row>
          <xdr:rowOff>104775</xdr:rowOff>
        </xdr:to>
        <xdr:sp macro="" textlink="">
          <xdr:nvSpPr>
            <xdr:cNvPr id="11265" name="CommandButton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942975</xdr:colOff>
          <xdr:row>3</xdr:row>
          <xdr:rowOff>19050</xdr:rowOff>
        </xdr:from>
        <xdr:to>
          <xdr:col>6</xdr:col>
          <xdr:colOff>1857375</xdr:colOff>
          <xdr:row>4</xdr:row>
          <xdr:rowOff>104775</xdr:rowOff>
        </xdr:to>
        <xdr:sp macro="" textlink="">
          <xdr:nvSpPr>
            <xdr:cNvPr id="1059" name="CommandButton1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xdr:oneCellAnchor>
    <xdr:from>
      <xdr:col>2</xdr:col>
      <xdr:colOff>358589</xdr:colOff>
      <xdr:row>18</xdr:row>
      <xdr:rowOff>101004</xdr:rowOff>
    </xdr:from>
    <xdr:ext cx="11686021" cy="937629"/>
    <xdr:sp macro="" textlink="">
      <xdr:nvSpPr>
        <xdr:cNvPr id="2" name="Rectangle 1"/>
        <xdr:cNvSpPr/>
      </xdr:nvSpPr>
      <xdr:spPr>
        <a:xfrm rot="20457994">
          <a:off x="1367118" y="2947298"/>
          <a:ext cx="1168602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Main and backup data network 2 colours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3.emf"/><Relationship Id="rId4" Type="http://schemas.openxmlformats.org/officeDocument/2006/relationships/control" Target="../activeX/activeX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6" Type="http://schemas.openxmlformats.org/officeDocument/2006/relationships/image" Target="../media/image4.emf"/><Relationship Id="rId5" Type="http://schemas.openxmlformats.org/officeDocument/2006/relationships/control" Target="../activeX/activeX4.xm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Q106"/>
  <sheetViews>
    <sheetView tabSelected="1" zoomScale="115" zoomScaleNormal="115" zoomScaleSheetLayoutView="50" workbookViewId="0">
      <pane xSplit="2" topLeftCell="C1" activePane="topRight" state="frozen"/>
      <selection pane="topRight" activeCell="I4" sqref="I4"/>
    </sheetView>
  </sheetViews>
  <sheetFormatPr defaultRowHeight="12.75" x14ac:dyDescent="0.2"/>
  <cols>
    <col min="1" max="1" width="12" style="54" bestFit="1" customWidth="1"/>
    <col min="2" max="2" width="16.1640625" style="57" bestFit="1" customWidth="1"/>
    <col min="3" max="3" width="24" style="56" bestFit="1" customWidth="1"/>
    <col min="4" max="4" width="14.1640625" style="57" bestFit="1" customWidth="1"/>
    <col min="5" max="5" width="8.83203125" style="57" bestFit="1" customWidth="1"/>
    <col min="6" max="6" width="5.5" style="57" bestFit="1" customWidth="1"/>
    <col min="7" max="7" width="27.1640625" style="58" bestFit="1" customWidth="1"/>
    <col min="8" max="8" width="12" style="57" bestFit="1" customWidth="1"/>
    <col min="9" max="9" width="8.83203125" style="57" bestFit="1" customWidth="1"/>
    <col min="10" max="10" width="5.5" style="58" bestFit="1" customWidth="1"/>
    <col min="11" max="11" width="12.1640625" style="57" bestFit="1" customWidth="1"/>
    <col min="12" max="12" width="12.83203125" style="57" bestFit="1" customWidth="1"/>
    <col min="13" max="13" width="3.83203125" style="104" bestFit="1" customWidth="1"/>
    <col min="14" max="14" width="6.6640625" style="104" bestFit="1" customWidth="1"/>
    <col min="15" max="15" width="6.83203125" style="57" bestFit="1" customWidth="1"/>
    <col min="16" max="16" width="4.5" style="54" bestFit="1" customWidth="1"/>
    <col min="17" max="17" width="23.33203125" style="58" bestFit="1" customWidth="1"/>
    <col min="18" max="21" width="9.33203125" style="57"/>
    <col min="22" max="22" width="14.5" style="57" customWidth="1"/>
    <col min="23" max="16384" width="9.33203125" style="57"/>
  </cols>
  <sheetData>
    <row r="1" spans="1:17" x14ac:dyDescent="0.2">
      <c r="B1" s="55"/>
      <c r="E1" s="54"/>
      <c r="G1" s="56"/>
      <c r="I1" s="54"/>
      <c r="M1" s="59"/>
      <c r="N1" s="159" t="s">
        <v>31</v>
      </c>
      <c r="O1" s="159"/>
      <c r="P1" s="159"/>
      <c r="Q1" s="159"/>
    </row>
    <row r="2" spans="1:17" x14ac:dyDescent="0.2">
      <c r="B2" s="8" t="s">
        <v>11</v>
      </c>
      <c r="C2" s="60" t="s">
        <v>28</v>
      </c>
      <c r="D2" s="20" t="s">
        <v>19</v>
      </c>
      <c r="E2" s="61">
        <f>IF(COUNTA(D8:D1064)&gt;(COUNTA(H8:H1064)),(COUNTA(D8:D1064)+COUNTA(H8:H1064))-COUNTA(D8:D1064),(COUNTA(D8:D1064)+COUNTA(H8:H1064))-COUNTA(H8:H1064))</f>
        <v>95</v>
      </c>
      <c r="F2" s="158" t="s">
        <v>281</v>
      </c>
      <c r="G2" s="158"/>
      <c r="H2" s="158"/>
      <c r="I2" s="125"/>
      <c r="M2" s="59"/>
      <c r="N2" s="159"/>
      <c r="O2" s="159"/>
      <c r="P2" s="159"/>
      <c r="Q2" s="159"/>
    </row>
    <row r="3" spans="1:17" x14ac:dyDescent="0.2">
      <c r="B3" s="8" t="s">
        <v>12</v>
      </c>
      <c r="C3" s="62">
        <v>42413</v>
      </c>
      <c r="E3" s="125"/>
      <c r="F3" s="158" t="s">
        <v>695</v>
      </c>
      <c r="G3" s="158"/>
      <c r="H3" s="158"/>
      <c r="I3" s="125"/>
      <c r="J3" s="125"/>
      <c r="M3" s="57"/>
      <c r="N3" s="63" t="s">
        <v>32</v>
      </c>
      <c r="O3" s="64"/>
      <c r="P3" s="65"/>
      <c r="Q3" s="56"/>
    </row>
    <row r="4" spans="1:17" x14ac:dyDescent="0.2">
      <c r="B4" s="8" t="s">
        <v>13</v>
      </c>
      <c r="C4" s="60" t="s">
        <v>30</v>
      </c>
      <c r="E4" s="54"/>
      <c r="G4" s="66"/>
      <c r="H4" s="67"/>
      <c r="I4" s="68"/>
      <c r="J4" s="20"/>
      <c r="M4" s="57"/>
      <c r="N4" s="63"/>
      <c r="O4" s="64"/>
      <c r="P4" s="65"/>
      <c r="Q4" s="56"/>
    </row>
    <row r="5" spans="1:17" ht="13.5" thickBot="1" x14ac:dyDescent="0.25">
      <c r="B5" s="69"/>
      <c r="E5" s="54"/>
      <c r="G5" s="56"/>
      <c r="H5" s="67"/>
      <c r="I5" s="54"/>
      <c r="M5" s="70"/>
      <c r="N5" s="70"/>
      <c r="O5" s="71"/>
      <c r="P5" s="72"/>
      <c r="Q5" s="56"/>
    </row>
    <row r="6" spans="1:17" s="78" customFormat="1" ht="12.75" customHeight="1" x14ac:dyDescent="0.2">
      <c r="A6" s="160" t="s">
        <v>0</v>
      </c>
      <c r="B6" s="162" t="s">
        <v>18</v>
      </c>
      <c r="C6" s="164" t="s">
        <v>2</v>
      </c>
      <c r="D6" s="164"/>
      <c r="E6" s="164"/>
      <c r="F6" s="164"/>
      <c r="G6" s="74" t="s">
        <v>3</v>
      </c>
      <c r="H6" s="75"/>
      <c r="I6" s="76"/>
      <c r="J6" s="74"/>
      <c r="K6" s="27" t="s">
        <v>4</v>
      </c>
      <c r="L6" s="28" t="s">
        <v>21</v>
      </c>
      <c r="M6" s="165" t="s">
        <v>15</v>
      </c>
      <c r="N6" s="166"/>
      <c r="O6" s="166"/>
      <c r="P6" s="77" t="s">
        <v>23</v>
      </c>
      <c r="Q6" s="167" t="s">
        <v>17</v>
      </c>
    </row>
    <row r="7" spans="1:17" s="78" customFormat="1" ht="13.5" thickBot="1" x14ac:dyDescent="0.25">
      <c r="A7" s="161"/>
      <c r="B7" s="163"/>
      <c r="C7" s="32" t="s">
        <v>20</v>
      </c>
      <c r="D7" s="79" t="s">
        <v>6</v>
      </c>
      <c r="E7" s="80" t="s">
        <v>7</v>
      </c>
      <c r="F7" s="79" t="s">
        <v>8</v>
      </c>
      <c r="G7" s="32" t="s">
        <v>5</v>
      </c>
      <c r="H7" s="79" t="s">
        <v>6</v>
      </c>
      <c r="I7" s="80" t="s">
        <v>7</v>
      </c>
      <c r="J7" s="32" t="s">
        <v>8</v>
      </c>
      <c r="K7" s="79" t="s">
        <v>14</v>
      </c>
      <c r="L7" s="32" t="s">
        <v>22</v>
      </c>
      <c r="M7" s="81" t="s">
        <v>16</v>
      </c>
      <c r="N7" s="81" t="s">
        <v>25</v>
      </c>
      <c r="O7" s="82" t="s">
        <v>9</v>
      </c>
      <c r="P7" s="83" t="s">
        <v>24</v>
      </c>
      <c r="Q7" s="168"/>
    </row>
    <row r="8" spans="1:17" x14ac:dyDescent="0.2">
      <c r="A8" s="34">
        <v>1</v>
      </c>
      <c r="B8" s="84" t="s">
        <v>33</v>
      </c>
      <c r="C8" s="105" t="s">
        <v>205</v>
      </c>
      <c r="D8" s="85" t="s">
        <v>93</v>
      </c>
      <c r="E8" s="86"/>
      <c r="F8" s="87"/>
      <c r="G8" s="105" t="s">
        <v>206</v>
      </c>
      <c r="H8" s="85" t="s">
        <v>93</v>
      </c>
      <c r="I8" s="86"/>
      <c r="J8" s="87" t="s">
        <v>94</v>
      </c>
      <c r="K8" s="85" t="s">
        <v>95</v>
      </c>
      <c r="L8" s="85" t="s">
        <v>96</v>
      </c>
      <c r="M8" s="88"/>
      <c r="N8" s="89"/>
      <c r="O8" s="90"/>
      <c r="P8" s="91"/>
      <c r="Q8" s="92"/>
    </row>
    <row r="9" spans="1:17" x14ac:dyDescent="0.2">
      <c r="A9" s="34">
        <f t="shared" ref="A9:A75" si="0">A8+1</f>
        <v>2</v>
      </c>
      <c r="B9" s="84" t="s">
        <v>34</v>
      </c>
      <c r="C9" s="105" t="s">
        <v>205</v>
      </c>
      <c r="D9" s="85" t="s">
        <v>93</v>
      </c>
      <c r="E9" s="86"/>
      <c r="F9" s="87"/>
      <c r="G9" s="105" t="s">
        <v>207</v>
      </c>
      <c r="H9" s="85" t="s">
        <v>93</v>
      </c>
      <c r="I9" s="86"/>
      <c r="J9" s="87" t="s">
        <v>94</v>
      </c>
      <c r="K9" s="85" t="s">
        <v>95</v>
      </c>
      <c r="L9" s="85" t="s">
        <v>96</v>
      </c>
      <c r="M9" s="88"/>
      <c r="N9" s="89"/>
      <c r="O9" s="90"/>
      <c r="P9" s="91"/>
      <c r="Q9" s="92"/>
    </row>
    <row r="10" spans="1:17" x14ac:dyDescent="0.2">
      <c r="A10" s="34">
        <f t="shared" si="0"/>
        <v>3</v>
      </c>
      <c r="B10" s="84" t="s">
        <v>35</v>
      </c>
      <c r="C10" s="105" t="s">
        <v>205</v>
      </c>
      <c r="D10" s="85"/>
      <c r="E10" s="86"/>
      <c r="F10" s="87"/>
      <c r="G10" s="105" t="s">
        <v>208</v>
      </c>
      <c r="H10" s="85" t="s">
        <v>93</v>
      </c>
      <c r="I10" s="86"/>
      <c r="J10" s="87" t="s">
        <v>94</v>
      </c>
      <c r="K10" s="85" t="s">
        <v>95</v>
      </c>
      <c r="L10" s="85" t="s">
        <v>96</v>
      </c>
      <c r="M10" s="88"/>
      <c r="N10" s="88"/>
      <c r="O10" s="93"/>
      <c r="P10" s="94"/>
      <c r="Q10" s="92"/>
    </row>
    <row r="11" spans="1:17" x14ac:dyDescent="0.2">
      <c r="A11" s="34">
        <f t="shared" si="0"/>
        <v>4</v>
      </c>
      <c r="B11" s="84" t="s">
        <v>36</v>
      </c>
      <c r="C11" s="105" t="s">
        <v>205</v>
      </c>
      <c r="D11" s="85" t="s">
        <v>93</v>
      </c>
      <c r="E11" s="86"/>
      <c r="F11" s="87"/>
      <c r="G11" s="105" t="s">
        <v>209</v>
      </c>
      <c r="H11" s="85" t="s">
        <v>93</v>
      </c>
      <c r="I11" s="86"/>
      <c r="J11" s="87" t="s">
        <v>94</v>
      </c>
      <c r="K11" s="85" t="s">
        <v>95</v>
      </c>
      <c r="L11" s="85" t="s">
        <v>96</v>
      </c>
      <c r="M11" s="88"/>
      <c r="N11" s="88"/>
      <c r="O11" s="93"/>
      <c r="P11" s="94"/>
      <c r="Q11" s="92"/>
    </row>
    <row r="12" spans="1:17" x14ac:dyDescent="0.2">
      <c r="A12" s="34">
        <f t="shared" si="0"/>
        <v>5</v>
      </c>
      <c r="B12" s="84" t="s">
        <v>37</v>
      </c>
      <c r="C12" s="105" t="s">
        <v>205</v>
      </c>
      <c r="D12" s="85" t="s">
        <v>93</v>
      </c>
      <c r="E12" s="86"/>
      <c r="F12" s="87"/>
      <c r="G12" s="105" t="s">
        <v>210</v>
      </c>
      <c r="H12" s="85" t="s">
        <v>93</v>
      </c>
      <c r="I12" s="86"/>
      <c r="J12" s="87" t="s">
        <v>94</v>
      </c>
      <c r="K12" s="85" t="s">
        <v>95</v>
      </c>
      <c r="L12" s="85" t="s">
        <v>96</v>
      </c>
      <c r="M12" s="88"/>
      <c r="N12" s="88"/>
      <c r="O12" s="93"/>
      <c r="P12" s="94"/>
      <c r="Q12" s="92"/>
    </row>
    <row r="13" spans="1:17" x14ac:dyDescent="0.2">
      <c r="A13" s="34">
        <f t="shared" si="0"/>
        <v>6</v>
      </c>
      <c r="B13" s="84" t="s">
        <v>38</v>
      </c>
      <c r="C13" s="105" t="s">
        <v>205</v>
      </c>
      <c r="D13" s="85" t="s">
        <v>93</v>
      </c>
      <c r="E13" s="86"/>
      <c r="F13" s="87"/>
      <c r="G13" s="105" t="s">
        <v>211</v>
      </c>
      <c r="H13" s="85" t="s">
        <v>93</v>
      </c>
      <c r="I13" s="86"/>
      <c r="J13" s="87" t="s">
        <v>94</v>
      </c>
      <c r="K13" s="85" t="s">
        <v>95</v>
      </c>
      <c r="L13" s="85" t="s">
        <v>96</v>
      </c>
      <c r="M13" s="88"/>
      <c r="N13" s="88"/>
      <c r="O13" s="93"/>
      <c r="P13" s="94"/>
      <c r="Q13" s="92"/>
    </row>
    <row r="14" spans="1:17" x14ac:dyDescent="0.2">
      <c r="A14" s="34">
        <f t="shared" si="0"/>
        <v>7</v>
      </c>
      <c r="B14" s="84" t="s">
        <v>39</v>
      </c>
      <c r="C14" s="105" t="s">
        <v>205</v>
      </c>
      <c r="D14" s="85" t="s">
        <v>93</v>
      </c>
      <c r="E14" s="86"/>
      <c r="F14" s="87"/>
      <c r="G14" s="105" t="s">
        <v>212</v>
      </c>
      <c r="H14" s="85" t="s">
        <v>93</v>
      </c>
      <c r="I14" s="86"/>
      <c r="J14" s="87" t="s">
        <v>94</v>
      </c>
      <c r="K14" s="85" t="s">
        <v>95</v>
      </c>
      <c r="L14" s="85" t="s">
        <v>96</v>
      </c>
      <c r="M14" s="88"/>
      <c r="N14" s="88"/>
      <c r="O14" s="93"/>
      <c r="P14" s="94"/>
      <c r="Q14" s="92"/>
    </row>
    <row r="15" spans="1:17" x14ac:dyDescent="0.2">
      <c r="A15" s="34">
        <f t="shared" si="0"/>
        <v>8</v>
      </c>
      <c r="B15" s="84" t="s">
        <v>40</v>
      </c>
      <c r="C15" s="105" t="s">
        <v>205</v>
      </c>
      <c r="D15" s="85" t="s">
        <v>93</v>
      </c>
      <c r="E15" s="86"/>
      <c r="F15" s="87"/>
      <c r="G15" s="105" t="s">
        <v>213</v>
      </c>
      <c r="H15" s="85" t="s">
        <v>93</v>
      </c>
      <c r="I15" s="86"/>
      <c r="J15" s="87" t="s">
        <v>94</v>
      </c>
      <c r="K15" s="85" t="s">
        <v>95</v>
      </c>
      <c r="L15" s="85" t="s">
        <v>96</v>
      </c>
      <c r="M15" s="88"/>
      <c r="N15" s="88"/>
      <c r="O15" s="93"/>
      <c r="P15" s="94"/>
      <c r="Q15" s="92"/>
    </row>
    <row r="16" spans="1:17" x14ac:dyDescent="0.2">
      <c r="A16" s="34">
        <f t="shared" si="0"/>
        <v>9</v>
      </c>
      <c r="B16" s="84" t="s">
        <v>41</v>
      </c>
      <c r="C16" s="105" t="s">
        <v>205</v>
      </c>
      <c r="D16" s="85" t="s">
        <v>93</v>
      </c>
      <c r="E16" s="86"/>
      <c r="F16" s="87"/>
      <c r="G16" s="105" t="s">
        <v>214</v>
      </c>
      <c r="H16" s="85" t="s">
        <v>93</v>
      </c>
      <c r="I16" s="86"/>
      <c r="J16" s="87" t="s">
        <v>94</v>
      </c>
      <c r="K16" s="85" t="s">
        <v>95</v>
      </c>
      <c r="L16" s="85" t="s">
        <v>96</v>
      </c>
      <c r="M16" s="88"/>
      <c r="N16" s="88"/>
      <c r="O16" s="93"/>
      <c r="P16" s="94"/>
      <c r="Q16" s="92"/>
    </row>
    <row r="17" spans="1:17" x14ac:dyDescent="0.2">
      <c r="A17" s="34">
        <f t="shared" si="0"/>
        <v>10</v>
      </c>
      <c r="B17" s="84" t="s">
        <v>42</v>
      </c>
      <c r="C17" s="105" t="s">
        <v>205</v>
      </c>
      <c r="D17" s="85" t="s">
        <v>93</v>
      </c>
      <c r="E17" s="86"/>
      <c r="F17" s="87"/>
      <c r="G17" s="105" t="s">
        <v>215</v>
      </c>
      <c r="H17" s="85" t="s">
        <v>93</v>
      </c>
      <c r="I17" s="86"/>
      <c r="J17" s="87" t="s">
        <v>94</v>
      </c>
      <c r="K17" s="85" t="s">
        <v>95</v>
      </c>
      <c r="L17" s="85" t="s">
        <v>96</v>
      </c>
      <c r="M17" s="88"/>
      <c r="N17" s="88"/>
      <c r="O17" s="93"/>
      <c r="P17" s="94"/>
      <c r="Q17" s="92"/>
    </row>
    <row r="18" spans="1:17" x14ac:dyDescent="0.2">
      <c r="A18" s="34">
        <f t="shared" si="0"/>
        <v>11</v>
      </c>
      <c r="B18" s="84" t="s">
        <v>43</v>
      </c>
      <c r="C18" s="105" t="s">
        <v>205</v>
      </c>
      <c r="D18" s="85" t="s">
        <v>93</v>
      </c>
      <c r="E18" s="86"/>
      <c r="F18" s="87"/>
      <c r="G18" s="105" t="s">
        <v>216</v>
      </c>
      <c r="H18" s="85" t="s">
        <v>93</v>
      </c>
      <c r="I18" s="86"/>
      <c r="J18" s="87" t="s">
        <v>94</v>
      </c>
      <c r="K18" s="85" t="s">
        <v>95</v>
      </c>
      <c r="L18" s="85" t="s">
        <v>96</v>
      </c>
      <c r="M18" s="88"/>
      <c r="N18" s="88"/>
      <c r="O18" s="93"/>
      <c r="P18" s="94"/>
      <c r="Q18" s="92"/>
    </row>
    <row r="19" spans="1:17" x14ac:dyDescent="0.2">
      <c r="A19" s="34">
        <f t="shared" si="0"/>
        <v>12</v>
      </c>
      <c r="B19" s="84" t="s">
        <v>44</v>
      </c>
      <c r="C19" s="105" t="s">
        <v>205</v>
      </c>
      <c r="D19" s="85" t="s">
        <v>93</v>
      </c>
      <c r="E19" s="86"/>
      <c r="F19" s="87"/>
      <c r="G19" s="105" t="s">
        <v>217</v>
      </c>
      <c r="H19" s="85" t="s">
        <v>93</v>
      </c>
      <c r="I19" s="86"/>
      <c r="J19" s="87" t="s">
        <v>94</v>
      </c>
      <c r="K19" s="85" t="s">
        <v>95</v>
      </c>
      <c r="L19" s="85" t="s">
        <v>96</v>
      </c>
      <c r="M19" s="88"/>
      <c r="N19" s="88"/>
      <c r="O19" s="93"/>
      <c r="P19" s="94"/>
      <c r="Q19" s="92"/>
    </row>
    <row r="20" spans="1:17" x14ac:dyDescent="0.2">
      <c r="A20" s="34">
        <f t="shared" si="0"/>
        <v>13</v>
      </c>
      <c r="B20" s="84" t="s">
        <v>45</v>
      </c>
      <c r="C20" s="105" t="s">
        <v>205</v>
      </c>
      <c r="D20" s="85" t="s">
        <v>93</v>
      </c>
      <c r="E20" s="86"/>
      <c r="F20" s="87"/>
      <c r="G20" s="105" t="s">
        <v>218</v>
      </c>
      <c r="H20" s="85" t="s">
        <v>93</v>
      </c>
      <c r="I20" s="86"/>
      <c r="J20" s="87" t="s">
        <v>94</v>
      </c>
      <c r="K20" s="85" t="s">
        <v>95</v>
      </c>
      <c r="L20" s="85" t="s">
        <v>96</v>
      </c>
      <c r="M20" s="88"/>
      <c r="N20" s="88"/>
      <c r="O20" s="93"/>
      <c r="P20" s="94"/>
      <c r="Q20" s="92"/>
    </row>
    <row r="21" spans="1:17" x14ac:dyDescent="0.2">
      <c r="A21" s="34">
        <f t="shared" si="0"/>
        <v>14</v>
      </c>
      <c r="B21" s="84" t="s">
        <v>46</v>
      </c>
      <c r="C21" s="105" t="s">
        <v>205</v>
      </c>
      <c r="D21" s="85" t="s">
        <v>93</v>
      </c>
      <c r="E21" s="86"/>
      <c r="F21" s="87"/>
      <c r="G21" s="105" t="s">
        <v>219</v>
      </c>
      <c r="H21" s="85" t="s">
        <v>93</v>
      </c>
      <c r="I21" s="86"/>
      <c r="J21" s="87" t="s">
        <v>94</v>
      </c>
      <c r="K21" s="85" t="s">
        <v>95</v>
      </c>
      <c r="L21" s="85" t="s">
        <v>96</v>
      </c>
      <c r="M21" s="88"/>
      <c r="N21" s="88"/>
      <c r="O21" s="93"/>
      <c r="P21" s="94"/>
      <c r="Q21" s="92"/>
    </row>
    <row r="22" spans="1:17" x14ac:dyDescent="0.2">
      <c r="A22" s="34">
        <f t="shared" si="0"/>
        <v>15</v>
      </c>
      <c r="B22" s="84" t="s">
        <v>47</v>
      </c>
      <c r="C22" s="105" t="s">
        <v>205</v>
      </c>
      <c r="D22" s="85" t="s">
        <v>93</v>
      </c>
      <c r="E22" s="86"/>
      <c r="F22" s="87"/>
      <c r="G22" s="105" t="s">
        <v>220</v>
      </c>
      <c r="H22" s="85" t="s">
        <v>93</v>
      </c>
      <c r="I22" s="86"/>
      <c r="J22" s="87" t="s">
        <v>94</v>
      </c>
      <c r="K22" s="85" t="s">
        <v>95</v>
      </c>
      <c r="L22" s="85" t="s">
        <v>96</v>
      </c>
      <c r="M22" s="88"/>
      <c r="N22" s="88"/>
      <c r="O22" s="93"/>
      <c r="P22" s="94"/>
      <c r="Q22" s="92"/>
    </row>
    <row r="23" spans="1:17" x14ac:dyDescent="0.2">
      <c r="A23" s="34">
        <f t="shared" si="0"/>
        <v>16</v>
      </c>
      <c r="B23" s="84" t="s">
        <v>48</v>
      </c>
      <c r="C23" s="105" t="s">
        <v>205</v>
      </c>
      <c r="D23" s="85" t="s">
        <v>93</v>
      </c>
      <c r="E23" s="86"/>
      <c r="F23" s="87"/>
      <c r="G23" s="105" t="s">
        <v>221</v>
      </c>
      <c r="H23" s="85" t="s">
        <v>93</v>
      </c>
      <c r="I23" s="86"/>
      <c r="J23" s="87" t="s">
        <v>94</v>
      </c>
      <c r="K23" s="85" t="s">
        <v>95</v>
      </c>
      <c r="L23" s="85" t="s">
        <v>96</v>
      </c>
      <c r="M23" s="88"/>
      <c r="N23" s="88"/>
      <c r="O23" s="93"/>
      <c r="P23" s="94"/>
      <c r="Q23" s="92"/>
    </row>
    <row r="24" spans="1:17" x14ac:dyDescent="0.2">
      <c r="A24" s="34">
        <f t="shared" si="0"/>
        <v>17</v>
      </c>
      <c r="B24" s="84" t="s">
        <v>49</v>
      </c>
      <c r="C24" s="105" t="s">
        <v>205</v>
      </c>
      <c r="D24" s="85" t="s">
        <v>93</v>
      </c>
      <c r="E24" s="86"/>
      <c r="F24" s="87"/>
      <c r="G24" s="105" t="s">
        <v>222</v>
      </c>
      <c r="H24" s="85" t="s">
        <v>93</v>
      </c>
      <c r="I24" s="86"/>
      <c r="J24" s="87" t="s">
        <v>94</v>
      </c>
      <c r="K24" s="85" t="s">
        <v>95</v>
      </c>
      <c r="L24" s="85" t="s">
        <v>96</v>
      </c>
      <c r="M24" s="88"/>
      <c r="N24" s="88"/>
      <c r="O24" s="93"/>
      <c r="P24" s="94"/>
      <c r="Q24" s="92"/>
    </row>
    <row r="25" spans="1:17" x14ac:dyDescent="0.2">
      <c r="A25" s="34">
        <f t="shared" si="0"/>
        <v>18</v>
      </c>
      <c r="B25" s="84" t="s">
        <v>50</v>
      </c>
      <c r="C25" s="105" t="s">
        <v>205</v>
      </c>
      <c r="D25" s="85" t="s">
        <v>93</v>
      </c>
      <c r="E25" s="86"/>
      <c r="F25" s="87"/>
      <c r="G25" s="105" t="s">
        <v>223</v>
      </c>
      <c r="H25" s="85" t="s">
        <v>93</v>
      </c>
      <c r="I25" s="86"/>
      <c r="J25" s="87" t="s">
        <v>94</v>
      </c>
      <c r="K25" s="85" t="s">
        <v>95</v>
      </c>
      <c r="L25" s="85" t="s">
        <v>96</v>
      </c>
      <c r="M25" s="88"/>
      <c r="N25" s="88"/>
      <c r="O25" s="93"/>
      <c r="P25" s="94"/>
      <c r="Q25" s="92"/>
    </row>
    <row r="26" spans="1:17" x14ac:dyDescent="0.2">
      <c r="A26" s="34">
        <f t="shared" si="0"/>
        <v>19</v>
      </c>
      <c r="B26" s="84" t="s">
        <v>51</v>
      </c>
      <c r="C26" s="105" t="s">
        <v>205</v>
      </c>
      <c r="D26" s="85" t="s">
        <v>93</v>
      </c>
      <c r="E26" s="86"/>
      <c r="F26" s="87"/>
      <c r="G26" s="105" t="s">
        <v>224</v>
      </c>
      <c r="H26" s="85" t="s">
        <v>93</v>
      </c>
      <c r="I26" s="86"/>
      <c r="J26" s="87" t="s">
        <v>94</v>
      </c>
      <c r="K26" s="85" t="s">
        <v>95</v>
      </c>
      <c r="L26" s="85" t="s">
        <v>96</v>
      </c>
      <c r="M26" s="88"/>
      <c r="N26" s="89"/>
      <c r="O26" s="90"/>
      <c r="P26" s="91"/>
      <c r="Q26" s="92"/>
    </row>
    <row r="27" spans="1:17" x14ac:dyDescent="0.2">
      <c r="A27" s="34">
        <f>A26+1</f>
        <v>20</v>
      </c>
      <c r="B27" s="84" t="s">
        <v>52</v>
      </c>
      <c r="C27" s="105" t="s">
        <v>205</v>
      </c>
      <c r="D27" s="85" t="s">
        <v>93</v>
      </c>
      <c r="E27" s="86"/>
      <c r="F27" s="87"/>
      <c r="G27" s="105" t="s">
        <v>225</v>
      </c>
      <c r="H27" s="85" t="s">
        <v>93</v>
      </c>
      <c r="I27" s="86"/>
      <c r="J27" s="87" t="s">
        <v>94</v>
      </c>
      <c r="K27" s="85" t="s">
        <v>95</v>
      </c>
      <c r="L27" s="85" t="s">
        <v>96</v>
      </c>
      <c r="M27" s="88"/>
      <c r="N27" s="89"/>
      <c r="O27" s="90"/>
      <c r="P27" s="91"/>
      <c r="Q27" s="92"/>
    </row>
    <row r="28" spans="1:17" x14ac:dyDescent="0.2">
      <c r="A28" s="34">
        <f t="shared" si="0"/>
        <v>21</v>
      </c>
      <c r="B28" s="84" t="s">
        <v>53</v>
      </c>
      <c r="C28" s="105" t="s">
        <v>205</v>
      </c>
      <c r="D28" s="85" t="s">
        <v>93</v>
      </c>
      <c r="E28" s="86"/>
      <c r="F28" s="87"/>
      <c r="G28" s="105" t="s">
        <v>226</v>
      </c>
      <c r="H28" s="85" t="s">
        <v>93</v>
      </c>
      <c r="I28" s="86"/>
      <c r="J28" s="87" t="s">
        <v>94</v>
      </c>
      <c r="K28" s="85" t="s">
        <v>95</v>
      </c>
      <c r="L28" s="85" t="s">
        <v>96</v>
      </c>
      <c r="M28" s="88"/>
      <c r="N28" s="88"/>
      <c r="O28" s="93"/>
      <c r="P28" s="94"/>
      <c r="Q28" s="92"/>
    </row>
    <row r="29" spans="1:17" x14ac:dyDescent="0.2">
      <c r="A29" s="34">
        <f t="shared" si="0"/>
        <v>22</v>
      </c>
      <c r="B29" s="84" t="s">
        <v>54</v>
      </c>
      <c r="C29" s="105" t="s">
        <v>205</v>
      </c>
      <c r="D29" s="85" t="s">
        <v>93</v>
      </c>
      <c r="E29" s="86"/>
      <c r="F29" s="87"/>
      <c r="G29" s="105" t="s">
        <v>227</v>
      </c>
      <c r="H29" s="85" t="s">
        <v>93</v>
      </c>
      <c r="I29" s="86"/>
      <c r="J29" s="87" t="s">
        <v>94</v>
      </c>
      <c r="K29" s="85" t="s">
        <v>95</v>
      </c>
      <c r="L29" s="85" t="s">
        <v>96</v>
      </c>
      <c r="M29" s="88"/>
      <c r="N29" s="88"/>
      <c r="O29" s="93"/>
      <c r="P29" s="94"/>
      <c r="Q29" s="92"/>
    </row>
    <row r="30" spans="1:17" x14ac:dyDescent="0.2">
      <c r="A30" s="34">
        <f t="shared" si="0"/>
        <v>23</v>
      </c>
      <c r="B30" s="84" t="s">
        <v>55</v>
      </c>
      <c r="C30" s="105" t="s">
        <v>205</v>
      </c>
      <c r="D30" s="85" t="s">
        <v>93</v>
      </c>
      <c r="E30" s="86"/>
      <c r="F30" s="87"/>
      <c r="G30" s="105" t="s">
        <v>228</v>
      </c>
      <c r="H30" s="85" t="s">
        <v>93</v>
      </c>
      <c r="I30" s="86"/>
      <c r="J30" s="87" t="s">
        <v>94</v>
      </c>
      <c r="K30" s="85" t="s">
        <v>95</v>
      </c>
      <c r="L30" s="85" t="s">
        <v>96</v>
      </c>
      <c r="M30" s="88"/>
      <c r="N30" s="88"/>
      <c r="O30" s="93"/>
      <c r="P30" s="94"/>
      <c r="Q30" s="92"/>
    </row>
    <row r="31" spans="1:17" x14ac:dyDescent="0.2">
      <c r="A31" s="34">
        <f t="shared" si="0"/>
        <v>24</v>
      </c>
      <c r="B31" s="84" t="s">
        <v>56</v>
      </c>
      <c r="C31" s="105" t="s">
        <v>205</v>
      </c>
      <c r="D31" s="85" t="s">
        <v>93</v>
      </c>
      <c r="E31" s="86"/>
      <c r="F31" s="87"/>
      <c r="G31" s="105" t="s">
        <v>229</v>
      </c>
      <c r="H31" s="85" t="s">
        <v>93</v>
      </c>
      <c r="I31" s="86"/>
      <c r="J31" s="87" t="s">
        <v>94</v>
      </c>
      <c r="K31" s="85" t="s">
        <v>95</v>
      </c>
      <c r="L31" s="85" t="s">
        <v>96</v>
      </c>
      <c r="M31" s="88"/>
      <c r="N31" s="88"/>
      <c r="O31" s="93"/>
      <c r="P31" s="94"/>
      <c r="Q31" s="92"/>
    </row>
    <row r="32" spans="1:17" x14ac:dyDescent="0.2">
      <c r="A32" s="34">
        <f t="shared" si="0"/>
        <v>25</v>
      </c>
      <c r="B32" s="84" t="s">
        <v>57</v>
      </c>
      <c r="C32" s="105" t="s">
        <v>205</v>
      </c>
      <c r="D32" s="85" t="s">
        <v>93</v>
      </c>
      <c r="E32" s="86"/>
      <c r="F32" s="87"/>
      <c r="G32" s="105" t="s">
        <v>230</v>
      </c>
      <c r="H32" s="85" t="s">
        <v>93</v>
      </c>
      <c r="I32" s="86"/>
      <c r="J32" s="87" t="s">
        <v>94</v>
      </c>
      <c r="K32" s="85" t="s">
        <v>95</v>
      </c>
      <c r="L32" s="85" t="s">
        <v>96</v>
      </c>
      <c r="M32" s="88"/>
      <c r="N32" s="88"/>
      <c r="O32" s="93"/>
      <c r="P32" s="94"/>
      <c r="Q32" s="92"/>
    </row>
    <row r="33" spans="1:17" x14ac:dyDescent="0.2">
      <c r="A33" s="34">
        <f t="shared" si="0"/>
        <v>26</v>
      </c>
      <c r="B33" s="84" t="s">
        <v>58</v>
      </c>
      <c r="C33" s="105" t="s">
        <v>205</v>
      </c>
      <c r="D33" s="85" t="s">
        <v>93</v>
      </c>
      <c r="E33" s="86"/>
      <c r="F33" s="87"/>
      <c r="G33" s="105" t="s">
        <v>231</v>
      </c>
      <c r="H33" s="85" t="s">
        <v>93</v>
      </c>
      <c r="I33" s="86"/>
      <c r="J33" s="87" t="s">
        <v>94</v>
      </c>
      <c r="K33" s="85" t="s">
        <v>95</v>
      </c>
      <c r="L33" s="85" t="s">
        <v>96</v>
      </c>
      <c r="M33" s="88"/>
      <c r="N33" s="88"/>
      <c r="O33" s="93"/>
      <c r="P33" s="94"/>
      <c r="Q33" s="92"/>
    </row>
    <row r="34" spans="1:17" s="64" customFormat="1" x14ac:dyDescent="0.2">
      <c r="A34" s="34">
        <f t="shared" si="0"/>
        <v>27</v>
      </c>
      <c r="B34" s="84" t="s">
        <v>59</v>
      </c>
      <c r="C34" s="105" t="s">
        <v>205</v>
      </c>
      <c r="D34" s="85" t="s">
        <v>93</v>
      </c>
      <c r="E34" s="86"/>
      <c r="F34" s="87"/>
      <c r="G34" s="105" t="s">
        <v>232</v>
      </c>
      <c r="H34" s="85" t="s">
        <v>93</v>
      </c>
      <c r="I34" s="86"/>
      <c r="J34" s="87" t="s">
        <v>94</v>
      </c>
      <c r="K34" s="85" t="s">
        <v>95</v>
      </c>
      <c r="L34" s="85" t="s">
        <v>96</v>
      </c>
      <c r="M34" s="95"/>
      <c r="N34" s="95"/>
      <c r="O34" s="93"/>
      <c r="P34" s="94"/>
      <c r="Q34" s="92"/>
    </row>
    <row r="35" spans="1:17" s="64" customFormat="1" x14ac:dyDescent="0.2">
      <c r="A35" s="34">
        <f t="shared" si="0"/>
        <v>28</v>
      </c>
      <c r="B35" s="84" t="s">
        <v>60</v>
      </c>
      <c r="C35" s="105" t="s">
        <v>205</v>
      </c>
      <c r="D35" s="85" t="s">
        <v>93</v>
      </c>
      <c r="E35" s="86"/>
      <c r="F35" s="87"/>
      <c r="G35" s="105" t="s">
        <v>233</v>
      </c>
      <c r="H35" s="85" t="s">
        <v>93</v>
      </c>
      <c r="I35" s="86"/>
      <c r="J35" s="87" t="s">
        <v>94</v>
      </c>
      <c r="K35" s="85" t="s">
        <v>95</v>
      </c>
      <c r="L35" s="85" t="s">
        <v>96</v>
      </c>
      <c r="M35" s="95"/>
      <c r="N35" s="95"/>
      <c r="O35" s="93"/>
      <c r="P35" s="94"/>
      <c r="Q35" s="92"/>
    </row>
    <row r="36" spans="1:17" x14ac:dyDescent="0.2">
      <c r="A36" s="34">
        <f t="shared" si="0"/>
        <v>29</v>
      </c>
      <c r="B36" s="84" t="s">
        <v>61</v>
      </c>
      <c r="C36" s="105" t="s">
        <v>205</v>
      </c>
      <c r="D36" s="85" t="s">
        <v>93</v>
      </c>
      <c r="E36" s="86"/>
      <c r="F36" s="87"/>
      <c r="G36" s="105" t="s">
        <v>234</v>
      </c>
      <c r="H36" s="85" t="s">
        <v>93</v>
      </c>
      <c r="I36" s="86"/>
      <c r="J36" s="87" t="s">
        <v>94</v>
      </c>
      <c r="K36" s="85" t="s">
        <v>95</v>
      </c>
      <c r="L36" s="85" t="s">
        <v>96</v>
      </c>
      <c r="M36" s="88"/>
      <c r="N36" s="88"/>
      <c r="O36" s="93"/>
      <c r="P36" s="94"/>
      <c r="Q36" s="92"/>
    </row>
    <row r="37" spans="1:17" x14ac:dyDescent="0.2">
      <c r="A37" s="34">
        <f t="shared" si="0"/>
        <v>30</v>
      </c>
      <c r="B37" s="84" t="s">
        <v>62</v>
      </c>
      <c r="C37" s="105" t="s">
        <v>205</v>
      </c>
      <c r="D37" s="85" t="s">
        <v>93</v>
      </c>
      <c r="E37" s="86"/>
      <c r="F37" s="87"/>
      <c r="G37" s="105" t="s">
        <v>235</v>
      </c>
      <c r="H37" s="85" t="s">
        <v>93</v>
      </c>
      <c r="I37" s="86"/>
      <c r="J37" s="87" t="s">
        <v>94</v>
      </c>
      <c r="K37" s="85" t="s">
        <v>95</v>
      </c>
      <c r="L37" s="85" t="s">
        <v>96</v>
      </c>
      <c r="M37" s="88"/>
      <c r="N37" s="88"/>
      <c r="O37" s="93"/>
      <c r="P37" s="94"/>
      <c r="Q37" s="92"/>
    </row>
    <row r="38" spans="1:17" x14ac:dyDescent="0.2">
      <c r="A38" s="34">
        <f t="shared" si="0"/>
        <v>31</v>
      </c>
      <c r="B38" s="84" t="s">
        <v>63</v>
      </c>
      <c r="C38" s="105" t="s">
        <v>205</v>
      </c>
      <c r="D38" s="85" t="s">
        <v>93</v>
      </c>
      <c r="E38" s="86"/>
      <c r="F38" s="87"/>
      <c r="G38" s="105" t="s">
        <v>236</v>
      </c>
      <c r="H38" s="85" t="s">
        <v>93</v>
      </c>
      <c r="I38" s="86"/>
      <c r="J38" s="87" t="s">
        <v>94</v>
      </c>
      <c r="K38" s="85" t="s">
        <v>95</v>
      </c>
      <c r="L38" s="85" t="s">
        <v>96</v>
      </c>
      <c r="M38" s="88"/>
      <c r="N38" s="88"/>
      <c r="O38" s="93"/>
      <c r="P38" s="94"/>
      <c r="Q38" s="92"/>
    </row>
    <row r="39" spans="1:17" x14ac:dyDescent="0.2">
      <c r="A39" s="34">
        <f t="shared" si="0"/>
        <v>32</v>
      </c>
      <c r="B39" s="84" t="s">
        <v>64</v>
      </c>
      <c r="C39" s="105" t="s">
        <v>205</v>
      </c>
      <c r="D39" s="85" t="s">
        <v>93</v>
      </c>
      <c r="E39" s="86"/>
      <c r="F39" s="87"/>
      <c r="G39" s="105" t="s">
        <v>237</v>
      </c>
      <c r="H39" s="85" t="s">
        <v>93</v>
      </c>
      <c r="I39" s="86"/>
      <c r="J39" s="87" t="s">
        <v>94</v>
      </c>
      <c r="K39" s="85" t="s">
        <v>95</v>
      </c>
      <c r="L39" s="85" t="s">
        <v>96</v>
      </c>
      <c r="M39" s="88"/>
      <c r="N39" s="88"/>
      <c r="O39" s="93"/>
      <c r="P39" s="94"/>
      <c r="Q39" s="92"/>
    </row>
    <row r="40" spans="1:17" x14ac:dyDescent="0.2">
      <c r="A40" s="34">
        <f>A39+1</f>
        <v>33</v>
      </c>
      <c r="B40" s="84" t="s">
        <v>187</v>
      </c>
      <c r="C40" s="105" t="s">
        <v>205</v>
      </c>
      <c r="D40" s="85" t="s">
        <v>93</v>
      </c>
      <c r="E40" s="86"/>
      <c r="F40" s="87"/>
      <c r="G40" s="105" t="s">
        <v>238</v>
      </c>
      <c r="H40" s="85" t="s">
        <v>93</v>
      </c>
      <c r="I40" s="86"/>
      <c r="J40" s="87" t="s">
        <v>94</v>
      </c>
      <c r="K40" s="85" t="s">
        <v>95</v>
      </c>
      <c r="L40" s="85" t="s">
        <v>96</v>
      </c>
      <c r="M40" s="88"/>
      <c r="N40" s="88"/>
      <c r="O40" s="93"/>
      <c r="P40" s="94"/>
      <c r="Q40" s="92"/>
    </row>
    <row r="41" spans="1:17" x14ac:dyDescent="0.2">
      <c r="A41" s="34">
        <f t="shared" si="0"/>
        <v>34</v>
      </c>
      <c r="B41" s="84" t="s">
        <v>188</v>
      </c>
      <c r="C41" s="105" t="s">
        <v>205</v>
      </c>
      <c r="D41" s="85" t="s">
        <v>93</v>
      </c>
      <c r="E41" s="86"/>
      <c r="F41" s="87"/>
      <c r="G41" s="105" t="s">
        <v>239</v>
      </c>
      <c r="H41" s="85" t="s">
        <v>93</v>
      </c>
      <c r="I41" s="86"/>
      <c r="J41" s="87" t="s">
        <v>94</v>
      </c>
      <c r="K41" s="85" t="s">
        <v>95</v>
      </c>
      <c r="L41" s="85" t="s">
        <v>96</v>
      </c>
      <c r="M41" s="88"/>
      <c r="N41" s="88"/>
      <c r="O41" s="93"/>
      <c r="P41" s="94"/>
      <c r="Q41" s="92"/>
    </row>
    <row r="42" spans="1:17" x14ac:dyDescent="0.2">
      <c r="A42" s="34">
        <f t="shared" si="0"/>
        <v>35</v>
      </c>
      <c r="B42" s="84" t="s">
        <v>189</v>
      </c>
      <c r="C42" s="105" t="s">
        <v>205</v>
      </c>
      <c r="D42" s="85" t="s">
        <v>93</v>
      </c>
      <c r="E42" s="86"/>
      <c r="F42" s="87"/>
      <c r="G42" s="105" t="s">
        <v>240</v>
      </c>
      <c r="H42" s="85" t="s">
        <v>93</v>
      </c>
      <c r="I42" s="86"/>
      <c r="J42" s="87" t="s">
        <v>94</v>
      </c>
      <c r="K42" s="85" t="s">
        <v>95</v>
      </c>
      <c r="L42" s="85" t="s">
        <v>96</v>
      </c>
      <c r="M42" s="88"/>
      <c r="N42" s="88"/>
      <c r="O42" s="93"/>
      <c r="P42" s="94"/>
      <c r="Q42" s="92"/>
    </row>
    <row r="43" spans="1:17" x14ac:dyDescent="0.2">
      <c r="A43" s="34">
        <f t="shared" si="0"/>
        <v>36</v>
      </c>
      <c r="B43" s="84" t="s">
        <v>190</v>
      </c>
      <c r="C43" s="105" t="s">
        <v>205</v>
      </c>
      <c r="D43" s="85" t="s">
        <v>93</v>
      </c>
      <c r="E43" s="86"/>
      <c r="F43" s="87"/>
      <c r="G43" s="105" t="s">
        <v>241</v>
      </c>
      <c r="H43" s="85" t="s">
        <v>93</v>
      </c>
      <c r="I43" s="86"/>
      <c r="J43" s="87" t="s">
        <v>94</v>
      </c>
      <c r="K43" s="85" t="s">
        <v>95</v>
      </c>
      <c r="L43" s="85" t="s">
        <v>96</v>
      </c>
      <c r="M43" s="88"/>
      <c r="N43" s="88"/>
      <c r="O43" s="93"/>
      <c r="P43" s="94"/>
      <c r="Q43" s="92"/>
    </row>
    <row r="44" spans="1:17" x14ac:dyDescent="0.2">
      <c r="A44" s="34">
        <f t="shared" si="0"/>
        <v>37</v>
      </c>
      <c r="B44" s="84" t="s">
        <v>191</v>
      </c>
      <c r="C44" s="105" t="s">
        <v>205</v>
      </c>
      <c r="D44" s="85" t="s">
        <v>93</v>
      </c>
      <c r="E44" s="86"/>
      <c r="F44" s="87"/>
      <c r="G44" s="105" t="s">
        <v>242</v>
      </c>
      <c r="H44" s="85" t="s">
        <v>93</v>
      </c>
      <c r="I44" s="86"/>
      <c r="J44" s="87" t="s">
        <v>94</v>
      </c>
      <c r="K44" s="85" t="s">
        <v>95</v>
      </c>
      <c r="L44" s="85" t="s">
        <v>96</v>
      </c>
      <c r="M44" s="88"/>
      <c r="N44" s="88"/>
      <c r="O44" s="93"/>
      <c r="P44" s="94"/>
      <c r="Q44" s="92"/>
    </row>
    <row r="45" spans="1:17" x14ac:dyDescent="0.2">
      <c r="A45" s="34">
        <f t="shared" si="0"/>
        <v>38</v>
      </c>
      <c r="B45" s="84" t="s">
        <v>192</v>
      </c>
      <c r="C45" s="105" t="s">
        <v>205</v>
      </c>
      <c r="D45" s="85" t="s">
        <v>93</v>
      </c>
      <c r="E45" s="86"/>
      <c r="F45" s="87"/>
      <c r="G45" s="105" t="s">
        <v>243</v>
      </c>
      <c r="H45" s="85" t="s">
        <v>93</v>
      </c>
      <c r="I45" s="86"/>
      <c r="J45" s="87" t="s">
        <v>94</v>
      </c>
      <c r="K45" s="85" t="s">
        <v>95</v>
      </c>
      <c r="L45" s="85" t="s">
        <v>96</v>
      </c>
      <c r="M45" s="88"/>
      <c r="N45" s="88"/>
      <c r="O45" s="93"/>
      <c r="P45" s="94"/>
      <c r="Q45" s="92"/>
    </row>
    <row r="46" spans="1:17" x14ac:dyDescent="0.2">
      <c r="A46" s="34">
        <f t="shared" si="0"/>
        <v>39</v>
      </c>
      <c r="B46" s="84" t="s">
        <v>193</v>
      </c>
      <c r="C46" s="105" t="s">
        <v>205</v>
      </c>
      <c r="D46" s="85" t="s">
        <v>93</v>
      </c>
      <c r="E46" s="86"/>
      <c r="F46" s="87"/>
      <c r="G46" s="105" t="s">
        <v>244</v>
      </c>
      <c r="H46" s="85" t="s">
        <v>93</v>
      </c>
      <c r="I46" s="86"/>
      <c r="J46" s="87" t="s">
        <v>94</v>
      </c>
      <c r="K46" s="85" t="s">
        <v>95</v>
      </c>
      <c r="L46" s="85" t="s">
        <v>96</v>
      </c>
      <c r="M46" s="88"/>
      <c r="N46" s="88"/>
      <c r="O46" s="93"/>
      <c r="P46" s="94"/>
      <c r="Q46" s="92"/>
    </row>
    <row r="47" spans="1:17" x14ac:dyDescent="0.2">
      <c r="A47" s="34">
        <f t="shared" si="0"/>
        <v>40</v>
      </c>
      <c r="B47" s="84" t="s">
        <v>194</v>
      </c>
      <c r="C47" s="105" t="s">
        <v>205</v>
      </c>
      <c r="D47" s="85" t="s">
        <v>93</v>
      </c>
      <c r="E47" s="86"/>
      <c r="F47" s="87"/>
      <c r="G47" s="105" t="s">
        <v>245</v>
      </c>
      <c r="H47" s="85" t="s">
        <v>93</v>
      </c>
      <c r="I47" s="86"/>
      <c r="J47" s="87" t="s">
        <v>94</v>
      </c>
      <c r="K47" s="85" t="s">
        <v>95</v>
      </c>
      <c r="L47" s="85" t="s">
        <v>96</v>
      </c>
      <c r="M47" s="88"/>
      <c r="N47" s="88"/>
      <c r="O47" s="93"/>
      <c r="P47" s="94"/>
      <c r="Q47" s="92"/>
    </row>
    <row r="48" spans="1:17" x14ac:dyDescent="0.2">
      <c r="A48" s="34">
        <f t="shared" si="0"/>
        <v>41</v>
      </c>
      <c r="B48" s="84" t="s">
        <v>195</v>
      </c>
      <c r="C48" s="105" t="s">
        <v>205</v>
      </c>
      <c r="D48" s="85" t="s">
        <v>93</v>
      </c>
      <c r="E48" s="86"/>
      <c r="F48" s="87"/>
      <c r="G48" s="105" t="s">
        <v>246</v>
      </c>
      <c r="H48" s="85" t="s">
        <v>93</v>
      </c>
      <c r="I48" s="86"/>
      <c r="J48" s="87" t="s">
        <v>94</v>
      </c>
      <c r="K48" s="85" t="s">
        <v>95</v>
      </c>
      <c r="L48" s="85" t="s">
        <v>96</v>
      </c>
      <c r="M48" s="88"/>
      <c r="N48" s="88"/>
      <c r="O48" s="93"/>
      <c r="P48" s="94"/>
      <c r="Q48" s="92"/>
    </row>
    <row r="49" spans="1:17" x14ac:dyDescent="0.2">
      <c r="A49" s="34">
        <f t="shared" si="0"/>
        <v>42</v>
      </c>
      <c r="B49" s="84" t="s">
        <v>196</v>
      </c>
      <c r="C49" s="105" t="s">
        <v>205</v>
      </c>
      <c r="D49" s="85" t="s">
        <v>93</v>
      </c>
      <c r="E49" s="86"/>
      <c r="F49" s="87"/>
      <c r="G49" s="105" t="s">
        <v>247</v>
      </c>
      <c r="H49" s="85" t="s">
        <v>93</v>
      </c>
      <c r="I49" s="86"/>
      <c r="J49" s="87" t="s">
        <v>94</v>
      </c>
      <c r="K49" s="85" t="s">
        <v>95</v>
      </c>
      <c r="L49" s="85" t="s">
        <v>96</v>
      </c>
      <c r="M49" s="88"/>
      <c r="N49" s="88"/>
      <c r="O49" s="93"/>
      <c r="P49" s="94"/>
      <c r="Q49" s="92"/>
    </row>
    <row r="50" spans="1:17" x14ac:dyDescent="0.2">
      <c r="A50" s="34">
        <f t="shared" si="0"/>
        <v>43</v>
      </c>
      <c r="B50" s="84" t="s">
        <v>197</v>
      </c>
      <c r="C50" s="105" t="s">
        <v>205</v>
      </c>
      <c r="D50" s="85" t="s">
        <v>93</v>
      </c>
      <c r="E50" s="86"/>
      <c r="F50" s="87"/>
      <c r="G50" s="105" t="s">
        <v>248</v>
      </c>
      <c r="H50" s="85" t="s">
        <v>93</v>
      </c>
      <c r="I50" s="86"/>
      <c r="J50" s="87" t="s">
        <v>94</v>
      </c>
      <c r="K50" s="85" t="s">
        <v>95</v>
      </c>
      <c r="L50" s="85" t="s">
        <v>96</v>
      </c>
      <c r="M50" s="88"/>
      <c r="N50" s="88"/>
      <c r="O50" s="93"/>
      <c r="P50" s="94"/>
      <c r="Q50" s="92"/>
    </row>
    <row r="51" spans="1:17" x14ac:dyDescent="0.2">
      <c r="A51" s="34">
        <f t="shared" si="0"/>
        <v>44</v>
      </c>
      <c r="B51" s="84" t="s">
        <v>198</v>
      </c>
      <c r="C51" s="105" t="s">
        <v>205</v>
      </c>
      <c r="D51" s="85" t="s">
        <v>93</v>
      </c>
      <c r="E51" s="86"/>
      <c r="F51" s="87"/>
      <c r="G51" s="105" t="s">
        <v>249</v>
      </c>
      <c r="H51" s="85" t="s">
        <v>93</v>
      </c>
      <c r="I51" s="86"/>
      <c r="J51" s="87" t="s">
        <v>94</v>
      </c>
      <c r="K51" s="85" t="s">
        <v>95</v>
      </c>
      <c r="L51" s="85" t="s">
        <v>96</v>
      </c>
      <c r="M51" s="88"/>
      <c r="N51" s="88"/>
      <c r="O51" s="93"/>
      <c r="P51" s="94"/>
      <c r="Q51" s="92"/>
    </row>
    <row r="52" spans="1:17" x14ac:dyDescent="0.2">
      <c r="A52" s="34">
        <f t="shared" si="0"/>
        <v>45</v>
      </c>
      <c r="B52" s="84" t="s">
        <v>199</v>
      </c>
      <c r="C52" s="105" t="s">
        <v>205</v>
      </c>
      <c r="D52" s="85" t="s">
        <v>93</v>
      </c>
      <c r="E52" s="86"/>
      <c r="F52" s="87"/>
      <c r="G52" s="105" t="s">
        <v>250</v>
      </c>
      <c r="H52" s="85" t="s">
        <v>93</v>
      </c>
      <c r="I52" s="86"/>
      <c r="J52" s="87" t="s">
        <v>94</v>
      </c>
      <c r="K52" s="85" t="s">
        <v>95</v>
      </c>
      <c r="L52" s="85" t="s">
        <v>96</v>
      </c>
      <c r="M52" s="88"/>
      <c r="N52" s="96"/>
      <c r="O52" s="93"/>
      <c r="P52" s="94"/>
      <c r="Q52" s="92"/>
    </row>
    <row r="53" spans="1:17" x14ac:dyDescent="0.2">
      <c r="A53" s="34">
        <f t="shared" si="0"/>
        <v>46</v>
      </c>
      <c r="B53" s="84" t="s">
        <v>200</v>
      </c>
      <c r="C53" s="105" t="s">
        <v>205</v>
      </c>
      <c r="D53" s="85" t="s">
        <v>93</v>
      </c>
      <c r="E53" s="86"/>
      <c r="F53" s="87"/>
      <c r="G53" s="105" t="s">
        <v>251</v>
      </c>
      <c r="H53" s="85" t="s">
        <v>93</v>
      </c>
      <c r="I53" s="86"/>
      <c r="J53" s="87" t="s">
        <v>94</v>
      </c>
      <c r="K53" s="85" t="s">
        <v>95</v>
      </c>
      <c r="L53" s="85" t="s">
        <v>96</v>
      </c>
      <c r="M53" s="88"/>
      <c r="N53" s="96"/>
      <c r="O53" s="93"/>
      <c r="P53" s="94"/>
      <c r="Q53" s="92"/>
    </row>
    <row r="54" spans="1:17" x14ac:dyDescent="0.2">
      <c r="A54" s="34">
        <f t="shared" si="0"/>
        <v>47</v>
      </c>
      <c r="B54" s="84" t="s">
        <v>201</v>
      </c>
      <c r="C54" s="105" t="s">
        <v>205</v>
      </c>
      <c r="D54" s="85" t="s">
        <v>93</v>
      </c>
      <c r="E54" s="86"/>
      <c r="F54" s="87"/>
      <c r="G54" s="105" t="s">
        <v>252</v>
      </c>
      <c r="H54" s="85" t="s">
        <v>93</v>
      </c>
      <c r="I54" s="86"/>
      <c r="J54" s="87" t="s">
        <v>94</v>
      </c>
      <c r="K54" s="85" t="s">
        <v>95</v>
      </c>
      <c r="L54" s="85" t="s">
        <v>96</v>
      </c>
      <c r="M54" s="88"/>
      <c r="N54" s="89"/>
      <c r="O54" s="90"/>
      <c r="P54" s="91"/>
      <c r="Q54" s="92"/>
    </row>
    <row r="55" spans="1:17" x14ac:dyDescent="0.2">
      <c r="A55" s="34">
        <f t="shared" si="0"/>
        <v>48</v>
      </c>
      <c r="B55" s="84" t="s">
        <v>202</v>
      </c>
      <c r="C55" s="105" t="s">
        <v>205</v>
      </c>
      <c r="D55" s="85" t="s">
        <v>93</v>
      </c>
      <c r="E55" s="86"/>
      <c r="F55" s="87"/>
      <c r="G55" s="105" t="s">
        <v>253</v>
      </c>
      <c r="H55" s="85" t="s">
        <v>93</v>
      </c>
      <c r="I55" s="86"/>
      <c r="J55" s="87" t="s">
        <v>94</v>
      </c>
      <c r="K55" s="85" t="s">
        <v>95</v>
      </c>
      <c r="L55" s="85" t="s">
        <v>96</v>
      </c>
      <c r="M55" s="88"/>
      <c r="N55" s="89"/>
      <c r="O55" s="90"/>
      <c r="P55" s="91"/>
      <c r="Q55" s="92"/>
    </row>
    <row r="56" spans="1:17" x14ac:dyDescent="0.2">
      <c r="A56" s="34">
        <f t="shared" si="0"/>
        <v>49</v>
      </c>
      <c r="B56" s="84" t="s">
        <v>203</v>
      </c>
      <c r="C56" s="105" t="s">
        <v>205</v>
      </c>
      <c r="D56" s="85" t="s">
        <v>93</v>
      </c>
      <c r="E56" s="86"/>
      <c r="F56" s="87"/>
      <c r="G56" s="105" t="s">
        <v>254</v>
      </c>
      <c r="H56" s="85" t="s">
        <v>93</v>
      </c>
      <c r="I56" s="86"/>
      <c r="J56" s="87" t="s">
        <v>94</v>
      </c>
      <c r="K56" s="85" t="s">
        <v>95</v>
      </c>
      <c r="L56" s="85" t="s">
        <v>96</v>
      </c>
      <c r="M56" s="88"/>
      <c r="N56" s="88"/>
      <c r="O56" s="93"/>
      <c r="P56" s="94"/>
      <c r="Q56" s="92"/>
    </row>
    <row r="57" spans="1:17" x14ac:dyDescent="0.2">
      <c r="A57" s="34">
        <f t="shared" si="0"/>
        <v>50</v>
      </c>
      <c r="B57" s="84" t="s">
        <v>204</v>
      </c>
      <c r="C57" s="105" t="s">
        <v>205</v>
      </c>
      <c r="D57" s="85" t="s">
        <v>93</v>
      </c>
      <c r="E57" s="86"/>
      <c r="F57" s="87"/>
      <c r="G57" s="105" t="s">
        <v>255</v>
      </c>
      <c r="H57" s="85" t="s">
        <v>93</v>
      </c>
      <c r="I57" s="86"/>
      <c r="J57" s="87" t="s">
        <v>94</v>
      </c>
      <c r="K57" s="85" t="s">
        <v>95</v>
      </c>
      <c r="L57" s="85" t="s">
        <v>96</v>
      </c>
      <c r="M57" s="88"/>
      <c r="N57" s="88"/>
      <c r="O57" s="93"/>
      <c r="P57" s="94"/>
      <c r="Q57" s="92"/>
    </row>
    <row r="58" spans="1:17" x14ac:dyDescent="0.2">
      <c r="A58" s="34">
        <f t="shared" si="0"/>
        <v>51</v>
      </c>
      <c r="B58" s="84" t="s">
        <v>65</v>
      </c>
      <c r="C58" s="105" t="s">
        <v>205</v>
      </c>
      <c r="D58" s="85" t="s">
        <v>93</v>
      </c>
      <c r="E58" s="86"/>
      <c r="F58" s="87"/>
      <c r="G58" s="105" t="s">
        <v>256</v>
      </c>
      <c r="H58" s="85" t="s">
        <v>93</v>
      </c>
      <c r="I58" s="86"/>
      <c r="J58" s="87" t="s">
        <v>94</v>
      </c>
      <c r="K58" s="85" t="s">
        <v>95</v>
      </c>
      <c r="L58" s="85" t="s">
        <v>96</v>
      </c>
      <c r="M58" s="88"/>
      <c r="N58" s="88"/>
      <c r="O58" s="93"/>
      <c r="P58" s="94"/>
      <c r="Q58" s="92"/>
    </row>
    <row r="59" spans="1:17" x14ac:dyDescent="0.2">
      <c r="A59" s="34">
        <f t="shared" si="0"/>
        <v>52</v>
      </c>
      <c r="B59" s="84" t="s">
        <v>66</v>
      </c>
      <c r="C59" s="105" t="s">
        <v>205</v>
      </c>
      <c r="D59" s="85" t="s">
        <v>93</v>
      </c>
      <c r="E59" s="86"/>
      <c r="F59" s="87"/>
      <c r="G59" s="105" t="s">
        <v>257</v>
      </c>
      <c r="H59" s="85" t="s">
        <v>93</v>
      </c>
      <c r="I59" s="86"/>
      <c r="J59" s="87" t="s">
        <v>94</v>
      </c>
      <c r="K59" s="85" t="s">
        <v>95</v>
      </c>
      <c r="L59" s="85" t="s">
        <v>96</v>
      </c>
      <c r="M59" s="88"/>
      <c r="N59" s="88"/>
      <c r="O59" s="93"/>
      <c r="P59" s="94"/>
      <c r="Q59" s="92"/>
    </row>
    <row r="60" spans="1:17" x14ac:dyDescent="0.2">
      <c r="A60" s="34">
        <f t="shared" si="0"/>
        <v>53</v>
      </c>
      <c r="B60" s="84" t="s">
        <v>67</v>
      </c>
      <c r="C60" s="105" t="s">
        <v>205</v>
      </c>
      <c r="D60" s="85" t="s">
        <v>93</v>
      </c>
      <c r="E60" s="86"/>
      <c r="F60" s="87"/>
      <c r="G60" s="105" t="s">
        <v>258</v>
      </c>
      <c r="H60" s="85" t="s">
        <v>93</v>
      </c>
      <c r="I60" s="86"/>
      <c r="J60" s="87" t="s">
        <v>94</v>
      </c>
      <c r="K60" s="85" t="s">
        <v>95</v>
      </c>
      <c r="L60" s="85" t="s">
        <v>96</v>
      </c>
      <c r="M60" s="88"/>
      <c r="N60" s="88"/>
      <c r="O60" s="93"/>
      <c r="P60" s="94"/>
      <c r="Q60" s="92"/>
    </row>
    <row r="61" spans="1:17" x14ac:dyDescent="0.2">
      <c r="A61" s="34">
        <f t="shared" si="0"/>
        <v>54</v>
      </c>
      <c r="B61" s="84" t="s">
        <v>68</v>
      </c>
      <c r="C61" s="105" t="s">
        <v>205</v>
      </c>
      <c r="D61" s="85" t="s">
        <v>93</v>
      </c>
      <c r="E61" s="86"/>
      <c r="F61" s="87"/>
      <c r="G61" s="105" t="s">
        <v>259</v>
      </c>
      <c r="H61" s="85" t="s">
        <v>93</v>
      </c>
      <c r="I61" s="86"/>
      <c r="J61" s="87" t="s">
        <v>94</v>
      </c>
      <c r="K61" s="85" t="s">
        <v>95</v>
      </c>
      <c r="L61" s="85" t="s">
        <v>96</v>
      </c>
      <c r="M61" s="88"/>
      <c r="N61" s="88"/>
      <c r="O61" s="93"/>
      <c r="P61" s="94"/>
      <c r="Q61" s="92"/>
    </row>
    <row r="62" spans="1:17" x14ac:dyDescent="0.2">
      <c r="A62" s="34">
        <f t="shared" si="0"/>
        <v>55</v>
      </c>
      <c r="B62" s="84" t="s">
        <v>69</v>
      </c>
      <c r="C62" s="105" t="s">
        <v>205</v>
      </c>
      <c r="D62" s="85" t="s">
        <v>93</v>
      </c>
      <c r="E62" s="86"/>
      <c r="F62" s="87"/>
      <c r="G62" s="105" t="s">
        <v>260</v>
      </c>
      <c r="H62" s="85" t="s">
        <v>93</v>
      </c>
      <c r="I62" s="86"/>
      <c r="J62" s="87" t="s">
        <v>94</v>
      </c>
      <c r="K62" s="85" t="s">
        <v>95</v>
      </c>
      <c r="L62" s="85" t="s">
        <v>96</v>
      </c>
      <c r="M62" s="88"/>
      <c r="N62" s="88"/>
      <c r="O62" s="93"/>
      <c r="P62" s="94"/>
      <c r="Q62" s="92"/>
    </row>
    <row r="63" spans="1:17" x14ac:dyDescent="0.2">
      <c r="A63" s="34">
        <f t="shared" si="0"/>
        <v>56</v>
      </c>
      <c r="B63" s="84" t="s">
        <v>70</v>
      </c>
      <c r="C63" s="105" t="s">
        <v>205</v>
      </c>
      <c r="D63" s="85" t="s">
        <v>93</v>
      </c>
      <c r="E63" s="86"/>
      <c r="F63" s="87"/>
      <c r="G63" s="105" t="s">
        <v>261</v>
      </c>
      <c r="H63" s="85" t="s">
        <v>93</v>
      </c>
      <c r="I63" s="86"/>
      <c r="J63" s="87" t="s">
        <v>94</v>
      </c>
      <c r="K63" s="85" t="s">
        <v>95</v>
      </c>
      <c r="L63" s="85" t="s">
        <v>96</v>
      </c>
      <c r="M63" s="88"/>
      <c r="N63" s="88"/>
      <c r="O63" s="93"/>
      <c r="P63" s="94"/>
      <c r="Q63" s="92"/>
    </row>
    <row r="64" spans="1:17" x14ac:dyDescent="0.2">
      <c r="A64" s="34"/>
      <c r="B64" s="84"/>
      <c r="C64" s="105"/>
      <c r="D64" s="85"/>
      <c r="E64" s="86"/>
      <c r="F64" s="87"/>
      <c r="G64" s="105"/>
      <c r="H64" s="85"/>
      <c r="I64" s="86"/>
      <c r="J64" s="87"/>
      <c r="K64" s="85"/>
      <c r="L64" s="85"/>
      <c r="M64" s="88"/>
      <c r="N64" s="88"/>
      <c r="O64" s="93"/>
      <c r="P64" s="94"/>
      <c r="Q64" s="92"/>
    </row>
    <row r="65" spans="1:17" x14ac:dyDescent="0.2">
      <c r="A65" s="34">
        <f>A63+1</f>
        <v>57</v>
      </c>
      <c r="B65" s="84" t="s">
        <v>71</v>
      </c>
      <c r="C65" s="105" t="s">
        <v>205</v>
      </c>
      <c r="D65" s="85" t="s">
        <v>93</v>
      </c>
      <c r="E65" s="86"/>
      <c r="F65" s="87"/>
      <c r="G65" s="105" t="s">
        <v>283</v>
      </c>
      <c r="H65" s="85" t="s">
        <v>93</v>
      </c>
      <c r="I65" s="86" t="s">
        <v>262</v>
      </c>
      <c r="J65" s="87" t="s">
        <v>94</v>
      </c>
      <c r="K65" s="85" t="s">
        <v>95</v>
      </c>
      <c r="L65" s="85" t="s">
        <v>96</v>
      </c>
      <c r="M65" s="88"/>
      <c r="N65" s="88"/>
      <c r="O65" s="93"/>
      <c r="P65" s="94"/>
      <c r="Q65" s="92"/>
    </row>
    <row r="66" spans="1:17" x14ac:dyDescent="0.2">
      <c r="A66" s="34">
        <f t="shared" si="0"/>
        <v>58</v>
      </c>
      <c r="B66" s="84" t="s">
        <v>72</v>
      </c>
      <c r="C66" s="105" t="s">
        <v>205</v>
      </c>
      <c r="D66" s="85" t="s">
        <v>93</v>
      </c>
      <c r="E66" s="86"/>
      <c r="F66" s="87"/>
      <c r="G66" s="105" t="s">
        <v>284</v>
      </c>
      <c r="H66" s="85" t="s">
        <v>93</v>
      </c>
      <c r="I66" s="86" t="s">
        <v>262</v>
      </c>
      <c r="J66" s="87" t="s">
        <v>94</v>
      </c>
      <c r="K66" s="85" t="s">
        <v>95</v>
      </c>
      <c r="L66" s="85" t="s">
        <v>96</v>
      </c>
      <c r="M66" s="88"/>
      <c r="N66" s="88"/>
      <c r="O66" s="93"/>
      <c r="P66" s="94"/>
      <c r="Q66" s="92"/>
    </row>
    <row r="67" spans="1:17" x14ac:dyDescent="0.2">
      <c r="A67" s="34">
        <f t="shared" si="0"/>
        <v>59</v>
      </c>
      <c r="B67" s="84" t="s">
        <v>73</v>
      </c>
      <c r="C67" s="105" t="s">
        <v>205</v>
      </c>
      <c r="D67" s="85" t="s">
        <v>93</v>
      </c>
      <c r="E67" s="86"/>
      <c r="F67" s="87"/>
      <c r="G67" s="105" t="s">
        <v>285</v>
      </c>
      <c r="H67" s="85" t="s">
        <v>93</v>
      </c>
      <c r="I67" s="86" t="s">
        <v>262</v>
      </c>
      <c r="J67" s="87" t="s">
        <v>94</v>
      </c>
      <c r="K67" s="85" t="s">
        <v>95</v>
      </c>
      <c r="L67" s="85" t="s">
        <v>96</v>
      </c>
      <c r="M67" s="88"/>
      <c r="N67" s="88"/>
      <c r="O67" s="93"/>
      <c r="P67" s="94"/>
      <c r="Q67" s="92"/>
    </row>
    <row r="68" spans="1:17" x14ac:dyDescent="0.2">
      <c r="A68" s="34">
        <f t="shared" si="0"/>
        <v>60</v>
      </c>
      <c r="B68" s="84" t="s">
        <v>74</v>
      </c>
      <c r="C68" s="105" t="s">
        <v>205</v>
      </c>
      <c r="D68" s="85" t="s">
        <v>93</v>
      </c>
      <c r="E68" s="86"/>
      <c r="F68" s="87"/>
      <c r="G68" s="105" t="s">
        <v>286</v>
      </c>
      <c r="H68" s="85" t="s">
        <v>93</v>
      </c>
      <c r="I68" s="86" t="s">
        <v>262</v>
      </c>
      <c r="J68" s="87" t="s">
        <v>94</v>
      </c>
      <c r="K68" s="85" t="s">
        <v>95</v>
      </c>
      <c r="L68" s="85" t="s">
        <v>96</v>
      </c>
      <c r="M68" s="88"/>
      <c r="N68" s="88"/>
      <c r="O68" s="93"/>
      <c r="P68" s="94"/>
      <c r="Q68" s="92"/>
    </row>
    <row r="69" spans="1:17" x14ac:dyDescent="0.2">
      <c r="A69" s="34">
        <f t="shared" si="0"/>
        <v>61</v>
      </c>
      <c r="B69" s="84" t="s">
        <v>75</v>
      </c>
      <c r="C69" s="105" t="s">
        <v>205</v>
      </c>
      <c r="D69" s="85" t="s">
        <v>93</v>
      </c>
      <c r="E69" s="86"/>
      <c r="F69" s="87"/>
      <c r="G69" s="105" t="s">
        <v>287</v>
      </c>
      <c r="H69" s="85" t="s">
        <v>93</v>
      </c>
      <c r="I69" s="86" t="s">
        <v>262</v>
      </c>
      <c r="J69" s="87" t="s">
        <v>94</v>
      </c>
      <c r="K69" s="85" t="s">
        <v>95</v>
      </c>
      <c r="L69" s="85" t="s">
        <v>96</v>
      </c>
      <c r="M69" s="88"/>
      <c r="N69" s="88"/>
      <c r="O69" s="93"/>
      <c r="P69" s="94"/>
      <c r="Q69" s="92"/>
    </row>
    <row r="70" spans="1:17" x14ac:dyDescent="0.2">
      <c r="A70" s="34">
        <f t="shared" si="0"/>
        <v>62</v>
      </c>
      <c r="B70" s="84" t="s">
        <v>76</v>
      </c>
      <c r="C70" s="105" t="s">
        <v>205</v>
      </c>
      <c r="D70" s="85" t="s">
        <v>93</v>
      </c>
      <c r="E70" s="86"/>
      <c r="F70" s="87"/>
      <c r="G70" s="105" t="s">
        <v>288</v>
      </c>
      <c r="H70" s="85" t="s">
        <v>93</v>
      </c>
      <c r="I70" s="86" t="s">
        <v>262</v>
      </c>
      <c r="J70" s="87" t="s">
        <v>94</v>
      </c>
      <c r="K70" s="85" t="s">
        <v>95</v>
      </c>
      <c r="L70" s="85" t="s">
        <v>96</v>
      </c>
      <c r="M70" s="88"/>
      <c r="N70" s="88"/>
      <c r="O70" s="93"/>
      <c r="P70" s="94"/>
      <c r="Q70" s="92"/>
    </row>
    <row r="71" spans="1:17" x14ac:dyDescent="0.2">
      <c r="A71" s="34">
        <f t="shared" si="0"/>
        <v>63</v>
      </c>
      <c r="B71" s="84" t="s">
        <v>77</v>
      </c>
      <c r="C71" s="105" t="s">
        <v>205</v>
      </c>
      <c r="D71" s="85" t="s">
        <v>93</v>
      </c>
      <c r="E71" s="86"/>
      <c r="F71" s="87"/>
      <c r="G71" s="105" t="s">
        <v>289</v>
      </c>
      <c r="H71" s="85" t="s">
        <v>93</v>
      </c>
      <c r="I71" s="86" t="s">
        <v>262</v>
      </c>
      <c r="J71" s="87" t="s">
        <v>94</v>
      </c>
      <c r="K71" s="85" t="s">
        <v>95</v>
      </c>
      <c r="L71" s="85" t="s">
        <v>96</v>
      </c>
      <c r="M71" s="88"/>
      <c r="N71" s="88"/>
      <c r="O71" s="93"/>
      <c r="P71" s="94"/>
      <c r="Q71" s="92"/>
    </row>
    <row r="72" spans="1:17" x14ac:dyDescent="0.2">
      <c r="A72" s="34">
        <f t="shared" si="0"/>
        <v>64</v>
      </c>
      <c r="B72" s="84" t="s">
        <v>78</v>
      </c>
      <c r="C72" s="105" t="s">
        <v>205</v>
      </c>
      <c r="D72" s="85" t="s">
        <v>93</v>
      </c>
      <c r="E72" s="86"/>
      <c r="F72" s="87"/>
      <c r="G72" s="105" t="s">
        <v>290</v>
      </c>
      <c r="H72" s="85" t="s">
        <v>93</v>
      </c>
      <c r="I72" s="86" t="s">
        <v>262</v>
      </c>
      <c r="J72" s="87" t="s">
        <v>94</v>
      </c>
      <c r="K72" s="85" t="s">
        <v>95</v>
      </c>
      <c r="L72" s="85" t="s">
        <v>96</v>
      </c>
      <c r="M72" s="88"/>
      <c r="N72" s="88"/>
      <c r="O72" s="93"/>
      <c r="P72" s="94"/>
      <c r="Q72" s="92"/>
    </row>
    <row r="73" spans="1:17" x14ac:dyDescent="0.2">
      <c r="A73" s="34">
        <f t="shared" si="0"/>
        <v>65</v>
      </c>
      <c r="B73" s="84" t="s">
        <v>79</v>
      </c>
      <c r="C73" s="105" t="s">
        <v>205</v>
      </c>
      <c r="D73" s="85" t="s">
        <v>93</v>
      </c>
      <c r="E73" s="86"/>
      <c r="F73" s="87"/>
      <c r="G73" s="105" t="s">
        <v>291</v>
      </c>
      <c r="H73" s="85" t="s">
        <v>93</v>
      </c>
      <c r="I73" s="86" t="s">
        <v>262</v>
      </c>
      <c r="J73" s="87" t="s">
        <v>94</v>
      </c>
      <c r="K73" s="85" t="s">
        <v>95</v>
      </c>
      <c r="L73" s="85" t="s">
        <v>96</v>
      </c>
      <c r="M73" s="88"/>
      <c r="N73" s="88"/>
      <c r="O73" s="93"/>
      <c r="P73" s="94"/>
      <c r="Q73" s="92"/>
    </row>
    <row r="74" spans="1:17" x14ac:dyDescent="0.2">
      <c r="A74" s="34">
        <f t="shared" si="0"/>
        <v>66</v>
      </c>
      <c r="B74" s="84" t="s">
        <v>80</v>
      </c>
      <c r="C74" s="105" t="s">
        <v>205</v>
      </c>
      <c r="D74" s="85" t="s">
        <v>93</v>
      </c>
      <c r="E74" s="86"/>
      <c r="F74" s="87"/>
      <c r="G74" s="105" t="s">
        <v>292</v>
      </c>
      <c r="H74" s="85" t="s">
        <v>93</v>
      </c>
      <c r="I74" s="86" t="s">
        <v>262</v>
      </c>
      <c r="J74" s="87" t="s">
        <v>94</v>
      </c>
      <c r="K74" s="85" t="s">
        <v>95</v>
      </c>
      <c r="L74" s="85" t="s">
        <v>96</v>
      </c>
      <c r="M74" s="88"/>
      <c r="N74" s="88"/>
      <c r="O74" s="93"/>
      <c r="P74" s="94"/>
      <c r="Q74" s="92"/>
    </row>
    <row r="75" spans="1:17" x14ac:dyDescent="0.2">
      <c r="A75" s="34">
        <f t="shared" si="0"/>
        <v>67</v>
      </c>
      <c r="B75" s="84" t="s">
        <v>81</v>
      </c>
      <c r="C75" s="105" t="s">
        <v>205</v>
      </c>
      <c r="D75" s="85" t="s">
        <v>93</v>
      </c>
      <c r="E75" s="86"/>
      <c r="F75" s="87"/>
      <c r="G75" s="105" t="s">
        <v>293</v>
      </c>
      <c r="H75" s="85" t="s">
        <v>93</v>
      </c>
      <c r="I75" s="86" t="s">
        <v>262</v>
      </c>
      <c r="J75" s="87" t="s">
        <v>94</v>
      </c>
      <c r="K75" s="85" t="s">
        <v>95</v>
      </c>
      <c r="L75" s="85" t="s">
        <v>96</v>
      </c>
      <c r="M75" s="88"/>
      <c r="N75" s="88"/>
      <c r="O75" s="93"/>
      <c r="P75" s="94"/>
      <c r="Q75" s="92"/>
    </row>
    <row r="76" spans="1:17" x14ac:dyDescent="0.2">
      <c r="A76" s="34">
        <f t="shared" ref="A76:A104" si="1">A75+1</f>
        <v>68</v>
      </c>
      <c r="B76" s="84" t="s">
        <v>82</v>
      </c>
      <c r="C76" s="105" t="s">
        <v>205</v>
      </c>
      <c r="D76" s="85" t="s">
        <v>93</v>
      </c>
      <c r="E76" s="86"/>
      <c r="F76" s="87"/>
      <c r="G76" s="105" t="s">
        <v>294</v>
      </c>
      <c r="H76" s="85" t="s">
        <v>93</v>
      </c>
      <c r="I76" s="86" t="s">
        <v>262</v>
      </c>
      <c r="J76" s="87" t="s">
        <v>94</v>
      </c>
      <c r="K76" s="85" t="s">
        <v>95</v>
      </c>
      <c r="L76" s="85" t="s">
        <v>96</v>
      </c>
      <c r="M76" s="88"/>
      <c r="N76" s="88"/>
      <c r="O76" s="93"/>
      <c r="P76" s="94"/>
      <c r="Q76" s="92"/>
    </row>
    <row r="77" spans="1:17" x14ac:dyDescent="0.2">
      <c r="A77" s="34">
        <f t="shared" si="1"/>
        <v>69</v>
      </c>
      <c r="B77" s="84" t="s">
        <v>83</v>
      </c>
      <c r="C77" s="105" t="s">
        <v>205</v>
      </c>
      <c r="D77" s="85" t="s">
        <v>93</v>
      </c>
      <c r="E77" s="86"/>
      <c r="F77" s="87"/>
      <c r="G77" s="105" t="s">
        <v>295</v>
      </c>
      <c r="H77" s="85" t="s">
        <v>93</v>
      </c>
      <c r="I77" s="86" t="s">
        <v>262</v>
      </c>
      <c r="J77" s="87" t="s">
        <v>94</v>
      </c>
      <c r="K77" s="85" t="s">
        <v>95</v>
      </c>
      <c r="L77" s="85" t="s">
        <v>96</v>
      </c>
      <c r="M77" s="88"/>
      <c r="N77" s="88"/>
      <c r="O77" s="93"/>
      <c r="P77" s="94"/>
      <c r="Q77" s="92"/>
    </row>
    <row r="78" spans="1:17" x14ac:dyDescent="0.2">
      <c r="A78" s="34">
        <f t="shared" si="1"/>
        <v>70</v>
      </c>
      <c r="B78" s="84" t="s">
        <v>84</v>
      </c>
      <c r="C78" s="105" t="s">
        <v>205</v>
      </c>
      <c r="D78" s="85" t="s">
        <v>93</v>
      </c>
      <c r="E78" s="86"/>
      <c r="F78" s="87"/>
      <c r="G78" s="105" t="s">
        <v>296</v>
      </c>
      <c r="H78" s="85" t="s">
        <v>93</v>
      </c>
      <c r="I78" s="86" t="s">
        <v>262</v>
      </c>
      <c r="J78" s="87" t="s">
        <v>94</v>
      </c>
      <c r="K78" s="85" t="s">
        <v>95</v>
      </c>
      <c r="L78" s="85" t="s">
        <v>96</v>
      </c>
      <c r="M78" s="88"/>
      <c r="N78" s="88"/>
      <c r="O78" s="93"/>
      <c r="P78" s="94"/>
      <c r="Q78" s="92"/>
    </row>
    <row r="79" spans="1:17" x14ac:dyDescent="0.2">
      <c r="A79" s="34">
        <f t="shared" si="1"/>
        <v>71</v>
      </c>
      <c r="B79" s="84" t="s">
        <v>85</v>
      </c>
      <c r="C79" s="105" t="s">
        <v>205</v>
      </c>
      <c r="D79" s="85" t="s">
        <v>93</v>
      </c>
      <c r="E79" s="86"/>
      <c r="F79" s="87"/>
      <c r="G79" s="105" t="s">
        <v>297</v>
      </c>
      <c r="H79" s="85" t="s">
        <v>93</v>
      </c>
      <c r="I79" s="86" t="s">
        <v>262</v>
      </c>
      <c r="J79" s="87" t="s">
        <v>94</v>
      </c>
      <c r="K79" s="85" t="s">
        <v>95</v>
      </c>
      <c r="L79" s="85" t="s">
        <v>96</v>
      </c>
      <c r="M79" s="88"/>
      <c r="N79" s="88"/>
      <c r="O79" s="93"/>
      <c r="P79" s="94"/>
      <c r="Q79" s="92"/>
    </row>
    <row r="80" spans="1:17" x14ac:dyDescent="0.2">
      <c r="A80" s="34">
        <f t="shared" si="1"/>
        <v>72</v>
      </c>
      <c r="B80" s="84" t="s">
        <v>86</v>
      </c>
      <c r="C80" s="105" t="s">
        <v>205</v>
      </c>
      <c r="D80" s="85" t="s">
        <v>93</v>
      </c>
      <c r="E80" s="86"/>
      <c r="F80" s="87"/>
      <c r="G80" s="105" t="s">
        <v>298</v>
      </c>
      <c r="H80" s="85" t="s">
        <v>93</v>
      </c>
      <c r="I80" s="86" t="s">
        <v>262</v>
      </c>
      <c r="J80" s="87" t="s">
        <v>94</v>
      </c>
      <c r="K80" s="85" t="s">
        <v>95</v>
      </c>
      <c r="L80" s="85" t="s">
        <v>96</v>
      </c>
      <c r="M80" s="88"/>
      <c r="N80" s="88"/>
      <c r="O80" s="93"/>
      <c r="P80" s="94"/>
      <c r="Q80" s="92"/>
    </row>
    <row r="81" spans="1:17" x14ac:dyDescent="0.2">
      <c r="A81" s="34">
        <f t="shared" si="1"/>
        <v>73</v>
      </c>
      <c r="B81" s="84" t="s">
        <v>87</v>
      </c>
      <c r="C81" s="105" t="s">
        <v>205</v>
      </c>
      <c r="D81" s="85" t="s">
        <v>93</v>
      </c>
      <c r="E81" s="86"/>
      <c r="F81" s="87"/>
      <c r="G81" s="105" t="s">
        <v>299</v>
      </c>
      <c r="H81" s="85" t="s">
        <v>93</v>
      </c>
      <c r="I81" s="86" t="s">
        <v>262</v>
      </c>
      <c r="J81" s="87" t="s">
        <v>94</v>
      </c>
      <c r="K81" s="85" t="s">
        <v>95</v>
      </c>
      <c r="L81" s="85" t="s">
        <v>96</v>
      </c>
      <c r="M81" s="88"/>
      <c r="N81" s="88"/>
      <c r="O81" s="93"/>
      <c r="P81" s="94"/>
      <c r="Q81" s="92"/>
    </row>
    <row r="82" spans="1:17" x14ac:dyDescent="0.2">
      <c r="A82" s="34">
        <f t="shared" si="1"/>
        <v>74</v>
      </c>
      <c r="B82" s="84" t="s">
        <v>88</v>
      </c>
      <c r="C82" s="105" t="s">
        <v>205</v>
      </c>
      <c r="D82" s="85" t="s">
        <v>93</v>
      </c>
      <c r="E82" s="86"/>
      <c r="F82" s="87"/>
      <c r="G82" s="105" t="s">
        <v>300</v>
      </c>
      <c r="H82" s="85" t="s">
        <v>93</v>
      </c>
      <c r="I82" s="86" t="s">
        <v>262</v>
      </c>
      <c r="J82" s="87" t="s">
        <v>94</v>
      </c>
      <c r="K82" s="85" t="s">
        <v>95</v>
      </c>
      <c r="L82" s="85" t="s">
        <v>96</v>
      </c>
      <c r="M82" s="88"/>
      <c r="N82" s="88"/>
      <c r="O82" s="93"/>
      <c r="P82" s="94"/>
      <c r="Q82" s="92"/>
    </row>
    <row r="83" spans="1:17" x14ac:dyDescent="0.2">
      <c r="A83" s="34">
        <f t="shared" si="1"/>
        <v>75</v>
      </c>
      <c r="B83" s="84" t="s">
        <v>89</v>
      </c>
      <c r="C83" s="105" t="s">
        <v>205</v>
      </c>
      <c r="D83" s="85" t="s">
        <v>93</v>
      </c>
      <c r="E83" s="86"/>
      <c r="F83" s="87"/>
      <c r="G83" s="105" t="s">
        <v>301</v>
      </c>
      <c r="H83" s="85" t="s">
        <v>93</v>
      </c>
      <c r="I83" s="86" t="s">
        <v>262</v>
      </c>
      <c r="J83" s="87" t="s">
        <v>94</v>
      </c>
      <c r="K83" s="85" t="s">
        <v>95</v>
      </c>
      <c r="L83" s="85" t="s">
        <v>96</v>
      </c>
      <c r="M83" s="88"/>
      <c r="N83" s="89"/>
      <c r="O83" s="90"/>
      <c r="P83" s="91"/>
      <c r="Q83" s="92"/>
    </row>
    <row r="84" spans="1:17" x14ac:dyDescent="0.2">
      <c r="A84" s="34">
        <f t="shared" si="1"/>
        <v>76</v>
      </c>
      <c r="B84" s="84" t="s">
        <v>90</v>
      </c>
      <c r="C84" s="105" t="s">
        <v>205</v>
      </c>
      <c r="D84" s="85" t="s">
        <v>93</v>
      </c>
      <c r="E84" s="86"/>
      <c r="F84" s="87"/>
      <c r="G84" s="105" t="s">
        <v>302</v>
      </c>
      <c r="H84" s="85" t="s">
        <v>93</v>
      </c>
      <c r="I84" s="86" t="s">
        <v>262</v>
      </c>
      <c r="J84" s="87" t="s">
        <v>94</v>
      </c>
      <c r="K84" s="85" t="s">
        <v>95</v>
      </c>
      <c r="L84" s="85" t="s">
        <v>96</v>
      </c>
      <c r="M84" s="88"/>
      <c r="N84" s="89"/>
      <c r="O84" s="90"/>
      <c r="P84" s="91"/>
      <c r="Q84" s="92"/>
    </row>
    <row r="85" spans="1:17" x14ac:dyDescent="0.2">
      <c r="A85" s="34">
        <f t="shared" si="1"/>
        <v>77</v>
      </c>
      <c r="B85" s="84" t="s">
        <v>91</v>
      </c>
      <c r="C85" s="105" t="s">
        <v>205</v>
      </c>
      <c r="D85" s="85" t="s">
        <v>93</v>
      </c>
      <c r="E85" s="86"/>
      <c r="F85" s="87"/>
      <c r="G85" s="105" t="s">
        <v>303</v>
      </c>
      <c r="H85" s="85" t="s">
        <v>93</v>
      </c>
      <c r="I85" s="86" t="s">
        <v>262</v>
      </c>
      <c r="J85" s="87" t="s">
        <v>94</v>
      </c>
      <c r="K85" s="85" t="s">
        <v>95</v>
      </c>
      <c r="L85" s="85" t="s">
        <v>96</v>
      </c>
      <c r="M85" s="88"/>
      <c r="N85" s="88"/>
      <c r="O85" s="93"/>
      <c r="P85" s="94"/>
      <c r="Q85" s="92"/>
    </row>
    <row r="86" spans="1:17" x14ac:dyDescent="0.2">
      <c r="A86" s="34">
        <f t="shared" si="1"/>
        <v>78</v>
      </c>
      <c r="B86" s="84" t="s">
        <v>92</v>
      </c>
      <c r="C86" s="105" t="s">
        <v>205</v>
      </c>
      <c r="D86" s="85" t="s">
        <v>93</v>
      </c>
      <c r="E86" s="86"/>
      <c r="F86" s="87"/>
      <c r="G86" s="105" t="s">
        <v>304</v>
      </c>
      <c r="H86" s="85" t="s">
        <v>93</v>
      </c>
      <c r="I86" s="86" t="s">
        <v>262</v>
      </c>
      <c r="J86" s="87" t="s">
        <v>94</v>
      </c>
      <c r="K86" s="85" t="s">
        <v>95</v>
      </c>
      <c r="L86" s="85" t="s">
        <v>96</v>
      </c>
      <c r="M86" s="88"/>
      <c r="N86" s="88"/>
      <c r="O86" s="93"/>
      <c r="P86" s="94"/>
      <c r="Q86" s="92"/>
    </row>
    <row r="87" spans="1:17" x14ac:dyDescent="0.2">
      <c r="A87" s="34">
        <f t="shared" si="1"/>
        <v>79</v>
      </c>
      <c r="B87" s="84" t="s">
        <v>263</v>
      </c>
      <c r="C87" s="105" t="s">
        <v>205</v>
      </c>
      <c r="D87" s="85" t="s">
        <v>93</v>
      </c>
      <c r="E87" s="86"/>
      <c r="F87" s="87"/>
      <c r="G87" s="105" t="s">
        <v>305</v>
      </c>
      <c r="H87" s="85" t="s">
        <v>93</v>
      </c>
      <c r="I87" s="86" t="s">
        <v>262</v>
      </c>
      <c r="J87" s="87" t="s">
        <v>94</v>
      </c>
      <c r="K87" s="85" t="s">
        <v>95</v>
      </c>
      <c r="L87" s="85" t="s">
        <v>96</v>
      </c>
      <c r="M87" s="88"/>
      <c r="N87" s="88"/>
      <c r="O87" s="93"/>
      <c r="P87" s="94"/>
      <c r="Q87" s="92"/>
    </row>
    <row r="88" spans="1:17" x14ac:dyDescent="0.2">
      <c r="A88" s="34">
        <f t="shared" si="1"/>
        <v>80</v>
      </c>
      <c r="B88" s="84" t="s">
        <v>264</v>
      </c>
      <c r="C88" s="105" t="s">
        <v>205</v>
      </c>
      <c r="D88" s="85" t="s">
        <v>93</v>
      </c>
      <c r="E88" s="86"/>
      <c r="F88" s="87"/>
      <c r="G88" s="105" t="s">
        <v>306</v>
      </c>
      <c r="H88" s="85" t="s">
        <v>93</v>
      </c>
      <c r="I88" s="86" t="s">
        <v>262</v>
      </c>
      <c r="J88" s="87" t="s">
        <v>94</v>
      </c>
      <c r="K88" s="85" t="s">
        <v>95</v>
      </c>
      <c r="L88" s="85" t="s">
        <v>96</v>
      </c>
      <c r="M88" s="88"/>
      <c r="N88" s="88"/>
      <c r="O88" s="93"/>
      <c r="P88" s="94"/>
      <c r="Q88" s="92"/>
    </row>
    <row r="89" spans="1:17" x14ac:dyDescent="0.2">
      <c r="A89" s="34">
        <f t="shared" si="1"/>
        <v>81</v>
      </c>
      <c r="B89" s="84" t="s">
        <v>265</v>
      </c>
      <c r="C89" s="105" t="s">
        <v>205</v>
      </c>
      <c r="D89" s="85" t="s">
        <v>93</v>
      </c>
      <c r="E89" s="86"/>
      <c r="F89" s="87"/>
      <c r="G89" s="105" t="s">
        <v>307</v>
      </c>
      <c r="H89" s="85" t="s">
        <v>93</v>
      </c>
      <c r="I89" s="86" t="s">
        <v>282</v>
      </c>
      <c r="J89" s="87" t="s">
        <v>94</v>
      </c>
      <c r="K89" s="85" t="s">
        <v>95</v>
      </c>
      <c r="L89" s="85" t="s">
        <v>96</v>
      </c>
      <c r="M89" s="88"/>
      <c r="N89" s="88"/>
      <c r="O89" s="93"/>
      <c r="P89" s="94"/>
      <c r="Q89" s="92"/>
    </row>
    <row r="90" spans="1:17" x14ac:dyDescent="0.2">
      <c r="A90" s="34">
        <f t="shared" si="1"/>
        <v>82</v>
      </c>
      <c r="B90" s="84" t="s">
        <v>266</v>
      </c>
      <c r="C90" s="105" t="s">
        <v>205</v>
      </c>
      <c r="D90" s="85" t="s">
        <v>93</v>
      </c>
      <c r="E90" s="86"/>
      <c r="F90" s="87"/>
      <c r="G90" s="105" t="s">
        <v>308</v>
      </c>
      <c r="H90" s="85" t="s">
        <v>93</v>
      </c>
      <c r="I90" s="86" t="s">
        <v>282</v>
      </c>
      <c r="J90" s="87" t="s">
        <v>94</v>
      </c>
      <c r="K90" s="85" t="s">
        <v>95</v>
      </c>
      <c r="L90" s="85" t="s">
        <v>96</v>
      </c>
      <c r="M90" s="88"/>
      <c r="N90" s="88"/>
      <c r="O90" s="93"/>
      <c r="P90" s="94"/>
      <c r="Q90" s="92"/>
    </row>
    <row r="91" spans="1:17" x14ac:dyDescent="0.2">
      <c r="A91" s="34">
        <f t="shared" si="1"/>
        <v>83</v>
      </c>
      <c r="B91" s="84" t="s">
        <v>267</v>
      </c>
      <c r="C91" s="105" t="s">
        <v>205</v>
      </c>
      <c r="D91" s="85" t="s">
        <v>93</v>
      </c>
      <c r="E91" s="86"/>
      <c r="F91" s="87"/>
      <c r="G91" s="105" t="s">
        <v>309</v>
      </c>
      <c r="H91" s="85" t="s">
        <v>93</v>
      </c>
      <c r="I91" s="86" t="s">
        <v>282</v>
      </c>
      <c r="J91" s="87" t="s">
        <v>94</v>
      </c>
      <c r="K91" s="85" t="s">
        <v>95</v>
      </c>
      <c r="L91" s="85" t="s">
        <v>96</v>
      </c>
      <c r="M91" s="88"/>
      <c r="N91" s="88"/>
      <c r="O91" s="93"/>
      <c r="P91" s="94"/>
      <c r="Q91" s="92"/>
    </row>
    <row r="92" spans="1:17" x14ac:dyDescent="0.2">
      <c r="A92" s="34">
        <f t="shared" si="1"/>
        <v>84</v>
      </c>
      <c r="B92" s="84" t="s">
        <v>268</v>
      </c>
      <c r="C92" s="105" t="s">
        <v>205</v>
      </c>
      <c r="D92" s="85" t="s">
        <v>93</v>
      </c>
      <c r="E92" s="86"/>
      <c r="F92" s="87"/>
      <c r="G92" s="105" t="s">
        <v>310</v>
      </c>
      <c r="H92" s="85" t="s">
        <v>93</v>
      </c>
      <c r="I92" s="86" t="s">
        <v>282</v>
      </c>
      <c r="J92" s="87" t="s">
        <v>94</v>
      </c>
      <c r="K92" s="85" t="s">
        <v>95</v>
      </c>
      <c r="L92" s="85" t="s">
        <v>96</v>
      </c>
      <c r="M92" s="88"/>
      <c r="N92" s="88"/>
      <c r="O92" s="93"/>
      <c r="P92" s="94"/>
      <c r="Q92" s="92"/>
    </row>
    <row r="93" spans="1:17" s="64" customFormat="1" x14ac:dyDescent="0.2">
      <c r="A93" s="34">
        <f t="shared" si="1"/>
        <v>85</v>
      </c>
      <c r="B93" s="84" t="s">
        <v>269</v>
      </c>
      <c r="C93" s="105" t="s">
        <v>205</v>
      </c>
      <c r="D93" s="85" t="s">
        <v>93</v>
      </c>
      <c r="E93" s="86"/>
      <c r="F93" s="87"/>
      <c r="G93" s="105" t="s">
        <v>311</v>
      </c>
      <c r="H93" s="85" t="s">
        <v>93</v>
      </c>
      <c r="I93" s="86" t="s">
        <v>282</v>
      </c>
      <c r="J93" s="87" t="s">
        <v>94</v>
      </c>
      <c r="K93" s="85" t="s">
        <v>95</v>
      </c>
      <c r="L93" s="85" t="s">
        <v>96</v>
      </c>
      <c r="M93" s="88"/>
      <c r="N93" s="88"/>
      <c r="O93" s="93"/>
      <c r="P93" s="94"/>
      <c r="Q93" s="92"/>
    </row>
    <row r="94" spans="1:17" x14ac:dyDescent="0.2">
      <c r="A94" s="34">
        <f t="shared" si="1"/>
        <v>86</v>
      </c>
      <c r="B94" s="84" t="s">
        <v>270</v>
      </c>
      <c r="C94" s="105" t="s">
        <v>205</v>
      </c>
      <c r="D94" s="85" t="s">
        <v>93</v>
      </c>
      <c r="E94" s="86"/>
      <c r="F94" s="87"/>
      <c r="G94" s="105" t="s">
        <v>312</v>
      </c>
      <c r="H94" s="85" t="s">
        <v>93</v>
      </c>
      <c r="I94" s="86" t="s">
        <v>282</v>
      </c>
      <c r="J94" s="87" t="s">
        <v>94</v>
      </c>
      <c r="K94" s="85" t="s">
        <v>95</v>
      </c>
      <c r="L94" s="85" t="s">
        <v>96</v>
      </c>
      <c r="M94" s="88"/>
      <c r="N94" s="88"/>
      <c r="O94" s="93"/>
      <c r="P94" s="94"/>
      <c r="Q94" s="92"/>
    </row>
    <row r="95" spans="1:17" s="64" customFormat="1" x14ac:dyDescent="0.2">
      <c r="A95" s="34">
        <f t="shared" si="1"/>
        <v>87</v>
      </c>
      <c r="B95" s="84" t="s">
        <v>271</v>
      </c>
      <c r="C95" s="105" t="s">
        <v>205</v>
      </c>
      <c r="D95" s="85" t="s">
        <v>93</v>
      </c>
      <c r="E95" s="86"/>
      <c r="F95" s="87"/>
      <c r="G95" s="105" t="s">
        <v>313</v>
      </c>
      <c r="H95" s="85" t="s">
        <v>93</v>
      </c>
      <c r="I95" s="86" t="s">
        <v>282</v>
      </c>
      <c r="J95" s="87" t="s">
        <v>94</v>
      </c>
      <c r="K95" s="85" t="s">
        <v>95</v>
      </c>
      <c r="L95" s="85" t="s">
        <v>96</v>
      </c>
      <c r="M95" s="88"/>
      <c r="N95" s="88"/>
      <c r="O95" s="93"/>
      <c r="P95" s="94"/>
      <c r="Q95" s="92"/>
    </row>
    <row r="96" spans="1:17" s="64" customFormat="1" x14ac:dyDescent="0.2">
      <c r="A96" s="34">
        <f t="shared" si="1"/>
        <v>88</v>
      </c>
      <c r="B96" s="84" t="s">
        <v>272</v>
      </c>
      <c r="C96" s="105" t="s">
        <v>205</v>
      </c>
      <c r="D96" s="85" t="s">
        <v>93</v>
      </c>
      <c r="E96" s="86"/>
      <c r="F96" s="87"/>
      <c r="G96" s="105" t="s">
        <v>314</v>
      </c>
      <c r="H96" s="85" t="s">
        <v>93</v>
      </c>
      <c r="I96" s="86" t="s">
        <v>282</v>
      </c>
      <c r="J96" s="87" t="s">
        <v>94</v>
      </c>
      <c r="K96" s="85" t="s">
        <v>95</v>
      </c>
      <c r="L96" s="85" t="s">
        <v>96</v>
      </c>
      <c r="M96" s="88"/>
      <c r="N96" s="88"/>
      <c r="O96" s="93"/>
      <c r="P96" s="94"/>
      <c r="Q96" s="92"/>
    </row>
    <row r="97" spans="1:17" x14ac:dyDescent="0.2">
      <c r="A97" s="34">
        <f t="shared" si="1"/>
        <v>89</v>
      </c>
      <c r="B97" s="84" t="s">
        <v>273</v>
      </c>
      <c r="C97" s="105" t="s">
        <v>205</v>
      </c>
      <c r="D97" s="85" t="s">
        <v>93</v>
      </c>
      <c r="E97" s="86"/>
      <c r="F97" s="87"/>
      <c r="G97" s="105" t="s">
        <v>315</v>
      </c>
      <c r="H97" s="85" t="s">
        <v>93</v>
      </c>
      <c r="I97" s="86" t="s">
        <v>282</v>
      </c>
      <c r="J97" s="87" t="s">
        <v>94</v>
      </c>
      <c r="K97" s="85" t="s">
        <v>95</v>
      </c>
      <c r="L97" s="85" t="s">
        <v>96</v>
      </c>
      <c r="M97" s="88"/>
      <c r="N97" s="88"/>
      <c r="O97" s="93"/>
      <c r="P97" s="94"/>
      <c r="Q97" s="92"/>
    </row>
    <row r="98" spans="1:17" x14ac:dyDescent="0.2">
      <c r="A98" s="34">
        <f t="shared" si="1"/>
        <v>90</v>
      </c>
      <c r="B98" s="84" t="s">
        <v>274</v>
      </c>
      <c r="C98" s="105" t="s">
        <v>205</v>
      </c>
      <c r="D98" s="85" t="s">
        <v>93</v>
      </c>
      <c r="E98" s="86"/>
      <c r="F98" s="87"/>
      <c r="G98" s="105" t="s">
        <v>316</v>
      </c>
      <c r="H98" s="85" t="s">
        <v>93</v>
      </c>
      <c r="I98" s="86" t="s">
        <v>282</v>
      </c>
      <c r="J98" s="87" t="s">
        <v>94</v>
      </c>
      <c r="K98" s="85" t="s">
        <v>95</v>
      </c>
      <c r="L98" s="85" t="s">
        <v>96</v>
      </c>
      <c r="M98" s="88"/>
      <c r="N98" s="88"/>
      <c r="O98" s="93"/>
      <c r="P98" s="94"/>
      <c r="Q98" s="92"/>
    </row>
    <row r="99" spans="1:17" x14ac:dyDescent="0.2">
      <c r="A99" s="34">
        <f t="shared" si="1"/>
        <v>91</v>
      </c>
      <c r="B99" s="84" t="s">
        <v>275</v>
      </c>
      <c r="C99" s="105" t="s">
        <v>205</v>
      </c>
      <c r="D99" s="85" t="s">
        <v>93</v>
      </c>
      <c r="E99" s="86"/>
      <c r="F99" s="87"/>
      <c r="G99" s="105" t="s">
        <v>317</v>
      </c>
      <c r="H99" s="85" t="s">
        <v>93</v>
      </c>
      <c r="I99" s="86" t="s">
        <v>282</v>
      </c>
      <c r="J99" s="87" t="s">
        <v>94</v>
      </c>
      <c r="K99" s="85" t="s">
        <v>95</v>
      </c>
      <c r="L99" s="85" t="s">
        <v>96</v>
      </c>
      <c r="M99" s="88"/>
      <c r="N99" s="88"/>
      <c r="O99" s="93"/>
      <c r="P99" s="94"/>
      <c r="Q99" s="92"/>
    </row>
    <row r="100" spans="1:17" x14ac:dyDescent="0.2">
      <c r="A100" s="34">
        <f t="shared" si="1"/>
        <v>92</v>
      </c>
      <c r="B100" s="84" t="s">
        <v>276</v>
      </c>
      <c r="C100" s="105" t="s">
        <v>205</v>
      </c>
      <c r="D100" s="85" t="s">
        <v>93</v>
      </c>
      <c r="E100" s="86"/>
      <c r="F100" s="87"/>
      <c r="G100" s="105" t="s">
        <v>318</v>
      </c>
      <c r="H100" s="85" t="s">
        <v>93</v>
      </c>
      <c r="I100" s="86" t="s">
        <v>282</v>
      </c>
      <c r="J100" s="87" t="s">
        <v>94</v>
      </c>
      <c r="K100" s="85" t="s">
        <v>95</v>
      </c>
      <c r="L100" s="85" t="s">
        <v>96</v>
      </c>
      <c r="M100" s="88"/>
      <c r="N100" s="88"/>
      <c r="O100" s="93"/>
      <c r="P100" s="94"/>
      <c r="Q100" s="92"/>
    </row>
    <row r="101" spans="1:17" x14ac:dyDescent="0.2">
      <c r="A101" s="34">
        <f t="shared" si="1"/>
        <v>93</v>
      </c>
      <c r="B101" s="84" t="s">
        <v>277</v>
      </c>
      <c r="C101" s="105" t="s">
        <v>205</v>
      </c>
      <c r="D101" s="85" t="s">
        <v>93</v>
      </c>
      <c r="E101" s="86"/>
      <c r="F101" s="87"/>
      <c r="G101" s="105" t="s">
        <v>319</v>
      </c>
      <c r="H101" s="85" t="s">
        <v>93</v>
      </c>
      <c r="I101" s="86" t="s">
        <v>282</v>
      </c>
      <c r="J101" s="87" t="s">
        <v>94</v>
      </c>
      <c r="K101" s="85" t="s">
        <v>95</v>
      </c>
      <c r="L101" s="85" t="s">
        <v>96</v>
      </c>
      <c r="M101" s="88"/>
      <c r="N101" s="88"/>
      <c r="O101" s="93"/>
      <c r="P101" s="94"/>
      <c r="Q101" s="92"/>
    </row>
    <row r="102" spans="1:17" x14ac:dyDescent="0.2">
      <c r="A102" s="34">
        <f t="shared" si="1"/>
        <v>94</v>
      </c>
      <c r="B102" s="84" t="s">
        <v>278</v>
      </c>
      <c r="C102" s="105" t="s">
        <v>205</v>
      </c>
      <c r="D102" s="85" t="s">
        <v>93</v>
      </c>
      <c r="E102" s="86"/>
      <c r="F102" s="87"/>
      <c r="G102" s="105" t="s">
        <v>320</v>
      </c>
      <c r="H102" s="85" t="s">
        <v>93</v>
      </c>
      <c r="I102" s="86" t="s">
        <v>282</v>
      </c>
      <c r="J102" s="87" t="s">
        <v>94</v>
      </c>
      <c r="K102" s="85" t="s">
        <v>95</v>
      </c>
      <c r="L102" s="85" t="s">
        <v>96</v>
      </c>
      <c r="M102" s="88"/>
      <c r="N102" s="88"/>
      <c r="O102" s="93"/>
      <c r="P102" s="94"/>
      <c r="Q102" s="92"/>
    </row>
    <row r="103" spans="1:17" x14ac:dyDescent="0.2">
      <c r="A103" s="34">
        <f t="shared" si="1"/>
        <v>95</v>
      </c>
      <c r="B103" s="84" t="s">
        <v>279</v>
      </c>
      <c r="C103" s="105" t="s">
        <v>205</v>
      </c>
      <c r="D103" s="85" t="s">
        <v>93</v>
      </c>
      <c r="E103" s="86"/>
      <c r="F103" s="87"/>
      <c r="G103" s="105" t="s">
        <v>321</v>
      </c>
      <c r="H103" s="85" t="s">
        <v>93</v>
      </c>
      <c r="I103" s="86" t="s">
        <v>282</v>
      </c>
      <c r="J103" s="87" t="s">
        <v>94</v>
      </c>
      <c r="K103" s="85" t="s">
        <v>95</v>
      </c>
      <c r="L103" s="85" t="s">
        <v>96</v>
      </c>
      <c r="M103" s="88"/>
      <c r="N103" s="88"/>
      <c r="O103" s="93"/>
      <c r="P103" s="94"/>
      <c r="Q103" s="92"/>
    </row>
    <row r="104" spans="1:17" x14ac:dyDescent="0.2">
      <c r="A104" s="34">
        <f t="shared" si="1"/>
        <v>96</v>
      </c>
      <c r="B104" s="84" t="s">
        <v>280</v>
      </c>
      <c r="C104" s="105" t="s">
        <v>205</v>
      </c>
      <c r="D104" s="85" t="s">
        <v>93</v>
      </c>
      <c r="E104" s="86"/>
      <c r="F104" s="87"/>
      <c r="G104" s="105" t="s">
        <v>322</v>
      </c>
      <c r="H104" s="85" t="s">
        <v>93</v>
      </c>
      <c r="I104" s="86" t="s">
        <v>282</v>
      </c>
      <c r="J104" s="87" t="s">
        <v>94</v>
      </c>
      <c r="K104" s="85" t="s">
        <v>95</v>
      </c>
      <c r="L104" s="85" t="s">
        <v>96</v>
      </c>
      <c r="M104" s="88"/>
      <c r="N104" s="88"/>
      <c r="O104" s="93"/>
      <c r="P104" s="94"/>
      <c r="Q104" s="92"/>
    </row>
    <row r="105" spans="1:17" x14ac:dyDescent="0.2">
      <c r="A105" s="34"/>
      <c r="B105" s="97"/>
      <c r="C105" s="105"/>
      <c r="D105" s="85"/>
      <c r="E105" s="86"/>
      <c r="F105" s="87"/>
      <c r="G105" s="105"/>
      <c r="H105" s="85"/>
      <c r="I105" s="86"/>
      <c r="J105" s="87"/>
      <c r="K105" s="85"/>
      <c r="L105" s="85"/>
      <c r="M105" s="88"/>
      <c r="N105" s="88"/>
      <c r="O105" s="93"/>
      <c r="P105" s="94"/>
      <c r="Q105" s="92"/>
    </row>
    <row r="106" spans="1:17" ht="13.5" thickBot="1" x14ac:dyDescent="0.25">
      <c r="A106" s="50"/>
      <c r="B106" s="98"/>
      <c r="C106" s="106"/>
      <c r="D106" s="99"/>
      <c r="E106" s="100"/>
      <c r="F106" s="101"/>
      <c r="G106" s="106"/>
      <c r="H106" s="99"/>
      <c r="I106" s="100"/>
      <c r="J106" s="101"/>
      <c r="K106" s="99"/>
      <c r="L106" s="99"/>
      <c r="M106" s="102"/>
      <c r="N106" s="102"/>
      <c r="O106" s="82"/>
      <c r="P106" s="83"/>
      <c r="Q106" s="103"/>
    </row>
  </sheetData>
  <autoFilter ref="A6:Q63">
    <filterColumn colId="2" showButton="0"/>
    <filterColumn colId="3" showButton="0"/>
    <filterColumn colId="4" showButton="0"/>
    <filterColumn colId="12" showButton="0"/>
    <filterColumn colId="13" showButton="0"/>
  </autoFilter>
  <mergeCells count="8">
    <mergeCell ref="F3:H3"/>
    <mergeCell ref="N1:Q2"/>
    <mergeCell ref="A6:A7"/>
    <mergeCell ref="B6:B7"/>
    <mergeCell ref="C6:F6"/>
    <mergeCell ref="M6:O6"/>
    <mergeCell ref="Q6:Q7"/>
    <mergeCell ref="F2:H2"/>
  </mergeCells>
  <printOptions horizontalCentered="1" verticalCentered="1"/>
  <pageMargins left="0.19685039370078741" right="0.23622047244094491" top="0.43307086614173229" bottom="0.74803149606299213" header="0.43307086614173229" footer="0.19685039370078741"/>
  <pageSetup paperSize="8" scale="58" pageOrder="overThenDown" orientation="landscape" horizontalDpi="300" verticalDpi="300" r:id="rId1"/>
  <headerFooter alignWithMargins="0">
    <oddFooter>&amp;C&amp;"Arial,Bold"ENVIVIO_AIRTEL DTH HE PROJECT
RF CABLE SHEDULE 102-XX-XXXX&amp;R&amp;"Arial,Regular"&amp;10Page &amp;P of 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0000"/>
    <pageSetUpPr fitToPage="1"/>
  </sheetPr>
  <dimension ref="A1:Q208"/>
  <sheetViews>
    <sheetView topLeftCell="A244" zoomScale="145" zoomScaleNormal="145" zoomScaleSheetLayoutView="50" workbookViewId="0">
      <pane xSplit="2" topLeftCell="C1" activePane="topRight" state="frozen"/>
      <selection pane="topRight" activeCell="P75" sqref="P75"/>
    </sheetView>
  </sheetViews>
  <sheetFormatPr defaultRowHeight="12.75" x14ac:dyDescent="0.2"/>
  <cols>
    <col min="1" max="1" width="7.33203125" style="54" bestFit="1" customWidth="1"/>
    <col min="2" max="2" width="11.5" style="57" bestFit="1" customWidth="1"/>
    <col min="3" max="3" width="36.1640625" style="56" bestFit="1" customWidth="1"/>
    <col min="4" max="4" width="15.1640625" style="57" bestFit="1" customWidth="1"/>
    <col min="5" max="5" width="16.5" style="57" bestFit="1" customWidth="1"/>
    <col min="6" max="6" width="12.6640625" style="57" bestFit="1" customWidth="1"/>
    <col min="7" max="7" width="31" style="58" bestFit="1" customWidth="1"/>
    <col min="8" max="8" width="13.1640625" style="57" bestFit="1" customWidth="1"/>
    <col min="9" max="9" width="16.5" style="57" bestFit="1" customWidth="1"/>
    <col min="10" max="10" width="12.6640625" style="58" bestFit="1" customWidth="1"/>
    <col min="11" max="11" width="12.6640625" style="57" bestFit="1" customWidth="1"/>
    <col min="12" max="12" width="12.5" style="57" bestFit="1" customWidth="1"/>
    <col min="13" max="13" width="10.83203125" style="104" bestFit="1" customWidth="1"/>
    <col min="14" max="14" width="11.5" style="104" bestFit="1" customWidth="1"/>
    <col min="15" max="15" width="14.1640625" style="57" bestFit="1" customWidth="1"/>
    <col min="16" max="16" width="10.33203125" style="54" bestFit="1" customWidth="1"/>
    <col min="17" max="17" width="19.83203125" style="58" bestFit="1" customWidth="1"/>
    <col min="18" max="21" width="9.33203125" style="57"/>
    <col min="22" max="22" width="14.5" style="57" customWidth="1"/>
    <col min="23" max="16384" width="9.33203125" style="57"/>
  </cols>
  <sheetData>
    <row r="1" spans="1:17" x14ac:dyDescent="0.2">
      <c r="B1" s="55"/>
      <c r="E1" s="54"/>
      <c r="G1" s="56"/>
      <c r="I1" s="54"/>
      <c r="M1" s="59"/>
      <c r="N1" s="159" t="s">
        <v>31</v>
      </c>
      <c r="O1" s="159"/>
      <c r="P1" s="159"/>
      <c r="Q1" s="159"/>
    </row>
    <row r="2" spans="1:17" x14ac:dyDescent="0.2">
      <c r="B2" s="8" t="s">
        <v>11</v>
      </c>
      <c r="C2" s="60" t="s">
        <v>28</v>
      </c>
      <c r="D2" s="20" t="s">
        <v>19</v>
      </c>
      <c r="E2" s="61">
        <f>IF(COUNTA(D9:D1153)&gt;(COUNTA(H9:H1153)),(COUNTA(D9:D1153)+COUNTA(H9:H1153))-COUNTA(D9:D1153),(COUNTA(D9:D1153)+COUNTA(H9:H1153))-COUNTA(H9:H1153))</f>
        <v>184</v>
      </c>
      <c r="F2" s="158" t="s">
        <v>281</v>
      </c>
      <c r="G2" s="158"/>
      <c r="H2" s="158"/>
      <c r="I2" s="125"/>
      <c r="M2" s="59"/>
      <c r="N2" s="159"/>
      <c r="O2" s="159"/>
      <c r="P2" s="159"/>
      <c r="Q2" s="159"/>
    </row>
    <row r="3" spans="1:17" x14ac:dyDescent="0.2">
      <c r="B3" s="8" t="s">
        <v>12</v>
      </c>
      <c r="C3" s="62">
        <v>42413</v>
      </c>
      <c r="E3" s="125"/>
      <c r="F3" s="158" t="s">
        <v>694</v>
      </c>
      <c r="G3" s="158"/>
      <c r="H3" s="158"/>
      <c r="I3" s="125"/>
      <c r="J3" s="125"/>
      <c r="M3" s="57"/>
      <c r="N3" s="63" t="s">
        <v>32</v>
      </c>
      <c r="O3" s="64"/>
      <c r="P3" s="65"/>
      <c r="Q3" s="56"/>
    </row>
    <row r="4" spans="1:17" x14ac:dyDescent="0.2">
      <c r="B4" s="8" t="s">
        <v>13</v>
      </c>
      <c r="C4" s="60" t="s">
        <v>30</v>
      </c>
      <c r="E4" s="54"/>
      <c r="G4" s="66"/>
      <c r="H4" s="67"/>
      <c r="I4" s="68"/>
      <c r="J4" s="20"/>
      <c r="M4" s="57"/>
      <c r="N4" s="63"/>
      <c r="O4" s="64"/>
      <c r="P4" s="65"/>
      <c r="Q4" s="56"/>
    </row>
    <row r="5" spans="1:17" ht="13.5" thickBot="1" x14ac:dyDescent="0.25">
      <c r="B5" s="69"/>
      <c r="E5" s="54"/>
      <c r="G5" s="56"/>
      <c r="H5" s="67"/>
      <c r="I5" s="54"/>
      <c r="M5" s="70"/>
      <c r="N5" s="70"/>
      <c r="O5" s="71"/>
      <c r="P5" s="72"/>
      <c r="Q5" s="56"/>
    </row>
    <row r="6" spans="1:17" s="78" customFormat="1" ht="12.75" customHeight="1" x14ac:dyDescent="0.2">
      <c r="A6" s="160" t="s">
        <v>0</v>
      </c>
      <c r="B6" s="162" t="s">
        <v>18</v>
      </c>
      <c r="C6" s="164" t="s">
        <v>2</v>
      </c>
      <c r="D6" s="164"/>
      <c r="E6" s="164"/>
      <c r="F6" s="164"/>
      <c r="G6" s="74" t="s">
        <v>3</v>
      </c>
      <c r="H6" s="75"/>
      <c r="I6" s="76"/>
      <c r="J6" s="74"/>
      <c r="K6" s="27" t="s">
        <v>4</v>
      </c>
      <c r="L6" s="73" t="s">
        <v>21</v>
      </c>
      <c r="M6" s="165" t="s">
        <v>15</v>
      </c>
      <c r="N6" s="166"/>
      <c r="O6" s="166"/>
      <c r="P6" s="77" t="s">
        <v>23</v>
      </c>
      <c r="Q6" s="167" t="s">
        <v>17</v>
      </c>
    </row>
    <row r="7" spans="1:17" s="78" customFormat="1" ht="13.5" thickBot="1" x14ac:dyDescent="0.25">
      <c r="A7" s="161"/>
      <c r="B7" s="163"/>
      <c r="C7" s="32" t="s">
        <v>20</v>
      </c>
      <c r="D7" s="79" t="s">
        <v>6</v>
      </c>
      <c r="E7" s="80" t="s">
        <v>7</v>
      </c>
      <c r="F7" s="79" t="s">
        <v>8</v>
      </c>
      <c r="G7" s="32" t="s">
        <v>5</v>
      </c>
      <c r="H7" s="79" t="s">
        <v>6</v>
      </c>
      <c r="I7" s="80" t="s">
        <v>7</v>
      </c>
      <c r="J7" s="32" t="s">
        <v>8</v>
      </c>
      <c r="K7" s="79" t="s">
        <v>14</v>
      </c>
      <c r="L7" s="32" t="s">
        <v>22</v>
      </c>
      <c r="M7" s="81" t="s">
        <v>16</v>
      </c>
      <c r="N7" s="81" t="s">
        <v>25</v>
      </c>
      <c r="O7" s="82" t="s">
        <v>9</v>
      </c>
      <c r="P7" s="83" t="s">
        <v>24</v>
      </c>
      <c r="Q7" s="168"/>
    </row>
    <row r="8" spans="1:17" ht="12.75" customHeight="1" x14ac:dyDescent="0.2">
      <c r="A8" s="172" t="s">
        <v>97</v>
      </c>
      <c r="B8" s="173"/>
      <c r="C8" s="173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3"/>
    </row>
    <row r="9" spans="1:17" x14ac:dyDescent="0.2">
      <c r="A9" s="34">
        <v>1</v>
      </c>
      <c r="B9" s="148" t="s">
        <v>1352</v>
      </c>
      <c r="C9" s="105" t="s">
        <v>323</v>
      </c>
      <c r="D9" s="85" t="s">
        <v>27</v>
      </c>
      <c r="E9" s="86"/>
      <c r="F9" s="87" t="s">
        <v>94</v>
      </c>
      <c r="G9" s="105" t="s">
        <v>324</v>
      </c>
      <c r="H9" s="85" t="s">
        <v>10</v>
      </c>
      <c r="I9" s="86" t="s">
        <v>325</v>
      </c>
      <c r="J9" s="87" t="s">
        <v>94</v>
      </c>
      <c r="K9" s="85" t="s">
        <v>326</v>
      </c>
      <c r="L9" s="85" t="s">
        <v>29</v>
      </c>
      <c r="M9" s="88"/>
      <c r="N9" s="89"/>
      <c r="O9" s="90"/>
      <c r="P9" s="91"/>
      <c r="Q9" s="92"/>
    </row>
    <row r="10" spans="1:17" x14ac:dyDescent="0.2">
      <c r="A10" s="34">
        <f t="shared" ref="A10:A73" si="0">A9+1</f>
        <v>2</v>
      </c>
      <c r="B10" s="84" t="s">
        <v>1482</v>
      </c>
      <c r="C10" s="105" t="s">
        <v>383</v>
      </c>
      <c r="D10" s="85" t="s">
        <v>27</v>
      </c>
      <c r="E10" s="86"/>
      <c r="F10" s="87" t="s">
        <v>94</v>
      </c>
      <c r="G10" s="105" t="s">
        <v>327</v>
      </c>
      <c r="H10" s="85" t="s">
        <v>10</v>
      </c>
      <c r="I10" s="86" t="s">
        <v>325</v>
      </c>
      <c r="J10" s="87" t="s">
        <v>94</v>
      </c>
      <c r="K10" s="85" t="s">
        <v>326</v>
      </c>
      <c r="L10" s="85" t="s">
        <v>29</v>
      </c>
      <c r="M10" s="88"/>
      <c r="N10" s="89"/>
      <c r="O10" s="90"/>
      <c r="P10" s="91"/>
      <c r="Q10" s="92"/>
    </row>
    <row r="11" spans="1:17" x14ac:dyDescent="0.2">
      <c r="A11" s="34">
        <f t="shared" si="0"/>
        <v>3</v>
      </c>
      <c r="B11" s="84" t="s">
        <v>1483</v>
      </c>
      <c r="C11" s="105" t="s">
        <v>384</v>
      </c>
      <c r="D11" s="85" t="s">
        <v>27</v>
      </c>
      <c r="E11" s="86"/>
      <c r="F11" s="87" t="s">
        <v>94</v>
      </c>
      <c r="G11" s="105" t="s">
        <v>328</v>
      </c>
      <c r="H11" s="85" t="s">
        <v>10</v>
      </c>
      <c r="I11" s="86" t="s">
        <v>325</v>
      </c>
      <c r="J11" s="87" t="s">
        <v>94</v>
      </c>
      <c r="K11" s="85" t="s">
        <v>326</v>
      </c>
      <c r="L11" s="85" t="s">
        <v>29</v>
      </c>
      <c r="M11" s="88"/>
      <c r="N11" s="88"/>
      <c r="O11" s="93"/>
      <c r="P11" s="94"/>
      <c r="Q11" s="92"/>
    </row>
    <row r="12" spans="1:17" x14ac:dyDescent="0.2">
      <c r="A12" s="34">
        <f t="shared" si="0"/>
        <v>4</v>
      </c>
      <c r="B12" s="84" t="s">
        <v>1484</v>
      </c>
      <c r="C12" s="105" t="s">
        <v>385</v>
      </c>
      <c r="D12" s="85" t="s">
        <v>27</v>
      </c>
      <c r="E12" s="86"/>
      <c r="F12" s="87" t="s">
        <v>94</v>
      </c>
      <c r="G12" s="105" t="s">
        <v>329</v>
      </c>
      <c r="H12" s="85" t="s">
        <v>10</v>
      </c>
      <c r="I12" s="86" t="s">
        <v>325</v>
      </c>
      <c r="J12" s="87" t="s">
        <v>94</v>
      </c>
      <c r="K12" s="85" t="s">
        <v>326</v>
      </c>
      <c r="L12" s="85" t="s">
        <v>29</v>
      </c>
      <c r="M12" s="88"/>
      <c r="N12" s="88"/>
      <c r="O12" s="93"/>
      <c r="P12" s="94"/>
      <c r="Q12" s="92"/>
    </row>
    <row r="13" spans="1:17" x14ac:dyDescent="0.2">
      <c r="A13" s="34">
        <f t="shared" si="0"/>
        <v>5</v>
      </c>
      <c r="B13" s="84" t="s">
        <v>1485</v>
      </c>
      <c r="C13" s="105" t="s">
        <v>386</v>
      </c>
      <c r="D13" s="85" t="s">
        <v>27</v>
      </c>
      <c r="E13" s="86"/>
      <c r="F13" s="87" t="s">
        <v>94</v>
      </c>
      <c r="G13" s="105" t="s">
        <v>330</v>
      </c>
      <c r="H13" s="85" t="s">
        <v>10</v>
      </c>
      <c r="I13" s="86" t="s">
        <v>325</v>
      </c>
      <c r="J13" s="87" t="s">
        <v>94</v>
      </c>
      <c r="K13" s="85" t="s">
        <v>326</v>
      </c>
      <c r="L13" s="85" t="s">
        <v>29</v>
      </c>
      <c r="M13" s="88"/>
      <c r="N13" s="88"/>
      <c r="O13" s="93"/>
      <c r="P13" s="94"/>
      <c r="Q13" s="92"/>
    </row>
    <row r="14" spans="1:17" x14ac:dyDescent="0.2">
      <c r="A14" s="34">
        <f t="shared" si="0"/>
        <v>6</v>
      </c>
      <c r="B14" s="84" t="s">
        <v>1486</v>
      </c>
      <c r="C14" s="105" t="s">
        <v>387</v>
      </c>
      <c r="D14" s="85" t="s">
        <v>27</v>
      </c>
      <c r="E14" s="86"/>
      <c r="F14" s="87" t="s">
        <v>94</v>
      </c>
      <c r="G14" s="105" t="s">
        <v>331</v>
      </c>
      <c r="H14" s="85" t="s">
        <v>10</v>
      </c>
      <c r="I14" s="86" t="s">
        <v>325</v>
      </c>
      <c r="J14" s="87" t="s">
        <v>94</v>
      </c>
      <c r="K14" s="85" t="s">
        <v>326</v>
      </c>
      <c r="L14" s="85" t="s">
        <v>29</v>
      </c>
      <c r="M14" s="88"/>
      <c r="N14" s="88"/>
      <c r="O14" s="93"/>
      <c r="P14" s="94"/>
      <c r="Q14" s="92"/>
    </row>
    <row r="15" spans="1:17" x14ac:dyDescent="0.2">
      <c r="A15" s="34">
        <f t="shared" si="0"/>
        <v>7</v>
      </c>
      <c r="B15" s="84" t="s">
        <v>1487</v>
      </c>
      <c r="C15" s="105" t="s">
        <v>388</v>
      </c>
      <c r="D15" s="85" t="s">
        <v>27</v>
      </c>
      <c r="E15" s="86"/>
      <c r="F15" s="87" t="s">
        <v>94</v>
      </c>
      <c r="G15" s="105" t="s">
        <v>332</v>
      </c>
      <c r="H15" s="85" t="s">
        <v>10</v>
      </c>
      <c r="I15" s="86" t="s">
        <v>325</v>
      </c>
      <c r="J15" s="87" t="s">
        <v>94</v>
      </c>
      <c r="K15" s="85" t="s">
        <v>326</v>
      </c>
      <c r="L15" s="85" t="s">
        <v>29</v>
      </c>
      <c r="M15" s="88"/>
      <c r="N15" s="88"/>
      <c r="O15" s="93"/>
      <c r="P15" s="94"/>
      <c r="Q15" s="92"/>
    </row>
    <row r="16" spans="1:17" x14ac:dyDescent="0.2">
      <c r="A16" s="34">
        <f t="shared" si="0"/>
        <v>8</v>
      </c>
      <c r="B16" s="84" t="s">
        <v>1488</v>
      </c>
      <c r="C16" s="105" t="s">
        <v>389</v>
      </c>
      <c r="D16" s="85" t="s">
        <v>27</v>
      </c>
      <c r="E16" s="86"/>
      <c r="F16" s="87" t="s">
        <v>94</v>
      </c>
      <c r="G16" s="105" t="s">
        <v>333</v>
      </c>
      <c r="H16" s="85" t="s">
        <v>10</v>
      </c>
      <c r="I16" s="86" t="s">
        <v>325</v>
      </c>
      <c r="J16" s="87" t="s">
        <v>94</v>
      </c>
      <c r="K16" s="85" t="s">
        <v>326</v>
      </c>
      <c r="L16" s="85" t="s">
        <v>29</v>
      </c>
      <c r="M16" s="88"/>
      <c r="N16" s="88"/>
      <c r="O16" s="93"/>
      <c r="P16" s="94"/>
      <c r="Q16" s="92"/>
    </row>
    <row r="17" spans="1:17" x14ac:dyDescent="0.2">
      <c r="A17" s="34">
        <f t="shared" si="0"/>
        <v>9</v>
      </c>
      <c r="B17" s="84" t="s">
        <v>1489</v>
      </c>
      <c r="C17" s="105" t="s">
        <v>390</v>
      </c>
      <c r="D17" s="85" t="s">
        <v>27</v>
      </c>
      <c r="E17" s="86"/>
      <c r="F17" s="87" t="s">
        <v>94</v>
      </c>
      <c r="G17" s="105" t="s">
        <v>334</v>
      </c>
      <c r="H17" s="85" t="s">
        <v>10</v>
      </c>
      <c r="I17" s="86" t="s">
        <v>325</v>
      </c>
      <c r="J17" s="87" t="s">
        <v>94</v>
      </c>
      <c r="K17" s="85" t="s">
        <v>326</v>
      </c>
      <c r="L17" s="85" t="s">
        <v>29</v>
      </c>
      <c r="M17" s="88"/>
      <c r="N17" s="88"/>
      <c r="O17" s="93"/>
      <c r="P17" s="94"/>
      <c r="Q17" s="92"/>
    </row>
    <row r="18" spans="1:17" x14ac:dyDescent="0.2">
      <c r="A18" s="34">
        <f t="shared" si="0"/>
        <v>10</v>
      </c>
      <c r="B18" s="84" t="s">
        <v>1490</v>
      </c>
      <c r="C18" s="105" t="s">
        <v>391</v>
      </c>
      <c r="D18" s="85" t="s">
        <v>27</v>
      </c>
      <c r="E18" s="86"/>
      <c r="F18" s="87" t="s">
        <v>94</v>
      </c>
      <c r="G18" s="105" t="s">
        <v>335</v>
      </c>
      <c r="H18" s="85" t="s">
        <v>10</v>
      </c>
      <c r="I18" s="86" t="s">
        <v>325</v>
      </c>
      <c r="J18" s="87" t="s">
        <v>94</v>
      </c>
      <c r="K18" s="85" t="s">
        <v>326</v>
      </c>
      <c r="L18" s="85" t="s">
        <v>29</v>
      </c>
      <c r="M18" s="88"/>
      <c r="N18" s="88"/>
      <c r="O18" s="93"/>
      <c r="P18" s="94"/>
      <c r="Q18" s="92"/>
    </row>
    <row r="19" spans="1:17" x14ac:dyDescent="0.2">
      <c r="A19" s="34">
        <f t="shared" si="0"/>
        <v>11</v>
      </c>
      <c r="B19" s="84" t="s">
        <v>1491</v>
      </c>
      <c r="C19" s="105" t="s">
        <v>392</v>
      </c>
      <c r="D19" s="85" t="s">
        <v>27</v>
      </c>
      <c r="E19" s="86"/>
      <c r="F19" s="87" t="s">
        <v>94</v>
      </c>
      <c r="G19" s="105" t="s">
        <v>336</v>
      </c>
      <c r="H19" s="85" t="s">
        <v>10</v>
      </c>
      <c r="I19" s="86" t="s">
        <v>325</v>
      </c>
      <c r="J19" s="87" t="s">
        <v>94</v>
      </c>
      <c r="K19" s="85" t="s">
        <v>326</v>
      </c>
      <c r="L19" s="85" t="s">
        <v>29</v>
      </c>
      <c r="M19" s="88"/>
      <c r="N19" s="88"/>
      <c r="O19" s="93"/>
      <c r="P19" s="94"/>
      <c r="Q19" s="92"/>
    </row>
    <row r="20" spans="1:17" x14ac:dyDescent="0.2">
      <c r="A20" s="34">
        <f t="shared" si="0"/>
        <v>12</v>
      </c>
      <c r="B20" s="84" t="s">
        <v>1492</v>
      </c>
      <c r="C20" s="105" t="s">
        <v>393</v>
      </c>
      <c r="D20" s="85" t="s">
        <v>27</v>
      </c>
      <c r="E20" s="86"/>
      <c r="F20" s="87" t="s">
        <v>94</v>
      </c>
      <c r="G20" s="105" t="s">
        <v>337</v>
      </c>
      <c r="H20" s="85" t="s">
        <v>10</v>
      </c>
      <c r="I20" s="86" t="s">
        <v>325</v>
      </c>
      <c r="J20" s="87" t="s">
        <v>94</v>
      </c>
      <c r="K20" s="85" t="s">
        <v>326</v>
      </c>
      <c r="L20" s="85" t="s">
        <v>29</v>
      </c>
      <c r="M20" s="88"/>
      <c r="N20" s="88"/>
      <c r="O20" s="93"/>
      <c r="P20" s="94"/>
      <c r="Q20" s="92"/>
    </row>
    <row r="21" spans="1:17" x14ac:dyDescent="0.2">
      <c r="A21" s="34">
        <f t="shared" si="0"/>
        <v>13</v>
      </c>
      <c r="B21" s="84" t="s">
        <v>1493</v>
      </c>
      <c r="C21" s="105" t="s">
        <v>394</v>
      </c>
      <c r="D21" s="85" t="s">
        <v>27</v>
      </c>
      <c r="E21" s="86"/>
      <c r="F21" s="87" t="s">
        <v>94</v>
      </c>
      <c r="G21" s="105" t="s">
        <v>338</v>
      </c>
      <c r="H21" s="85" t="s">
        <v>10</v>
      </c>
      <c r="I21" s="86" t="s">
        <v>325</v>
      </c>
      <c r="J21" s="87" t="s">
        <v>94</v>
      </c>
      <c r="K21" s="85" t="s">
        <v>326</v>
      </c>
      <c r="L21" s="85" t="s">
        <v>29</v>
      </c>
      <c r="M21" s="88"/>
      <c r="N21" s="88"/>
      <c r="O21" s="93"/>
      <c r="P21" s="94"/>
      <c r="Q21" s="92"/>
    </row>
    <row r="22" spans="1:17" x14ac:dyDescent="0.2">
      <c r="A22" s="34">
        <f t="shared" si="0"/>
        <v>14</v>
      </c>
      <c r="B22" s="84" t="s">
        <v>1494</v>
      </c>
      <c r="C22" s="105" t="s">
        <v>395</v>
      </c>
      <c r="D22" s="85" t="s">
        <v>27</v>
      </c>
      <c r="E22" s="86"/>
      <c r="F22" s="87" t="s">
        <v>94</v>
      </c>
      <c r="G22" s="105" t="s">
        <v>339</v>
      </c>
      <c r="H22" s="85" t="s">
        <v>10</v>
      </c>
      <c r="I22" s="86" t="s">
        <v>325</v>
      </c>
      <c r="J22" s="87" t="s">
        <v>94</v>
      </c>
      <c r="K22" s="85" t="s">
        <v>326</v>
      </c>
      <c r="L22" s="85" t="s">
        <v>29</v>
      </c>
      <c r="M22" s="88"/>
      <c r="N22" s="88"/>
      <c r="O22" s="93"/>
      <c r="P22" s="94"/>
      <c r="Q22" s="92"/>
    </row>
    <row r="23" spans="1:17" x14ac:dyDescent="0.2">
      <c r="A23" s="34">
        <f t="shared" si="0"/>
        <v>15</v>
      </c>
      <c r="B23" s="84" t="s">
        <v>1495</v>
      </c>
      <c r="C23" s="105" t="s">
        <v>396</v>
      </c>
      <c r="D23" s="85" t="s">
        <v>27</v>
      </c>
      <c r="E23" s="86"/>
      <c r="F23" s="87" t="s">
        <v>94</v>
      </c>
      <c r="G23" s="105" t="s">
        <v>340</v>
      </c>
      <c r="H23" s="85" t="s">
        <v>10</v>
      </c>
      <c r="I23" s="86" t="s">
        <v>325</v>
      </c>
      <c r="J23" s="87" t="s">
        <v>94</v>
      </c>
      <c r="K23" s="85" t="s">
        <v>326</v>
      </c>
      <c r="L23" s="85" t="s">
        <v>29</v>
      </c>
      <c r="M23" s="88"/>
      <c r="N23" s="88"/>
      <c r="O23" s="93"/>
      <c r="P23" s="94"/>
      <c r="Q23" s="92"/>
    </row>
    <row r="24" spans="1:17" x14ac:dyDescent="0.2">
      <c r="A24" s="34">
        <f t="shared" si="0"/>
        <v>16</v>
      </c>
      <c r="B24" s="84" t="s">
        <v>1496</v>
      </c>
      <c r="C24" s="105" t="s">
        <v>397</v>
      </c>
      <c r="D24" s="85" t="s">
        <v>27</v>
      </c>
      <c r="E24" s="86"/>
      <c r="F24" s="87" t="s">
        <v>94</v>
      </c>
      <c r="G24" s="105" t="s">
        <v>341</v>
      </c>
      <c r="H24" s="85" t="s">
        <v>10</v>
      </c>
      <c r="I24" s="86" t="s">
        <v>325</v>
      </c>
      <c r="J24" s="87" t="s">
        <v>94</v>
      </c>
      <c r="K24" s="85" t="s">
        <v>326</v>
      </c>
      <c r="L24" s="85" t="s">
        <v>29</v>
      </c>
      <c r="M24" s="88"/>
      <c r="N24" s="88"/>
      <c r="O24" s="93"/>
      <c r="P24" s="94"/>
      <c r="Q24" s="92"/>
    </row>
    <row r="25" spans="1:17" x14ac:dyDescent="0.2">
      <c r="A25" s="34">
        <f t="shared" si="0"/>
        <v>17</v>
      </c>
      <c r="B25" s="84" t="s">
        <v>1497</v>
      </c>
      <c r="C25" s="105" t="s">
        <v>398</v>
      </c>
      <c r="D25" s="85" t="s">
        <v>27</v>
      </c>
      <c r="E25" s="86"/>
      <c r="F25" s="87" t="s">
        <v>94</v>
      </c>
      <c r="G25" s="105" t="s">
        <v>342</v>
      </c>
      <c r="H25" s="85" t="s">
        <v>10</v>
      </c>
      <c r="I25" s="86" t="s">
        <v>325</v>
      </c>
      <c r="J25" s="87" t="s">
        <v>94</v>
      </c>
      <c r="K25" s="85" t="s">
        <v>326</v>
      </c>
      <c r="L25" s="85" t="s">
        <v>29</v>
      </c>
      <c r="M25" s="88"/>
      <c r="N25" s="88"/>
      <c r="O25" s="93"/>
      <c r="P25" s="94"/>
      <c r="Q25" s="92"/>
    </row>
    <row r="26" spans="1:17" x14ac:dyDescent="0.2">
      <c r="A26" s="34">
        <f t="shared" si="0"/>
        <v>18</v>
      </c>
      <c r="B26" s="84" t="s">
        <v>1498</v>
      </c>
      <c r="C26" s="105" t="s">
        <v>399</v>
      </c>
      <c r="D26" s="85" t="s">
        <v>27</v>
      </c>
      <c r="E26" s="86"/>
      <c r="F26" s="87" t="s">
        <v>94</v>
      </c>
      <c r="G26" s="105" t="s">
        <v>343</v>
      </c>
      <c r="H26" s="85" t="s">
        <v>10</v>
      </c>
      <c r="I26" s="86" t="s">
        <v>325</v>
      </c>
      <c r="J26" s="87" t="s">
        <v>94</v>
      </c>
      <c r="K26" s="85" t="s">
        <v>326</v>
      </c>
      <c r="L26" s="85" t="s">
        <v>29</v>
      </c>
      <c r="M26" s="88"/>
      <c r="N26" s="88"/>
      <c r="O26" s="93"/>
      <c r="P26" s="94"/>
      <c r="Q26" s="92"/>
    </row>
    <row r="27" spans="1:17" x14ac:dyDescent="0.2">
      <c r="A27" s="34">
        <f t="shared" si="0"/>
        <v>19</v>
      </c>
      <c r="B27" s="84" t="s">
        <v>1499</v>
      </c>
      <c r="C27" s="105" t="s">
        <v>400</v>
      </c>
      <c r="D27" s="85" t="s">
        <v>27</v>
      </c>
      <c r="E27" s="86"/>
      <c r="F27" s="87" t="s">
        <v>94</v>
      </c>
      <c r="G27" s="105" t="s">
        <v>344</v>
      </c>
      <c r="H27" s="85" t="s">
        <v>10</v>
      </c>
      <c r="I27" s="86" t="s">
        <v>325</v>
      </c>
      <c r="J27" s="87" t="s">
        <v>94</v>
      </c>
      <c r="K27" s="85" t="s">
        <v>326</v>
      </c>
      <c r="L27" s="85" t="s">
        <v>29</v>
      </c>
      <c r="M27" s="88"/>
      <c r="N27" s="89"/>
      <c r="O27" s="90"/>
      <c r="P27" s="91"/>
      <c r="Q27" s="92"/>
    </row>
    <row r="28" spans="1:17" x14ac:dyDescent="0.2">
      <c r="A28" s="34">
        <f>A27+1</f>
        <v>20</v>
      </c>
      <c r="B28" s="84" t="s">
        <v>1500</v>
      </c>
      <c r="C28" s="105" t="s">
        <v>401</v>
      </c>
      <c r="D28" s="85" t="s">
        <v>27</v>
      </c>
      <c r="E28" s="86"/>
      <c r="F28" s="87" t="s">
        <v>94</v>
      </c>
      <c r="G28" s="105" t="s">
        <v>345</v>
      </c>
      <c r="H28" s="85" t="s">
        <v>10</v>
      </c>
      <c r="I28" s="86" t="s">
        <v>325</v>
      </c>
      <c r="J28" s="87" t="s">
        <v>94</v>
      </c>
      <c r="K28" s="85" t="s">
        <v>326</v>
      </c>
      <c r="L28" s="85" t="s">
        <v>29</v>
      </c>
      <c r="M28" s="88"/>
      <c r="N28" s="89"/>
      <c r="O28" s="90"/>
      <c r="P28" s="91"/>
      <c r="Q28" s="92"/>
    </row>
    <row r="29" spans="1:17" x14ac:dyDescent="0.2">
      <c r="A29" s="34">
        <f t="shared" si="0"/>
        <v>21</v>
      </c>
      <c r="B29" s="84" t="s">
        <v>1501</v>
      </c>
      <c r="C29" s="105" t="s">
        <v>402</v>
      </c>
      <c r="D29" s="85" t="s">
        <v>27</v>
      </c>
      <c r="E29" s="86"/>
      <c r="F29" s="87" t="s">
        <v>94</v>
      </c>
      <c r="G29" s="105" t="s">
        <v>346</v>
      </c>
      <c r="H29" s="85" t="s">
        <v>10</v>
      </c>
      <c r="I29" s="86" t="s">
        <v>325</v>
      </c>
      <c r="J29" s="87" t="s">
        <v>94</v>
      </c>
      <c r="K29" s="85" t="s">
        <v>326</v>
      </c>
      <c r="L29" s="85" t="s">
        <v>29</v>
      </c>
      <c r="M29" s="88"/>
      <c r="N29" s="88"/>
      <c r="O29" s="93"/>
      <c r="P29" s="94"/>
      <c r="Q29" s="92"/>
    </row>
    <row r="30" spans="1:17" x14ac:dyDescent="0.2">
      <c r="A30" s="34">
        <f t="shared" si="0"/>
        <v>22</v>
      </c>
      <c r="B30" s="84" t="s">
        <v>1502</v>
      </c>
      <c r="C30" s="105" t="s">
        <v>403</v>
      </c>
      <c r="D30" s="85" t="s">
        <v>27</v>
      </c>
      <c r="E30" s="86"/>
      <c r="F30" s="87" t="s">
        <v>94</v>
      </c>
      <c r="G30" s="105" t="s">
        <v>347</v>
      </c>
      <c r="H30" s="85" t="s">
        <v>10</v>
      </c>
      <c r="I30" s="86" t="s">
        <v>325</v>
      </c>
      <c r="J30" s="87" t="s">
        <v>94</v>
      </c>
      <c r="K30" s="85" t="s">
        <v>326</v>
      </c>
      <c r="L30" s="85" t="s">
        <v>29</v>
      </c>
      <c r="M30" s="88"/>
      <c r="N30" s="88"/>
      <c r="O30" s="93"/>
      <c r="P30" s="94"/>
      <c r="Q30" s="92"/>
    </row>
    <row r="31" spans="1:17" x14ac:dyDescent="0.2">
      <c r="A31" s="34">
        <f t="shared" si="0"/>
        <v>23</v>
      </c>
      <c r="B31" s="84" t="s">
        <v>1503</v>
      </c>
      <c r="C31" s="105" t="s">
        <v>404</v>
      </c>
      <c r="D31" s="85" t="s">
        <v>27</v>
      </c>
      <c r="E31" s="86"/>
      <c r="F31" s="87" t="s">
        <v>94</v>
      </c>
      <c r="G31" s="105" t="s">
        <v>348</v>
      </c>
      <c r="H31" s="85" t="s">
        <v>10</v>
      </c>
      <c r="I31" s="86" t="s">
        <v>325</v>
      </c>
      <c r="J31" s="87" t="s">
        <v>94</v>
      </c>
      <c r="K31" s="85" t="s">
        <v>326</v>
      </c>
      <c r="L31" s="85" t="s">
        <v>29</v>
      </c>
      <c r="M31" s="88"/>
      <c r="N31" s="88"/>
      <c r="O31" s="93"/>
      <c r="P31" s="94"/>
      <c r="Q31" s="92"/>
    </row>
    <row r="32" spans="1:17" x14ac:dyDescent="0.2">
      <c r="A32" s="34">
        <f t="shared" si="0"/>
        <v>24</v>
      </c>
      <c r="B32" s="84" t="s">
        <v>1504</v>
      </c>
      <c r="C32" s="105" t="s">
        <v>405</v>
      </c>
      <c r="D32" s="85" t="s">
        <v>27</v>
      </c>
      <c r="E32" s="86"/>
      <c r="F32" s="87" t="s">
        <v>94</v>
      </c>
      <c r="G32" s="105" t="s">
        <v>349</v>
      </c>
      <c r="H32" s="85" t="s">
        <v>10</v>
      </c>
      <c r="I32" s="86" t="s">
        <v>325</v>
      </c>
      <c r="J32" s="87" t="s">
        <v>94</v>
      </c>
      <c r="K32" s="85" t="s">
        <v>326</v>
      </c>
      <c r="L32" s="85" t="s">
        <v>29</v>
      </c>
      <c r="M32" s="88"/>
      <c r="N32" s="88"/>
      <c r="O32" s="93"/>
      <c r="P32" s="94"/>
      <c r="Q32" s="92"/>
    </row>
    <row r="33" spans="1:17" s="64" customFormat="1" x14ac:dyDescent="0.2">
      <c r="A33" s="34">
        <f t="shared" si="0"/>
        <v>25</v>
      </c>
      <c r="B33" s="84" t="s">
        <v>1505</v>
      </c>
      <c r="C33" s="105" t="s">
        <v>406</v>
      </c>
      <c r="D33" s="85" t="s">
        <v>27</v>
      </c>
      <c r="E33" s="86"/>
      <c r="F33" s="87" t="s">
        <v>94</v>
      </c>
      <c r="G33" s="105" t="s">
        <v>350</v>
      </c>
      <c r="H33" s="85" t="s">
        <v>10</v>
      </c>
      <c r="I33" s="86" t="s">
        <v>325</v>
      </c>
      <c r="J33" s="87" t="s">
        <v>94</v>
      </c>
      <c r="K33" s="85" t="s">
        <v>326</v>
      </c>
      <c r="L33" s="85" t="s">
        <v>29</v>
      </c>
      <c r="M33" s="95"/>
      <c r="N33" s="95"/>
      <c r="O33" s="93"/>
      <c r="P33" s="94"/>
      <c r="Q33" s="92"/>
    </row>
    <row r="34" spans="1:17" s="64" customFormat="1" x14ac:dyDescent="0.2">
      <c r="A34" s="34">
        <f t="shared" si="0"/>
        <v>26</v>
      </c>
      <c r="B34" s="84" t="s">
        <v>1506</v>
      </c>
      <c r="C34" s="105" t="s">
        <v>407</v>
      </c>
      <c r="D34" s="85" t="s">
        <v>27</v>
      </c>
      <c r="E34" s="86"/>
      <c r="F34" s="87" t="s">
        <v>94</v>
      </c>
      <c r="G34" s="105" t="s">
        <v>351</v>
      </c>
      <c r="H34" s="85" t="s">
        <v>10</v>
      </c>
      <c r="I34" s="86" t="s">
        <v>325</v>
      </c>
      <c r="J34" s="87" t="s">
        <v>94</v>
      </c>
      <c r="K34" s="85" t="s">
        <v>326</v>
      </c>
      <c r="L34" s="85" t="s">
        <v>29</v>
      </c>
      <c r="M34" s="95"/>
      <c r="N34" s="95"/>
      <c r="O34" s="93"/>
      <c r="P34" s="94"/>
      <c r="Q34" s="92"/>
    </row>
    <row r="35" spans="1:17" x14ac:dyDescent="0.2">
      <c r="A35" s="34">
        <f t="shared" si="0"/>
        <v>27</v>
      </c>
      <c r="B35" s="84" t="s">
        <v>1507</v>
      </c>
      <c r="C35" s="105" t="s">
        <v>408</v>
      </c>
      <c r="D35" s="85" t="s">
        <v>27</v>
      </c>
      <c r="E35" s="86"/>
      <c r="F35" s="87" t="s">
        <v>94</v>
      </c>
      <c r="G35" s="105" t="s">
        <v>352</v>
      </c>
      <c r="H35" s="85" t="s">
        <v>10</v>
      </c>
      <c r="I35" s="86" t="s">
        <v>325</v>
      </c>
      <c r="J35" s="87" t="s">
        <v>94</v>
      </c>
      <c r="K35" s="85" t="s">
        <v>326</v>
      </c>
      <c r="L35" s="85" t="s">
        <v>29</v>
      </c>
      <c r="M35" s="88"/>
      <c r="N35" s="88"/>
      <c r="O35" s="93"/>
      <c r="P35" s="94"/>
      <c r="Q35" s="92"/>
    </row>
    <row r="36" spans="1:17" x14ac:dyDescent="0.2">
      <c r="A36" s="34">
        <f t="shared" si="0"/>
        <v>28</v>
      </c>
      <c r="B36" s="84" t="s">
        <v>1508</v>
      </c>
      <c r="C36" s="105" t="s">
        <v>409</v>
      </c>
      <c r="D36" s="85" t="s">
        <v>27</v>
      </c>
      <c r="E36" s="86"/>
      <c r="F36" s="87" t="s">
        <v>94</v>
      </c>
      <c r="G36" s="105" t="s">
        <v>353</v>
      </c>
      <c r="H36" s="85" t="s">
        <v>10</v>
      </c>
      <c r="I36" s="86" t="s">
        <v>325</v>
      </c>
      <c r="J36" s="87" t="s">
        <v>94</v>
      </c>
      <c r="K36" s="85" t="s">
        <v>326</v>
      </c>
      <c r="L36" s="85" t="s">
        <v>29</v>
      </c>
      <c r="M36" s="88"/>
      <c r="N36" s="88"/>
      <c r="O36" s="93"/>
      <c r="P36" s="94"/>
      <c r="Q36" s="92"/>
    </row>
    <row r="37" spans="1:17" x14ac:dyDescent="0.2">
      <c r="A37" s="34">
        <f t="shared" si="0"/>
        <v>29</v>
      </c>
      <c r="B37" s="84" t="s">
        <v>1509</v>
      </c>
      <c r="C37" s="105" t="s">
        <v>410</v>
      </c>
      <c r="D37" s="85" t="s">
        <v>27</v>
      </c>
      <c r="E37" s="86"/>
      <c r="F37" s="87" t="s">
        <v>94</v>
      </c>
      <c r="G37" s="105" t="s">
        <v>354</v>
      </c>
      <c r="H37" s="85" t="s">
        <v>10</v>
      </c>
      <c r="I37" s="86" t="s">
        <v>325</v>
      </c>
      <c r="J37" s="87" t="s">
        <v>94</v>
      </c>
      <c r="K37" s="85" t="s">
        <v>326</v>
      </c>
      <c r="L37" s="85" t="s">
        <v>29</v>
      </c>
      <c r="M37" s="88"/>
      <c r="N37" s="88"/>
      <c r="O37" s="93"/>
      <c r="P37" s="94"/>
      <c r="Q37" s="92"/>
    </row>
    <row r="38" spans="1:17" x14ac:dyDescent="0.2">
      <c r="A38" s="34">
        <f t="shared" si="0"/>
        <v>30</v>
      </c>
      <c r="B38" s="84" t="s">
        <v>1510</v>
      </c>
      <c r="C38" s="105" t="s">
        <v>411</v>
      </c>
      <c r="D38" s="85" t="s">
        <v>27</v>
      </c>
      <c r="E38" s="86"/>
      <c r="F38" s="87" t="s">
        <v>94</v>
      </c>
      <c r="G38" s="105" t="s">
        <v>355</v>
      </c>
      <c r="H38" s="85" t="s">
        <v>10</v>
      </c>
      <c r="I38" s="86" t="s">
        <v>325</v>
      </c>
      <c r="J38" s="87" t="s">
        <v>94</v>
      </c>
      <c r="K38" s="85" t="s">
        <v>326</v>
      </c>
      <c r="L38" s="85" t="s">
        <v>29</v>
      </c>
      <c r="M38" s="88"/>
      <c r="N38" s="88"/>
      <c r="O38" s="93"/>
      <c r="P38" s="94"/>
      <c r="Q38" s="92"/>
    </row>
    <row r="39" spans="1:17" x14ac:dyDescent="0.2">
      <c r="A39" s="34">
        <f t="shared" si="0"/>
        <v>31</v>
      </c>
      <c r="B39" s="84" t="s">
        <v>1511</v>
      </c>
      <c r="C39" s="105" t="s">
        <v>412</v>
      </c>
      <c r="D39" s="85" t="s">
        <v>27</v>
      </c>
      <c r="E39" s="86"/>
      <c r="F39" s="87" t="s">
        <v>94</v>
      </c>
      <c r="G39" s="105" t="s">
        <v>356</v>
      </c>
      <c r="H39" s="85" t="s">
        <v>10</v>
      </c>
      <c r="I39" s="86" t="s">
        <v>325</v>
      </c>
      <c r="J39" s="87" t="s">
        <v>94</v>
      </c>
      <c r="K39" s="85" t="s">
        <v>326</v>
      </c>
      <c r="L39" s="85" t="s">
        <v>29</v>
      </c>
      <c r="M39" s="88"/>
      <c r="N39" s="88"/>
      <c r="O39" s="93"/>
      <c r="P39" s="94"/>
      <c r="Q39" s="92"/>
    </row>
    <row r="40" spans="1:17" x14ac:dyDescent="0.2">
      <c r="A40" s="34">
        <f t="shared" si="0"/>
        <v>32</v>
      </c>
      <c r="B40" s="84" t="s">
        <v>1512</v>
      </c>
      <c r="C40" s="105" t="s">
        <v>413</v>
      </c>
      <c r="D40" s="85" t="s">
        <v>27</v>
      </c>
      <c r="E40" s="86"/>
      <c r="F40" s="87" t="s">
        <v>94</v>
      </c>
      <c r="G40" s="105" t="s">
        <v>357</v>
      </c>
      <c r="H40" s="85" t="s">
        <v>10</v>
      </c>
      <c r="I40" s="86" t="s">
        <v>325</v>
      </c>
      <c r="J40" s="87" t="s">
        <v>94</v>
      </c>
      <c r="K40" s="85" t="s">
        <v>326</v>
      </c>
      <c r="L40" s="85" t="s">
        <v>29</v>
      </c>
      <c r="M40" s="88"/>
      <c r="N40" s="88"/>
      <c r="O40" s="93"/>
      <c r="P40" s="94"/>
      <c r="Q40" s="92"/>
    </row>
    <row r="41" spans="1:17" x14ac:dyDescent="0.2">
      <c r="A41" s="34">
        <f t="shared" si="0"/>
        <v>33</v>
      </c>
      <c r="B41" s="84" t="s">
        <v>1513</v>
      </c>
      <c r="C41" s="105" t="s">
        <v>414</v>
      </c>
      <c r="D41" s="85" t="s">
        <v>27</v>
      </c>
      <c r="E41" s="86"/>
      <c r="F41" s="87" t="s">
        <v>94</v>
      </c>
      <c r="G41" s="105" t="s">
        <v>358</v>
      </c>
      <c r="H41" s="85" t="s">
        <v>10</v>
      </c>
      <c r="I41" s="86" t="s">
        <v>325</v>
      </c>
      <c r="J41" s="87" t="s">
        <v>94</v>
      </c>
      <c r="K41" s="85" t="s">
        <v>326</v>
      </c>
      <c r="L41" s="85" t="s">
        <v>29</v>
      </c>
      <c r="M41" s="88"/>
      <c r="N41" s="88"/>
      <c r="O41" s="93"/>
      <c r="P41" s="94"/>
      <c r="Q41" s="92"/>
    </row>
    <row r="42" spans="1:17" x14ac:dyDescent="0.2">
      <c r="A42" s="34">
        <f t="shared" si="0"/>
        <v>34</v>
      </c>
      <c r="B42" s="84" t="s">
        <v>1514</v>
      </c>
      <c r="C42" s="105" t="s">
        <v>415</v>
      </c>
      <c r="D42" s="85" t="s">
        <v>27</v>
      </c>
      <c r="E42" s="86"/>
      <c r="F42" s="87" t="s">
        <v>94</v>
      </c>
      <c r="G42" s="105" t="s">
        <v>359</v>
      </c>
      <c r="H42" s="85" t="s">
        <v>10</v>
      </c>
      <c r="I42" s="86" t="s">
        <v>325</v>
      </c>
      <c r="J42" s="87" t="s">
        <v>94</v>
      </c>
      <c r="K42" s="85" t="s">
        <v>326</v>
      </c>
      <c r="L42" s="85" t="s">
        <v>29</v>
      </c>
      <c r="M42" s="88"/>
      <c r="N42" s="88"/>
      <c r="O42" s="93"/>
      <c r="P42" s="94"/>
      <c r="Q42" s="92"/>
    </row>
    <row r="43" spans="1:17" x14ac:dyDescent="0.2">
      <c r="A43" s="34">
        <f t="shared" si="0"/>
        <v>35</v>
      </c>
      <c r="B43" s="84" t="s">
        <v>1515</v>
      </c>
      <c r="C43" s="105" t="s">
        <v>416</v>
      </c>
      <c r="D43" s="85" t="s">
        <v>27</v>
      </c>
      <c r="E43" s="86"/>
      <c r="F43" s="87" t="s">
        <v>94</v>
      </c>
      <c r="G43" s="105" t="s">
        <v>360</v>
      </c>
      <c r="H43" s="85" t="s">
        <v>10</v>
      </c>
      <c r="I43" s="86" t="s">
        <v>325</v>
      </c>
      <c r="J43" s="87" t="s">
        <v>94</v>
      </c>
      <c r="K43" s="85" t="s">
        <v>326</v>
      </c>
      <c r="L43" s="85" t="s">
        <v>29</v>
      </c>
      <c r="M43" s="88"/>
      <c r="N43" s="88"/>
      <c r="O43" s="93"/>
      <c r="P43" s="94"/>
      <c r="Q43" s="92"/>
    </row>
    <row r="44" spans="1:17" x14ac:dyDescent="0.2">
      <c r="A44" s="34">
        <f t="shared" si="0"/>
        <v>36</v>
      </c>
      <c r="B44" s="84" t="s">
        <v>1516</v>
      </c>
      <c r="C44" s="105" t="s">
        <v>417</v>
      </c>
      <c r="D44" s="85" t="s">
        <v>27</v>
      </c>
      <c r="E44" s="86"/>
      <c r="F44" s="87" t="s">
        <v>94</v>
      </c>
      <c r="G44" s="105" t="s">
        <v>361</v>
      </c>
      <c r="H44" s="85" t="s">
        <v>10</v>
      </c>
      <c r="I44" s="86" t="s">
        <v>325</v>
      </c>
      <c r="J44" s="87" t="s">
        <v>94</v>
      </c>
      <c r="K44" s="85" t="s">
        <v>326</v>
      </c>
      <c r="L44" s="85" t="s">
        <v>29</v>
      </c>
      <c r="M44" s="88"/>
      <c r="N44" s="88"/>
      <c r="O44" s="93"/>
      <c r="P44" s="94"/>
      <c r="Q44" s="92"/>
    </row>
    <row r="45" spans="1:17" x14ac:dyDescent="0.2">
      <c r="A45" s="34">
        <f t="shared" si="0"/>
        <v>37</v>
      </c>
      <c r="B45" s="84" t="s">
        <v>1517</v>
      </c>
      <c r="C45" s="105" t="s">
        <v>418</v>
      </c>
      <c r="D45" s="85" t="s">
        <v>27</v>
      </c>
      <c r="E45" s="86"/>
      <c r="F45" s="87" t="s">
        <v>94</v>
      </c>
      <c r="G45" s="105" t="s">
        <v>362</v>
      </c>
      <c r="H45" s="85" t="s">
        <v>10</v>
      </c>
      <c r="I45" s="86" t="s">
        <v>325</v>
      </c>
      <c r="J45" s="87" t="s">
        <v>94</v>
      </c>
      <c r="K45" s="85" t="s">
        <v>326</v>
      </c>
      <c r="L45" s="85" t="s">
        <v>29</v>
      </c>
      <c r="M45" s="88"/>
      <c r="N45" s="88"/>
      <c r="O45" s="93"/>
      <c r="P45" s="94"/>
      <c r="Q45" s="92"/>
    </row>
    <row r="46" spans="1:17" x14ac:dyDescent="0.2">
      <c r="A46" s="34">
        <f t="shared" si="0"/>
        <v>38</v>
      </c>
      <c r="B46" s="84" t="s">
        <v>1518</v>
      </c>
      <c r="C46" s="105" t="s">
        <v>419</v>
      </c>
      <c r="D46" s="85" t="s">
        <v>27</v>
      </c>
      <c r="E46" s="86"/>
      <c r="F46" s="87" t="s">
        <v>94</v>
      </c>
      <c r="G46" s="105" t="s">
        <v>363</v>
      </c>
      <c r="H46" s="85" t="s">
        <v>10</v>
      </c>
      <c r="I46" s="86" t="s">
        <v>325</v>
      </c>
      <c r="J46" s="87" t="s">
        <v>94</v>
      </c>
      <c r="K46" s="85" t="s">
        <v>326</v>
      </c>
      <c r="L46" s="85" t="s">
        <v>29</v>
      </c>
      <c r="M46" s="88"/>
      <c r="N46" s="88"/>
      <c r="O46" s="93"/>
      <c r="P46" s="94"/>
      <c r="Q46" s="92"/>
    </row>
    <row r="47" spans="1:17" x14ac:dyDescent="0.2">
      <c r="A47" s="34">
        <f t="shared" si="0"/>
        <v>39</v>
      </c>
      <c r="B47" s="84" t="s">
        <v>1519</v>
      </c>
      <c r="C47" s="105" t="s">
        <v>420</v>
      </c>
      <c r="D47" s="85" t="s">
        <v>27</v>
      </c>
      <c r="E47" s="86"/>
      <c r="F47" s="87" t="s">
        <v>94</v>
      </c>
      <c r="G47" s="105" t="s">
        <v>364</v>
      </c>
      <c r="H47" s="85" t="s">
        <v>10</v>
      </c>
      <c r="I47" s="86" t="s">
        <v>325</v>
      </c>
      <c r="J47" s="87" t="s">
        <v>94</v>
      </c>
      <c r="K47" s="85" t="s">
        <v>326</v>
      </c>
      <c r="L47" s="85" t="s">
        <v>29</v>
      </c>
      <c r="M47" s="88"/>
      <c r="N47" s="88"/>
      <c r="O47" s="93"/>
      <c r="P47" s="94"/>
      <c r="Q47" s="92"/>
    </row>
    <row r="48" spans="1:17" x14ac:dyDescent="0.2">
      <c r="A48" s="34">
        <f t="shared" si="0"/>
        <v>40</v>
      </c>
      <c r="B48" s="84" t="s">
        <v>1520</v>
      </c>
      <c r="C48" s="105" t="s">
        <v>421</v>
      </c>
      <c r="D48" s="85" t="s">
        <v>27</v>
      </c>
      <c r="E48" s="86"/>
      <c r="F48" s="87" t="s">
        <v>94</v>
      </c>
      <c r="G48" s="105" t="s">
        <v>365</v>
      </c>
      <c r="H48" s="85" t="s">
        <v>10</v>
      </c>
      <c r="I48" s="86" t="s">
        <v>325</v>
      </c>
      <c r="J48" s="87" t="s">
        <v>94</v>
      </c>
      <c r="K48" s="85" t="s">
        <v>326</v>
      </c>
      <c r="L48" s="85" t="s">
        <v>29</v>
      </c>
      <c r="M48" s="88"/>
      <c r="N48" s="88"/>
      <c r="O48" s="93"/>
      <c r="P48" s="94"/>
      <c r="Q48" s="92"/>
    </row>
    <row r="49" spans="1:17" x14ac:dyDescent="0.2">
      <c r="A49" s="34">
        <f t="shared" si="0"/>
        <v>41</v>
      </c>
      <c r="B49" s="84" t="s">
        <v>1521</v>
      </c>
      <c r="C49" s="105" t="s">
        <v>422</v>
      </c>
      <c r="D49" s="85" t="s">
        <v>27</v>
      </c>
      <c r="E49" s="86"/>
      <c r="F49" s="87" t="s">
        <v>94</v>
      </c>
      <c r="G49" s="105" t="s">
        <v>366</v>
      </c>
      <c r="H49" s="85" t="s">
        <v>10</v>
      </c>
      <c r="I49" s="86" t="s">
        <v>325</v>
      </c>
      <c r="J49" s="87" t="s">
        <v>94</v>
      </c>
      <c r="K49" s="85" t="s">
        <v>326</v>
      </c>
      <c r="L49" s="85" t="s">
        <v>29</v>
      </c>
      <c r="M49" s="88"/>
      <c r="N49" s="88"/>
      <c r="O49" s="93"/>
      <c r="P49" s="94"/>
      <c r="Q49" s="92"/>
    </row>
    <row r="50" spans="1:17" x14ac:dyDescent="0.2">
      <c r="A50" s="34">
        <f t="shared" si="0"/>
        <v>42</v>
      </c>
      <c r="B50" s="84" t="s">
        <v>1522</v>
      </c>
      <c r="C50" s="105" t="s">
        <v>423</v>
      </c>
      <c r="D50" s="85" t="s">
        <v>27</v>
      </c>
      <c r="E50" s="86"/>
      <c r="F50" s="87" t="s">
        <v>94</v>
      </c>
      <c r="G50" s="105" t="s">
        <v>367</v>
      </c>
      <c r="H50" s="85" t="s">
        <v>10</v>
      </c>
      <c r="I50" s="86" t="s">
        <v>325</v>
      </c>
      <c r="J50" s="87" t="s">
        <v>94</v>
      </c>
      <c r="K50" s="85" t="s">
        <v>326</v>
      </c>
      <c r="L50" s="85" t="s">
        <v>29</v>
      </c>
      <c r="M50" s="88"/>
      <c r="N50" s="88"/>
      <c r="O50" s="93"/>
      <c r="P50" s="94"/>
      <c r="Q50" s="92"/>
    </row>
    <row r="51" spans="1:17" x14ac:dyDescent="0.2">
      <c r="A51" s="34">
        <f t="shared" si="0"/>
        <v>43</v>
      </c>
      <c r="B51" s="84" t="s">
        <v>1523</v>
      </c>
      <c r="C51" s="105" t="s">
        <v>424</v>
      </c>
      <c r="D51" s="85" t="s">
        <v>27</v>
      </c>
      <c r="E51" s="86"/>
      <c r="F51" s="87" t="s">
        <v>94</v>
      </c>
      <c r="G51" s="105" t="s">
        <v>368</v>
      </c>
      <c r="H51" s="85" t="s">
        <v>10</v>
      </c>
      <c r="I51" s="86" t="s">
        <v>325</v>
      </c>
      <c r="J51" s="87" t="s">
        <v>94</v>
      </c>
      <c r="K51" s="85" t="s">
        <v>326</v>
      </c>
      <c r="L51" s="85" t="s">
        <v>29</v>
      </c>
      <c r="M51" s="88"/>
      <c r="N51" s="96"/>
      <c r="O51" s="93"/>
      <c r="P51" s="94"/>
      <c r="Q51" s="92"/>
    </row>
    <row r="52" spans="1:17" x14ac:dyDescent="0.2">
      <c r="A52" s="34">
        <f t="shared" si="0"/>
        <v>44</v>
      </c>
      <c r="B52" s="84" t="s">
        <v>1524</v>
      </c>
      <c r="C52" s="105" t="s">
        <v>425</v>
      </c>
      <c r="D52" s="85" t="s">
        <v>27</v>
      </c>
      <c r="E52" s="86"/>
      <c r="F52" s="87" t="s">
        <v>94</v>
      </c>
      <c r="G52" s="105" t="s">
        <v>369</v>
      </c>
      <c r="H52" s="85" t="s">
        <v>10</v>
      </c>
      <c r="I52" s="86" t="s">
        <v>325</v>
      </c>
      <c r="J52" s="87" t="s">
        <v>94</v>
      </c>
      <c r="K52" s="85" t="s">
        <v>326</v>
      </c>
      <c r="L52" s="85" t="s">
        <v>29</v>
      </c>
      <c r="M52" s="88"/>
      <c r="N52" s="96"/>
      <c r="O52" s="93"/>
      <c r="P52" s="94"/>
      <c r="Q52" s="92"/>
    </row>
    <row r="53" spans="1:17" x14ac:dyDescent="0.2">
      <c r="A53" s="34">
        <f t="shared" si="0"/>
        <v>45</v>
      </c>
      <c r="B53" s="84" t="s">
        <v>1525</v>
      </c>
      <c r="C53" s="105" t="s">
        <v>426</v>
      </c>
      <c r="D53" s="85" t="s">
        <v>27</v>
      </c>
      <c r="E53" s="86"/>
      <c r="F53" s="87" t="s">
        <v>94</v>
      </c>
      <c r="G53" s="105" t="s">
        <v>370</v>
      </c>
      <c r="H53" s="85" t="s">
        <v>10</v>
      </c>
      <c r="I53" s="86" t="s">
        <v>325</v>
      </c>
      <c r="J53" s="87" t="s">
        <v>94</v>
      </c>
      <c r="K53" s="85" t="s">
        <v>326</v>
      </c>
      <c r="L53" s="85" t="s">
        <v>29</v>
      </c>
      <c r="M53" s="88"/>
      <c r="N53" s="89"/>
      <c r="O53" s="90"/>
      <c r="P53" s="91"/>
      <c r="Q53" s="92"/>
    </row>
    <row r="54" spans="1:17" x14ac:dyDescent="0.2">
      <c r="A54" s="34">
        <f t="shared" si="0"/>
        <v>46</v>
      </c>
      <c r="B54" s="84" t="s">
        <v>1526</v>
      </c>
      <c r="C54" s="105" t="s">
        <v>427</v>
      </c>
      <c r="D54" s="85" t="s">
        <v>27</v>
      </c>
      <c r="E54" s="86"/>
      <c r="F54" s="87" t="s">
        <v>94</v>
      </c>
      <c r="G54" s="105" t="s">
        <v>371</v>
      </c>
      <c r="H54" s="85" t="s">
        <v>10</v>
      </c>
      <c r="I54" s="86" t="s">
        <v>325</v>
      </c>
      <c r="J54" s="87" t="s">
        <v>94</v>
      </c>
      <c r="K54" s="85" t="s">
        <v>326</v>
      </c>
      <c r="L54" s="85" t="s">
        <v>29</v>
      </c>
      <c r="M54" s="88"/>
      <c r="N54" s="89"/>
      <c r="O54" s="90"/>
      <c r="P54" s="91"/>
      <c r="Q54" s="92"/>
    </row>
    <row r="55" spans="1:17" x14ac:dyDescent="0.2">
      <c r="A55" s="34">
        <f t="shared" si="0"/>
        <v>47</v>
      </c>
      <c r="B55" s="84" t="s">
        <v>1527</v>
      </c>
      <c r="C55" s="105" t="s">
        <v>428</v>
      </c>
      <c r="D55" s="85" t="s">
        <v>27</v>
      </c>
      <c r="E55" s="86"/>
      <c r="F55" s="87" t="s">
        <v>94</v>
      </c>
      <c r="G55" s="105" t="s">
        <v>372</v>
      </c>
      <c r="H55" s="85" t="s">
        <v>10</v>
      </c>
      <c r="I55" s="86" t="s">
        <v>325</v>
      </c>
      <c r="J55" s="87" t="s">
        <v>94</v>
      </c>
      <c r="K55" s="85" t="s">
        <v>326</v>
      </c>
      <c r="L55" s="85" t="s">
        <v>29</v>
      </c>
      <c r="M55" s="88"/>
      <c r="N55" s="88"/>
      <c r="O55" s="93"/>
      <c r="P55" s="94"/>
      <c r="Q55" s="92"/>
    </row>
    <row r="56" spans="1:17" x14ac:dyDescent="0.2">
      <c r="A56" s="34">
        <f t="shared" si="0"/>
        <v>48</v>
      </c>
      <c r="B56" s="84" t="s">
        <v>1528</v>
      </c>
      <c r="C56" s="105" t="s">
        <v>429</v>
      </c>
      <c r="D56" s="85" t="s">
        <v>27</v>
      </c>
      <c r="E56" s="86"/>
      <c r="F56" s="87" t="s">
        <v>94</v>
      </c>
      <c r="G56" s="105" t="s">
        <v>373</v>
      </c>
      <c r="H56" s="85" t="s">
        <v>10</v>
      </c>
      <c r="I56" s="86" t="s">
        <v>325</v>
      </c>
      <c r="J56" s="87" t="s">
        <v>94</v>
      </c>
      <c r="K56" s="85" t="s">
        <v>326</v>
      </c>
      <c r="L56" s="85" t="s">
        <v>29</v>
      </c>
      <c r="M56" s="88"/>
      <c r="N56" s="88"/>
      <c r="O56" s="93"/>
      <c r="P56" s="94"/>
      <c r="Q56" s="92"/>
    </row>
    <row r="57" spans="1:17" x14ac:dyDescent="0.2">
      <c r="A57" s="34">
        <f t="shared" si="0"/>
        <v>49</v>
      </c>
      <c r="B57" s="84" t="s">
        <v>1529</v>
      </c>
      <c r="C57" s="105" t="s">
        <v>430</v>
      </c>
      <c r="D57" s="85" t="s">
        <v>27</v>
      </c>
      <c r="E57" s="86"/>
      <c r="F57" s="87" t="s">
        <v>94</v>
      </c>
      <c r="G57" s="105" t="s">
        <v>374</v>
      </c>
      <c r="H57" s="85" t="s">
        <v>10</v>
      </c>
      <c r="I57" s="86" t="s">
        <v>382</v>
      </c>
      <c r="J57" s="87" t="s">
        <v>94</v>
      </c>
      <c r="K57" s="85" t="s">
        <v>326</v>
      </c>
      <c r="L57" s="85" t="s">
        <v>29</v>
      </c>
      <c r="M57" s="88"/>
      <c r="N57" s="88"/>
      <c r="O57" s="93"/>
      <c r="P57" s="94"/>
      <c r="Q57" s="92"/>
    </row>
    <row r="58" spans="1:17" x14ac:dyDescent="0.2">
      <c r="A58" s="34">
        <f t="shared" si="0"/>
        <v>50</v>
      </c>
      <c r="B58" s="84" t="s">
        <v>1530</v>
      </c>
      <c r="C58" s="105" t="s">
        <v>431</v>
      </c>
      <c r="D58" s="85" t="s">
        <v>27</v>
      </c>
      <c r="E58" s="86"/>
      <c r="F58" s="87" t="s">
        <v>94</v>
      </c>
      <c r="G58" s="105" t="s">
        <v>375</v>
      </c>
      <c r="H58" s="85" t="s">
        <v>10</v>
      </c>
      <c r="I58" s="86" t="s">
        <v>382</v>
      </c>
      <c r="J58" s="87" t="s">
        <v>94</v>
      </c>
      <c r="K58" s="85" t="s">
        <v>326</v>
      </c>
      <c r="L58" s="85" t="s">
        <v>29</v>
      </c>
      <c r="M58" s="88"/>
      <c r="N58" s="88"/>
      <c r="O58" s="93"/>
      <c r="P58" s="94"/>
      <c r="Q58" s="92"/>
    </row>
    <row r="59" spans="1:17" x14ac:dyDescent="0.2">
      <c r="A59" s="34">
        <f t="shared" si="0"/>
        <v>51</v>
      </c>
      <c r="B59" s="84" t="s">
        <v>1531</v>
      </c>
      <c r="C59" s="105" t="s">
        <v>432</v>
      </c>
      <c r="D59" s="85" t="s">
        <v>27</v>
      </c>
      <c r="E59" s="86"/>
      <c r="F59" s="87" t="s">
        <v>94</v>
      </c>
      <c r="G59" s="105" t="s">
        <v>376</v>
      </c>
      <c r="H59" s="85" t="s">
        <v>10</v>
      </c>
      <c r="I59" s="86" t="s">
        <v>382</v>
      </c>
      <c r="J59" s="87" t="s">
        <v>94</v>
      </c>
      <c r="K59" s="85" t="s">
        <v>326</v>
      </c>
      <c r="L59" s="85" t="s">
        <v>29</v>
      </c>
      <c r="M59" s="88"/>
      <c r="N59" s="88"/>
      <c r="O59" s="93"/>
      <c r="P59" s="94"/>
      <c r="Q59" s="92"/>
    </row>
    <row r="60" spans="1:17" x14ac:dyDescent="0.2">
      <c r="A60" s="34">
        <f t="shared" si="0"/>
        <v>52</v>
      </c>
      <c r="B60" s="84" t="s">
        <v>1532</v>
      </c>
      <c r="C60" s="105" t="s">
        <v>433</v>
      </c>
      <c r="D60" s="85" t="s">
        <v>27</v>
      </c>
      <c r="E60" s="86"/>
      <c r="F60" s="87" t="s">
        <v>94</v>
      </c>
      <c r="G60" s="105" t="s">
        <v>377</v>
      </c>
      <c r="H60" s="85" t="s">
        <v>10</v>
      </c>
      <c r="I60" s="86" t="s">
        <v>382</v>
      </c>
      <c r="J60" s="87" t="s">
        <v>94</v>
      </c>
      <c r="K60" s="85" t="s">
        <v>326</v>
      </c>
      <c r="L60" s="85" t="s">
        <v>29</v>
      </c>
      <c r="M60" s="88"/>
      <c r="N60" s="88"/>
      <c r="O60" s="93"/>
      <c r="P60" s="94"/>
      <c r="Q60" s="92"/>
    </row>
    <row r="61" spans="1:17" x14ac:dyDescent="0.2">
      <c r="A61" s="34">
        <f t="shared" si="0"/>
        <v>53</v>
      </c>
      <c r="B61" s="84" t="s">
        <v>1533</v>
      </c>
      <c r="C61" s="105" t="s">
        <v>434</v>
      </c>
      <c r="D61" s="85" t="s">
        <v>27</v>
      </c>
      <c r="E61" s="86"/>
      <c r="F61" s="87" t="s">
        <v>94</v>
      </c>
      <c r="G61" s="105" t="s">
        <v>378</v>
      </c>
      <c r="H61" s="85" t="s">
        <v>10</v>
      </c>
      <c r="I61" s="86" t="s">
        <v>382</v>
      </c>
      <c r="J61" s="87" t="s">
        <v>94</v>
      </c>
      <c r="K61" s="85" t="s">
        <v>326</v>
      </c>
      <c r="L61" s="85" t="s">
        <v>29</v>
      </c>
      <c r="M61" s="88"/>
      <c r="N61" s="88"/>
      <c r="O61" s="93"/>
      <c r="P61" s="94"/>
      <c r="Q61" s="92"/>
    </row>
    <row r="62" spans="1:17" x14ac:dyDescent="0.2">
      <c r="A62" s="34">
        <f t="shared" si="0"/>
        <v>54</v>
      </c>
      <c r="B62" s="84" t="s">
        <v>1534</v>
      </c>
      <c r="C62" s="105" t="s">
        <v>435</v>
      </c>
      <c r="D62" s="85" t="s">
        <v>27</v>
      </c>
      <c r="E62" s="86"/>
      <c r="F62" s="87" t="s">
        <v>94</v>
      </c>
      <c r="G62" s="105" t="s">
        <v>379</v>
      </c>
      <c r="H62" s="85" t="s">
        <v>10</v>
      </c>
      <c r="I62" s="86" t="s">
        <v>382</v>
      </c>
      <c r="J62" s="87" t="s">
        <v>94</v>
      </c>
      <c r="K62" s="85" t="s">
        <v>326</v>
      </c>
      <c r="L62" s="85" t="s">
        <v>29</v>
      </c>
      <c r="M62" s="88"/>
      <c r="N62" s="88"/>
      <c r="O62" s="93"/>
      <c r="P62" s="94"/>
      <c r="Q62" s="92"/>
    </row>
    <row r="63" spans="1:17" x14ac:dyDescent="0.2">
      <c r="A63" s="34">
        <f t="shared" si="0"/>
        <v>55</v>
      </c>
      <c r="B63" s="84" t="s">
        <v>1535</v>
      </c>
      <c r="C63" s="105" t="s">
        <v>436</v>
      </c>
      <c r="D63" s="85" t="s">
        <v>27</v>
      </c>
      <c r="E63" s="86"/>
      <c r="F63" s="87" t="s">
        <v>94</v>
      </c>
      <c r="G63" s="105" t="s">
        <v>380</v>
      </c>
      <c r="H63" s="85" t="s">
        <v>10</v>
      </c>
      <c r="I63" s="86" t="s">
        <v>382</v>
      </c>
      <c r="J63" s="87" t="s">
        <v>94</v>
      </c>
      <c r="K63" s="85" t="s">
        <v>326</v>
      </c>
      <c r="L63" s="85" t="s">
        <v>29</v>
      </c>
      <c r="M63" s="88"/>
      <c r="N63" s="88"/>
      <c r="O63" s="93"/>
      <c r="P63" s="94"/>
      <c r="Q63" s="92"/>
    </row>
    <row r="64" spans="1:17" x14ac:dyDescent="0.2">
      <c r="A64" s="34">
        <f t="shared" si="0"/>
        <v>56</v>
      </c>
      <c r="B64" s="84" t="s">
        <v>1536</v>
      </c>
      <c r="C64" s="105" t="s">
        <v>437</v>
      </c>
      <c r="D64" s="85" t="s">
        <v>27</v>
      </c>
      <c r="E64" s="86"/>
      <c r="F64" s="87" t="s">
        <v>94</v>
      </c>
      <c r="G64" s="105" t="s">
        <v>381</v>
      </c>
      <c r="H64" s="85" t="s">
        <v>10</v>
      </c>
      <c r="I64" s="86" t="s">
        <v>382</v>
      </c>
      <c r="J64" s="87" t="s">
        <v>94</v>
      </c>
      <c r="K64" s="85" t="s">
        <v>326</v>
      </c>
      <c r="L64" s="85" t="s">
        <v>29</v>
      </c>
      <c r="M64" s="88"/>
      <c r="N64" s="88"/>
      <c r="O64" s="93"/>
      <c r="P64" s="94"/>
      <c r="Q64" s="92"/>
    </row>
    <row r="65" spans="1:17" x14ac:dyDescent="0.2">
      <c r="A65" s="34"/>
      <c r="B65" s="84"/>
      <c r="C65" s="105"/>
      <c r="D65" s="85"/>
      <c r="E65" s="86"/>
      <c r="F65" s="87"/>
      <c r="G65" s="105"/>
      <c r="H65" s="85"/>
      <c r="I65" s="86"/>
      <c r="J65" s="87"/>
      <c r="K65" s="85"/>
      <c r="L65" s="85"/>
      <c r="M65" s="88"/>
      <c r="N65" s="88"/>
      <c r="O65" s="93"/>
      <c r="P65" s="94"/>
      <c r="Q65" s="92"/>
    </row>
    <row r="66" spans="1:17" x14ac:dyDescent="0.2">
      <c r="A66" s="34"/>
      <c r="B66" s="84"/>
      <c r="C66" s="105"/>
      <c r="D66" s="85"/>
      <c r="E66" s="86"/>
      <c r="F66" s="87"/>
      <c r="G66" s="105"/>
      <c r="H66" s="85"/>
      <c r="I66" s="86"/>
      <c r="J66" s="87"/>
      <c r="K66" s="85"/>
      <c r="L66" s="85"/>
      <c r="M66" s="88"/>
      <c r="N66" s="88"/>
      <c r="O66" s="93"/>
      <c r="P66" s="94"/>
      <c r="Q66" s="92"/>
    </row>
    <row r="67" spans="1:17" x14ac:dyDescent="0.2">
      <c r="A67" s="34">
        <f>A64+1</f>
        <v>57</v>
      </c>
      <c r="B67" s="148" t="s">
        <v>1353</v>
      </c>
      <c r="C67" s="105" t="s">
        <v>438</v>
      </c>
      <c r="D67" s="85" t="s">
        <v>10</v>
      </c>
      <c r="E67" s="86" t="s">
        <v>325</v>
      </c>
      <c r="F67" s="87" t="s">
        <v>94</v>
      </c>
      <c r="G67" s="105" t="s">
        <v>494</v>
      </c>
      <c r="H67" s="85" t="s">
        <v>10</v>
      </c>
      <c r="I67" s="86" t="s">
        <v>282</v>
      </c>
      <c r="J67" s="87" t="s">
        <v>94</v>
      </c>
      <c r="K67" s="85" t="s">
        <v>98</v>
      </c>
      <c r="L67" s="85" t="s">
        <v>99</v>
      </c>
      <c r="M67" s="88"/>
      <c r="N67" s="88"/>
      <c r="O67" s="93"/>
      <c r="P67" s="94"/>
      <c r="Q67" s="92"/>
    </row>
    <row r="68" spans="1:17" x14ac:dyDescent="0.2">
      <c r="A68" s="34">
        <f t="shared" si="0"/>
        <v>58</v>
      </c>
      <c r="B68" s="84" t="s">
        <v>1354</v>
      </c>
      <c r="C68" s="105" t="s">
        <v>439</v>
      </c>
      <c r="D68" s="85" t="s">
        <v>10</v>
      </c>
      <c r="E68" s="86" t="s">
        <v>325</v>
      </c>
      <c r="F68" s="87" t="s">
        <v>94</v>
      </c>
      <c r="G68" s="105" t="s">
        <v>495</v>
      </c>
      <c r="H68" s="85" t="s">
        <v>10</v>
      </c>
      <c r="I68" s="86" t="s">
        <v>282</v>
      </c>
      <c r="J68" s="87" t="s">
        <v>94</v>
      </c>
      <c r="K68" s="85" t="s">
        <v>98</v>
      </c>
      <c r="L68" s="85" t="s">
        <v>99</v>
      </c>
      <c r="M68" s="88"/>
      <c r="N68" s="88"/>
      <c r="O68" s="93"/>
      <c r="P68" s="94"/>
      <c r="Q68" s="92"/>
    </row>
    <row r="69" spans="1:17" x14ac:dyDescent="0.2">
      <c r="A69" s="34">
        <f t="shared" si="0"/>
        <v>59</v>
      </c>
      <c r="B69" s="84" t="s">
        <v>1355</v>
      </c>
      <c r="C69" s="105" t="s">
        <v>440</v>
      </c>
      <c r="D69" s="85" t="s">
        <v>10</v>
      </c>
      <c r="E69" s="86" t="s">
        <v>325</v>
      </c>
      <c r="F69" s="87" t="s">
        <v>94</v>
      </c>
      <c r="G69" s="105" t="s">
        <v>496</v>
      </c>
      <c r="H69" s="85" t="s">
        <v>10</v>
      </c>
      <c r="I69" s="86" t="s">
        <v>282</v>
      </c>
      <c r="J69" s="87" t="s">
        <v>94</v>
      </c>
      <c r="K69" s="85" t="s">
        <v>98</v>
      </c>
      <c r="L69" s="85" t="s">
        <v>99</v>
      </c>
      <c r="M69" s="88"/>
      <c r="N69" s="88"/>
      <c r="O69" s="93"/>
      <c r="P69" s="94"/>
      <c r="Q69" s="92"/>
    </row>
    <row r="70" spans="1:17" x14ac:dyDescent="0.2">
      <c r="A70" s="34">
        <f t="shared" si="0"/>
        <v>60</v>
      </c>
      <c r="B70" s="84" t="s">
        <v>1356</v>
      </c>
      <c r="C70" s="105" t="s">
        <v>441</v>
      </c>
      <c r="D70" s="85" t="s">
        <v>10</v>
      </c>
      <c r="E70" s="86" t="s">
        <v>325</v>
      </c>
      <c r="F70" s="87" t="s">
        <v>94</v>
      </c>
      <c r="G70" s="105" t="s">
        <v>497</v>
      </c>
      <c r="H70" s="85" t="s">
        <v>10</v>
      </c>
      <c r="I70" s="86" t="s">
        <v>282</v>
      </c>
      <c r="J70" s="87" t="s">
        <v>94</v>
      </c>
      <c r="K70" s="85" t="s">
        <v>98</v>
      </c>
      <c r="L70" s="85" t="s">
        <v>99</v>
      </c>
      <c r="M70" s="88"/>
      <c r="N70" s="88"/>
      <c r="O70" s="93"/>
      <c r="P70" s="94"/>
      <c r="Q70" s="92"/>
    </row>
    <row r="71" spans="1:17" x14ac:dyDescent="0.2">
      <c r="A71" s="34">
        <f t="shared" si="0"/>
        <v>61</v>
      </c>
      <c r="B71" s="84" t="s">
        <v>1357</v>
      </c>
      <c r="C71" s="105" t="s">
        <v>442</v>
      </c>
      <c r="D71" s="85" t="s">
        <v>10</v>
      </c>
      <c r="E71" s="86" t="s">
        <v>325</v>
      </c>
      <c r="F71" s="87" t="s">
        <v>94</v>
      </c>
      <c r="G71" s="105" t="s">
        <v>498</v>
      </c>
      <c r="H71" s="85" t="s">
        <v>10</v>
      </c>
      <c r="I71" s="86" t="s">
        <v>282</v>
      </c>
      <c r="J71" s="87" t="s">
        <v>94</v>
      </c>
      <c r="K71" s="85" t="s">
        <v>98</v>
      </c>
      <c r="L71" s="85" t="s">
        <v>99</v>
      </c>
      <c r="M71" s="88"/>
      <c r="N71" s="88"/>
      <c r="O71" s="93"/>
      <c r="P71" s="94"/>
      <c r="Q71" s="92"/>
    </row>
    <row r="72" spans="1:17" x14ac:dyDescent="0.2">
      <c r="A72" s="34">
        <f t="shared" si="0"/>
        <v>62</v>
      </c>
      <c r="B72" s="84" t="s">
        <v>1358</v>
      </c>
      <c r="C72" s="105" t="s">
        <v>443</v>
      </c>
      <c r="D72" s="85" t="s">
        <v>10</v>
      </c>
      <c r="E72" s="86" t="s">
        <v>325</v>
      </c>
      <c r="F72" s="87" t="s">
        <v>94</v>
      </c>
      <c r="G72" s="105" t="s">
        <v>499</v>
      </c>
      <c r="H72" s="85" t="s">
        <v>10</v>
      </c>
      <c r="I72" s="86" t="s">
        <v>282</v>
      </c>
      <c r="J72" s="87" t="s">
        <v>94</v>
      </c>
      <c r="K72" s="85" t="s">
        <v>98</v>
      </c>
      <c r="L72" s="85" t="s">
        <v>99</v>
      </c>
      <c r="M72" s="88"/>
      <c r="N72" s="88"/>
      <c r="O72" s="93"/>
      <c r="P72" s="94"/>
      <c r="Q72" s="92"/>
    </row>
    <row r="73" spans="1:17" x14ac:dyDescent="0.2">
      <c r="A73" s="34">
        <f t="shared" si="0"/>
        <v>63</v>
      </c>
      <c r="B73" s="84" t="s">
        <v>1359</v>
      </c>
      <c r="C73" s="105" t="s">
        <v>444</v>
      </c>
      <c r="D73" s="85" t="s">
        <v>10</v>
      </c>
      <c r="E73" s="86" t="s">
        <v>325</v>
      </c>
      <c r="F73" s="87" t="s">
        <v>94</v>
      </c>
      <c r="G73" s="105" t="s">
        <v>500</v>
      </c>
      <c r="H73" s="85" t="s">
        <v>10</v>
      </c>
      <c r="I73" s="86" t="s">
        <v>282</v>
      </c>
      <c r="J73" s="87" t="s">
        <v>94</v>
      </c>
      <c r="K73" s="85" t="s">
        <v>98</v>
      </c>
      <c r="L73" s="85" t="s">
        <v>99</v>
      </c>
      <c r="M73" s="88"/>
      <c r="N73" s="88"/>
      <c r="O73" s="93"/>
      <c r="P73" s="94"/>
      <c r="Q73" s="92"/>
    </row>
    <row r="74" spans="1:17" x14ac:dyDescent="0.2">
      <c r="A74" s="34">
        <f t="shared" ref="A74:A122" si="1">A73+1</f>
        <v>64</v>
      </c>
      <c r="B74" s="84" t="s">
        <v>1360</v>
      </c>
      <c r="C74" s="105" t="s">
        <v>445</v>
      </c>
      <c r="D74" s="85" t="s">
        <v>10</v>
      </c>
      <c r="E74" s="86" t="s">
        <v>325</v>
      </c>
      <c r="F74" s="87" t="s">
        <v>94</v>
      </c>
      <c r="G74" s="105" t="s">
        <v>501</v>
      </c>
      <c r="H74" s="85" t="s">
        <v>10</v>
      </c>
      <c r="I74" s="86" t="s">
        <v>282</v>
      </c>
      <c r="J74" s="87" t="s">
        <v>94</v>
      </c>
      <c r="K74" s="85" t="s">
        <v>98</v>
      </c>
      <c r="L74" s="85" t="s">
        <v>99</v>
      </c>
      <c r="M74" s="88"/>
      <c r="N74" s="88"/>
      <c r="O74" s="93"/>
      <c r="P74" s="94"/>
      <c r="Q74" s="92"/>
    </row>
    <row r="75" spans="1:17" x14ac:dyDescent="0.2">
      <c r="A75" s="34">
        <f t="shared" si="1"/>
        <v>65</v>
      </c>
      <c r="B75" s="84" t="s">
        <v>1361</v>
      </c>
      <c r="C75" s="105" t="s">
        <v>446</v>
      </c>
      <c r="D75" s="85" t="s">
        <v>10</v>
      </c>
      <c r="E75" s="86" t="s">
        <v>325</v>
      </c>
      <c r="F75" s="87" t="s">
        <v>94</v>
      </c>
      <c r="G75" s="105" t="s">
        <v>502</v>
      </c>
      <c r="H75" s="85" t="s">
        <v>10</v>
      </c>
      <c r="I75" s="86" t="s">
        <v>282</v>
      </c>
      <c r="J75" s="87" t="s">
        <v>94</v>
      </c>
      <c r="K75" s="85" t="s">
        <v>98</v>
      </c>
      <c r="L75" s="85" t="s">
        <v>99</v>
      </c>
      <c r="M75" s="88"/>
      <c r="N75" s="88"/>
      <c r="O75" s="93"/>
      <c r="P75" s="94"/>
      <c r="Q75" s="92"/>
    </row>
    <row r="76" spans="1:17" x14ac:dyDescent="0.2">
      <c r="A76" s="34">
        <f t="shared" si="1"/>
        <v>66</v>
      </c>
      <c r="B76" s="84" t="s">
        <v>1362</v>
      </c>
      <c r="C76" s="105" t="s">
        <v>447</v>
      </c>
      <c r="D76" s="85" t="s">
        <v>10</v>
      </c>
      <c r="E76" s="86" t="s">
        <v>325</v>
      </c>
      <c r="F76" s="87" t="s">
        <v>94</v>
      </c>
      <c r="G76" s="105" t="s">
        <v>503</v>
      </c>
      <c r="H76" s="85" t="s">
        <v>10</v>
      </c>
      <c r="I76" s="86" t="s">
        <v>282</v>
      </c>
      <c r="J76" s="87" t="s">
        <v>94</v>
      </c>
      <c r="K76" s="85" t="s">
        <v>98</v>
      </c>
      <c r="L76" s="85" t="s">
        <v>99</v>
      </c>
      <c r="M76" s="88"/>
      <c r="N76" s="88"/>
      <c r="O76" s="93"/>
      <c r="P76" s="94"/>
      <c r="Q76" s="92"/>
    </row>
    <row r="77" spans="1:17" x14ac:dyDescent="0.2">
      <c r="A77" s="34">
        <f t="shared" si="1"/>
        <v>67</v>
      </c>
      <c r="B77" s="84" t="s">
        <v>1363</v>
      </c>
      <c r="C77" s="105" t="s">
        <v>448</v>
      </c>
      <c r="D77" s="85" t="s">
        <v>10</v>
      </c>
      <c r="E77" s="86" t="s">
        <v>325</v>
      </c>
      <c r="F77" s="87" t="s">
        <v>94</v>
      </c>
      <c r="G77" s="105" t="s">
        <v>504</v>
      </c>
      <c r="H77" s="85" t="s">
        <v>10</v>
      </c>
      <c r="I77" s="86" t="s">
        <v>282</v>
      </c>
      <c r="J77" s="87" t="s">
        <v>94</v>
      </c>
      <c r="K77" s="85" t="s">
        <v>98</v>
      </c>
      <c r="L77" s="85" t="s">
        <v>99</v>
      </c>
      <c r="M77" s="88"/>
      <c r="N77" s="88"/>
      <c r="O77" s="93"/>
      <c r="P77" s="94"/>
      <c r="Q77" s="92"/>
    </row>
    <row r="78" spans="1:17" x14ac:dyDescent="0.2">
      <c r="A78" s="34">
        <f t="shared" si="1"/>
        <v>68</v>
      </c>
      <c r="B78" s="84" t="s">
        <v>1364</v>
      </c>
      <c r="C78" s="105" t="s">
        <v>449</v>
      </c>
      <c r="D78" s="85" t="s">
        <v>10</v>
      </c>
      <c r="E78" s="86" t="s">
        <v>325</v>
      </c>
      <c r="F78" s="87" t="s">
        <v>94</v>
      </c>
      <c r="G78" s="105" t="s">
        <v>505</v>
      </c>
      <c r="H78" s="85" t="s">
        <v>10</v>
      </c>
      <c r="I78" s="86" t="s">
        <v>282</v>
      </c>
      <c r="J78" s="87" t="s">
        <v>94</v>
      </c>
      <c r="K78" s="85" t="s">
        <v>98</v>
      </c>
      <c r="L78" s="85" t="s">
        <v>99</v>
      </c>
      <c r="M78" s="88"/>
      <c r="N78" s="88"/>
      <c r="O78" s="93"/>
      <c r="P78" s="94"/>
      <c r="Q78" s="92"/>
    </row>
    <row r="79" spans="1:17" x14ac:dyDescent="0.2">
      <c r="A79" s="34">
        <f t="shared" si="1"/>
        <v>69</v>
      </c>
      <c r="B79" s="84" t="s">
        <v>1365</v>
      </c>
      <c r="C79" s="105" t="s">
        <v>450</v>
      </c>
      <c r="D79" s="85" t="s">
        <v>10</v>
      </c>
      <c r="E79" s="86" t="s">
        <v>325</v>
      </c>
      <c r="F79" s="87" t="s">
        <v>94</v>
      </c>
      <c r="G79" s="105" t="s">
        <v>506</v>
      </c>
      <c r="H79" s="85" t="s">
        <v>10</v>
      </c>
      <c r="I79" s="86" t="s">
        <v>282</v>
      </c>
      <c r="J79" s="87" t="s">
        <v>94</v>
      </c>
      <c r="K79" s="85" t="s">
        <v>98</v>
      </c>
      <c r="L79" s="85" t="s">
        <v>99</v>
      </c>
      <c r="M79" s="88"/>
      <c r="N79" s="88"/>
      <c r="O79" s="93"/>
      <c r="P79" s="94"/>
      <c r="Q79" s="92"/>
    </row>
    <row r="80" spans="1:17" x14ac:dyDescent="0.2">
      <c r="A80" s="34">
        <f t="shared" si="1"/>
        <v>70</v>
      </c>
      <c r="B80" s="84" t="s">
        <v>1366</v>
      </c>
      <c r="C80" s="105" t="s">
        <v>451</v>
      </c>
      <c r="D80" s="85" t="s">
        <v>10</v>
      </c>
      <c r="E80" s="86" t="s">
        <v>325</v>
      </c>
      <c r="F80" s="87" t="s">
        <v>94</v>
      </c>
      <c r="G80" s="105" t="s">
        <v>507</v>
      </c>
      <c r="H80" s="85" t="s">
        <v>10</v>
      </c>
      <c r="I80" s="86" t="s">
        <v>282</v>
      </c>
      <c r="J80" s="87" t="s">
        <v>94</v>
      </c>
      <c r="K80" s="85" t="s">
        <v>98</v>
      </c>
      <c r="L80" s="85" t="s">
        <v>99</v>
      </c>
      <c r="M80" s="88"/>
      <c r="N80" s="89"/>
      <c r="O80" s="90"/>
      <c r="P80" s="91"/>
      <c r="Q80" s="92"/>
    </row>
    <row r="81" spans="1:17" x14ac:dyDescent="0.2">
      <c r="A81" s="34">
        <f t="shared" si="1"/>
        <v>71</v>
      </c>
      <c r="B81" s="84" t="s">
        <v>1367</v>
      </c>
      <c r="C81" s="105" t="s">
        <v>452</v>
      </c>
      <c r="D81" s="85" t="s">
        <v>10</v>
      </c>
      <c r="E81" s="86" t="s">
        <v>325</v>
      </c>
      <c r="F81" s="87" t="s">
        <v>94</v>
      </c>
      <c r="G81" s="105" t="s">
        <v>508</v>
      </c>
      <c r="H81" s="85" t="s">
        <v>10</v>
      </c>
      <c r="I81" s="86" t="s">
        <v>282</v>
      </c>
      <c r="J81" s="87" t="s">
        <v>94</v>
      </c>
      <c r="K81" s="85" t="s">
        <v>98</v>
      </c>
      <c r="L81" s="85" t="s">
        <v>99</v>
      </c>
      <c r="M81" s="88"/>
      <c r="N81" s="89"/>
      <c r="O81" s="90"/>
      <c r="P81" s="91"/>
      <c r="Q81" s="92"/>
    </row>
    <row r="82" spans="1:17" x14ac:dyDescent="0.2">
      <c r="A82" s="34">
        <f t="shared" si="1"/>
        <v>72</v>
      </c>
      <c r="B82" s="84" t="s">
        <v>1368</v>
      </c>
      <c r="C82" s="105" t="s">
        <v>453</v>
      </c>
      <c r="D82" s="85" t="s">
        <v>10</v>
      </c>
      <c r="E82" s="86" t="s">
        <v>325</v>
      </c>
      <c r="F82" s="87" t="s">
        <v>94</v>
      </c>
      <c r="G82" s="105" t="s">
        <v>509</v>
      </c>
      <c r="H82" s="85" t="s">
        <v>10</v>
      </c>
      <c r="I82" s="86" t="s">
        <v>282</v>
      </c>
      <c r="J82" s="87" t="s">
        <v>94</v>
      </c>
      <c r="K82" s="85" t="s">
        <v>98</v>
      </c>
      <c r="L82" s="85" t="s">
        <v>99</v>
      </c>
      <c r="M82" s="88"/>
      <c r="N82" s="88"/>
      <c r="O82" s="93"/>
      <c r="P82" s="94"/>
      <c r="Q82" s="92"/>
    </row>
    <row r="83" spans="1:17" x14ac:dyDescent="0.2">
      <c r="A83" s="34">
        <f t="shared" si="1"/>
        <v>73</v>
      </c>
      <c r="B83" s="84" t="s">
        <v>1369</v>
      </c>
      <c r="C83" s="105" t="s">
        <v>454</v>
      </c>
      <c r="D83" s="85" t="s">
        <v>10</v>
      </c>
      <c r="E83" s="86" t="s">
        <v>325</v>
      </c>
      <c r="F83" s="87" t="s">
        <v>94</v>
      </c>
      <c r="G83" s="105" t="s">
        <v>510</v>
      </c>
      <c r="H83" s="85" t="s">
        <v>10</v>
      </c>
      <c r="I83" s="86" t="s">
        <v>282</v>
      </c>
      <c r="J83" s="87" t="s">
        <v>94</v>
      </c>
      <c r="K83" s="85" t="s">
        <v>98</v>
      </c>
      <c r="L83" s="85" t="s">
        <v>99</v>
      </c>
      <c r="M83" s="88"/>
      <c r="N83" s="88"/>
      <c r="O83" s="93"/>
      <c r="P83" s="94"/>
      <c r="Q83" s="92"/>
    </row>
    <row r="84" spans="1:17" x14ac:dyDescent="0.2">
      <c r="A84" s="34">
        <f t="shared" si="1"/>
        <v>74</v>
      </c>
      <c r="B84" s="84" t="s">
        <v>1370</v>
      </c>
      <c r="C84" s="105" t="s">
        <v>455</v>
      </c>
      <c r="D84" s="85" t="s">
        <v>10</v>
      </c>
      <c r="E84" s="86" t="s">
        <v>325</v>
      </c>
      <c r="F84" s="87" t="s">
        <v>94</v>
      </c>
      <c r="G84" s="105" t="s">
        <v>511</v>
      </c>
      <c r="H84" s="85" t="s">
        <v>10</v>
      </c>
      <c r="I84" s="86" t="s">
        <v>282</v>
      </c>
      <c r="J84" s="87" t="s">
        <v>94</v>
      </c>
      <c r="K84" s="85" t="s">
        <v>98</v>
      </c>
      <c r="L84" s="85" t="s">
        <v>99</v>
      </c>
      <c r="M84" s="88"/>
      <c r="N84" s="88"/>
      <c r="O84" s="93"/>
      <c r="P84" s="94"/>
      <c r="Q84" s="92"/>
    </row>
    <row r="85" spans="1:17" x14ac:dyDescent="0.2">
      <c r="A85" s="34">
        <f t="shared" si="1"/>
        <v>75</v>
      </c>
      <c r="B85" s="84" t="s">
        <v>1371</v>
      </c>
      <c r="C85" s="105" t="s">
        <v>456</v>
      </c>
      <c r="D85" s="85" t="s">
        <v>10</v>
      </c>
      <c r="E85" s="86" t="s">
        <v>325</v>
      </c>
      <c r="F85" s="87" t="s">
        <v>94</v>
      </c>
      <c r="G85" s="105" t="s">
        <v>512</v>
      </c>
      <c r="H85" s="85" t="s">
        <v>10</v>
      </c>
      <c r="I85" s="86" t="s">
        <v>282</v>
      </c>
      <c r="J85" s="87" t="s">
        <v>94</v>
      </c>
      <c r="K85" s="85" t="s">
        <v>98</v>
      </c>
      <c r="L85" s="85" t="s">
        <v>99</v>
      </c>
      <c r="M85" s="88"/>
      <c r="N85" s="88"/>
      <c r="O85" s="93"/>
      <c r="P85" s="94"/>
      <c r="Q85" s="92"/>
    </row>
    <row r="86" spans="1:17" x14ac:dyDescent="0.2">
      <c r="A86" s="34">
        <f t="shared" si="1"/>
        <v>76</v>
      </c>
      <c r="B86" s="84" t="s">
        <v>1372</v>
      </c>
      <c r="C86" s="105" t="s">
        <v>457</v>
      </c>
      <c r="D86" s="85" t="s">
        <v>10</v>
      </c>
      <c r="E86" s="86" t="s">
        <v>325</v>
      </c>
      <c r="F86" s="87" t="s">
        <v>94</v>
      </c>
      <c r="G86" s="105" t="s">
        <v>513</v>
      </c>
      <c r="H86" s="85" t="s">
        <v>10</v>
      </c>
      <c r="I86" s="86" t="s">
        <v>282</v>
      </c>
      <c r="J86" s="87" t="s">
        <v>94</v>
      </c>
      <c r="K86" s="85" t="s">
        <v>98</v>
      </c>
      <c r="L86" s="85" t="s">
        <v>99</v>
      </c>
      <c r="M86" s="88"/>
      <c r="N86" s="88"/>
      <c r="O86" s="93"/>
      <c r="P86" s="94"/>
      <c r="Q86" s="92"/>
    </row>
    <row r="87" spans="1:17" x14ac:dyDescent="0.2">
      <c r="A87" s="34">
        <f t="shared" si="1"/>
        <v>77</v>
      </c>
      <c r="B87" s="84" t="s">
        <v>1373</v>
      </c>
      <c r="C87" s="105" t="s">
        <v>458</v>
      </c>
      <c r="D87" s="85" t="s">
        <v>10</v>
      </c>
      <c r="E87" s="86" t="s">
        <v>325</v>
      </c>
      <c r="F87" s="87" t="s">
        <v>94</v>
      </c>
      <c r="G87" s="105" t="s">
        <v>514</v>
      </c>
      <c r="H87" s="85" t="s">
        <v>10</v>
      </c>
      <c r="I87" s="86" t="s">
        <v>282</v>
      </c>
      <c r="J87" s="87" t="s">
        <v>94</v>
      </c>
      <c r="K87" s="85" t="s">
        <v>98</v>
      </c>
      <c r="L87" s="85" t="s">
        <v>99</v>
      </c>
      <c r="M87" s="88"/>
      <c r="N87" s="88"/>
      <c r="O87" s="93"/>
      <c r="P87" s="94"/>
      <c r="Q87" s="92"/>
    </row>
    <row r="88" spans="1:17" x14ac:dyDescent="0.2">
      <c r="A88" s="34">
        <f t="shared" si="1"/>
        <v>78</v>
      </c>
      <c r="B88" s="84" t="s">
        <v>1374</v>
      </c>
      <c r="C88" s="105" t="s">
        <v>459</v>
      </c>
      <c r="D88" s="85" t="s">
        <v>10</v>
      </c>
      <c r="E88" s="86" t="s">
        <v>325</v>
      </c>
      <c r="F88" s="87" t="s">
        <v>94</v>
      </c>
      <c r="G88" s="105" t="s">
        <v>515</v>
      </c>
      <c r="H88" s="85" t="s">
        <v>10</v>
      </c>
      <c r="I88" s="86" t="s">
        <v>282</v>
      </c>
      <c r="J88" s="87" t="s">
        <v>94</v>
      </c>
      <c r="K88" s="85" t="s">
        <v>98</v>
      </c>
      <c r="L88" s="85" t="s">
        <v>99</v>
      </c>
      <c r="M88" s="88"/>
      <c r="N88" s="88"/>
      <c r="O88" s="93"/>
      <c r="P88" s="94"/>
      <c r="Q88" s="92"/>
    </row>
    <row r="89" spans="1:17" x14ac:dyDescent="0.2">
      <c r="A89" s="34">
        <f t="shared" si="1"/>
        <v>79</v>
      </c>
      <c r="B89" s="84" t="s">
        <v>1375</v>
      </c>
      <c r="C89" s="105" t="s">
        <v>460</v>
      </c>
      <c r="D89" s="85" t="s">
        <v>10</v>
      </c>
      <c r="E89" s="86" t="s">
        <v>325</v>
      </c>
      <c r="F89" s="87" t="s">
        <v>94</v>
      </c>
      <c r="G89" s="105" t="s">
        <v>516</v>
      </c>
      <c r="H89" s="85" t="s">
        <v>10</v>
      </c>
      <c r="I89" s="86" t="s">
        <v>282</v>
      </c>
      <c r="J89" s="87" t="s">
        <v>94</v>
      </c>
      <c r="K89" s="85" t="s">
        <v>98</v>
      </c>
      <c r="L89" s="85" t="s">
        <v>99</v>
      </c>
      <c r="M89" s="88"/>
      <c r="N89" s="88"/>
      <c r="O89" s="93"/>
      <c r="P89" s="94"/>
      <c r="Q89" s="92"/>
    </row>
    <row r="90" spans="1:17" s="64" customFormat="1" x14ac:dyDescent="0.2">
      <c r="A90" s="34">
        <f t="shared" si="1"/>
        <v>80</v>
      </c>
      <c r="B90" s="84" t="s">
        <v>1376</v>
      </c>
      <c r="C90" s="105" t="s">
        <v>461</v>
      </c>
      <c r="D90" s="85" t="s">
        <v>10</v>
      </c>
      <c r="E90" s="86" t="s">
        <v>325</v>
      </c>
      <c r="F90" s="87" t="s">
        <v>94</v>
      </c>
      <c r="G90" s="105" t="s">
        <v>517</v>
      </c>
      <c r="H90" s="85" t="s">
        <v>10</v>
      </c>
      <c r="I90" s="86" t="s">
        <v>282</v>
      </c>
      <c r="J90" s="87" t="s">
        <v>94</v>
      </c>
      <c r="K90" s="85" t="s">
        <v>98</v>
      </c>
      <c r="L90" s="85" t="s">
        <v>99</v>
      </c>
      <c r="M90" s="88"/>
      <c r="N90" s="88"/>
      <c r="O90" s="93"/>
      <c r="P90" s="94"/>
      <c r="Q90" s="92"/>
    </row>
    <row r="91" spans="1:17" x14ac:dyDescent="0.2">
      <c r="A91" s="34">
        <f t="shared" si="1"/>
        <v>81</v>
      </c>
      <c r="B91" s="84" t="s">
        <v>1377</v>
      </c>
      <c r="C91" s="105" t="s">
        <v>462</v>
      </c>
      <c r="D91" s="85" t="s">
        <v>10</v>
      </c>
      <c r="E91" s="86" t="s">
        <v>325</v>
      </c>
      <c r="F91" s="87" t="s">
        <v>94</v>
      </c>
      <c r="G91" s="105" t="s">
        <v>518</v>
      </c>
      <c r="H91" s="85" t="s">
        <v>10</v>
      </c>
      <c r="I91" s="86" t="s">
        <v>282</v>
      </c>
      <c r="J91" s="87" t="s">
        <v>94</v>
      </c>
      <c r="K91" s="85" t="s">
        <v>98</v>
      </c>
      <c r="L91" s="85" t="s">
        <v>99</v>
      </c>
      <c r="M91" s="88"/>
      <c r="N91" s="88"/>
      <c r="O91" s="93"/>
      <c r="P91" s="94"/>
      <c r="Q91" s="92"/>
    </row>
    <row r="92" spans="1:17" s="64" customFormat="1" x14ac:dyDescent="0.2">
      <c r="A92" s="34">
        <f t="shared" si="1"/>
        <v>82</v>
      </c>
      <c r="B92" s="84" t="s">
        <v>1378</v>
      </c>
      <c r="C92" s="105" t="s">
        <v>463</v>
      </c>
      <c r="D92" s="85" t="s">
        <v>10</v>
      </c>
      <c r="E92" s="86" t="s">
        <v>325</v>
      </c>
      <c r="F92" s="87" t="s">
        <v>94</v>
      </c>
      <c r="G92" s="105" t="s">
        <v>519</v>
      </c>
      <c r="H92" s="85" t="s">
        <v>10</v>
      </c>
      <c r="I92" s="86" t="s">
        <v>282</v>
      </c>
      <c r="J92" s="87" t="s">
        <v>94</v>
      </c>
      <c r="K92" s="85" t="s">
        <v>98</v>
      </c>
      <c r="L92" s="85" t="s">
        <v>99</v>
      </c>
      <c r="M92" s="88"/>
      <c r="N92" s="88"/>
      <c r="O92" s="93"/>
      <c r="P92" s="94"/>
      <c r="Q92" s="92"/>
    </row>
    <row r="93" spans="1:17" s="64" customFormat="1" x14ac:dyDescent="0.2">
      <c r="A93" s="34">
        <f t="shared" si="1"/>
        <v>83</v>
      </c>
      <c r="B93" s="84" t="s">
        <v>1379</v>
      </c>
      <c r="C93" s="105" t="s">
        <v>464</v>
      </c>
      <c r="D93" s="85" t="s">
        <v>10</v>
      </c>
      <c r="E93" s="86" t="s">
        <v>325</v>
      </c>
      <c r="F93" s="87" t="s">
        <v>94</v>
      </c>
      <c r="G93" s="105" t="s">
        <v>520</v>
      </c>
      <c r="H93" s="85" t="s">
        <v>10</v>
      </c>
      <c r="I93" s="86" t="s">
        <v>282</v>
      </c>
      <c r="J93" s="87" t="s">
        <v>94</v>
      </c>
      <c r="K93" s="85" t="s">
        <v>98</v>
      </c>
      <c r="L93" s="85" t="s">
        <v>99</v>
      </c>
      <c r="M93" s="88"/>
      <c r="N93" s="88"/>
      <c r="O93" s="93"/>
      <c r="P93" s="94"/>
      <c r="Q93" s="92"/>
    </row>
    <row r="94" spans="1:17" x14ac:dyDescent="0.2">
      <c r="A94" s="34">
        <f t="shared" si="1"/>
        <v>84</v>
      </c>
      <c r="B94" s="84" t="s">
        <v>1380</v>
      </c>
      <c r="C94" s="105" t="s">
        <v>465</v>
      </c>
      <c r="D94" s="85" t="s">
        <v>10</v>
      </c>
      <c r="E94" s="86" t="s">
        <v>325</v>
      </c>
      <c r="F94" s="87" t="s">
        <v>94</v>
      </c>
      <c r="G94" s="105" t="s">
        <v>521</v>
      </c>
      <c r="H94" s="85" t="s">
        <v>10</v>
      </c>
      <c r="I94" s="86" t="s">
        <v>282</v>
      </c>
      <c r="J94" s="87" t="s">
        <v>94</v>
      </c>
      <c r="K94" s="85" t="s">
        <v>98</v>
      </c>
      <c r="L94" s="85" t="s">
        <v>99</v>
      </c>
      <c r="M94" s="88"/>
      <c r="N94" s="88"/>
      <c r="O94" s="93"/>
      <c r="P94" s="94"/>
      <c r="Q94" s="92"/>
    </row>
    <row r="95" spans="1:17" x14ac:dyDescent="0.2">
      <c r="A95" s="34">
        <f t="shared" si="1"/>
        <v>85</v>
      </c>
      <c r="B95" s="84" t="s">
        <v>1381</v>
      </c>
      <c r="C95" s="105" t="s">
        <v>466</v>
      </c>
      <c r="D95" s="85" t="s">
        <v>10</v>
      </c>
      <c r="E95" s="86" t="s">
        <v>325</v>
      </c>
      <c r="F95" s="87" t="s">
        <v>94</v>
      </c>
      <c r="G95" s="105" t="s">
        <v>522</v>
      </c>
      <c r="H95" s="85" t="s">
        <v>10</v>
      </c>
      <c r="I95" s="86" t="s">
        <v>282</v>
      </c>
      <c r="J95" s="87" t="s">
        <v>94</v>
      </c>
      <c r="K95" s="85" t="s">
        <v>98</v>
      </c>
      <c r="L95" s="85" t="s">
        <v>99</v>
      </c>
      <c r="M95" s="88"/>
      <c r="N95" s="88"/>
      <c r="O95" s="93"/>
      <c r="P95" s="94"/>
      <c r="Q95" s="92"/>
    </row>
    <row r="96" spans="1:17" x14ac:dyDescent="0.2">
      <c r="A96" s="34">
        <f t="shared" si="1"/>
        <v>86</v>
      </c>
      <c r="B96" s="84" t="s">
        <v>1382</v>
      </c>
      <c r="C96" s="105" t="s">
        <v>467</v>
      </c>
      <c r="D96" s="85" t="s">
        <v>10</v>
      </c>
      <c r="E96" s="86" t="s">
        <v>325</v>
      </c>
      <c r="F96" s="87" t="s">
        <v>94</v>
      </c>
      <c r="G96" s="105" t="s">
        <v>523</v>
      </c>
      <c r="H96" s="85" t="s">
        <v>10</v>
      </c>
      <c r="I96" s="86" t="s">
        <v>282</v>
      </c>
      <c r="J96" s="87" t="s">
        <v>94</v>
      </c>
      <c r="K96" s="85" t="s">
        <v>98</v>
      </c>
      <c r="L96" s="85" t="s">
        <v>99</v>
      </c>
      <c r="M96" s="88"/>
      <c r="N96" s="88"/>
      <c r="O96" s="93"/>
      <c r="P96" s="94"/>
      <c r="Q96" s="92"/>
    </row>
    <row r="97" spans="1:17" x14ac:dyDescent="0.2">
      <c r="A97" s="34">
        <f t="shared" si="1"/>
        <v>87</v>
      </c>
      <c r="B97" s="84" t="s">
        <v>1383</v>
      </c>
      <c r="C97" s="105" t="s">
        <v>468</v>
      </c>
      <c r="D97" s="85" t="s">
        <v>10</v>
      </c>
      <c r="E97" s="86" t="s">
        <v>325</v>
      </c>
      <c r="F97" s="87" t="s">
        <v>94</v>
      </c>
      <c r="G97" s="105" t="s">
        <v>524</v>
      </c>
      <c r="H97" s="85" t="s">
        <v>10</v>
      </c>
      <c r="I97" s="86" t="s">
        <v>282</v>
      </c>
      <c r="J97" s="87" t="s">
        <v>94</v>
      </c>
      <c r="K97" s="85" t="s">
        <v>98</v>
      </c>
      <c r="L97" s="85" t="s">
        <v>99</v>
      </c>
      <c r="M97" s="88"/>
      <c r="N97" s="88"/>
      <c r="O97" s="93"/>
      <c r="P97" s="94"/>
      <c r="Q97" s="92"/>
    </row>
    <row r="98" spans="1:17" x14ac:dyDescent="0.2">
      <c r="A98" s="34">
        <f t="shared" si="1"/>
        <v>88</v>
      </c>
      <c r="B98" s="84" t="s">
        <v>1384</v>
      </c>
      <c r="C98" s="105" t="s">
        <v>469</v>
      </c>
      <c r="D98" s="85" t="s">
        <v>10</v>
      </c>
      <c r="E98" s="86" t="s">
        <v>325</v>
      </c>
      <c r="F98" s="87" t="s">
        <v>94</v>
      </c>
      <c r="G98" s="105" t="s">
        <v>525</v>
      </c>
      <c r="H98" s="85" t="s">
        <v>10</v>
      </c>
      <c r="I98" s="86" t="s">
        <v>282</v>
      </c>
      <c r="J98" s="87" t="s">
        <v>94</v>
      </c>
      <c r="K98" s="85" t="s">
        <v>98</v>
      </c>
      <c r="L98" s="85" t="s">
        <v>99</v>
      </c>
      <c r="M98" s="88"/>
      <c r="N98" s="88"/>
      <c r="O98" s="93"/>
      <c r="P98" s="94"/>
      <c r="Q98" s="92"/>
    </row>
    <row r="99" spans="1:17" x14ac:dyDescent="0.2">
      <c r="A99" s="34">
        <f t="shared" si="1"/>
        <v>89</v>
      </c>
      <c r="B99" s="84" t="s">
        <v>1385</v>
      </c>
      <c r="C99" s="105" t="s">
        <v>470</v>
      </c>
      <c r="D99" s="85" t="s">
        <v>10</v>
      </c>
      <c r="E99" s="86" t="s">
        <v>325</v>
      </c>
      <c r="F99" s="87" t="s">
        <v>94</v>
      </c>
      <c r="G99" s="105" t="s">
        <v>526</v>
      </c>
      <c r="H99" s="85" t="s">
        <v>10</v>
      </c>
      <c r="I99" s="86" t="s">
        <v>282</v>
      </c>
      <c r="J99" s="87" t="s">
        <v>94</v>
      </c>
      <c r="K99" s="85" t="s">
        <v>98</v>
      </c>
      <c r="L99" s="85" t="s">
        <v>99</v>
      </c>
      <c r="M99" s="88"/>
      <c r="N99" s="88"/>
      <c r="O99" s="93"/>
      <c r="P99" s="94"/>
      <c r="Q99" s="92"/>
    </row>
    <row r="100" spans="1:17" x14ac:dyDescent="0.2">
      <c r="A100" s="34">
        <f t="shared" si="1"/>
        <v>90</v>
      </c>
      <c r="B100" s="84" t="s">
        <v>1386</v>
      </c>
      <c r="C100" s="105" t="s">
        <v>471</v>
      </c>
      <c r="D100" s="85" t="s">
        <v>10</v>
      </c>
      <c r="E100" s="86" t="s">
        <v>325</v>
      </c>
      <c r="F100" s="87" t="s">
        <v>94</v>
      </c>
      <c r="G100" s="105" t="s">
        <v>527</v>
      </c>
      <c r="H100" s="85" t="s">
        <v>10</v>
      </c>
      <c r="I100" s="86" t="s">
        <v>282</v>
      </c>
      <c r="J100" s="87" t="s">
        <v>94</v>
      </c>
      <c r="K100" s="85" t="s">
        <v>98</v>
      </c>
      <c r="L100" s="85" t="s">
        <v>99</v>
      </c>
      <c r="M100" s="88"/>
      <c r="N100" s="88"/>
      <c r="O100" s="93"/>
      <c r="P100" s="94"/>
      <c r="Q100" s="92"/>
    </row>
    <row r="101" spans="1:17" x14ac:dyDescent="0.2">
      <c r="A101" s="34">
        <f t="shared" si="1"/>
        <v>91</v>
      </c>
      <c r="B101" s="84" t="s">
        <v>1387</v>
      </c>
      <c r="C101" s="105" t="s">
        <v>472</v>
      </c>
      <c r="D101" s="85" t="s">
        <v>10</v>
      </c>
      <c r="E101" s="86" t="s">
        <v>325</v>
      </c>
      <c r="F101" s="87" t="s">
        <v>94</v>
      </c>
      <c r="G101" s="105" t="s">
        <v>528</v>
      </c>
      <c r="H101" s="85" t="s">
        <v>10</v>
      </c>
      <c r="I101" s="86" t="s">
        <v>282</v>
      </c>
      <c r="J101" s="87" t="s">
        <v>94</v>
      </c>
      <c r="K101" s="85" t="s">
        <v>98</v>
      </c>
      <c r="L101" s="85" t="s">
        <v>99</v>
      </c>
      <c r="M101" s="88"/>
      <c r="N101" s="88"/>
      <c r="O101" s="93"/>
      <c r="P101" s="94"/>
      <c r="Q101" s="92"/>
    </row>
    <row r="102" spans="1:17" x14ac:dyDescent="0.2">
      <c r="A102" s="34">
        <f t="shared" si="1"/>
        <v>92</v>
      </c>
      <c r="B102" s="84" t="s">
        <v>1388</v>
      </c>
      <c r="C102" s="105" t="s">
        <v>473</v>
      </c>
      <c r="D102" s="85" t="s">
        <v>10</v>
      </c>
      <c r="E102" s="86" t="s">
        <v>325</v>
      </c>
      <c r="F102" s="87" t="s">
        <v>94</v>
      </c>
      <c r="G102" s="105" t="s">
        <v>529</v>
      </c>
      <c r="H102" s="85" t="s">
        <v>10</v>
      </c>
      <c r="I102" s="86" t="s">
        <v>282</v>
      </c>
      <c r="J102" s="87" t="s">
        <v>94</v>
      </c>
      <c r="K102" s="85" t="s">
        <v>98</v>
      </c>
      <c r="L102" s="85" t="s">
        <v>99</v>
      </c>
      <c r="M102" s="88"/>
      <c r="N102" s="88"/>
      <c r="O102" s="93"/>
      <c r="P102" s="94"/>
      <c r="Q102" s="92"/>
    </row>
    <row r="103" spans="1:17" x14ac:dyDescent="0.2">
      <c r="A103" s="34">
        <f t="shared" si="1"/>
        <v>93</v>
      </c>
      <c r="B103" s="84" t="s">
        <v>1389</v>
      </c>
      <c r="C103" s="105" t="s">
        <v>474</v>
      </c>
      <c r="D103" s="85" t="s">
        <v>10</v>
      </c>
      <c r="E103" s="86" t="s">
        <v>325</v>
      </c>
      <c r="F103" s="87" t="s">
        <v>94</v>
      </c>
      <c r="G103" s="105" t="s">
        <v>530</v>
      </c>
      <c r="H103" s="85" t="s">
        <v>10</v>
      </c>
      <c r="I103" s="86" t="s">
        <v>282</v>
      </c>
      <c r="J103" s="87" t="s">
        <v>94</v>
      </c>
      <c r="K103" s="85" t="s">
        <v>98</v>
      </c>
      <c r="L103" s="85" t="s">
        <v>99</v>
      </c>
      <c r="M103" s="88"/>
      <c r="N103" s="88"/>
      <c r="O103" s="93"/>
      <c r="P103" s="94"/>
      <c r="Q103" s="92"/>
    </row>
    <row r="104" spans="1:17" x14ac:dyDescent="0.2">
      <c r="A104" s="34">
        <f t="shared" si="1"/>
        <v>94</v>
      </c>
      <c r="B104" s="84" t="s">
        <v>1390</v>
      </c>
      <c r="C104" s="105" t="s">
        <v>475</v>
      </c>
      <c r="D104" s="85" t="s">
        <v>10</v>
      </c>
      <c r="E104" s="86" t="s">
        <v>325</v>
      </c>
      <c r="F104" s="87" t="s">
        <v>94</v>
      </c>
      <c r="G104" s="105" t="s">
        <v>531</v>
      </c>
      <c r="H104" s="85" t="s">
        <v>10</v>
      </c>
      <c r="I104" s="86" t="s">
        <v>282</v>
      </c>
      <c r="J104" s="87" t="s">
        <v>94</v>
      </c>
      <c r="K104" s="85" t="s">
        <v>98</v>
      </c>
      <c r="L104" s="85" t="s">
        <v>99</v>
      </c>
      <c r="M104" s="88"/>
      <c r="N104" s="88"/>
      <c r="O104" s="93"/>
      <c r="P104" s="94"/>
      <c r="Q104" s="92"/>
    </row>
    <row r="105" spans="1:17" x14ac:dyDescent="0.2">
      <c r="A105" s="34">
        <f t="shared" si="1"/>
        <v>95</v>
      </c>
      <c r="B105" s="84" t="s">
        <v>1391</v>
      </c>
      <c r="C105" s="105" t="s">
        <v>476</v>
      </c>
      <c r="D105" s="85" t="s">
        <v>10</v>
      </c>
      <c r="E105" s="86" t="s">
        <v>325</v>
      </c>
      <c r="F105" s="87" t="s">
        <v>94</v>
      </c>
      <c r="G105" s="105" t="s">
        <v>532</v>
      </c>
      <c r="H105" s="85" t="s">
        <v>10</v>
      </c>
      <c r="I105" s="86" t="s">
        <v>282</v>
      </c>
      <c r="J105" s="87" t="s">
        <v>94</v>
      </c>
      <c r="K105" s="85" t="s">
        <v>98</v>
      </c>
      <c r="L105" s="85" t="s">
        <v>99</v>
      </c>
      <c r="M105" s="88"/>
      <c r="N105" s="88"/>
      <c r="O105" s="93"/>
      <c r="P105" s="94"/>
      <c r="Q105" s="92"/>
    </row>
    <row r="106" spans="1:17" x14ac:dyDescent="0.2">
      <c r="A106" s="34">
        <f t="shared" si="1"/>
        <v>96</v>
      </c>
      <c r="B106" s="84" t="s">
        <v>1392</v>
      </c>
      <c r="C106" s="105" t="s">
        <v>477</v>
      </c>
      <c r="D106" s="85" t="s">
        <v>10</v>
      </c>
      <c r="E106" s="86" t="s">
        <v>325</v>
      </c>
      <c r="F106" s="87" t="s">
        <v>94</v>
      </c>
      <c r="G106" s="105" t="s">
        <v>533</v>
      </c>
      <c r="H106" s="85" t="s">
        <v>10</v>
      </c>
      <c r="I106" s="86" t="s">
        <v>282</v>
      </c>
      <c r="J106" s="87" t="s">
        <v>94</v>
      </c>
      <c r="K106" s="85" t="s">
        <v>98</v>
      </c>
      <c r="L106" s="85" t="s">
        <v>99</v>
      </c>
      <c r="M106" s="88"/>
      <c r="N106" s="88"/>
      <c r="O106" s="93"/>
      <c r="P106" s="94"/>
      <c r="Q106" s="92"/>
    </row>
    <row r="107" spans="1:17" x14ac:dyDescent="0.2">
      <c r="A107" s="34">
        <f t="shared" si="1"/>
        <v>97</v>
      </c>
      <c r="B107" s="84" t="s">
        <v>1393</v>
      </c>
      <c r="C107" s="105" t="s">
        <v>478</v>
      </c>
      <c r="D107" s="85" t="s">
        <v>10</v>
      </c>
      <c r="E107" s="86" t="s">
        <v>325</v>
      </c>
      <c r="F107" s="87" t="s">
        <v>94</v>
      </c>
      <c r="G107" s="105" t="s">
        <v>534</v>
      </c>
      <c r="H107" s="85" t="s">
        <v>10</v>
      </c>
      <c r="I107" s="86" t="s">
        <v>282</v>
      </c>
      <c r="J107" s="87" t="s">
        <v>94</v>
      </c>
      <c r="K107" s="85" t="s">
        <v>98</v>
      </c>
      <c r="L107" s="85" t="s">
        <v>99</v>
      </c>
      <c r="M107" s="88"/>
      <c r="N107" s="88"/>
      <c r="O107" s="93"/>
      <c r="P107" s="94"/>
      <c r="Q107" s="92"/>
    </row>
    <row r="108" spans="1:17" x14ac:dyDescent="0.2">
      <c r="A108" s="34">
        <f t="shared" si="1"/>
        <v>98</v>
      </c>
      <c r="B108" s="84" t="s">
        <v>1394</v>
      </c>
      <c r="C108" s="105" t="s">
        <v>479</v>
      </c>
      <c r="D108" s="85" t="s">
        <v>10</v>
      </c>
      <c r="E108" s="86" t="s">
        <v>325</v>
      </c>
      <c r="F108" s="87" t="s">
        <v>94</v>
      </c>
      <c r="G108" s="105" t="s">
        <v>535</v>
      </c>
      <c r="H108" s="85" t="s">
        <v>10</v>
      </c>
      <c r="I108" s="86" t="s">
        <v>282</v>
      </c>
      <c r="J108" s="87" t="s">
        <v>94</v>
      </c>
      <c r="K108" s="85" t="s">
        <v>98</v>
      </c>
      <c r="L108" s="85" t="s">
        <v>99</v>
      </c>
      <c r="M108" s="88"/>
      <c r="N108" s="88"/>
      <c r="O108" s="93"/>
      <c r="P108" s="94"/>
      <c r="Q108" s="92"/>
    </row>
    <row r="109" spans="1:17" x14ac:dyDescent="0.2">
      <c r="A109" s="34">
        <f t="shared" si="1"/>
        <v>99</v>
      </c>
      <c r="B109" s="84" t="s">
        <v>1395</v>
      </c>
      <c r="C109" s="105" t="s">
        <v>480</v>
      </c>
      <c r="D109" s="85" t="s">
        <v>10</v>
      </c>
      <c r="E109" s="86" t="s">
        <v>325</v>
      </c>
      <c r="F109" s="87" t="s">
        <v>94</v>
      </c>
      <c r="G109" s="105" t="s">
        <v>536</v>
      </c>
      <c r="H109" s="85" t="s">
        <v>10</v>
      </c>
      <c r="I109" s="86" t="s">
        <v>282</v>
      </c>
      <c r="J109" s="87" t="s">
        <v>94</v>
      </c>
      <c r="K109" s="85" t="s">
        <v>98</v>
      </c>
      <c r="L109" s="85" t="s">
        <v>99</v>
      </c>
      <c r="M109" s="88"/>
      <c r="N109" s="88"/>
      <c r="O109" s="93"/>
      <c r="P109" s="94"/>
      <c r="Q109" s="92"/>
    </row>
    <row r="110" spans="1:17" x14ac:dyDescent="0.2">
      <c r="A110" s="34">
        <f t="shared" si="1"/>
        <v>100</v>
      </c>
      <c r="B110" s="84" t="s">
        <v>1396</v>
      </c>
      <c r="C110" s="105" t="s">
        <v>481</v>
      </c>
      <c r="D110" s="85" t="s">
        <v>10</v>
      </c>
      <c r="E110" s="86" t="s">
        <v>325</v>
      </c>
      <c r="F110" s="87" t="s">
        <v>94</v>
      </c>
      <c r="G110" s="105" t="s">
        <v>537</v>
      </c>
      <c r="H110" s="85" t="s">
        <v>10</v>
      </c>
      <c r="I110" s="86" t="s">
        <v>282</v>
      </c>
      <c r="J110" s="87" t="s">
        <v>94</v>
      </c>
      <c r="K110" s="85" t="s">
        <v>98</v>
      </c>
      <c r="L110" s="85" t="s">
        <v>99</v>
      </c>
      <c r="M110" s="88"/>
      <c r="N110" s="88"/>
      <c r="O110" s="93"/>
      <c r="P110" s="94"/>
      <c r="Q110" s="92"/>
    </row>
    <row r="111" spans="1:17" x14ac:dyDescent="0.2">
      <c r="A111" s="34">
        <f t="shared" si="1"/>
        <v>101</v>
      </c>
      <c r="B111" s="84" t="s">
        <v>1397</v>
      </c>
      <c r="C111" s="105" t="s">
        <v>482</v>
      </c>
      <c r="D111" s="85" t="s">
        <v>10</v>
      </c>
      <c r="E111" s="86" t="s">
        <v>325</v>
      </c>
      <c r="F111" s="87" t="s">
        <v>94</v>
      </c>
      <c r="G111" s="105" t="s">
        <v>538</v>
      </c>
      <c r="H111" s="85" t="s">
        <v>10</v>
      </c>
      <c r="I111" s="86" t="s">
        <v>282</v>
      </c>
      <c r="J111" s="87" t="s">
        <v>94</v>
      </c>
      <c r="K111" s="85" t="s">
        <v>98</v>
      </c>
      <c r="L111" s="85" t="s">
        <v>99</v>
      </c>
      <c r="M111" s="88"/>
      <c r="N111" s="88"/>
      <c r="O111" s="93"/>
      <c r="P111" s="94"/>
      <c r="Q111" s="92"/>
    </row>
    <row r="112" spans="1:17" x14ac:dyDescent="0.2">
      <c r="A112" s="34">
        <f t="shared" si="1"/>
        <v>102</v>
      </c>
      <c r="B112" s="84" t="s">
        <v>1398</v>
      </c>
      <c r="C112" s="105" t="s">
        <v>483</v>
      </c>
      <c r="D112" s="85" t="s">
        <v>10</v>
      </c>
      <c r="E112" s="86" t="s">
        <v>325</v>
      </c>
      <c r="F112" s="87" t="s">
        <v>94</v>
      </c>
      <c r="G112" s="105" t="s">
        <v>539</v>
      </c>
      <c r="H112" s="85" t="s">
        <v>10</v>
      </c>
      <c r="I112" s="86" t="s">
        <v>282</v>
      </c>
      <c r="J112" s="87" t="s">
        <v>94</v>
      </c>
      <c r="K112" s="85" t="s">
        <v>98</v>
      </c>
      <c r="L112" s="85" t="s">
        <v>99</v>
      </c>
      <c r="M112" s="88"/>
      <c r="N112" s="88"/>
      <c r="O112" s="93"/>
      <c r="P112" s="94"/>
      <c r="Q112" s="92"/>
    </row>
    <row r="113" spans="1:17" x14ac:dyDescent="0.2">
      <c r="A113" s="34">
        <f t="shared" si="1"/>
        <v>103</v>
      </c>
      <c r="B113" s="84" t="s">
        <v>1399</v>
      </c>
      <c r="C113" s="105" t="s">
        <v>484</v>
      </c>
      <c r="D113" s="85" t="s">
        <v>10</v>
      </c>
      <c r="E113" s="86" t="s">
        <v>325</v>
      </c>
      <c r="F113" s="87" t="s">
        <v>94</v>
      </c>
      <c r="G113" s="105" t="s">
        <v>540</v>
      </c>
      <c r="H113" s="85" t="s">
        <v>10</v>
      </c>
      <c r="I113" s="86" t="s">
        <v>282</v>
      </c>
      <c r="J113" s="87" t="s">
        <v>94</v>
      </c>
      <c r="K113" s="85" t="s">
        <v>98</v>
      </c>
      <c r="L113" s="85" t="s">
        <v>99</v>
      </c>
      <c r="M113" s="88"/>
      <c r="N113" s="88"/>
      <c r="O113" s="93"/>
      <c r="P113" s="94"/>
      <c r="Q113" s="92"/>
    </row>
    <row r="114" spans="1:17" x14ac:dyDescent="0.2">
      <c r="A114" s="34">
        <f t="shared" si="1"/>
        <v>104</v>
      </c>
      <c r="B114" s="84" t="s">
        <v>1400</v>
      </c>
      <c r="C114" s="105" t="s">
        <v>485</v>
      </c>
      <c r="D114" s="85" t="s">
        <v>10</v>
      </c>
      <c r="E114" s="86" t="s">
        <v>325</v>
      </c>
      <c r="F114" s="87" t="s">
        <v>94</v>
      </c>
      <c r="G114" s="105" t="s">
        <v>541</v>
      </c>
      <c r="H114" s="85" t="s">
        <v>10</v>
      </c>
      <c r="I114" s="86" t="s">
        <v>282</v>
      </c>
      <c r="J114" s="87" t="s">
        <v>94</v>
      </c>
      <c r="K114" s="85" t="s">
        <v>98</v>
      </c>
      <c r="L114" s="85" t="s">
        <v>99</v>
      </c>
      <c r="M114" s="88"/>
      <c r="N114" s="88"/>
      <c r="O114" s="93"/>
      <c r="P114" s="94"/>
      <c r="Q114" s="92"/>
    </row>
    <row r="115" spans="1:17" x14ac:dyDescent="0.2">
      <c r="A115" s="34">
        <f t="shared" si="1"/>
        <v>105</v>
      </c>
      <c r="B115" s="84" t="s">
        <v>1401</v>
      </c>
      <c r="C115" s="105" t="s">
        <v>486</v>
      </c>
      <c r="D115" s="85" t="s">
        <v>10</v>
      </c>
      <c r="E115" s="86" t="s">
        <v>382</v>
      </c>
      <c r="F115" s="87" t="s">
        <v>94</v>
      </c>
      <c r="G115" s="105" t="s">
        <v>542</v>
      </c>
      <c r="H115" s="85" t="s">
        <v>10</v>
      </c>
      <c r="I115" s="86" t="s">
        <v>282</v>
      </c>
      <c r="J115" s="87" t="s">
        <v>94</v>
      </c>
      <c r="K115" s="85" t="s">
        <v>98</v>
      </c>
      <c r="L115" s="85" t="s">
        <v>99</v>
      </c>
      <c r="M115" s="88"/>
      <c r="N115" s="88"/>
      <c r="O115" s="93"/>
      <c r="P115" s="94"/>
      <c r="Q115" s="92"/>
    </row>
    <row r="116" spans="1:17" x14ac:dyDescent="0.2">
      <c r="A116" s="34">
        <f t="shared" si="1"/>
        <v>106</v>
      </c>
      <c r="B116" s="84" t="s">
        <v>1402</v>
      </c>
      <c r="C116" s="105" t="s">
        <v>487</v>
      </c>
      <c r="D116" s="85" t="s">
        <v>10</v>
      </c>
      <c r="E116" s="86" t="s">
        <v>382</v>
      </c>
      <c r="F116" s="87" t="s">
        <v>94</v>
      </c>
      <c r="G116" s="105" t="s">
        <v>543</v>
      </c>
      <c r="H116" s="85" t="s">
        <v>10</v>
      </c>
      <c r="I116" s="86" t="s">
        <v>282</v>
      </c>
      <c r="J116" s="87" t="s">
        <v>94</v>
      </c>
      <c r="K116" s="85" t="s">
        <v>98</v>
      </c>
      <c r="L116" s="85" t="s">
        <v>99</v>
      </c>
      <c r="M116" s="88"/>
      <c r="N116" s="88"/>
      <c r="O116" s="93"/>
      <c r="P116" s="94"/>
      <c r="Q116" s="92"/>
    </row>
    <row r="117" spans="1:17" x14ac:dyDescent="0.2">
      <c r="A117" s="34">
        <f t="shared" si="1"/>
        <v>107</v>
      </c>
      <c r="B117" s="84" t="s">
        <v>1403</v>
      </c>
      <c r="C117" s="105" t="s">
        <v>488</v>
      </c>
      <c r="D117" s="85" t="s">
        <v>10</v>
      </c>
      <c r="E117" s="86" t="s">
        <v>382</v>
      </c>
      <c r="F117" s="87" t="s">
        <v>94</v>
      </c>
      <c r="G117" s="105" t="s">
        <v>544</v>
      </c>
      <c r="H117" s="85" t="s">
        <v>10</v>
      </c>
      <c r="I117" s="86" t="s">
        <v>282</v>
      </c>
      <c r="J117" s="87" t="s">
        <v>94</v>
      </c>
      <c r="K117" s="85" t="s">
        <v>98</v>
      </c>
      <c r="L117" s="85" t="s">
        <v>99</v>
      </c>
      <c r="M117" s="88"/>
      <c r="N117" s="88"/>
      <c r="O117" s="93"/>
      <c r="P117" s="94"/>
      <c r="Q117" s="92"/>
    </row>
    <row r="118" spans="1:17" x14ac:dyDescent="0.2">
      <c r="A118" s="34">
        <f t="shared" si="1"/>
        <v>108</v>
      </c>
      <c r="B118" s="84" t="s">
        <v>1404</v>
      </c>
      <c r="C118" s="105" t="s">
        <v>489</v>
      </c>
      <c r="D118" s="85" t="s">
        <v>10</v>
      </c>
      <c r="E118" s="86" t="s">
        <v>382</v>
      </c>
      <c r="F118" s="87" t="s">
        <v>94</v>
      </c>
      <c r="G118" s="105" t="s">
        <v>545</v>
      </c>
      <c r="H118" s="85" t="s">
        <v>10</v>
      </c>
      <c r="I118" s="86" t="s">
        <v>282</v>
      </c>
      <c r="J118" s="87" t="s">
        <v>94</v>
      </c>
      <c r="K118" s="85" t="s">
        <v>98</v>
      </c>
      <c r="L118" s="85" t="s">
        <v>99</v>
      </c>
      <c r="M118" s="88"/>
      <c r="N118" s="88"/>
      <c r="O118" s="93"/>
      <c r="P118" s="94"/>
      <c r="Q118" s="92"/>
    </row>
    <row r="119" spans="1:17" x14ac:dyDescent="0.2">
      <c r="A119" s="34">
        <f t="shared" si="1"/>
        <v>109</v>
      </c>
      <c r="B119" s="84" t="s">
        <v>1405</v>
      </c>
      <c r="C119" s="105" t="s">
        <v>490</v>
      </c>
      <c r="D119" s="85" t="s">
        <v>10</v>
      </c>
      <c r="E119" s="86" t="s">
        <v>382</v>
      </c>
      <c r="F119" s="87" t="s">
        <v>94</v>
      </c>
      <c r="G119" s="105" t="s">
        <v>546</v>
      </c>
      <c r="H119" s="85" t="s">
        <v>10</v>
      </c>
      <c r="I119" s="86" t="s">
        <v>282</v>
      </c>
      <c r="J119" s="87" t="s">
        <v>94</v>
      </c>
      <c r="K119" s="85" t="s">
        <v>98</v>
      </c>
      <c r="L119" s="85" t="s">
        <v>99</v>
      </c>
      <c r="M119" s="88"/>
      <c r="N119" s="88"/>
      <c r="O119" s="93"/>
      <c r="P119" s="94"/>
      <c r="Q119" s="92"/>
    </row>
    <row r="120" spans="1:17" x14ac:dyDescent="0.2">
      <c r="A120" s="34">
        <f t="shared" si="1"/>
        <v>110</v>
      </c>
      <c r="B120" s="84" t="s">
        <v>1406</v>
      </c>
      <c r="C120" s="105" t="s">
        <v>491</v>
      </c>
      <c r="D120" s="85" t="s">
        <v>10</v>
      </c>
      <c r="E120" s="86" t="s">
        <v>382</v>
      </c>
      <c r="F120" s="87" t="s">
        <v>94</v>
      </c>
      <c r="G120" s="105" t="s">
        <v>547</v>
      </c>
      <c r="H120" s="85" t="s">
        <v>10</v>
      </c>
      <c r="I120" s="86" t="s">
        <v>282</v>
      </c>
      <c r="J120" s="87" t="s">
        <v>94</v>
      </c>
      <c r="K120" s="85" t="s">
        <v>98</v>
      </c>
      <c r="L120" s="85" t="s">
        <v>99</v>
      </c>
      <c r="M120" s="88"/>
      <c r="N120" s="88"/>
      <c r="O120" s="93"/>
      <c r="P120" s="94"/>
      <c r="Q120" s="92"/>
    </row>
    <row r="121" spans="1:17" x14ac:dyDescent="0.2">
      <c r="A121" s="34">
        <f t="shared" si="1"/>
        <v>111</v>
      </c>
      <c r="B121" s="84" t="s">
        <v>1407</v>
      </c>
      <c r="C121" s="105" t="s">
        <v>492</v>
      </c>
      <c r="D121" s="85" t="s">
        <v>10</v>
      </c>
      <c r="E121" s="86" t="s">
        <v>382</v>
      </c>
      <c r="F121" s="87" t="s">
        <v>94</v>
      </c>
      <c r="G121" s="105" t="s">
        <v>548</v>
      </c>
      <c r="H121" s="85" t="s">
        <v>10</v>
      </c>
      <c r="I121" s="86" t="s">
        <v>282</v>
      </c>
      <c r="J121" s="87" t="s">
        <v>94</v>
      </c>
      <c r="K121" s="85" t="s">
        <v>98</v>
      </c>
      <c r="L121" s="85" t="s">
        <v>99</v>
      </c>
      <c r="M121" s="88"/>
      <c r="N121" s="88"/>
      <c r="O121" s="93"/>
      <c r="P121" s="94"/>
      <c r="Q121" s="92"/>
    </row>
    <row r="122" spans="1:17" x14ac:dyDescent="0.2">
      <c r="A122" s="34">
        <f t="shared" si="1"/>
        <v>112</v>
      </c>
      <c r="B122" s="84" t="s">
        <v>1408</v>
      </c>
      <c r="C122" s="105" t="s">
        <v>493</v>
      </c>
      <c r="D122" s="85" t="s">
        <v>10</v>
      </c>
      <c r="E122" s="86" t="s">
        <v>382</v>
      </c>
      <c r="F122" s="87" t="s">
        <v>94</v>
      </c>
      <c r="G122" s="105" t="s">
        <v>549</v>
      </c>
      <c r="H122" s="85" t="s">
        <v>10</v>
      </c>
      <c r="I122" s="86" t="s">
        <v>282</v>
      </c>
      <c r="J122" s="87" t="s">
        <v>94</v>
      </c>
      <c r="K122" s="85" t="s">
        <v>98</v>
      </c>
      <c r="L122" s="85" t="s">
        <v>99</v>
      </c>
      <c r="M122" s="88"/>
      <c r="N122" s="88"/>
      <c r="O122" s="93"/>
      <c r="P122" s="94"/>
      <c r="Q122" s="92"/>
    </row>
    <row r="123" spans="1:17" x14ac:dyDescent="0.2">
      <c r="A123" s="34"/>
      <c r="B123" s="84"/>
      <c r="C123" s="105"/>
      <c r="D123" s="85"/>
      <c r="E123" s="86"/>
      <c r="F123" s="87"/>
      <c r="G123" s="105"/>
      <c r="H123" s="85"/>
      <c r="I123" s="86"/>
      <c r="J123" s="87"/>
      <c r="K123" s="85"/>
      <c r="L123" s="85"/>
      <c r="M123" s="88"/>
      <c r="N123" s="88"/>
      <c r="O123" s="93"/>
      <c r="P123" s="94"/>
      <c r="Q123" s="92"/>
    </row>
    <row r="124" spans="1:17" x14ac:dyDescent="0.2">
      <c r="A124" s="34"/>
      <c r="B124" s="84"/>
      <c r="C124" s="105"/>
      <c r="D124" s="85"/>
      <c r="E124" s="86"/>
      <c r="F124" s="87"/>
      <c r="G124" s="105"/>
      <c r="H124" s="85"/>
      <c r="I124" s="86"/>
      <c r="J124" s="87"/>
      <c r="K124" s="85"/>
      <c r="L124" s="85"/>
      <c r="M124" s="88"/>
      <c r="N124" s="88"/>
      <c r="O124" s="93"/>
      <c r="P124" s="94"/>
      <c r="Q124" s="92"/>
    </row>
    <row r="125" spans="1:17" x14ac:dyDescent="0.2">
      <c r="A125" s="34">
        <f>A122+1</f>
        <v>113</v>
      </c>
      <c r="B125" s="148" t="s">
        <v>1409</v>
      </c>
      <c r="C125" s="105" t="s">
        <v>550</v>
      </c>
      <c r="D125" s="85" t="s">
        <v>10</v>
      </c>
      <c r="E125" s="86" t="s">
        <v>325</v>
      </c>
      <c r="F125" s="87" t="s">
        <v>94</v>
      </c>
      <c r="G125" s="105" t="s">
        <v>606</v>
      </c>
      <c r="H125" s="85" t="s">
        <v>10</v>
      </c>
      <c r="I125" s="86" t="s">
        <v>325</v>
      </c>
      <c r="J125" s="87" t="s">
        <v>94</v>
      </c>
      <c r="K125" s="85" t="s">
        <v>98</v>
      </c>
      <c r="L125" s="149" t="s">
        <v>99</v>
      </c>
      <c r="M125" s="169" t="s">
        <v>1465</v>
      </c>
      <c r="N125" s="88"/>
      <c r="O125" s="93"/>
      <c r="P125" s="94"/>
      <c r="Q125" s="92"/>
    </row>
    <row r="126" spans="1:17" x14ac:dyDescent="0.2">
      <c r="A126" s="34">
        <f t="shared" ref="A126:A136" si="2">A125+1</f>
        <v>114</v>
      </c>
      <c r="B126" s="84" t="s">
        <v>1410</v>
      </c>
      <c r="C126" s="105" t="s">
        <v>551</v>
      </c>
      <c r="D126" s="85" t="s">
        <v>10</v>
      </c>
      <c r="E126" s="86" t="s">
        <v>325</v>
      </c>
      <c r="F126" s="87" t="s">
        <v>94</v>
      </c>
      <c r="G126" s="105" t="s">
        <v>607</v>
      </c>
      <c r="H126" s="85" t="s">
        <v>10</v>
      </c>
      <c r="I126" s="86" t="s">
        <v>325</v>
      </c>
      <c r="J126" s="87" t="s">
        <v>94</v>
      </c>
      <c r="K126" s="85" t="s">
        <v>98</v>
      </c>
      <c r="L126" s="149" t="s">
        <v>99</v>
      </c>
      <c r="M126" s="170"/>
      <c r="N126" s="88"/>
      <c r="O126" s="93"/>
      <c r="P126" s="94"/>
      <c r="Q126" s="92"/>
    </row>
    <row r="127" spans="1:17" x14ac:dyDescent="0.2">
      <c r="A127" s="34">
        <f t="shared" si="2"/>
        <v>115</v>
      </c>
      <c r="B127" s="84" t="s">
        <v>1411</v>
      </c>
      <c r="C127" s="105" t="s">
        <v>552</v>
      </c>
      <c r="D127" s="85" t="s">
        <v>10</v>
      </c>
      <c r="E127" s="86" t="s">
        <v>325</v>
      </c>
      <c r="F127" s="87" t="s">
        <v>94</v>
      </c>
      <c r="G127" s="105" t="s">
        <v>608</v>
      </c>
      <c r="H127" s="85" t="s">
        <v>10</v>
      </c>
      <c r="I127" s="86" t="s">
        <v>325</v>
      </c>
      <c r="J127" s="87" t="s">
        <v>94</v>
      </c>
      <c r="K127" s="85" t="s">
        <v>98</v>
      </c>
      <c r="L127" s="149" t="s">
        <v>99</v>
      </c>
      <c r="M127" s="170"/>
      <c r="N127" s="88"/>
      <c r="O127" s="93"/>
      <c r="P127" s="94"/>
      <c r="Q127" s="92"/>
    </row>
    <row r="128" spans="1:17" x14ac:dyDescent="0.2">
      <c r="A128" s="34">
        <f t="shared" si="2"/>
        <v>116</v>
      </c>
      <c r="B128" s="84" t="s">
        <v>1412</v>
      </c>
      <c r="C128" s="105" t="s">
        <v>553</v>
      </c>
      <c r="D128" s="85" t="s">
        <v>10</v>
      </c>
      <c r="E128" s="86" t="s">
        <v>325</v>
      </c>
      <c r="F128" s="87" t="s">
        <v>94</v>
      </c>
      <c r="G128" s="105" t="s">
        <v>609</v>
      </c>
      <c r="H128" s="85" t="s">
        <v>10</v>
      </c>
      <c r="I128" s="86" t="s">
        <v>325</v>
      </c>
      <c r="J128" s="87" t="s">
        <v>94</v>
      </c>
      <c r="K128" s="85" t="s">
        <v>98</v>
      </c>
      <c r="L128" s="149" t="s">
        <v>99</v>
      </c>
      <c r="M128" s="170"/>
      <c r="N128" s="88"/>
      <c r="O128" s="93"/>
      <c r="P128" s="94"/>
      <c r="Q128" s="92"/>
    </row>
    <row r="129" spans="1:17" x14ac:dyDescent="0.2">
      <c r="A129" s="34">
        <f t="shared" si="2"/>
        <v>117</v>
      </c>
      <c r="B129" s="84" t="s">
        <v>1413</v>
      </c>
      <c r="C129" s="105" t="s">
        <v>554</v>
      </c>
      <c r="D129" s="85" t="s">
        <v>10</v>
      </c>
      <c r="E129" s="86" t="s">
        <v>325</v>
      </c>
      <c r="F129" s="87" t="s">
        <v>94</v>
      </c>
      <c r="G129" s="105" t="s">
        <v>610</v>
      </c>
      <c r="H129" s="85" t="s">
        <v>10</v>
      </c>
      <c r="I129" s="86" t="s">
        <v>325</v>
      </c>
      <c r="J129" s="87" t="s">
        <v>94</v>
      </c>
      <c r="K129" s="85" t="s">
        <v>98</v>
      </c>
      <c r="L129" s="149" t="s">
        <v>99</v>
      </c>
      <c r="M129" s="170"/>
      <c r="N129" s="88"/>
      <c r="O129" s="93"/>
      <c r="P129" s="94"/>
      <c r="Q129" s="92"/>
    </row>
    <row r="130" spans="1:17" x14ac:dyDescent="0.2">
      <c r="A130" s="34">
        <f t="shared" si="2"/>
        <v>118</v>
      </c>
      <c r="B130" s="84" t="s">
        <v>1414</v>
      </c>
      <c r="C130" s="105" t="s">
        <v>555</v>
      </c>
      <c r="D130" s="85" t="s">
        <v>10</v>
      </c>
      <c r="E130" s="86" t="s">
        <v>325</v>
      </c>
      <c r="F130" s="87" t="s">
        <v>94</v>
      </c>
      <c r="G130" s="105" t="s">
        <v>611</v>
      </c>
      <c r="H130" s="85" t="s">
        <v>10</v>
      </c>
      <c r="I130" s="86" t="s">
        <v>325</v>
      </c>
      <c r="J130" s="87" t="s">
        <v>94</v>
      </c>
      <c r="K130" s="85" t="s">
        <v>98</v>
      </c>
      <c r="L130" s="149" t="s">
        <v>99</v>
      </c>
      <c r="M130" s="170"/>
      <c r="N130" s="88"/>
      <c r="O130" s="93"/>
      <c r="P130" s="94"/>
      <c r="Q130" s="92"/>
    </row>
    <row r="131" spans="1:17" x14ac:dyDescent="0.2">
      <c r="A131" s="34">
        <f t="shared" si="2"/>
        <v>119</v>
      </c>
      <c r="B131" s="84" t="s">
        <v>1415</v>
      </c>
      <c r="C131" s="105" t="s">
        <v>556</v>
      </c>
      <c r="D131" s="85" t="s">
        <v>10</v>
      </c>
      <c r="E131" s="86" t="s">
        <v>325</v>
      </c>
      <c r="F131" s="87" t="s">
        <v>94</v>
      </c>
      <c r="G131" s="105" t="s">
        <v>612</v>
      </c>
      <c r="H131" s="85" t="s">
        <v>10</v>
      </c>
      <c r="I131" s="86" t="s">
        <v>325</v>
      </c>
      <c r="J131" s="87" t="s">
        <v>94</v>
      </c>
      <c r="K131" s="85" t="s">
        <v>98</v>
      </c>
      <c r="L131" s="149" t="s">
        <v>99</v>
      </c>
      <c r="M131" s="170"/>
      <c r="N131" s="88"/>
      <c r="O131" s="93"/>
      <c r="P131" s="94"/>
      <c r="Q131" s="92"/>
    </row>
    <row r="132" spans="1:17" x14ac:dyDescent="0.2">
      <c r="A132" s="34">
        <f t="shared" si="2"/>
        <v>120</v>
      </c>
      <c r="B132" s="84" t="s">
        <v>1416</v>
      </c>
      <c r="C132" s="105" t="s">
        <v>557</v>
      </c>
      <c r="D132" s="85" t="s">
        <v>10</v>
      </c>
      <c r="E132" s="86" t="s">
        <v>325</v>
      </c>
      <c r="F132" s="87" t="s">
        <v>94</v>
      </c>
      <c r="G132" s="105" t="s">
        <v>613</v>
      </c>
      <c r="H132" s="85" t="s">
        <v>10</v>
      </c>
      <c r="I132" s="86" t="s">
        <v>325</v>
      </c>
      <c r="J132" s="87" t="s">
        <v>94</v>
      </c>
      <c r="K132" s="85" t="s">
        <v>98</v>
      </c>
      <c r="L132" s="149" t="s">
        <v>99</v>
      </c>
      <c r="M132" s="170"/>
      <c r="N132" s="88"/>
      <c r="O132" s="93"/>
      <c r="P132" s="94"/>
      <c r="Q132" s="92"/>
    </row>
    <row r="133" spans="1:17" x14ac:dyDescent="0.2">
      <c r="A133" s="34">
        <f t="shared" si="2"/>
        <v>121</v>
      </c>
      <c r="B133" s="84" t="s">
        <v>1417</v>
      </c>
      <c r="C133" s="105" t="s">
        <v>558</v>
      </c>
      <c r="D133" s="85" t="s">
        <v>10</v>
      </c>
      <c r="E133" s="86" t="s">
        <v>325</v>
      </c>
      <c r="F133" s="87" t="s">
        <v>94</v>
      </c>
      <c r="G133" s="105" t="s">
        <v>614</v>
      </c>
      <c r="H133" s="85" t="s">
        <v>10</v>
      </c>
      <c r="I133" s="86" t="s">
        <v>325</v>
      </c>
      <c r="J133" s="87" t="s">
        <v>94</v>
      </c>
      <c r="K133" s="85" t="s">
        <v>98</v>
      </c>
      <c r="L133" s="149" t="s">
        <v>99</v>
      </c>
      <c r="M133" s="170"/>
      <c r="N133" s="88"/>
      <c r="O133" s="93"/>
      <c r="P133" s="94"/>
      <c r="Q133" s="92"/>
    </row>
    <row r="134" spans="1:17" x14ac:dyDescent="0.2">
      <c r="A134" s="34">
        <f t="shared" si="2"/>
        <v>122</v>
      </c>
      <c r="B134" s="84" t="s">
        <v>1418</v>
      </c>
      <c r="C134" s="105" t="s">
        <v>559</v>
      </c>
      <c r="D134" s="85" t="s">
        <v>10</v>
      </c>
      <c r="E134" s="86" t="s">
        <v>325</v>
      </c>
      <c r="F134" s="87" t="s">
        <v>94</v>
      </c>
      <c r="G134" s="105" t="s">
        <v>615</v>
      </c>
      <c r="H134" s="85" t="s">
        <v>10</v>
      </c>
      <c r="I134" s="86" t="s">
        <v>325</v>
      </c>
      <c r="J134" s="87" t="s">
        <v>94</v>
      </c>
      <c r="K134" s="85" t="s">
        <v>98</v>
      </c>
      <c r="L134" s="149" t="s">
        <v>99</v>
      </c>
      <c r="M134" s="170"/>
      <c r="N134" s="88"/>
      <c r="O134" s="93"/>
      <c r="P134" s="94"/>
      <c r="Q134" s="92"/>
    </row>
    <row r="135" spans="1:17" x14ac:dyDescent="0.2">
      <c r="A135" s="34">
        <f t="shared" si="2"/>
        <v>123</v>
      </c>
      <c r="B135" s="84" t="s">
        <v>1419</v>
      </c>
      <c r="C135" s="105" t="s">
        <v>560</v>
      </c>
      <c r="D135" s="85" t="s">
        <v>10</v>
      </c>
      <c r="E135" s="86" t="s">
        <v>325</v>
      </c>
      <c r="F135" s="87" t="s">
        <v>94</v>
      </c>
      <c r="G135" s="105" t="s">
        <v>616</v>
      </c>
      <c r="H135" s="85" t="s">
        <v>10</v>
      </c>
      <c r="I135" s="86" t="s">
        <v>325</v>
      </c>
      <c r="J135" s="87" t="s">
        <v>94</v>
      </c>
      <c r="K135" s="85" t="s">
        <v>98</v>
      </c>
      <c r="L135" s="149" t="s">
        <v>99</v>
      </c>
      <c r="M135" s="170"/>
      <c r="N135" s="88"/>
      <c r="O135" s="93"/>
      <c r="P135" s="94"/>
      <c r="Q135" s="92"/>
    </row>
    <row r="136" spans="1:17" x14ac:dyDescent="0.2">
      <c r="A136" s="34">
        <f t="shared" si="2"/>
        <v>124</v>
      </c>
      <c r="B136" s="84" t="s">
        <v>1420</v>
      </c>
      <c r="C136" s="105" t="s">
        <v>561</v>
      </c>
      <c r="D136" s="85" t="s">
        <v>10</v>
      </c>
      <c r="E136" s="86" t="s">
        <v>325</v>
      </c>
      <c r="F136" s="87" t="s">
        <v>94</v>
      </c>
      <c r="G136" s="105" t="s">
        <v>617</v>
      </c>
      <c r="H136" s="85" t="s">
        <v>10</v>
      </c>
      <c r="I136" s="86" t="s">
        <v>325</v>
      </c>
      <c r="J136" s="87" t="s">
        <v>94</v>
      </c>
      <c r="K136" s="85" t="s">
        <v>98</v>
      </c>
      <c r="L136" s="149" t="s">
        <v>99</v>
      </c>
      <c r="M136" s="170"/>
      <c r="N136" s="88"/>
      <c r="O136" s="93"/>
      <c r="P136" s="94"/>
      <c r="Q136" s="92"/>
    </row>
    <row r="137" spans="1:17" x14ac:dyDescent="0.2">
      <c r="A137" s="34">
        <f>A136+1</f>
        <v>125</v>
      </c>
      <c r="B137" s="84" t="s">
        <v>1421</v>
      </c>
      <c r="C137" s="105" t="s">
        <v>562</v>
      </c>
      <c r="D137" s="85" t="s">
        <v>10</v>
      </c>
      <c r="E137" s="86" t="s">
        <v>325</v>
      </c>
      <c r="F137" s="87" t="s">
        <v>94</v>
      </c>
      <c r="G137" s="105" t="s">
        <v>618</v>
      </c>
      <c r="H137" s="85" t="s">
        <v>10</v>
      </c>
      <c r="I137" s="86" t="s">
        <v>325</v>
      </c>
      <c r="J137" s="87" t="s">
        <v>94</v>
      </c>
      <c r="K137" s="85" t="s">
        <v>98</v>
      </c>
      <c r="L137" s="149" t="s">
        <v>99</v>
      </c>
      <c r="M137" s="170"/>
      <c r="N137" s="88"/>
      <c r="O137" s="93"/>
      <c r="P137" s="94"/>
      <c r="Q137" s="92"/>
    </row>
    <row r="138" spans="1:17" x14ac:dyDescent="0.2">
      <c r="A138" s="34">
        <f>A137+1</f>
        <v>126</v>
      </c>
      <c r="B138" s="84" t="s">
        <v>1422</v>
      </c>
      <c r="C138" s="105" t="s">
        <v>563</v>
      </c>
      <c r="D138" s="85" t="s">
        <v>10</v>
      </c>
      <c r="E138" s="86" t="s">
        <v>325</v>
      </c>
      <c r="F138" s="87" t="s">
        <v>94</v>
      </c>
      <c r="G138" s="105" t="s">
        <v>619</v>
      </c>
      <c r="H138" s="85" t="s">
        <v>10</v>
      </c>
      <c r="I138" s="86" t="s">
        <v>325</v>
      </c>
      <c r="J138" s="87" t="s">
        <v>94</v>
      </c>
      <c r="K138" s="85" t="s">
        <v>98</v>
      </c>
      <c r="L138" s="149" t="s">
        <v>99</v>
      </c>
      <c r="M138" s="170"/>
      <c r="N138" s="88"/>
      <c r="O138" s="93"/>
      <c r="P138" s="94"/>
      <c r="Q138" s="92"/>
    </row>
    <row r="139" spans="1:17" x14ac:dyDescent="0.2">
      <c r="A139" s="34">
        <f>A138+1</f>
        <v>127</v>
      </c>
      <c r="B139" s="84" t="s">
        <v>1423</v>
      </c>
      <c r="C139" s="105" t="s">
        <v>564</v>
      </c>
      <c r="D139" s="85" t="s">
        <v>10</v>
      </c>
      <c r="E139" s="86" t="s">
        <v>325</v>
      </c>
      <c r="F139" s="87" t="s">
        <v>94</v>
      </c>
      <c r="G139" s="105" t="s">
        <v>620</v>
      </c>
      <c r="H139" s="85" t="s">
        <v>10</v>
      </c>
      <c r="I139" s="86" t="s">
        <v>325</v>
      </c>
      <c r="J139" s="87" t="s">
        <v>94</v>
      </c>
      <c r="K139" s="85" t="s">
        <v>98</v>
      </c>
      <c r="L139" s="149" t="s">
        <v>99</v>
      </c>
      <c r="M139" s="170"/>
      <c r="N139" s="88"/>
      <c r="O139" s="93"/>
      <c r="P139" s="94"/>
      <c r="Q139" s="92"/>
    </row>
    <row r="140" spans="1:17" s="64" customFormat="1" x14ac:dyDescent="0.2">
      <c r="A140" s="34">
        <f t="shared" ref="A140:A159" si="3">A139+1</f>
        <v>128</v>
      </c>
      <c r="B140" s="84" t="s">
        <v>1424</v>
      </c>
      <c r="C140" s="105" t="s">
        <v>565</v>
      </c>
      <c r="D140" s="85" t="s">
        <v>10</v>
      </c>
      <c r="E140" s="86" t="s">
        <v>325</v>
      </c>
      <c r="F140" s="87" t="s">
        <v>94</v>
      </c>
      <c r="G140" s="105" t="s">
        <v>621</v>
      </c>
      <c r="H140" s="85" t="s">
        <v>10</v>
      </c>
      <c r="I140" s="86" t="s">
        <v>325</v>
      </c>
      <c r="J140" s="87" t="s">
        <v>94</v>
      </c>
      <c r="K140" s="85" t="s">
        <v>98</v>
      </c>
      <c r="L140" s="149" t="s">
        <v>99</v>
      </c>
      <c r="M140" s="170"/>
      <c r="N140" s="88"/>
      <c r="O140" s="93"/>
      <c r="P140" s="94"/>
      <c r="Q140" s="92"/>
    </row>
    <row r="141" spans="1:17" x14ac:dyDescent="0.2">
      <c r="A141" s="34">
        <f t="shared" si="3"/>
        <v>129</v>
      </c>
      <c r="B141" s="84" t="s">
        <v>1425</v>
      </c>
      <c r="C141" s="105" t="s">
        <v>566</v>
      </c>
      <c r="D141" s="85" t="s">
        <v>10</v>
      </c>
      <c r="E141" s="86" t="s">
        <v>325</v>
      </c>
      <c r="F141" s="87" t="s">
        <v>94</v>
      </c>
      <c r="G141" s="105" t="s">
        <v>622</v>
      </c>
      <c r="H141" s="85" t="s">
        <v>10</v>
      </c>
      <c r="I141" s="86" t="s">
        <v>325</v>
      </c>
      <c r="J141" s="87" t="s">
        <v>94</v>
      </c>
      <c r="K141" s="85" t="s">
        <v>98</v>
      </c>
      <c r="L141" s="149" t="s">
        <v>99</v>
      </c>
      <c r="M141" s="170"/>
      <c r="N141" s="88"/>
      <c r="O141" s="93"/>
      <c r="P141" s="94"/>
      <c r="Q141" s="92"/>
    </row>
    <row r="142" spans="1:17" x14ac:dyDescent="0.2">
      <c r="A142" s="34">
        <f t="shared" si="3"/>
        <v>130</v>
      </c>
      <c r="B142" s="84" t="s">
        <v>1426</v>
      </c>
      <c r="C142" s="105" t="s">
        <v>567</v>
      </c>
      <c r="D142" s="85" t="s">
        <v>10</v>
      </c>
      <c r="E142" s="86" t="s">
        <v>325</v>
      </c>
      <c r="F142" s="87" t="s">
        <v>94</v>
      </c>
      <c r="G142" s="105" t="s">
        <v>623</v>
      </c>
      <c r="H142" s="85" t="s">
        <v>10</v>
      </c>
      <c r="I142" s="86" t="s">
        <v>325</v>
      </c>
      <c r="J142" s="87" t="s">
        <v>94</v>
      </c>
      <c r="K142" s="85" t="s">
        <v>98</v>
      </c>
      <c r="L142" s="149" t="s">
        <v>99</v>
      </c>
      <c r="M142" s="170"/>
      <c r="N142" s="89"/>
      <c r="O142" s="90"/>
      <c r="P142" s="91"/>
      <c r="Q142" s="92"/>
    </row>
    <row r="143" spans="1:17" x14ac:dyDescent="0.2">
      <c r="A143" s="34">
        <f t="shared" si="3"/>
        <v>131</v>
      </c>
      <c r="B143" s="84" t="s">
        <v>1427</v>
      </c>
      <c r="C143" s="105" t="s">
        <v>568</v>
      </c>
      <c r="D143" s="85" t="s">
        <v>10</v>
      </c>
      <c r="E143" s="86" t="s">
        <v>325</v>
      </c>
      <c r="F143" s="87" t="s">
        <v>94</v>
      </c>
      <c r="G143" s="105" t="s">
        <v>624</v>
      </c>
      <c r="H143" s="85" t="s">
        <v>10</v>
      </c>
      <c r="I143" s="86" t="s">
        <v>325</v>
      </c>
      <c r="J143" s="87" t="s">
        <v>94</v>
      </c>
      <c r="K143" s="85" t="s">
        <v>98</v>
      </c>
      <c r="L143" s="149" t="s">
        <v>99</v>
      </c>
      <c r="M143" s="170"/>
      <c r="N143" s="89"/>
      <c r="O143" s="90"/>
      <c r="P143" s="91"/>
      <c r="Q143" s="92"/>
    </row>
    <row r="144" spans="1:17" x14ac:dyDescent="0.2">
      <c r="A144" s="34">
        <f t="shared" si="3"/>
        <v>132</v>
      </c>
      <c r="B144" s="84" t="s">
        <v>1428</v>
      </c>
      <c r="C144" s="105" t="s">
        <v>569</v>
      </c>
      <c r="D144" s="85" t="s">
        <v>10</v>
      </c>
      <c r="E144" s="86" t="s">
        <v>325</v>
      </c>
      <c r="F144" s="87" t="s">
        <v>94</v>
      </c>
      <c r="G144" s="105" t="s">
        <v>625</v>
      </c>
      <c r="H144" s="85" t="s">
        <v>10</v>
      </c>
      <c r="I144" s="86" t="s">
        <v>325</v>
      </c>
      <c r="J144" s="87" t="s">
        <v>94</v>
      </c>
      <c r="K144" s="85" t="s">
        <v>98</v>
      </c>
      <c r="L144" s="149" t="s">
        <v>99</v>
      </c>
      <c r="M144" s="170"/>
      <c r="N144" s="88"/>
      <c r="O144" s="93"/>
      <c r="P144" s="94"/>
      <c r="Q144" s="92"/>
    </row>
    <row r="145" spans="1:17" x14ac:dyDescent="0.2">
      <c r="A145" s="34">
        <f t="shared" si="3"/>
        <v>133</v>
      </c>
      <c r="B145" s="84" t="s">
        <v>1429</v>
      </c>
      <c r="C145" s="105" t="s">
        <v>570</v>
      </c>
      <c r="D145" s="85" t="s">
        <v>10</v>
      </c>
      <c r="E145" s="86" t="s">
        <v>325</v>
      </c>
      <c r="F145" s="87" t="s">
        <v>94</v>
      </c>
      <c r="G145" s="105" t="s">
        <v>626</v>
      </c>
      <c r="H145" s="85" t="s">
        <v>10</v>
      </c>
      <c r="I145" s="86" t="s">
        <v>325</v>
      </c>
      <c r="J145" s="87" t="s">
        <v>94</v>
      </c>
      <c r="K145" s="85" t="s">
        <v>98</v>
      </c>
      <c r="L145" s="149" t="s">
        <v>99</v>
      </c>
      <c r="M145" s="170"/>
      <c r="N145" s="88"/>
      <c r="O145" s="93"/>
      <c r="P145" s="94"/>
      <c r="Q145" s="92"/>
    </row>
    <row r="146" spans="1:17" x14ac:dyDescent="0.2">
      <c r="A146" s="34">
        <f t="shared" si="3"/>
        <v>134</v>
      </c>
      <c r="B146" s="84" t="s">
        <v>1430</v>
      </c>
      <c r="C146" s="105" t="s">
        <v>571</v>
      </c>
      <c r="D146" s="85" t="s">
        <v>10</v>
      </c>
      <c r="E146" s="86" t="s">
        <v>325</v>
      </c>
      <c r="F146" s="87" t="s">
        <v>94</v>
      </c>
      <c r="G146" s="105" t="s">
        <v>627</v>
      </c>
      <c r="H146" s="85" t="s">
        <v>10</v>
      </c>
      <c r="I146" s="86" t="s">
        <v>325</v>
      </c>
      <c r="J146" s="87" t="s">
        <v>94</v>
      </c>
      <c r="K146" s="85" t="s">
        <v>98</v>
      </c>
      <c r="L146" s="149" t="s">
        <v>99</v>
      </c>
      <c r="M146" s="170"/>
      <c r="N146" s="88"/>
      <c r="O146" s="93"/>
      <c r="P146" s="94"/>
      <c r="Q146" s="92"/>
    </row>
    <row r="147" spans="1:17" x14ac:dyDescent="0.2">
      <c r="A147" s="34">
        <f t="shared" si="3"/>
        <v>135</v>
      </c>
      <c r="B147" s="84" t="s">
        <v>1431</v>
      </c>
      <c r="C147" s="105" t="s">
        <v>572</v>
      </c>
      <c r="D147" s="85" t="s">
        <v>10</v>
      </c>
      <c r="E147" s="86" t="s">
        <v>325</v>
      </c>
      <c r="F147" s="87" t="s">
        <v>94</v>
      </c>
      <c r="G147" s="105" t="s">
        <v>628</v>
      </c>
      <c r="H147" s="85" t="s">
        <v>10</v>
      </c>
      <c r="I147" s="86" t="s">
        <v>325</v>
      </c>
      <c r="J147" s="87" t="s">
        <v>94</v>
      </c>
      <c r="K147" s="85" t="s">
        <v>98</v>
      </c>
      <c r="L147" s="149" t="s">
        <v>99</v>
      </c>
      <c r="M147" s="170"/>
      <c r="N147" s="88"/>
      <c r="O147" s="93"/>
      <c r="P147" s="94"/>
      <c r="Q147" s="92"/>
    </row>
    <row r="148" spans="1:17" x14ac:dyDescent="0.2">
      <c r="A148" s="34">
        <f t="shared" si="3"/>
        <v>136</v>
      </c>
      <c r="B148" s="84" t="s">
        <v>1432</v>
      </c>
      <c r="C148" s="105" t="s">
        <v>573</v>
      </c>
      <c r="D148" s="85" t="s">
        <v>10</v>
      </c>
      <c r="E148" s="86" t="s">
        <v>325</v>
      </c>
      <c r="F148" s="87" t="s">
        <v>94</v>
      </c>
      <c r="G148" s="105" t="s">
        <v>629</v>
      </c>
      <c r="H148" s="85" t="s">
        <v>10</v>
      </c>
      <c r="I148" s="86" t="s">
        <v>325</v>
      </c>
      <c r="J148" s="87" t="s">
        <v>94</v>
      </c>
      <c r="K148" s="85" t="s">
        <v>98</v>
      </c>
      <c r="L148" s="149" t="s">
        <v>99</v>
      </c>
      <c r="M148" s="170"/>
      <c r="N148" s="88"/>
      <c r="O148" s="93"/>
      <c r="P148" s="94"/>
      <c r="Q148" s="92"/>
    </row>
    <row r="149" spans="1:17" x14ac:dyDescent="0.2">
      <c r="A149" s="34">
        <f t="shared" si="3"/>
        <v>137</v>
      </c>
      <c r="B149" s="84" t="s">
        <v>1433</v>
      </c>
      <c r="C149" s="105" t="s">
        <v>574</v>
      </c>
      <c r="D149" s="85" t="s">
        <v>10</v>
      </c>
      <c r="E149" s="86" t="s">
        <v>325</v>
      </c>
      <c r="F149" s="87" t="s">
        <v>94</v>
      </c>
      <c r="G149" s="105" t="s">
        <v>630</v>
      </c>
      <c r="H149" s="85" t="s">
        <v>10</v>
      </c>
      <c r="I149" s="86" t="s">
        <v>325</v>
      </c>
      <c r="J149" s="87" t="s">
        <v>94</v>
      </c>
      <c r="K149" s="85" t="s">
        <v>98</v>
      </c>
      <c r="L149" s="149" t="s">
        <v>99</v>
      </c>
      <c r="M149" s="170"/>
      <c r="N149" s="88"/>
      <c r="O149" s="93"/>
      <c r="P149" s="94"/>
      <c r="Q149" s="92"/>
    </row>
    <row r="150" spans="1:17" x14ac:dyDescent="0.2">
      <c r="A150" s="34">
        <f t="shared" si="3"/>
        <v>138</v>
      </c>
      <c r="B150" s="84" t="s">
        <v>1434</v>
      </c>
      <c r="C150" s="105" t="s">
        <v>575</v>
      </c>
      <c r="D150" s="85" t="s">
        <v>10</v>
      </c>
      <c r="E150" s="86" t="s">
        <v>325</v>
      </c>
      <c r="F150" s="87" t="s">
        <v>94</v>
      </c>
      <c r="G150" s="105" t="s">
        <v>631</v>
      </c>
      <c r="H150" s="85" t="s">
        <v>10</v>
      </c>
      <c r="I150" s="86" t="s">
        <v>325</v>
      </c>
      <c r="J150" s="87" t="s">
        <v>94</v>
      </c>
      <c r="K150" s="85" t="s">
        <v>98</v>
      </c>
      <c r="L150" s="149" t="s">
        <v>99</v>
      </c>
      <c r="M150" s="170"/>
      <c r="N150" s="88"/>
      <c r="O150" s="93"/>
      <c r="P150" s="94"/>
      <c r="Q150" s="92"/>
    </row>
    <row r="151" spans="1:17" x14ac:dyDescent="0.2">
      <c r="A151" s="34">
        <f t="shared" si="3"/>
        <v>139</v>
      </c>
      <c r="B151" s="84" t="s">
        <v>1435</v>
      </c>
      <c r="C151" s="105" t="s">
        <v>576</v>
      </c>
      <c r="D151" s="85" t="s">
        <v>10</v>
      </c>
      <c r="E151" s="86" t="s">
        <v>325</v>
      </c>
      <c r="F151" s="87" t="s">
        <v>94</v>
      </c>
      <c r="G151" s="105" t="s">
        <v>632</v>
      </c>
      <c r="H151" s="85" t="s">
        <v>10</v>
      </c>
      <c r="I151" s="86" t="s">
        <v>325</v>
      </c>
      <c r="J151" s="87" t="s">
        <v>94</v>
      </c>
      <c r="K151" s="85" t="s">
        <v>98</v>
      </c>
      <c r="L151" s="149" t="s">
        <v>99</v>
      </c>
      <c r="M151" s="170"/>
      <c r="N151" s="88"/>
      <c r="O151" s="93"/>
      <c r="P151" s="94"/>
      <c r="Q151" s="92"/>
    </row>
    <row r="152" spans="1:17" x14ac:dyDescent="0.2">
      <c r="A152" s="34">
        <f t="shared" si="3"/>
        <v>140</v>
      </c>
      <c r="B152" s="84" t="s">
        <v>1436</v>
      </c>
      <c r="C152" s="105" t="s">
        <v>577</v>
      </c>
      <c r="D152" s="85" t="s">
        <v>10</v>
      </c>
      <c r="E152" s="86" t="s">
        <v>325</v>
      </c>
      <c r="F152" s="87" t="s">
        <v>94</v>
      </c>
      <c r="G152" s="105" t="s">
        <v>633</v>
      </c>
      <c r="H152" s="85" t="s">
        <v>10</v>
      </c>
      <c r="I152" s="86" t="s">
        <v>325</v>
      </c>
      <c r="J152" s="87" t="s">
        <v>94</v>
      </c>
      <c r="K152" s="85" t="s">
        <v>98</v>
      </c>
      <c r="L152" s="149" t="s">
        <v>99</v>
      </c>
      <c r="M152" s="170"/>
      <c r="N152" s="88"/>
      <c r="O152" s="93"/>
      <c r="P152" s="94"/>
      <c r="Q152" s="92"/>
    </row>
    <row r="153" spans="1:17" x14ac:dyDescent="0.2">
      <c r="A153" s="34">
        <f t="shared" si="3"/>
        <v>141</v>
      </c>
      <c r="B153" s="84" t="s">
        <v>1437</v>
      </c>
      <c r="C153" s="105" t="s">
        <v>578</v>
      </c>
      <c r="D153" s="85" t="s">
        <v>10</v>
      </c>
      <c r="E153" s="86" t="s">
        <v>325</v>
      </c>
      <c r="F153" s="87" t="s">
        <v>94</v>
      </c>
      <c r="G153" s="105" t="s">
        <v>634</v>
      </c>
      <c r="H153" s="85" t="s">
        <v>10</v>
      </c>
      <c r="I153" s="86" t="s">
        <v>325</v>
      </c>
      <c r="J153" s="87" t="s">
        <v>94</v>
      </c>
      <c r="K153" s="85" t="s">
        <v>98</v>
      </c>
      <c r="L153" s="149" t="s">
        <v>99</v>
      </c>
      <c r="M153" s="170"/>
      <c r="N153" s="88"/>
      <c r="O153" s="93"/>
      <c r="P153" s="94"/>
      <c r="Q153" s="92"/>
    </row>
    <row r="154" spans="1:17" x14ac:dyDescent="0.2">
      <c r="A154" s="34">
        <f t="shared" si="3"/>
        <v>142</v>
      </c>
      <c r="B154" s="84" t="s">
        <v>1438</v>
      </c>
      <c r="C154" s="105" t="s">
        <v>579</v>
      </c>
      <c r="D154" s="85" t="s">
        <v>10</v>
      </c>
      <c r="E154" s="86" t="s">
        <v>325</v>
      </c>
      <c r="F154" s="87" t="s">
        <v>94</v>
      </c>
      <c r="G154" s="105" t="s">
        <v>635</v>
      </c>
      <c r="H154" s="85" t="s">
        <v>10</v>
      </c>
      <c r="I154" s="86" t="s">
        <v>325</v>
      </c>
      <c r="J154" s="87" t="s">
        <v>94</v>
      </c>
      <c r="K154" s="85" t="s">
        <v>98</v>
      </c>
      <c r="L154" s="149" t="s">
        <v>99</v>
      </c>
      <c r="M154" s="170"/>
      <c r="N154" s="88"/>
      <c r="O154" s="93"/>
      <c r="P154" s="94"/>
      <c r="Q154" s="92"/>
    </row>
    <row r="155" spans="1:17" x14ac:dyDescent="0.2">
      <c r="A155" s="34">
        <f t="shared" si="3"/>
        <v>143</v>
      </c>
      <c r="B155" s="84" t="s">
        <v>1439</v>
      </c>
      <c r="C155" s="105" t="s">
        <v>580</v>
      </c>
      <c r="D155" s="85" t="s">
        <v>10</v>
      </c>
      <c r="E155" s="86" t="s">
        <v>325</v>
      </c>
      <c r="F155" s="87" t="s">
        <v>94</v>
      </c>
      <c r="G155" s="105" t="s">
        <v>636</v>
      </c>
      <c r="H155" s="85" t="s">
        <v>10</v>
      </c>
      <c r="I155" s="86" t="s">
        <v>325</v>
      </c>
      <c r="J155" s="87" t="s">
        <v>94</v>
      </c>
      <c r="K155" s="85" t="s">
        <v>98</v>
      </c>
      <c r="L155" s="149" t="s">
        <v>99</v>
      </c>
      <c r="M155" s="170"/>
      <c r="N155" s="88"/>
      <c r="O155" s="93"/>
      <c r="P155" s="94"/>
      <c r="Q155" s="92"/>
    </row>
    <row r="156" spans="1:17" x14ac:dyDescent="0.2">
      <c r="A156" s="34">
        <f t="shared" si="3"/>
        <v>144</v>
      </c>
      <c r="B156" s="84" t="s">
        <v>1440</v>
      </c>
      <c r="C156" s="105" t="s">
        <v>581</v>
      </c>
      <c r="D156" s="85" t="s">
        <v>10</v>
      </c>
      <c r="E156" s="86" t="s">
        <v>325</v>
      </c>
      <c r="F156" s="87" t="s">
        <v>94</v>
      </c>
      <c r="G156" s="105" t="s">
        <v>637</v>
      </c>
      <c r="H156" s="85" t="s">
        <v>10</v>
      </c>
      <c r="I156" s="86" t="s">
        <v>325</v>
      </c>
      <c r="J156" s="87" t="s">
        <v>94</v>
      </c>
      <c r="K156" s="85" t="s">
        <v>98</v>
      </c>
      <c r="L156" s="149" t="s">
        <v>99</v>
      </c>
      <c r="M156" s="170"/>
      <c r="N156" s="88"/>
      <c r="O156" s="93"/>
      <c r="P156" s="94"/>
      <c r="Q156" s="92"/>
    </row>
    <row r="157" spans="1:17" x14ac:dyDescent="0.2">
      <c r="A157" s="34">
        <f t="shared" si="3"/>
        <v>145</v>
      </c>
      <c r="B157" s="84" t="s">
        <v>1441</v>
      </c>
      <c r="C157" s="105" t="s">
        <v>582</v>
      </c>
      <c r="D157" s="85" t="s">
        <v>10</v>
      </c>
      <c r="E157" s="86" t="s">
        <v>325</v>
      </c>
      <c r="F157" s="87" t="s">
        <v>94</v>
      </c>
      <c r="G157" s="105" t="s">
        <v>638</v>
      </c>
      <c r="H157" s="85" t="s">
        <v>10</v>
      </c>
      <c r="I157" s="86" t="s">
        <v>325</v>
      </c>
      <c r="J157" s="87" t="s">
        <v>94</v>
      </c>
      <c r="K157" s="85" t="s">
        <v>98</v>
      </c>
      <c r="L157" s="149" t="s">
        <v>99</v>
      </c>
      <c r="M157" s="170"/>
      <c r="N157" s="88"/>
      <c r="O157" s="93"/>
      <c r="P157" s="94"/>
      <c r="Q157" s="92"/>
    </row>
    <row r="158" spans="1:17" x14ac:dyDescent="0.2">
      <c r="A158" s="34">
        <f t="shared" si="3"/>
        <v>146</v>
      </c>
      <c r="B158" s="84" t="s">
        <v>1442</v>
      </c>
      <c r="C158" s="105" t="s">
        <v>583</v>
      </c>
      <c r="D158" s="85" t="s">
        <v>10</v>
      </c>
      <c r="E158" s="86" t="s">
        <v>325</v>
      </c>
      <c r="F158" s="87" t="s">
        <v>94</v>
      </c>
      <c r="G158" s="105" t="s">
        <v>639</v>
      </c>
      <c r="H158" s="85" t="s">
        <v>10</v>
      </c>
      <c r="I158" s="86" t="s">
        <v>325</v>
      </c>
      <c r="J158" s="87" t="s">
        <v>94</v>
      </c>
      <c r="K158" s="85" t="s">
        <v>98</v>
      </c>
      <c r="L158" s="149" t="s">
        <v>99</v>
      </c>
      <c r="M158" s="170"/>
      <c r="N158" s="88"/>
      <c r="O158" s="93"/>
      <c r="P158" s="94"/>
      <c r="Q158" s="92"/>
    </row>
    <row r="159" spans="1:17" x14ac:dyDescent="0.2">
      <c r="A159" s="34">
        <f t="shared" si="3"/>
        <v>147</v>
      </c>
      <c r="B159" s="84" t="s">
        <v>1443</v>
      </c>
      <c r="C159" s="105" t="s">
        <v>584</v>
      </c>
      <c r="D159" s="85" t="s">
        <v>10</v>
      </c>
      <c r="E159" s="86" t="s">
        <v>325</v>
      </c>
      <c r="F159" s="87" t="s">
        <v>94</v>
      </c>
      <c r="G159" s="105" t="s">
        <v>640</v>
      </c>
      <c r="H159" s="85" t="s">
        <v>10</v>
      </c>
      <c r="I159" s="86" t="s">
        <v>325</v>
      </c>
      <c r="J159" s="87" t="s">
        <v>94</v>
      </c>
      <c r="K159" s="85" t="s">
        <v>98</v>
      </c>
      <c r="L159" s="149" t="s">
        <v>99</v>
      </c>
      <c r="M159" s="170"/>
      <c r="N159" s="88"/>
      <c r="O159" s="93"/>
      <c r="P159" s="94"/>
      <c r="Q159" s="92"/>
    </row>
    <row r="160" spans="1:17" x14ac:dyDescent="0.2">
      <c r="A160" s="34">
        <f t="shared" ref="A160:A198" si="4">A159+1</f>
        <v>148</v>
      </c>
      <c r="B160" s="84" t="s">
        <v>1444</v>
      </c>
      <c r="C160" s="105" t="s">
        <v>585</v>
      </c>
      <c r="D160" s="85" t="s">
        <v>10</v>
      </c>
      <c r="E160" s="86" t="s">
        <v>325</v>
      </c>
      <c r="F160" s="87" t="s">
        <v>94</v>
      </c>
      <c r="G160" s="105" t="s">
        <v>641</v>
      </c>
      <c r="H160" s="85" t="s">
        <v>10</v>
      </c>
      <c r="I160" s="86" t="s">
        <v>325</v>
      </c>
      <c r="J160" s="87" t="s">
        <v>94</v>
      </c>
      <c r="K160" s="85" t="s">
        <v>98</v>
      </c>
      <c r="L160" s="149" t="s">
        <v>99</v>
      </c>
      <c r="M160" s="170"/>
      <c r="N160" s="89"/>
      <c r="O160" s="90"/>
      <c r="P160" s="91"/>
      <c r="Q160" s="92"/>
    </row>
    <row r="161" spans="1:17" x14ac:dyDescent="0.2">
      <c r="A161" s="34">
        <f>A160+1</f>
        <v>149</v>
      </c>
      <c r="B161" s="84" t="s">
        <v>1445</v>
      </c>
      <c r="C161" s="105" t="s">
        <v>586</v>
      </c>
      <c r="D161" s="85" t="s">
        <v>10</v>
      </c>
      <c r="E161" s="86" t="s">
        <v>325</v>
      </c>
      <c r="F161" s="87" t="s">
        <v>94</v>
      </c>
      <c r="G161" s="105" t="s">
        <v>642</v>
      </c>
      <c r="H161" s="85" t="s">
        <v>10</v>
      </c>
      <c r="I161" s="86" t="s">
        <v>325</v>
      </c>
      <c r="J161" s="87" t="s">
        <v>94</v>
      </c>
      <c r="K161" s="85" t="s">
        <v>98</v>
      </c>
      <c r="L161" s="149" t="s">
        <v>99</v>
      </c>
      <c r="M161" s="170"/>
      <c r="N161" s="89"/>
      <c r="O161" s="90"/>
      <c r="P161" s="91"/>
      <c r="Q161" s="92"/>
    </row>
    <row r="162" spans="1:17" x14ac:dyDescent="0.2">
      <c r="A162" s="34">
        <f t="shared" si="4"/>
        <v>150</v>
      </c>
      <c r="B162" s="84" t="s">
        <v>1446</v>
      </c>
      <c r="C162" s="105" t="s">
        <v>587</v>
      </c>
      <c r="D162" s="85" t="s">
        <v>10</v>
      </c>
      <c r="E162" s="86" t="s">
        <v>325</v>
      </c>
      <c r="F162" s="87" t="s">
        <v>94</v>
      </c>
      <c r="G162" s="105" t="s">
        <v>643</v>
      </c>
      <c r="H162" s="85" t="s">
        <v>10</v>
      </c>
      <c r="I162" s="86" t="s">
        <v>325</v>
      </c>
      <c r="J162" s="87" t="s">
        <v>94</v>
      </c>
      <c r="K162" s="85" t="s">
        <v>98</v>
      </c>
      <c r="L162" s="149" t="s">
        <v>99</v>
      </c>
      <c r="M162" s="170"/>
      <c r="N162" s="88"/>
      <c r="O162" s="93"/>
      <c r="P162" s="94"/>
      <c r="Q162" s="92"/>
    </row>
    <row r="163" spans="1:17" x14ac:dyDescent="0.2">
      <c r="A163" s="34">
        <f t="shared" si="4"/>
        <v>151</v>
      </c>
      <c r="B163" s="84" t="s">
        <v>1447</v>
      </c>
      <c r="C163" s="105" t="s">
        <v>588</v>
      </c>
      <c r="D163" s="85" t="s">
        <v>10</v>
      </c>
      <c r="E163" s="86" t="s">
        <v>325</v>
      </c>
      <c r="F163" s="87" t="s">
        <v>94</v>
      </c>
      <c r="G163" s="105" t="s">
        <v>644</v>
      </c>
      <c r="H163" s="85" t="s">
        <v>10</v>
      </c>
      <c r="I163" s="86" t="s">
        <v>325</v>
      </c>
      <c r="J163" s="87" t="s">
        <v>94</v>
      </c>
      <c r="K163" s="85" t="s">
        <v>98</v>
      </c>
      <c r="L163" s="149" t="s">
        <v>99</v>
      </c>
      <c r="M163" s="170"/>
      <c r="N163" s="88"/>
      <c r="O163" s="93"/>
      <c r="P163" s="94"/>
      <c r="Q163" s="92"/>
    </row>
    <row r="164" spans="1:17" x14ac:dyDescent="0.2">
      <c r="A164" s="34">
        <f t="shared" si="4"/>
        <v>152</v>
      </c>
      <c r="B164" s="84" t="s">
        <v>1448</v>
      </c>
      <c r="C164" s="105" t="s">
        <v>589</v>
      </c>
      <c r="D164" s="85" t="s">
        <v>10</v>
      </c>
      <c r="E164" s="86" t="s">
        <v>325</v>
      </c>
      <c r="F164" s="87" t="s">
        <v>94</v>
      </c>
      <c r="G164" s="105" t="s">
        <v>645</v>
      </c>
      <c r="H164" s="85" t="s">
        <v>10</v>
      </c>
      <c r="I164" s="86" t="s">
        <v>325</v>
      </c>
      <c r="J164" s="87" t="s">
        <v>94</v>
      </c>
      <c r="K164" s="85" t="s">
        <v>98</v>
      </c>
      <c r="L164" s="149" t="s">
        <v>99</v>
      </c>
      <c r="M164" s="170"/>
      <c r="N164" s="88"/>
      <c r="O164" s="93"/>
      <c r="P164" s="94"/>
      <c r="Q164" s="92"/>
    </row>
    <row r="165" spans="1:17" x14ac:dyDescent="0.2">
      <c r="A165" s="34">
        <f t="shared" si="4"/>
        <v>153</v>
      </c>
      <c r="B165" s="84" t="s">
        <v>1449</v>
      </c>
      <c r="C165" s="105" t="s">
        <v>590</v>
      </c>
      <c r="D165" s="85" t="s">
        <v>10</v>
      </c>
      <c r="E165" s="86" t="s">
        <v>325</v>
      </c>
      <c r="F165" s="87" t="s">
        <v>94</v>
      </c>
      <c r="G165" s="105" t="s">
        <v>646</v>
      </c>
      <c r="H165" s="85" t="s">
        <v>10</v>
      </c>
      <c r="I165" s="86" t="s">
        <v>325</v>
      </c>
      <c r="J165" s="87" t="s">
        <v>94</v>
      </c>
      <c r="K165" s="85" t="s">
        <v>98</v>
      </c>
      <c r="L165" s="149" t="s">
        <v>99</v>
      </c>
      <c r="M165" s="170"/>
      <c r="N165" s="88"/>
      <c r="O165" s="93"/>
      <c r="P165" s="94"/>
      <c r="Q165" s="92"/>
    </row>
    <row r="166" spans="1:17" s="64" customFormat="1" x14ac:dyDescent="0.2">
      <c r="A166" s="34">
        <f t="shared" si="4"/>
        <v>154</v>
      </c>
      <c r="B166" s="84" t="s">
        <v>1450</v>
      </c>
      <c r="C166" s="105" t="s">
        <v>591</v>
      </c>
      <c r="D166" s="85" t="s">
        <v>10</v>
      </c>
      <c r="E166" s="86" t="s">
        <v>325</v>
      </c>
      <c r="F166" s="87" t="s">
        <v>94</v>
      </c>
      <c r="G166" s="105" t="s">
        <v>647</v>
      </c>
      <c r="H166" s="85" t="s">
        <v>10</v>
      </c>
      <c r="I166" s="86" t="s">
        <v>325</v>
      </c>
      <c r="J166" s="87" t="s">
        <v>94</v>
      </c>
      <c r="K166" s="85" t="s">
        <v>98</v>
      </c>
      <c r="L166" s="149" t="s">
        <v>99</v>
      </c>
      <c r="M166" s="170"/>
      <c r="N166" s="95"/>
      <c r="O166" s="93"/>
      <c r="P166" s="94"/>
      <c r="Q166" s="92"/>
    </row>
    <row r="167" spans="1:17" s="64" customFormat="1" x14ac:dyDescent="0.2">
      <c r="A167" s="34">
        <f t="shared" si="4"/>
        <v>155</v>
      </c>
      <c r="B167" s="84" t="s">
        <v>1451</v>
      </c>
      <c r="C167" s="105" t="s">
        <v>592</v>
      </c>
      <c r="D167" s="85" t="s">
        <v>10</v>
      </c>
      <c r="E167" s="86" t="s">
        <v>325</v>
      </c>
      <c r="F167" s="87" t="s">
        <v>94</v>
      </c>
      <c r="G167" s="105" t="s">
        <v>648</v>
      </c>
      <c r="H167" s="85" t="s">
        <v>10</v>
      </c>
      <c r="I167" s="86" t="s">
        <v>325</v>
      </c>
      <c r="J167" s="87" t="s">
        <v>94</v>
      </c>
      <c r="K167" s="85" t="s">
        <v>98</v>
      </c>
      <c r="L167" s="149" t="s">
        <v>99</v>
      </c>
      <c r="M167" s="170"/>
      <c r="N167" s="95"/>
      <c r="O167" s="93"/>
      <c r="P167" s="94"/>
      <c r="Q167" s="92"/>
    </row>
    <row r="168" spans="1:17" x14ac:dyDescent="0.2">
      <c r="A168" s="34">
        <f t="shared" si="4"/>
        <v>156</v>
      </c>
      <c r="B168" s="84" t="s">
        <v>1452</v>
      </c>
      <c r="C168" s="105" t="s">
        <v>593</v>
      </c>
      <c r="D168" s="85" t="s">
        <v>10</v>
      </c>
      <c r="E168" s="86" t="s">
        <v>325</v>
      </c>
      <c r="F168" s="87" t="s">
        <v>94</v>
      </c>
      <c r="G168" s="105" t="s">
        <v>649</v>
      </c>
      <c r="H168" s="85" t="s">
        <v>10</v>
      </c>
      <c r="I168" s="86" t="s">
        <v>325</v>
      </c>
      <c r="J168" s="87" t="s">
        <v>94</v>
      </c>
      <c r="K168" s="85" t="s">
        <v>98</v>
      </c>
      <c r="L168" s="149" t="s">
        <v>99</v>
      </c>
      <c r="M168" s="170"/>
      <c r="N168" s="88"/>
      <c r="O168" s="93"/>
      <c r="P168" s="94"/>
      <c r="Q168" s="92"/>
    </row>
    <row r="169" spans="1:17" x14ac:dyDescent="0.2">
      <c r="A169" s="34">
        <f t="shared" si="4"/>
        <v>157</v>
      </c>
      <c r="B169" s="84" t="s">
        <v>1453</v>
      </c>
      <c r="C169" s="105" t="s">
        <v>594</v>
      </c>
      <c r="D169" s="85" t="s">
        <v>10</v>
      </c>
      <c r="E169" s="86" t="s">
        <v>325</v>
      </c>
      <c r="F169" s="87" t="s">
        <v>94</v>
      </c>
      <c r="G169" s="105" t="s">
        <v>650</v>
      </c>
      <c r="H169" s="85" t="s">
        <v>10</v>
      </c>
      <c r="I169" s="86" t="s">
        <v>325</v>
      </c>
      <c r="J169" s="87" t="s">
        <v>94</v>
      </c>
      <c r="K169" s="85" t="s">
        <v>98</v>
      </c>
      <c r="L169" s="149" t="s">
        <v>99</v>
      </c>
      <c r="M169" s="170"/>
      <c r="N169" s="88"/>
      <c r="O169" s="93"/>
      <c r="P169" s="94"/>
      <c r="Q169" s="92"/>
    </row>
    <row r="170" spans="1:17" x14ac:dyDescent="0.2">
      <c r="A170" s="34">
        <f t="shared" si="4"/>
        <v>158</v>
      </c>
      <c r="B170" s="84" t="s">
        <v>1454</v>
      </c>
      <c r="C170" s="105" t="s">
        <v>595</v>
      </c>
      <c r="D170" s="85" t="s">
        <v>10</v>
      </c>
      <c r="E170" s="86" t="s">
        <v>325</v>
      </c>
      <c r="F170" s="87" t="s">
        <v>94</v>
      </c>
      <c r="G170" s="105" t="s">
        <v>651</v>
      </c>
      <c r="H170" s="85" t="s">
        <v>10</v>
      </c>
      <c r="I170" s="86" t="s">
        <v>325</v>
      </c>
      <c r="J170" s="87" t="s">
        <v>94</v>
      </c>
      <c r="K170" s="85" t="s">
        <v>98</v>
      </c>
      <c r="L170" s="149" t="s">
        <v>99</v>
      </c>
      <c r="M170" s="170"/>
      <c r="N170" s="88"/>
      <c r="O170" s="93"/>
      <c r="P170" s="94"/>
      <c r="Q170" s="92"/>
    </row>
    <row r="171" spans="1:17" x14ac:dyDescent="0.2">
      <c r="A171" s="34">
        <f t="shared" si="4"/>
        <v>159</v>
      </c>
      <c r="B171" s="84" t="s">
        <v>1455</v>
      </c>
      <c r="C171" s="105" t="s">
        <v>596</v>
      </c>
      <c r="D171" s="85" t="s">
        <v>10</v>
      </c>
      <c r="E171" s="86" t="s">
        <v>325</v>
      </c>
      <c r="F171" s="87" t="s">
        <v>94</v>
      </c>
      <c r="G171" s="105" t="s">
        <v>652</v>
      </c>
      <c r="H171" s="85" t="s">
        <v>10</v>
      </c>
      <c r="I171" s="86" t="s">
        <v>325</v>
      </c>
      <c r="J171" s="87" t="s">
        <v>94</v>
      </c>
      <c r="K171" s="85" t="s">
        <v>98</v>
      </c>
      <c r="L171" s="149" t="s">
        <v>99</v>
      </c>
      <c r="M171" s="170"/>
      <c r="N171" s="88"/>
      <c r="O171" s="93"/>
      <c r="P171" s="94"/>
      <c r="Q171" s="92"/>
    </row>
    <row r="172" spans="1:17" x14ac:dyDescent="0.2">
      <c r="A172" s="34">
        <f t="shared" si="4"/>
        <v>160</v>
      </c>
      <c r="B172" s="84" t="s">
        <v>1456</v>
      </c>
      <c r="C172" s="105" t="s">
        <v>597</v>
      </c>
      <c r="D172" s="85" t="s">
        <v>10</v>
      </c>
      <c r="E172" s="86" t="s">
        <v>325</v>
      </c>
      <c r="F172" s="87" t="s">
        <v>94</v>
      </c>
      <c r="G172" s="105" t="s">
        <v>653</v>
      </c>
      <c r="H172" s="85" t="s">
        <v>10</v>
      </c>
      <c r="I172" s="86" t="s">
        <v>325</v>
      </c>
      <c r="J172" s="87" t="s">
        <v>94</v>
      </c>
      <c r="K172" s="85" t="s">
        <v>98</v>
      </c>
      <c r="L172" s="149" t="s">
        <v>99</v>
      </c>
      <c r="M172" s="170"/>
      <c r="N172" s="88"/>
      <c r="O172" s="93"/>
      <c r="P172" s="94"/>
      <c r="Q172" s="92"/>
    </row>
    <row r="173" spans="1:17" x14ac:dyDescent="0.2">
      <c r="A173" s="34">
        <f t="shared" si="4"/>
        <v>161</v>
      </c>
      <c r="B173" s="84" t="s">
        <v>1457</v>
      </c>
      <c r="C173" s="105" t="s">
        <v>598</v>
      </c>
      <c r="D173" s="85" t="s">
        <v>10</v>
      </c>
      <c r="E173" s="86" t="s">
        <v>382</v>
      </c>
      <c r="F173" s="87" t="s">
        <v>94</v>
      </c>
      <c r="G173" s="105" t="s">
        <v>654</v>
      </c>
      <c r="H173" s="85" t="s">
        <v>10</v>
      </c>
      <c r="I173" s="86" t="s">
        <v>325</v>
      </c>
      <c r="J173" s="87" t="s">
        <v>94</v>
      </c>
      <c r="K173" s="85" t="s">
        <v>98</v>
      </c>
      <c r="L173" s="149" t="s">
        <v>99</v>
      </c>
      <c r="M173" s="170"/>
      <c r="N173" s="88"/>
      <c r="O173" s="93"/>
      <c r="P173" s="94"/>
      <c r="Q173" s="92"/>
    </row>
    <row r="174" spans="1:17" x14ac:dyDescent="0.2">
      <c r="A174" s="34">
        <f t="shared" si="4"/>
        <v>162</v>
      </c>
      <c r="B174" s="84" t="s">
        <v>1458</v>
      </c>
      <c r="C174" s="105" t="s">
        <v>599</v>
      </c>
      <c r="D174" s="85" t="s">
        <v>10</v>
      </c>
      <c r="E174" s="86" t="s">
        <v>382</v>
      </c>
      <c r="F174" s="87" t="s">
        <v>94</v>
      </c>
      <c r="G174" s="105" t="s">
        <v>655</v>
      </c>
      <c r="H174" s="85" t="s">
        <v>10</v>
      </c>
      <c r="I174" s="86" t="s">
        <v>325</v>
      </c>
      <c r="J174" s="87" t="s">
        <v>94</v>
      </c>
      <c r="K174" s="85" t="s">
        <v>98</v>
      </c>
      <c r="L174" s="149" t="s">
        <v>99</v>
      </c>
      <c r="M174" s="170"/>
      <c r="N174" s="88"/>
      <c r="O174" s="93"/>
      <c r="P174" s="94"/>
      <c r="Q174" s="92"/>
    </row>
    <row r="175" spans="1:17" x14ac:dyDescent="0.2">
      <c r="A175" s="34">
        <f t="shared" si="4"/>
        <v>163</v>
      </c>
      <c r="B175" s="84" t="s">
        <v>1459</v>
      </c>
      <c r="C175" s="105" t="s">
        <v>600</v>
      </c>
      <c r="D175" s="85" t="s">
        <v>10</v>
      </c>
      <c r="E175" s="86" t="s">
        <v>382</v>
      </c>
      <c r="F175" s="87" t="s">
        <v>94</v>
      </c>
      <c r="G175" s="105" t="s">
        <v>656</v>
      </c>
      <c r="H175" s="85" t="s">
        <v>10</v>
      </c>
      <c r="I175" s="86" t="s">
        <v>325</v>
      </c>
      <c r="J175" s="87" t="s">
        <v>94</v>
      </c>
      <c r="K175" s="85" t="s">
        <v>98</v>
      </c>
      <c r="L175" s="149" t="s">
        <v>99</v>
      </c>
      <c r="M175" s="170"/>
      <c r="N175" s="88"/>
      <c r="O175" s="93"/>
      <c r="P175" s="94"/>
      <c r="Q175" s="92"/>
    </row>
    <row r="176" spans="1:17" x14ac:dyDescent="0.2">
      <c r="A176" s="34">
        <f t="shared" si="4"/>
        <v>164</v>
      </c>
      <c r="B176" s="84" t="s">
        <v>1460</v>
      </c>
      <c r="C176" s="105" t="s">
        <v>601</v>
      </c>
      <c r="D176" s="85" t="s">
        <v>10</v>
      </c>
      <c r="E176" s="86" t="s">
        <v>382</v>
      </c>
      <c r="F176" s="87" t="s">
        <v>94</v>
      </c>
      <c r="G176" s="105" t="s">
        <v>657</v>
      </c>
      <c r="H176" s="85" t="s">
        <v>10</v>
      </c>
      <c r="I176" s="86" t="s">
        <v>325</v>
      </c>
      <c r="J176" s="87" t="s">
        <v>94</v>
      </c>
      <c r="K176" s="85" t="s">
        <v>98</v>
      </c>
      <c r="L176" s="149" t="s">
        <v>99</v>
      </c>
      <c r="M176" s="170"/>
      <c r="N176" s="88"/>
      <c r="O176" s="93"/>
      <c r="P176" s="94"/>
      <c r="Q176" s="92"/>
    </row>
    <row r="177" spans="1:17" x14ac:dyDescent="0.2">
      <c r="A177" s="34">
        <f t="shared" si="4"/>
        <v>165</v>
      </c>
      <c r="B177" s="84" t="s">
        <v>1461</v>
      </c>
      <c r="C177" s="105" t="s">
        <v>602</v>
      </c>
      <c r="D177" s="85" t="s">
        <v>10</v>
      </c>
      <c r="E177" s="86" t="s">
        <v>382</v>
      </c>
      <c r="F177" s="87" t="s">
        <v>94</v>
      </c>
      <c r="G177" s="105" t="s">
        <v>658</v>
      </c>
      <c r="H177" s="85" t="s">
        <v>10</v>
      </c>
      <c r="I177" s="86" t="s">
        <v>325</v>
      </c>
      <c r="J177" s="87" t="s">
        <v>94</v>
      </c>
      <c r="K177" s="85" t="s">
        <v>98</v>
      </c>
      <c r="L177" s="149" t="s">
        <v>99</v>
      </c>
      <c r="M177" s="170"/>
      <c r="N177" s="88"/>
      <c r="O177" s="93"/>
      <c r="P177" s="94"/>
      <c r="Q177" s="92"/>
    </row>
    <row r="178" spans="1:17" x14ac:dyDescent="0.2">
      <c r="A178" s="34">
        <f t="shared" si="4"/>
        <v>166</v>
      </c>
      <c r="B178" s="84" t="s">
        <v>1462</v>
      </c>
      <c r="C178" s="105" t="s">
        <v>603</v>
      </c>
      <c r="D178" s="85" t="s">
        <v>10</v>
      </c>
      <c r="E178" s="86" t="s">
        <v>382</v>
      </c>
      <c r="F178" s="87" t="s">
        <v>94</v>
      </c>
      <c r="G178" s="105" t="s">
        <v>659</v>
      </c>
      <c r="H178" s="85" t="s">
        <v>10</v>
      </c>
      <c r="I178" s="86" t="s">
        <v>325</v>
      </c>
      <c r="J178" s="87" t="s">
        <v>94</v>
      </c>
      <c r="K178" s="85" t="s">
        <v>98</v>
      </c>
      <c r="L178" s="149" t="s">
        <v>99</v>
      </c>
      <c r="M178" s="170"/>
      <c r="N178" s="88"/>
      <c r="O178" s="93"/>
      <c r="P178" s="94"/>
      <c r="Q178" s="92"/>
    </row>
    <row r="179" spans="1:17" x14ac:dyDescent="0.2">
      <c r="A179" s="34">
        <f t="shared" si="4"/>
        <v>167</v>
      </c>
      <c r="B179" s="84" t="s">
        <v>1463</v>
      </c>
      <c r="C179" s="105" t="s">
        <v>604</v>
      </c>
      <c r="D179" s="85" t="s">
        <v>10</v>
      </c>
      <c r="E179" s="86" t="s">
        <v>382</v>
      </c>
      <c r="F179" s="87" t="s">
        <v>94</v>
      </c>
      <c r="G179" s="105" t="s">
        <v>660</v>
      </c>
      <c r="H179" s="85" t="s">
        <v>10</v>
      </c>
      <c r="I179" s="86" t="s">
        <v>325</v>
      </c>
      <c r="J179" s="87" t="s">
        <v>94</v>
      </c>
      <c r="K179" s="85" t="s">
        <v>98</v>
      </c>
      <c r="L179" s="149" t="s">
        <v>99</v>
      </c>
      <c r="M179" s="170"/>
      <c r="N179" s="88"/>
      <c r="O179" s="93"/>
      <c r="P179" s="94"/>
      <c r="Q179" s="92"/>
    </row>
    <row r="180" spans="1:17" x14ac:dyDescent="0.2">
      <c r="A180" s="34">
        <f t="shared" si="4"/>
        <v>168</v>
      </c>
      <c r="B180" s="84" t="s">
        <v>1464</v>
      </c>
      <c r="C180" s="105" t="s">
        <v>605</v>
      </c>
      <c r="D180" s="85" t="s">
        <v>10</v>
      </c>
      <c r="E180" s="86" t="s">
        <v>382</v>
      </c>
      <c r="F180" s="87" t="s">
        <v>94</v>
      </c>
      <c r="G180" s="105" t="s">
        <v>661</v>
      </c>
      <c r="H180" s="85" t="s">
        <v>10</v>
      </c>
      <c r="I180" s="86" t="s">
        <v>325</v>
      </c>
      <c r="J180" s="87" t="s">
        <v>94</v>
      </c>
      <c r="K180" s="85" t="s">
        <v>98</v>
      </c>
      <c r="L180" s="149" t="s">
        <v>99</v>
      </c>
      <c r="M180" s="171"/>
      <c r="N180" s="88"/>
      <c r="O180" s="93"/>
      <c r="P180" s="94"/>
      <c r="Q180" s="92"/>
    </row>
    <row r="181" spans="1:17" x14ac:dyDescent="0.2">
      <c r="A181" s="34"/>
      <c r="B181" s="84"/>
      <c r="C181" s="105"/>
      <c r="D181" s="85"/>
      <c r="E181" s="86"/>
      <c r="F181" s="87"/>
      <c r="G181" s="105"/>
      <c r="H181" s="85"/>
      <c r="I181" s="86"/>
      <c r="J181" s="87"/>
      <c r="K181" s="85"/>
      <c r="L181" s="85"/>
      <c r="M181" s="88"/>
      <c r="N181" s="88"/>
      <c r="O181" s="93"/>
      <c r="P181" s="94"/>
      <c r="Q181" s="92"/>
    </row>
    <row r="182" spans="1:17" x14ac:dyDescent="0.2">
      <c r="A182" s="34"/>
      <c r="B182" s="84"/>
      <c r="C182" s="105"/>
      <c r="D182" s="85"/>
      <c r="E182" s="86"/>
      <c r="F182" s="87"/>
      <c r="G182" s="105"/>
      <c r="H182" s="85"/>
      <c r="I182" s="86"/>
      <c r="J182" s="87"/>
      <c r="K182" s="85"/>
      <c r="L182" s="85"/>
      <c r="M182" s="88"/>
      <c r="N182" s="88"/>
      <c r="O182" s="93"/>
      <c r="P182" s="94"/>
      <c r="Q182" s="92"/>
    </row>
    <row r="183" spans="1:17" x14ac:dyDescent="0.2">
      <c r="A183" s="34">
        <f>A180+1</f>
        <v>169</v>
      </c>
      <c r="B183" s="84" t="s">
        <v>1466</v>
      </c>
      <c r="C183" s="105" t="s">
        <v>662</v>
      </c>
      <c r="D183" s="85" t="s">
        <v>10</v>
      </c>
      <c r="E183" s="86" t="s">
        <v>325</v>
      </c>
      <c r="F183" s="87" t="s">
        <v>94</v>
      </c>
      <c r="G183" s="105" t="s">
        <v>678</v>
      </c>
      <c r="H183" s="85" t="s">
        <v>10</v>
      </c>
      <c r="I183" s="86" t="s">
        <v>282</v>
      </c>
      <c r="J183" s="87" t="s">
        <v>94</v>
      </c>
      <c r="K183" s="85" t="s">
        <v>98</v>
      </c>
      <c r="L183" s="85" t="s">
        <v>99</v>
      </c>
      <c r="M183" s="88"/>
      <c r="N183" s="88"/>
      <c r="O183" s="93"/>
      <c r="P183" s="94"/>
      <c r="Q183" s="92"/>
    </row>
    <row r="184" spans="1:17" x14ac:dyDescent="0.2">
      <c r="A184" s="34">
        <f t="shared" si="4"/>
        <v>170</v>
      </c>
      <c r="B184" s="84" t="s">
        <v>1467</v>
      </c>
      <c r="C184" s="105" t="s">
        <v>663</v>
      </c>
      <c r="D184" s="85" t="s">
        <v>10</v>
      </c>
      <c r="E184" s="86" t="s">
        <v>325</v>
      </c>
      <c r="F184" s="87" t="s">
        <v>94</v>
      </c>
      <c r="G184" s="105" t="s">
        <v>679</v>
      </c>
      <c r="H184" s="85" t="s">
        <v>10</v>
      </c>
      <c r="I184" s="86" t="s">
        <v>282</v>
      </c>
      <c r="J184" s="87" t="s">
        <v>94</v>
      </c>
      <c r="K184" s="85" t="s">
        <v>98</v>
      </c>
      <c r="L184" s="85" t="s">
        <v>99</v>
      </c>
      <c r="M184" s="88"/>
      <c r="N184" s="96"/>
      <c r="O184" s="93"/>
      <c r="P184" s="94"/>
      <c r="Q184" s="92"/>
    </row>
    <row r="185" spans="1:17" x14ac:dyDescent="0.2">
      <c r="A185" s="34">
        <f t="shared" si="4"/>
        <v>171</v>
      </c>
      <c r="B185" s="84" t="s">
        <v>1468</v>
      </c>
      <c r="C185" s="105" t="s">
        <v>664</v>
      </c>
      <c r="D185" s="85" t="s">
        <v>10</v>
      </c>
      <c r="E185" s="86" t="s">
        <v>325</v>
      </c>
      <c r="F185" s="87" t="s">
        <v>94</v>
      </c>
      <c r="G185" s="105" t="s">
        <v>680</v>
      </c>
      <c r="H185" s="85" t="s">
        <v>10</v>
      </c>
      <c r="I185" s="86" t="s">
        <v>282</v>
      </c>
      <c r="J185" s="87" t="s">
        <v>94</v>
      </c>
      <c r="K185" s="85" t="s">
        <v>98</v>
      </c>
      <c r="L185" s="85" t="s">
        <v>99</v>
      </c>
      <c r="M185" s="88"/>
      <c r="N185" s="96"/>
      <c r="O185" s="93"/>
      <c r="P185" s="94"/>
      <c r="Q185" s="92"/>
    </row>
    <row r="186" spans="1:17" x14ac:dyDescent="0.2">
      <c r="A186" s="34">
        <f t="shared" si="4"/>
        <v>172</v>
      </c>
      <c r="B186" s="84" t="s">
        <v>1469</v>
      </c>
      <c r="C186" s="105" t="s">
        <v>665</v>
      </c>
      <c r="D186" s="85" t="s">
        <v>10</v>
      </c>
      <c r="E186" s="86" t="s">
        <v>325</v>
      </c>
      <c r="F186" s="87" t="s">
        <v>94</v>
      </c>
      <c r="G186" s="105" t="s">
        <v>681</v>
      </c>
      <c r="H186" s="85" t="s">
        <v>10</v>
      </c>
      <c r="I186" s="86" t="s">
        <v>282</v>
      </c>
      <c r="J186" s="87" t="s">
        <v>94</v>
      </c>
      <c r="K186" s="85" t="s">
        <v>98</v>
      </c>
      <c r="L186" s="85" t="s">
        <v>99</v>
      </c>
      <c r="M186" s="88"/>
      <c r="N186" s="89"/>
      <c r="O186" s="90"/>
      <c r="P186" s="91"/>
      <c r="Q186" s="92"/>
    </row>
    <row r="187" spans="1:17" x14ac:dyDescent="0.2">
      <c r="A187" s="34">
        <f t="shared" si="4"/>
        <v>173</v>
      </c>
      <c r="B187" s="84" t="s">
        <v>1470</v>
      </c>
      <c r="C187" s="105" t="s">
        <v>666</v>
      </c>
      <c r="D187" s="85" t="s">
        <v>10</v>
      </c>
      <c r="E187" s="86" t="s">
        <v>325</v>
      </c>
      <c r="F187" s="87" t="s">
        <v>94</v>
      </c>
      <c r="G187" s="105" t="s">
        <v>682</v>
      </c>
      <c r="H187" s="85" t="s">
        <v>10</v>
      </c>
      <c r="I187" s="86" t="s">
        <v>282</v>
      </c>
      <c r="J187" s="87" t="s">
        <v>94</v>
      </c>
      <c r="K187" s="85" t="s">
        <v>98</v>
      </c>
      <c r="L187" s="85" t="s">
        <v>99</v>
      </c>
      <c r="M187" s="88"/>
      <c r="N187" s="89"/>
      <c r="O187" s="90"/>
      <c r="P187" s="91"/>
      <c r="Q187" s="92"/>
    </row>
    <row r="188" spans="1:17" x14ac:dyDescent="0.2">
      <c r="A188" s="34">
        <f t="shared" si="4"/>
        <v>174</v>
      </c>
      <c r="B188" s="84" t="s">
        <v>1471</v>
      </c>
      <c r="C188" s="105" t="s">
        <v>667</v>
      </c>
      <c r="D188" s="85" t="s">
        <v>10</v>
      </c>
      <c r="E188" s="86" t="s">
        <v>325</v>
      </c>
      <c r="F188" s="87" t="s">
        <v>94</v>
      </c>
      <c r="G188" s="105" t="s">
        <v>683</v>
      </c>
      <c r="H188" s="85" t="s">
        <v>10</v>
      </c>
      <c r="I188" s="86" t="s">
        <v>282</v>
      </c>
      <c r="J188" s="87" t="s">
        <v>94</v>
      </c>
      <c r="K188" s="85" t="s">
        <v>98</v>
      </c>
      <c r="L188" s="85" t="s">
        <v>99</v>
      </c>
      <c r="M188" s="88"/>
      <c r="N188" s="88"/>
      <c r="O188" s="93"/>
      <c r="P188" s="94"/>
      <c r="Q188" s="92"/>
    </row>
    <row r="189" spans="1:17" x14ac:dyDescent="0.2">
      <c r="A189" s="34">
        <f t="shared" si="4"/>
        <v>175</v>
      </c>
      <c r="B189" s="84" t="s">
        <v>1472</v>
      </c>
      <c r="C189" s="105" t="s">
        <v>668</v>
      </c>
      <c r="D189" s="85" t="s">
        <v>10</v>
      </c>
      <c r="E189" s="86" t="s">
        <v>325</v>
      </c>
      <c r="F189" s="87" t="s">
        <v>94</v>
      </c>
      <c r="G189" s="105" t="s">
        <v>684</v>
      </c>
      <c r="H189" s="85" t="s">
        <v>10</v>
      </c>
      <c r="I189" s="86" t="s">
        <v>282</v>
      </c>
      <c r="J189" s="87" t="s">
        <v>94</v>
      </c>
      <c r="K189" s="85" t="s">
        <v>98</v>
      </c>
      <c r="L189" s="85" t="s">
        <v>99</v>
      </c>
      <c r="M189" s="88"/>
      <c r="N189" s="88"/>
      <c r="O189" s="93"/>
      <c r="P189" s="94"/>
      <c r="Q189" s="92"/>
    </row>
    <row r="190" spans="1:17" x14ac:dyDescent="0.2">
      <c r="A190" s="34">
        <f t="shared" si="4"/>
        <v>176</v>
      </c>
      <c r="B190" s="84" t="s">
        <v>1473</v>
      </c>
      <c r="C190" s="105" t="s">
        <v>669</v>
      </c>
      <c r="D190" s="85" t="s">
        <v>10</v>
      </c>
      <c r="E190" s="86" t="s">
        <v>325</v>
      </c>
      <c r="F190" s="87" t="s">
        <v>94</v>
      </c>
      <c r="G190" s="105" t="s">
        <v>685</v>
      </c>
      <c r="H190" s="85" t="s">
        <v>10</v>
      </c>
      <c r="I190" s="86" t="s">
        <v>282</v>
      </c>
      <c r="J190" s="87" t="s">
        <v>94</v>
      </c>
      <c r="K190" s="85" t="s">
        <v>98</v>
      </c>
      <c r="L190" s="85" t="s">
        <v>99</v>
      </c>
      <c r="M190" s="88"/>
      <c r="N190" s="88"/>
      <c r="O190" s="93"/>
      <c r="P190" s="94"/>
      <c r="Q190" s="92"/>
    </row>
    <row r="191" spans="1:17" x14ac:dyDescent="0.2">
      <c r="A191" s="34">
        <f t="shared" si="4"/>
        <v>177</v>
      </c>
      <c r="B191" s="84" t="s">
        <v>1474</v>
      </c>
      <c r="C191" s="105" t="s">
        <v>670</v>
      </c>
      <c r="D191" s="85" t="s">
        <v>10</v>
      </c>
      <c r="E191" s="86" t="s">
        <v>325</v>
      </c>
      <c r="F191" s="87" t="s">
        <v>94</v>
      </c>
      <c r="G191" s="105" t="s">
        <v>686</v>
      </c>
      <c r="H191" s="85" t="s">
        <v>10</v>
      </c>
      <c r="I191" s="86" t="s">
        <v>282</v>
      </c>
      <c r="J191" s="87" t="s">
        <v>94</v>
      </c>
      <c r="K191" s="85" t="s">
        <v>98</v>
      </c>
      <c r="L191" s="85" t="s">
        <v>99</v>
      </c>
      <c r="M191" s="88"/>
      <c r="N191" s="88"/>
      <c r="O191" s="93"/>
      <c r="P191" s="94"/>
      <c r="Q191" s="92"/>
    </row>
    <row r="192" spans="1:17" x14ac:dyDescent="0.2">
      <c r="A192" s="34">
        <f t="shared" si="4"/>
        <v>178</v>
      </c>
      <c r="B192" s="84" t="s">
        <v>1475</v>
      </c>
      <c r="C192" s="105" t="s">
        <v>671</v>
      </c>
      <c r="D192" s="85" t="s">
        <v>10</v>
      </c>
      <c r="E192" s="86" t="s">
        <v>325</v>
      </c>
      <c r="F192" s="87" t="s">
        <v>94</v>
      </c>
      <c r="G192" s="105" t="s">
        <v>687</v>
      </c>
      <c r="H192" s="85" t="s">
        <v>10</v>
      </c>
      <c r="I192" s="86" t="s">
        <v>282</v>
      </c>
      <c r="J192" s="87" t="s">
        <v>94</v>
      </c>
      <c r="K192" s="85" t="s">
        <v>98</v>
      </c>
      <c r="L192" s="85" t="s">
        <v>99</v>
      </c>
      <c r="M192" s="88"/>
      <c r="N192" s="88"/>
      <c r="O192" s="93"/>
      <c r="P192" s="94"/>
      <c r="Q192" s="92"/>
    </row>
    <row r="193" spans="1:17" x14ac:dyDescent="0.2">
      <c r="A193" s="34">
        <f t="shared" si="4"/>
        <v>179</v>
      </c>
      <c r="B193" s="84" t="s">
        <v>1476</v>
      </c>
      <c r="C193" s="105" t="s">
        <v>672</v>
      </c>
      <c r="D193" s="85" t="s">
        <v>10</v>
      </c>
      <c r="E193" s="86" t="s">
        <v>325</v>
      </c>
      <c r="F193" s="87" t="s">
        <v>94</v>
      </c>
      <c r="G193" s="105" t="s">
        <v>688</v>
      </c>
      <c r="H193" s="85" t="s">
        <v>10</v>
      </c>
      <c r="I193" s="86" t="s">
        <v>282</v>
      </c>
      <c r="J193" s="87" t="s">
        <v>94</v>
      </c>
      <c r="K193" s="85" t="s">
        <v>98</v>
      </c>
      <c r="L193" s="85" t="s">
        <v>99</v>
      </c>
      <c r="M193" s="88"/>
      <c r="N193" s="88"/>
      <c r="O193" s="93"/>
      <c r="P193" s="94"/>
      <c r="Q193" s="92"/>
    </row>
    <row r="194" spans="1:17" x14ac:dyDescent="0.2">
      <c r="A194" s="34">
        <f t="shared" si="4"/>
        <v>180</v>
      </c>
      <c r="B194" s="84" t="s">
        <v>1477</v>
      </c>
      <c r="C194" s="105" t="s">
        <v>673</v>
      </c>
      <c r="D194" s="85" t="s">
        <v>10</v>
      </c>
      <c r="E194" s="86" t="s">
        <v>325</v>
      </c>
      <c r="F194" s="87" t="s">
        <v>94</v>
      </c>
      <c r="G194" s="105" t="s">
        <v>689</v>
      </c>
      <c r="H194" s="85" t="s">
        <v>10</v>
      </c>
      <c r="I194" s="86" t="s">
        <v>282</v>
      </c>
      <c r="J194" s="87" t="s">
        <v>94</v>
      </c>
      <c r="K194" s="85" t="s">
        <v>98</v>
      </c>
      <c r="L194" s="85" t="s">
        <v>99</v>
      </c>
      <c r="M194" s="88"/>
      <c r="N194" s="88"/>
      <c r="O194" s="93"/>
      <c r="P194" s="94"/>
      <c r="Q194" s="92"/>
    </row>
    <row r="195" spans="1:17" x14ac:dyDescent="0.2">
      <c r="A195" s="34">
        <f t="shared" si="4"/>
        <v>181</v>
      </c>
      <c r="B195" s="84" t="s">
        <v>1478</v>
      </c>
      <c r="C195" s="105" t="s">
        <v>674</v>
      </c>
      <c r="D195" s="85" t="s">
        <v>10</v>
      </c>
      <c r="E195" s="86" t="s">
        <v>325</v>
      </c>
      <c r="F195" s="87" t="s">
        <v>94</v>
      </c>
      <c r="G195" s="105" t="s">
        <v>690</v>
      </c>
      <c r="H195" s="85" t="s">
        <v>10</v>
      </c>
      <c r="I195" s="86" t="s">
        <v>282</v>
      </c>
      <c r="J195" s="87" t="s">
        <v>94</v>
      </c>
      <c r="K195" s="85" t="s">
        <v>98</v>
      </c>
      <c r="L195" s="85" t="s">
        <v>99</v>
      </c>
      <c r="M195" s="88"/>
      <c r="N195" s="88"/>
      <c r="O195" s="93"/>
      <c r="P195" s="94"/>
      <c r="Q195" s="92"/>
    </row>
    <row r="196" spans="1:17" x14ac:dyDescent="0.2">
      <c r="A196" s="34">
        <f t="shared" si="4"/>
        <v>182</v>
      </c>
      <c r="B196" s="84" t="s">
        <v>1479</v>
      </c>
      <c r="C196" s="105" t="s">
        <v>675</v>
      </c>
      <c r="D196" s="85" t="s">
        <v>10</v>
      </c>
      <c r="E196" s="86" t="s">
        <v>325</v>
      </c>
      <c r="F196" s="87" t="s">
        <v>94</v>
      </c>
      <c r="G196" s="105" t="s">
        <v>691</v>
      </c>
      <c r="H196" s="85" t="s">
        <v>10</v>
      </c>
      <c r="I196" s="86" t="s">
        <v>282</v>
      </c>
      <c r="J196" s="87" t="s">
        <v>94</v>
      </c>
      <c r="K196" s="85" t="s">
        <v>98</v>
      </c>
      <c r="L196" s="85" t="s">
        <v>99</v>
      </c>
      <c r="M196" s="88"/>
      <c r="N196" s="88"/>
      <c r="O196" s="93"/>
      <c r="P196" s="94"/>
      <c r="Q196" s="92"/>
    </row>
    <row r="197" spans="1:17" x14ac:dyDescent="0.2">
      <c r="A197" s="34">
        <f t="shared" si="4"/>
        <v>183</v>
      </c>
      <c r="B197" s="84" t="s">
        <v>1480</v>
      </c>
      <c r="C197" s="105" t="s">
        <v>676</v>
      </c>
      <c r="D197" s="85" t="s">
        <v>10</v>
      </c>
      <c r="E197" s="86" t="s">
        <v>325</v>
      </c>
      <c r="F197" s="87" t="s">
        <v>94</v>
      </c>
      <c r="G197" s="105" t="s">
        <v>692</v>
      </c>
      <c r="H197" s="85" t="s">
        <v>10</v>
      </c>
      <c r="I197" s="86" t="s">
        <v>282</v>
      </c>
      <c r="J197" s="87" t="s">
        <v>94</v>
      </c>
      <c r="K197" s="85" t="s">
        <v>98</v>
      </c>
      <c r="L197" s="85" t="s">
        <v>99</v>
      </c>
      <c r="M197" s="88"/>
      <c r="N197" s="88"/>
      <c r="O197" s="93"/>
      <c r="P197" s="94"/>
      <c r="Q197" s="92"/>
    </row>
    <row r="198" spans="1:17" x14ac:dyDescent="0.2">
      <c r="A198" s="34">
        <f t="shared" si="4"/>
        <v>184</v>
      </c>
      <c r="B198" s="84" t="s">
        <v>1481</v>
      </c>
      <c r="C198" s="105" t="s">
        <v>677</v>
      </c>
      <c r="D198" s="85" t="s">
        <v>10</v>
      </c>
      <c r="E198" s="86" t="s">
        <v>325</v>
      </c>
      <c r="F198" s="87" t="s">
        <v>94</v>
      </c>
      <c r="G198" s="105" t="s">
        <v>693</v>
      </c>
      <c r="H198" s="85" t="s">
        <v>10</v>
      </c>
      <c r="I198" s="86" t="s">
        <v>282</v>
      </c>
      <c r="J198" s="87" t="s">
        <v>94</v>
      </c>
      <c r="K198" s="85" t="s">
        <v>98</v>
      </c>
      <c r="L198" s="85" t="s">
        <v>99</v>
      </c>
      <c r="M198" s="88"/>
      <c r="N198" s="88"/>
      <c r="O198" s="93"/>
      <c r="P198" s="94"/>
      <c r="Q198" s="92"/>
    </row>
    <row r="199" spans="1:17" x14ac:dyDescent="0.2">
      <c r="A199" s="34"/>
      <c r="B199" s="84"/>
      <c r="C199" s="105"/>
      <c r="D199" s="85"/>
      <c r="E199" s="86"/>
      <c r="F199" s="87"/>
      <c r="G199" s="105"/>
      <c r="H199" s="85"/>
      <c r="I199" s="86"/>
      <c r="J199" s="87"/>
      <c r="K199" s="85"/>
      <c r="L199" s="85"/>
      <c r="M199" s="88"/>
      <c r="N199" s="88"/>
      <c r="O199" s="93"/>
      <c r="P199" s="94"/>
      <c r="Q199" s="92"/>
    </row>
    <row r="200" spans="1:17" ht="13.5" thickBot="1" x14ac:dyDescent="0.25">
      <c r="A200" s="51"/>
      <c r="B200" s="98"/>
      <c r="C200" s="106"/>
      <c r="D200" s="99"/>
      <c r="E200" s="100"/>
      <c r="F200" s="101"/>
      <c r="G200" s="106"/>
      <c r="H200" s="99"/>
      <c r="I200" s="100"/>
      <c r="J200" s="101"/>
      <c r="K200" s="99"/>
      <c r="L200" s="99"/>
      <c r="M200" s="102"/>
      <c r="N200" s="102"/>
      <c r="O200" s="82"/>
      <c r="P200" s="83"/>
      <c r="Q200" s="103"/>
    </row>
    <row r="201" spans="1:17" x14ac:dyDescent="0.2">
      <c r="G201" s="107"/>
    </row>
    <row r="202" spans="1:17" x14ac:dyDescent="0.2">
      <c r="G202" s="107"/>
    </row>
    <row r="203" spans="1:17" x14ac:dyDescent="0.2">
      <c r="G203" s="107"/>
    </row>
    <row r="204" spans="1:17" x14ac:dyDescent="0.2">
      <c r="G204" s="107"/>
    </row>
    <row r="205" spans="1:17" x14ac:dyDescent="0.2">
      <c r="G205" s="107"/>
    </row>
    <row r="206" spans="1:17" x14ac:dyDescent="0.2">
      <c r="G206" s="107"/>
    </row>
    <row r="207" spans="1:17" x14ac:dyDescent="0.2">
      <c r="G207" s="107"/>
    </row>
    <row r="208" spans="1:17" x14ac:dyDescent="0.2">
      <c r="G208" s="107"/>
    </row>
  </sheetData>
  <autoFilter ref="A7:Q111"/>
  <mergeCells count="10">
    <mergeCell ref="M125:M180"/>
    <mergeCell ref="F3:H3"/>
    <mergeCell ref="A8:C8"/>
    <mergeCell ref="N1:Q2"/>
    <mergeCell ref="A6:A7"/>
    <mergeCell ref="B6:B7"/>
    <mergeCell ref="C6:F6"/>
    <mergeCell ref="M6:O6"/>
    <mergeCell ref="Q6:Q7"/>
    <mergeCell ref="F2:H2"/>
  </mergeCells>
  <printOptions horizontalCentered="1" verticalCentered="1"/>
  <pageMargins left="0.19685039370078741" right="0.23622047244094491" top="0.43307086614173229" bottom="0.74803149606299213" header="0.43307086614173229" footer="0.19685039370078741"/>
  <pageSetup paperSize="8" scale="56" pageOrder="overThenDown" orientation="landscape" horizontalDpi="300" verticalDpi="300" r:id="rId1"/>
  <headerFooter alignWithMargins="0">
    <oddFooter>&amp;C&amp;"Arial,Bold"ENVIVIO_AIRTEL DTH HE PROJECT
VIDEO CABLE SHEDULE 102-XX-XXXX&amp;R&amp;"Arial,Regular"&amp;10Page &amp;P of  &amp;N</oddFooter>
  </headerFooter>
  <drawing r:id="rId2"/>
  <legacyDrawing r:id="rId3"/>
  <controls>
    <mc:AlternateContent xmlns:mc="http://schemas.openxmlformats.org/markup-compatibility/2006">
      <mc:Choice Requires="x14">
        <control shapeId="8193" r:id="rId4" name="CommandButton1">
          <controlPr locked="0" defaultSize="0" print="0" disabled="1" autoFill="0" autoLine="0" r:id="rId5">
            <anchor moveWithCells="1">
              <from>
                <xdr:col>6</xdr:col>
                <xdr:colOff>942975</xdr:colOff>
                <xdr:row>3</xdr:row>
                <xdr:rowOff>19050</xdr:rowOff>
              </from>
              <to>
                <xdr:col>7</xdr:col>
                <xdr:colOff>85725</xdr:colOff>
                <xdr:row>4</xdr:row>
                <xdr:rowOff>104775</xdr:rowOff>
              </to>
            </anchor>
          </controlPr>
        </control>
      </mc:Choice>
      <mc:Fallback>
        <control shapeId="8193" r:id="rId4" name="Command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R122"/>
  <sheetViews>
    <sheetView zoomScale="85" zoomScaleNormal="85" zoomScaleSheetLayoutView="50" workbookViewId="0">
      <pane xSplit="2" topLeftCell="C1" activePane="topRight" state="frozen"/>
      <selection pane="topRight" activeCell="F2" sqref="F2:H2"/>
    </sheetView>
  </sheetViews>
  <sheetFormatPr defaultRowHeight="12.75" x14ac:dyDescent="0.2"/>
  <cols>
    <col min="1" max="1" width="6.83203125" style="18" bestFit="1" customWidth="1"/>
    <col min="2" max="2" width="10.83203125" style="7" bestFit="1" customWidth="1"/>
    <col min="3" max="3" width="31.5" style="2" bestFit="1" customWidth="1"/>
    <col min="4" max="4" width="14.33203125" style="7" bestFit="1" customWidth="1"/>
    <col min="5" max="5" width="15.5" style="7" bestFit="1" customWidth="1"/>
    <col min="6" max="6" width="12" style="7" bestFit="1" customWidth="1"/>
    <col min="7" max="7" width="34.83203125" style="6" bestFit="1" customWidth="1"/>
    <col min="8" max="8" width="14.33203125" style="7" bestFit="1" customWidth="1"/>
    <col min="9" max="9" width="15.5" style="7" bestFit="1" customWidth="1"/>
    <col min="10" max="10" width="12" style="6" bestFit="1" customWidth="1"/>
    <col min="11" max="11" width="16.83203125" style="7" bestFit="1" customWidth="1"/>
    <col min="12" max="12" width="11.6640625" style="7" bestFit="1" customWidth="1"/>
    <col min="13" max="13" width="10.1640625" style="49" bestFit="1" customWidth="1"/>
    <col min="14" max="14" width="10.83203125" style="49" bestFit="1" customWidth="1"/>
    <col min="15" max="15" width="13.33203125" style="7" bestFit="1" customWidth="1"/>
    <col min="16" max="16" width="9.83203125" style="18" bestFit="1" customWidth="1"/>
    <col min="17" max="17" width="18.6640625" style="6" bestFit="1" customWidth="1"/>
    <col min="18" max="21" width="9.33203125" style="7"/>
    <col min="22" max="22" width="14.5" style="7" customWidth="1"/>
    <col min="23" max="16384" width="9.33203125" style="7"/>
  </cols>
  <sheetData>
    <row r="1" spans="1:18" x14ac:dyDescent="0.2">
      <c r="B1" s="1"/>
      <c r="E1" s="18"/>
      <c r="G1" s="3"/>
      <c r="H1" s="4"/>
      <c r="I1" s="5"/>
      <c r="M1" s="109"/>
      <c r="N1" s="174" t="s">
        <v>31</v>
      </c>
      <c r="O1" s="174"/>
      <c r="P1" s="174"/>
      <c r="Q1" s="174"/>
    </row>
    <row r="2" spans="1:18" x14ac:dyDescent="0.2">
      <c r="B2" s="8" t="s">
        <v>11</v>
      </c>
      <c r="C2" s="9" t="s">
        <v>28</v>
      </c>
      <c r="D2" s="20" t="s">
        <v>19</v>
      </c>
      <c r="E2" s="21">
        <f>IF(COUNTA(D9:D1082)&gt;(COUNTA(H9:H1082)),(COUNTA(D9:D1082)+COUNTA(H9:H1082))-COUNTA(D9:D1082),(COUNTA(D9:D1082)+COUNTA(H9:H1082))-COUNTA(H9:H1082))</f>
        <v>112</v>
      </c>
      <c r="F2" s="158" t="s">
        <v>281</v>
      </c>
      <c r="G2" s="158"/>
      <c r="H2" s="158"/>
      <c r="I2" s="124"/>
      <c r="M2" s="22"/>
      <c r="N2" s="174"/>
      <c r="O2" s="174"/>
      <c r="P2" s="174"/>
      <c r="Q2" s="174"/>
    </row>
    <row r="3" spans="1:18" x14ac:dyDescent="0.2">
      <c r="B3" s="8" t="s">
        <v>12</v>
      </c>
      <c r="C3" s="62">
        <v>42413</v>
      </c>
      <c r="E3" s="124"/>
      <c r="F3" s="158" t="s">
        <v>696</v>
      </c>
      <c r="G3" s="158"/>
      <c r="H3" s="158"/>
      <c r="I3" s="124"/>
      <c r="J3" s="124"/>
      <c r="M3" s="7"/>
      <c r="N3" s="23" t="s">
        <v>32</v>
      </c>
      <c r="O3" s="24"/>
      <c r="P3" s="25"/>
      <c r="Q3" s="3"/>
      <c r="R3" s="4"/>
    </row>
    <row r="4" spans="1:18" x14ac:dyDescent="0.2">
      <c r="B4" s="8" t="s">
        <v>13</v>
      </c>
      <c r="C4" s="9" t="s">
        <v>30</v>
      </c>
      <c r="E4" s="18"/>
      <c r="G4" s="110"/>
      <c r="H4" s="11"/>
      <c r="I4" s="12"/>
      <c r="J4" s="13"/>
      <c r="M4" s="7"/>
      <c r="N4" s="23"/>
      <c r="O4" s="24"/>
      <c r="P4" s="25"/>
      <c r="Q4" s="3"/>
      <c r="R4" s="4"/>
    </row>
    <row r="5" spans="1:18" ht="13.5" thickBot="1" x14ac:dyDescent="0.25">
      <c r="B5" s="14"/>
      <c r="E5" s="18"/>
      <c r="G5" s="3"/>
      <c r="H5" s="11"/>
      <c r="I5" s="5"/>
      <c r="K5" s="4"/>
      <c r="L5" s="4"/>
      <c r="M5" s="26"/>
      <c r="N5" s="26"/>
      <c r="O5" s="15"/>
      <c r="P5" s="16"/>
      <c r="Q5" s="3"/>
    </row>
    <row r="6" spans="1:18" ht="12.75" customHeight="1" x14ac:dyDescent="0.2">
      <c r="A6" s="160" t="s">
        <v>0</v>
      </c>
      <c r="B6" s="175" t="s">
        <v>18</v>
      </c>
      <c r="C6" s="177" t="s">
        <v>2</v>
      </c>
      <c r="D6" s="177"/>
      <c r="E6" s="177"/>
      <c r="F6" s="177"/>
      <c r="G6" s="17" t="s">
        <v>3</v>
      </c>
      <c r="H6" s="114"/>
      <c r="I6" s="115"/>
      <c r="J6" s="17"/>
      <c r="K6" s="27" t="s">
        <v>4</v>
      </c>
      <c r="L6" s="129" t="s">
        <v>21</v>
      </c>
      <c r="M6" s="178" t="s">
        <v>15</v>
      </c>
      <c r="N6" s="179"/>
      <c r="O6" s="179"/>
      <c r="P6" s="116" t="s">
        <v>23</v>
      </c>
      <c r="Q6" s="167" t="s">
        <v>17</v>
      </c>
    </row>
    <row r="7" spans="1:18" s="4" customFormat="1" ht="13.5" thickBot="1" x14ac:dyDescent="0.25">
      <c r="A7" s="161"/>
      <c r="B7" s="176"/>
      <c r="C7" s="29" t="s">
        <v>20</v>
      </c>
      <c r="D7" s="30" t="s">
        <v>6</v>
      </c>
      <c r="E7" s="31" t="s">
        <v>7</v>
      </c>
      <c r="F7" s="30" t="s">
        <v>8</v>
      </c>
      <c r="G7" s="29" t="s">
        <v>5</v>
      </c>
      <c r="H7" s="30" t="s">
        <v>6</v>
      </c>
      <c r="I7" s="31" t="s">
        <v>7</v>
      </c>
      <c r="J7" s="29" t="s">
        <v>8</v>
      </c>
      <c r="K7" s="30" t="s">
        <v>14</v>
      </c>
      <c r="L7" s="32" t="s">
        <v>22</v>
      </c>
      <c r="M7" s="117" t="s">
        <v>16</v>
      </c>
      <c r="N7" s="117" t="s">
        <v>25</v>
      </c>
      <c r="O7" s="118" t="s">
        <v>9</v>
      </c>
      <c r="P7" s="119" t="s">
        <v>24</v>
      </c>
      <c r="Q7" s="168"/>
    </row>
    <row r="8" spans="1:18" s="4" customFormat="1" ht="12.75" customHeight="1" x14ac:dyDescent="0.2">
      <c r="A8" s="172" t="s">
        <v>101</v>
      </c>
      <c r="B8" s="173"/>
      <c r="C8" s="173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3"/>
    </row>
    <row r="9" spans="1:18" x14ac:dyDescent="0.2">
      <c r="A9" s="34">
        <v>1</v>
      </c>
      <c r="B9" s="35" t="s">
        <v>103</v>
      </c>
      <c r="C9" s="36" t="s">
        <v>697</v>
      </c>
      <c r="D9" s="37" t="s">
        <v>27</v>
      </c>
      <c r="E9" s="38"/>
      <c r="F9" s="39" t="s">
        <v>94</v>
      </c>
      <c r="G9" s="36" t="s">
        <v>989</v>
      </c>
      <c r="H9" s="37" t="s">
        <v>823</v>
      </c>
      <c r="I9" s="38" t="s">
        <v>325</v>
      </c>
      <c r="J9" s="39" t="s">
        <v>94</v>
      </c>
      <c r="K9" s="37" t="s">
        <v>102</v>
      </c>
      <c r="L9" s="37" t="s">
        <v>96</v>
      </c>
      <c r="M9" s="40"/>
      <c r="N9" s="41"/>
      <c r="O9" s="42"/>
      <c r="P9" s="43"/>
      <c r="Q9" s="44"/>
    </row>
    <row r="10" spans="1:18" x14ac:dyDescent="0.2">
      <c r="A10" s="34">
        <f t="shared" ref="A10:A115" si="0">A9+1</f>
        <v>2</v>
      </c>
      <c r="B10" s="35" t="s">
        <v>104</v>
      </c>
      <c r="C10" s="36" t="s">
        <v>700</v>
      </c>
      <c r="D10" s="37" t="s">
        <v>27</v>
      </c>
      <c r="E10" s="38"/>
      <c r="F10" s="39" t="s">
        <v>94</v>
      </c>
      <c r="G10" s="36" t="s">
        <v>878</v>
      </c>
      <c r="H10" s="37" t="s">
        <v>823</v>
      </c>
      <c r="I10" s="38" t="s">
        <v>325</v>
      </c>
      <c r="J10" s="39" t="s">
        <v>94</v>
      </c>
      <c r="K10" s="37" t="s">
        <v>102</v>
      </c>
      <c r="L10" s="37" t="s">
        <v>96</v>
      </c>
      <c r="M10" s="40"/>
      <c r="N10" s="41"/>
      <c r="O10" s="42"/>
      <c r="P10" s="43"/>
      <c r="Q10" s="44"/>
    </row>
    <row r="11" spans="1:18" x14ac:dyDescent="0.2">
      <c r="A11" s="34">
        <f t="shared" si="0"/>
        <v>3</v>
      </c>
      <c r="B11" s="35" t="s">
        <v>105</v>
      </c>
      <c r="C11" s="36" t="s">
        <v>698</v>
      </c>
      <c r="D11" s="37" t="s">
        <v>27</v>
      </c>
      <c r="E11" s="38"/>
      <c r="F11" s="39" t="s">
        <v>94</v>
      </c>
      <c r="G11" s="36" t="s">
        <v>879</v>
      </c>
      <c r="H11" s="37" t="s">
        <v>823</v>
      </c>
      <c r="I11" s="38" t="s">
        <v>325</v>
      </c>
      <c r="J11" s="39" t="s">
        <v>94</v>
      </c>
      <c r="K11" s="37" t="s">
        <v>102</v>
      </c>
      <c r="L11" s="37" t="s">
        <v>96</v>
      </c>
      <c r="M11" s="40"/>
      <c r="N11" s="40"/>
      <c r="O11" s="45"/>
      <c r="P11" s="46"/>
      <c r="Q11" s="44"/>
    </row>
    <row r="12" spans="1:18" x14ac:dyDescent="0.2">
      <c r="A12" s="34">
        <f t="shared" si="0"/>
        <v>4</v>
      </c>
      <c r="B12" s="35" t="s">
        <v>106</v>
      </c>
      <c r="C12" s="36" t="s">
        <v>699</v>
      </c>
      <c r="D12" s="37" t="s">
        <v>27</v>
      </c>
      <c r="E12" s="38"/>
      <c r="F12" s="39" t="s">
        <v>94</v>
      </c>
      <c r="G12" s="36" t="s">
        <v>880</v>
      </c>
      <c r="H12" s="37" t="s">
        <v>823</v>
      </c>
      <c r="I12" s="38" t="s">
        <v>325</v>
      </c>
      <c r="J12" s="39" t="s">
        <v>94</v>
      </c>
      <c r="K12" s="37" t="s">
        <v>102</v>
      </c>
      <c r="L12" s="37" t="s">
        <v>96</v>
      </c>
      <c r="M12" s="40"/>
      <c r="N12" s="40"/>
      <c r="O12" s="45"/>
      <c r="P12" s="46"/>
      <c r="Q12" s="44"/>
    </row>
    <row r="13" spans="1:18" x14ac:dyDescent="0.2">
      <c r="A13" s="34">
        <f t="shared" si="0"/>
        <v>5</v>
      </c>
      <c r="B13" s="35" t="s">
        <v>107</v>
      </c>
      <c r="C13" s="36" t="s">
        <v>701</v>
      </c>
      <c r="D13" s="37" t="s">
        <v>27</v>
      </c>
      <c r="E13" s="38"/>
      <c r="F13" s="39" t="s">
        <v>94</v>
      </c>
      <c r="G13" s="36" t="s">
        <v>881</v>
      </c>
      <c r="H13" s="37" t="s">
        <v>823</v>
      </c>
      <c r="I13" s="38" t="s">
        <v>325</v>
      </c>
      <c r="J13" s="39" t="s">
        <v>94</v>
      </c>
      <c r="K13" s="37" t="s">
        <v>102</v>
      </c>
      <c r="L13" s="37" t="s">
        <v>96</v>
      </c>
      <c r="M13" s="40"/>
      <c r="N13" s="40"/>
      <c r="O13" s="45"/>
      <c r="P13" s="46"/>
      <c r="Q13" s="44"/>
    </row>
    <row r="14" spans="1:18" x14ac:dyDescent="0.2">
      <c r="A14" s="34">
        <f t="shared" si="0"/>
        <v>6</v>
      </c>
      <c r="B14" s="35" t="s">
        <v>108</v>
      </c>
      <c r="C14" s="36" t="s">
        <v>824</v>
      </c>
      <c r="D14" s="37" t="s">
        <v>27</v>
      </c>
      <c r="E14" s="38"/>
      <c r="F14" s="39" t="s">
        <v>94</v>
      </c>
      <c r="G14" s="36" t="s">
        <v>882</v>
      </c>
      <c r="H14" s="37" t="s">
        <v>823</v>
      </c>
      <c r="I14" s="38" t="s">
        <v>325</v>
      </c>
      <c r="J14" s="39" t="s">
        <v>94</v>
      </c>
      <c r="K14" s="37" t="s">
        <v>102</v>
      </c>
      <c r="L14" s="37" t="s">
        <v>96</v>
      </c>
      <c r="M14" s="40"/>
      <c r="N14" s="40"/>
      <c r="O14" s="45"/>
      <c r="P14" s="46"/>
      <c r="Q14" s="44"/>
    </row>
    <row r="15" spans="1:18" x14ac:dyDescent="0.2">
      <c r="A15" s="34">
        <f t="shared" si="0"/>
        <v>7</v>
      </c>
      <c r="B15" s="35" t="s">
        <v>109</v>
      </c>
      <c r="C15" s="36" t="s">
        <v>702</v>
      </c>
      <c r="D15" s="37" t="s">
        <v>27</v>
      </c>
      <c r="E15" s="38"/>
      <c r="F15" s="39" t="s">
        <v>94</v>
      </c>
      <c r="G15" s="36" t="s">
        <v>883</v>
      </c>
      <c r="H15" s="37" t="s">
        <v>823</v>
      </c>
      <c r="I15" s="38" t="s">
        <v>325</v>
      </c>
      <c r="J15" s="39" t="s">
        <v>94</v>
      </c>
      <c r="K15" s="37" t="s">
        <v>102</v>
      </c>
      <c r="L15" s="37" t="s">
        <v>96</v>
      </c>
      <c r="M15" s="40"/>
      <c r="N15" s="40"/>
      <c r="O15" s="45"/>
      <c r="P15" s="46"/>
      <c r="Q15" s="44"/>
    </row>
    <row r="16" spans="1:18" x14ac:dyDescent="0.2">
      <c r="A16" s="34">
        <f t="shared" si="0"/>
        <v>8</v>
      </c>
      <c r="B16" s="35" t="s">
        <v>110</v>
      </c>
      <c r="C16" s="36" t="s">
        <v>825</v>
      </c>
      <c r="D16" s="37" t="s">
        <v>27</v>
      </c>
      <c r="E16" s="38"/>
      <c r="F16" s="39" t="s">
        <v>94</v>
      </c>
      <c r="G16" s="36" t="s">
        <v>884</v>
      </c>
      <c r="H16" s="37" t="s">
        <v>823</v>
      </c>
      <c r="I16" s="38" t="s">
        <v>325</v>
      </c>
      <c r="J16" s="39" t="s">
        <v>94</v>
      </c>
      <c r="K16" s="37" t="s">
        <v>102</v>
      </c>
      <c r="L16" s="37" t="s">
        <v>96</v>
      </c>
      <c r="M16" s="40"/>
      <c r="N16" s="40"/>
      <c r="O16" s="45"/>
      <c r="P16" s="46"/>
      <c r="Q16" s="44"/>
    </row>
    <row r="17" spans="1:17" x14ac:dyDescent="0.2">
      <c r="A17" s="34">
        <f t="shared" si="0"/>
        <v>9</v>
      </c>
      <c r="B17" s="35" t="s">
        <v>111</v>
      </c>
      <c r="C17" s="36" t="s">
        <v>703</v>
      </c>
      <c r="D17" s="37" t="s">
        <v>27</v>
      </c>
      <c r="E17" s="38"/>
      <c r="F17" s="39" t="s">
        <v>94</v>
      </c>
      <c r="G17" s="36" t="s">
        <v>885</v>
      </c>
      <c r="H17" s="37" t="s">
        <v>823</v>
      </c>
      <c r="I17" s="38" t="s">
        <v>325</v>
      </c>
      <c r="J17" s="39" t="s">
        <v>94</v>
      </c>
      <c r="K17" s="37" t="s">
        <v>102</v>
      </c>
      <c r="L17" s="37" t="s">
        <v>96</v>
      </c>
      <c r="M17" s="40"/>
      <c r="N17" s="40"/>
      <c r="O17" s="45"/>
      <c r="P17" s="46"/>
      <c r="Q17" s="44"/>
    </row>
    <row r="18" spans="1:17" x14ac:dyDescent="0.2">
      <c r="A18" s="34">
        <f t="shared" si="0"/>
        <v>10</v>
      </c>
      <c r="B18" s="35" t="s">
        <v>112</v>
      </c>
      <c r="C18" s="36" t="s">
        <v>826</v>
      </c>
      <c r="D18" s="37" t="s">
        <v>27</v>
      </c>
      <c r="E18" s="38"/>
      <c r="F18" s="39" t="s">
        <v>94</v>
      </c>
      <c r="G18" s="36" t="s">
        <v>886</v>
      </c>
      <c r="H18" s="37" t="s">
        <v>823</v>
      </c>
      <c r="I18" s="38" t="s">
        <v>325</v>
      </c>
      <c r="J18" s="39" t="s">
        <v>94</v>
      </c>
      <c r="K18" s="37" t="s">
        <v>102</v>
      </c>
      <c r="L18" s="37" t="s">
        <v>96</v>
      </c>
      <c r="M18" s="40"/>
      <c r="N18" s="40"/>
      <c r="O18" s="45"/>
      <c r="P18" s="46"/>
      <c r="Q18" s="44"/>
    </row>
    <row r="19" spans="1:17" x14ac:dyDescent="0.2">
      <c r="A19" s="34">
        <f t="shared" si="0"/>
        <v>11</v>
      </c>
      <c r="B19" s="35" t="s">
        <v>113</v>
      </c>
      <c r="C19" s="36" t="s">
        <v>704</v>
      </c>
      <c r="D19" s="37" t="s">
        <v>27</v>
      </c>
      <c r="E19" s="38"/>
      <c r="F19" s="39" t="s">
        <v>94</v>
      </c>
      <c r="G19" s="36" t="s">
        <v>887</v>
      </c>
      <c r="H19" s="37" t="s">
        <v>823</v>
      </c>
      <c r="I19" s="38" t="s">
        <v>325</v>
      </c>
      <c r="J19" s="39" t="s">
        <v>94</v>
      </c>
      <c r="K19" s="37" t="s">
        <v>102</v>
      </c>
      <c r="L19" s="37" t="s">
        <v>96</v>
      </c>
      <c r="M19" s="40"/>
      <c r="N19" s="40"/>
      <c r="O19" s="45"/>
      <c r="P19" s="46"/>
      <c r="Q19" s="44"/>
    </row>
    <row r="20" spans="1:17" x14ac:dyDescent="0.2">
      <c r="A20" s="34">
        <f t="shared" si="0"/>
        <v>12</v>
      </c>
      <c r="B20" s="35" t="s">
        <v>114</v>
      </c>
      <c r="C20" s="36" t="s">
        <v>827</v>
      </c>
      <c r="D20" s="37" t="s">
        <v>27</v>
      </c>
      <c r="E20" s="38"/>
      <c r="F20" s="39" t="s">
        <v>94</v>
      </c>
      <c r="G20" s="36" t="s">
        <v>888</v>
      </c>
      <c r="H20" s="37" t="s">
        <v>823</v>
      </c>
      <c r="I20" s="38" t="s">
        <v>325</v>
      </c>
      <c r="J20" s="39" t="s">
        <v>94</v>
      </c>
      <c r="K20" s="37" t="s">
        <v>102</v>
      </c>
      <c r="L20" s="37" t="s">
        <v>96</v>
      </c>
      <c r="M20" s="40"/>
      <c r="N20" s="40"/>
      <c r="O20" s="45"/>
      <c r="P20" s="46"/>
      <c r="Q20" s="44"/>
    </row>
    <row r="21" spans="1:17" x14ac:dyDescent="0.2">
      <c r="A21" s="34">
        <f t="shared" si="0"/>
        <v>13</v>
      </c>
      <c r="B21" s="35" t="s">
        <v>115</v>
      </c>
      <c r="C21" s="36" t="s">
        <v>705</v>
      </c>
      <c r="D21" s="37" t="s">
        <v>27</v>
      </c>
      <c r="E21" s="38"/>
      <c r="F21" s="39" t="s">
        <v>94</v>
      </c>
      <c r="G21" s="36" t="s">
        <v>889</v>
      </c>
      <c r="H21" s="37" t="s">
        <v>823</v>
      </c>
      <c r="I21" s="38" t="s">
        <v>325</v>
      </c>
      <c r="J21" s="39" t="s">
        <v>94</v>
      </c>
      <c r="K21" s="37" t="s">
        <v>102</v>
      </c>
      <c r="L21" s="37" t="s">
        <v>96</v>
      </c>
      <c r="M21" s="40"/>
      <c r="N21" s="40"/>
      <c r="O21" s="45"/>
      <c r="P21" s="46"/>
      <c r="Q21" s="44"/>
    </row>
    <row r="22" spans="1:17" x14ac:dyDescent="0.2">
      <c r="A22" s="34">
        <f t="shared" si="0"/>
        <v>14</v>
      </c>
      <c r="B22" s="35" t="s">
        <v>116</v>
      </c>
      <c r="C22" s="36" t="s">
        <v>828</v>
      </c>
      <c r="D22" s="37" t="s">
        <v>27</v>
      </c>
      <c r="E22" s="38"/>
      <c r="F22" s="39" t="s">
        <v>94</v>
      </c>
      <c r="G22" s="36" t="s">
        <v>890</v>
      </c>
      <c r="H22" s="37" t="s">
        <v>823</v>
      </c>
      <c r="I22" s="38" t="s">
        <v>325</v>
      </c>
      <c r="J22" s="39" t="s">
        <v>94</v>
      </c>
      <c r="K22" s="37" t="s">
        <v>102</v>
      </c>
      <c r="L22" s="37" t="s">
        <v>96</v>
      </c>
      <c r="M22" s="40"/>
      <c r="N22" s="40"/>
      <c r="O22" s="45"/>
      <c r="P22" s="46"/>
      <c r="Q22" s="44"/>
    </row>
    <row r="23" spans="1:17" x14ac:dyDescent="0.2">
      <c r="A23" s="34">
        <f t="shared" si="0"/>
        <v>15</v>
      </c>
      <c r="B23" s="35" t="s">
        <v>117</v>
      </c>
      <c r="C23" s="36" t="s">
        <v>706</v>
      </c>
      <c r="D23" s="37" t="s">
        <v>27</v>
      </c>
      <c r="E23" s="38"/>
      <c r="F23" s="39" t="s">
        <v>94</v>
      </c>
      <c r="G23" s="36" t="s">
        <v>891</v>
      </c>
      <c r="H23" s="37" t="s">
        <v>823</v>
      </c>
      <c r="I23" s="38" t="s">
        <v>325</v>
      </c>
      <c r="J23" s="39" t="s">
        <v>94</v>
      </c>
      <c r="K23" s="37" t="s">
        <v>102</v>
      </c>
      <c r="L23" s="37" t="s">
        <v>96</v>
      </c>
      <c r="M23" s="40"/>
      <c r="N23" s="40"/>
      <c r="O23" s="45"/>
      <c r="P23" s="46"/>
      <c r="Q23" s="44"/>
    </row>
    <row r="24" spans="1:17" x14ac:dyDescent="0.2">
      <c r="A24" s="34">
        <f t="shared" si="0"/>
        <v>16</v>
      </c>
      <c r="B24" s="35" t="s">
        <v>118</v>
      </c>
      <c r="C24" s="36" t="s">
        <v>829</v>
      </c>
      <c r="D24" s="37" t="s">
        <v>27</v>
      </c>
      <c r="E24" s="38"/>
      <c r="F24" s="39" t="s">
        <v>94</v>
      </c>
      <c r="G24" s="36" t="s">
        <v>892</v>
      </c>
      <c r="H24" s="37" t="s">
        <v>823</v>
      </c>
      <c r="I24" s="38" t="s">
        <v>325</v>
      </c>
      <c r="J24" s="39" t="s">
        <v>94</v>
      </c>
      <c r="K24" s="37" t="s">
        <v>102</v>
      </c>
      <c r="L24" s="37" t="s">
        <v>96</v>
      </c>
      <c r="M24" s="40"/>
      <c r="N24" s="40"/>
      <c r="O24" s="45"/>
      <c r="P24" s="46"/>
      <c r="Q24" s="44"/>
    </row>
    <row r="25" spans="1:17" x14ac:dyDescent="0.2">
      <c r="A25" s="34">
        <f t="shared" si="0"/>
        <v>17</v>
      </c>
      <c r="B25" s="35" t="s">
        <v>119</v>
      </c>
      <c r="C25" s="36" t="s">
        <v>707</v>
      </c>
      <c r="D25" s="37" t="s">
        <v>27</v>
      </c>
      <c r="E25" s="38"/>
      <c r="F25" s="39" t="s">
        <v>94</v>
      </c>
      <c r="G25" s="36" t="s">
        <v>893</v>
      </c>
      <c r="H25" s="37" t="s">
        <v>823</v>
      </c>
      <c r="I25" s="38" t="s">
        <v>325</v>
      </c>
      <c r="J25" s="39" t="s">
        <v>94</v>
      </c>
      <c r="K25" s="37" t="s">
        <v>102</v>
      </c>
      <c r="L25" s="37" t="s">
        <v>96</v>
      </c>
      <c r="M25" s="40"/>
      <c r="N25" s="40"/>
      <c r="O25" s="45"/>
      <c r="P25" s="46"/>
      <c r="Q25" s="44"/>
    </row>
    <row r="26" spans="1:17" x14ac:dyDescent="0.2">
      <c r="A26" s="34">
        <f t="shared" si="0"/>
        <v>18</v>
      </c>
      <c r="B26" s="35" t="s">
        <v>120</v>
      </c>
      <c r="C26" s="36" t="s">
        <v>830</v>
      </c>
      <c r="D26" s="37" t="s">
        <v>27</v>
      </c>
      <c r="E26" s="38"/>
      <c r="F26" s="39" t="s">
        <v>94</v>
      </c>
      <c r="G26" s="36" t="s">
        <v>894</v>
      </c>
      <c r="H26" s="37" t="s">
        <v>823</v>
      </c>
      <c r="I26" s="38" t="s">
        <v>325</v>
      </c>
      <c r="J26" s="39" t="s">
        <v>94</v>
      </c>
      <c r="K26" s="37" t="s">
        <v>102</v>
      </c>
      <c r="L26" s="37" t="s">
        <v>96</v>
      </c>
      <c r="M26" s="40"/>
      <c r="N26" s="40"/>
      <c r="O26" s="45"/>
      <c r="P26" s="46"/>
      <c r="Q26" s="44"/>
    </row>
    <row r="27" spans="1:17" x14ac:dyDescent="0.2">
      <c r="A27" s="34">
        <f t="shared" si="0"/>
        <v>19</v>
      </c>
      <c r="B27" s="35" t="s">
        <v>121</v>
      </c>
      <c r="C27" s="36" t="s">
        <v>708</v>
      </c>
      <c r="D27" s="37" t="s">
        <v>27</v>
      </c>
      <c r="E27" s="38"/>
      <c r="F27" s="39" t="s">
        <v>94</v>
      </c>
      <c r="G27" s="36" t="s">
        <v>895</v>
      </c>
      <c r="H27" s="37" t="s">
        <v>823</v>
      </c>
      <c r="I27" s="38" t="s">
        <v>325</v>
      </c>
      <c r="J27" s="39" t="s">
        <v>94</v>
      </c>
      <c r="K27" s="37" t="s">
        <v>102</v>
      </c>
      <c r="L27" s="37" t="s">
        <v>96</v>
      </c>
      <c r="M27" s="40"/>
      <c r="N27" s="41"/>
      <c r="O27" s="42"/>
      <c r="P27" s="43"/>
      <c r="Q27" s="44"/>
    </row>
    <row r="28" spans="1:17" x14ac:dyDescent="0.2">
      <c r="A28" s="34">
        <f t="shared" si="0"/>
        <v>20</v>
      </c>
      <c r="B28" s="35" t="s">
        <v>122</v>
      </c>
      <c r="C28" s="36" t="s">
        <v>831</v>
      </c>
      <c r="D28" s="37" t="s">
        <v>27</v>
      </c>
      <c r="E28" s="38"/>
      <c r="F28" s="39" t="s">
        <v>94</v>
      </c>
      <c r="G28" s="36" t="s">
        <v>896</v>
      </c>
      <c r="H28" s="37" t="s">
        <v>823</v>
      </c>
      <c r="I28" s="38" t="s">
        <v>325</v>
      </c>
      <c r="J28" s="39" t="s">
        <v>94</v>
      </c>
      <c r="K28" s="37" t="s">
        <v>102</v>
      </c>
      <c r="L28" s="37" t="s">
        <v>96</v>
      </c>
      <c r="M28" s="40"/>
      <c r="N28" s="41"/>
      <c r="O28" s="42"/>
      <c r="P28" s="43"/>
      <c r="Q28" s="44"/>
    </row>
    <row r="29" spans="1:17" x14ac:dyDescent="0.2">
      <c r="A29" s="34">
        <f t="shared" si="0"/>
        <v>21</v>
      </c>
      <c r="B29" s="35" t="s">
        <v>123</v>
      </c>
      <c r="C29" s="36" t="s">
        <v>709</v>
      </c>
      <c r="D29" s="37" t="s">
        <v>27</v>
      </c>
      <c r="E29" s="38"/>
      <c r="F29" s="39" t="s">
        <v>94</v>
      </c>
      <c r="G29" s="36" t="s">
        <v>897</v>
      </c>
      <c r="H29" s="37" t="s">
        <v>823</v>
      </c>
      <c r="I29" s="38" t="s">
        <v>325</v>
      </c>
      <c r="J29" s="39" t="s">
        <v>94</v>
      </c>
      <c r="K29" s="37" t="s">
        <v>102</v>
      </c>
      <c r="L29" s="37" t="s">
        <v>96</v>
      </c>
      <c r="M29" s="40"/>
      <c r="N29" s="40"/>
      <c r="O29" s="45"/>
      <c r="P29" s="46"/>
      <c r="Q29" s="44"/>
    </row>
    <row r="30" spans="1:17" x14ac:dyDescent="0.2">
      <c r="A30" s="34">
        <f t="shared" si="0"/>
        <v>22</v>
      </c>
      <c r="B30" s="35" t="s">
        <v>124</v>
      </c>
      <c r="C30" s="36" t="s">
        <v>832</v>
      </c>
      <c r="D30" s="37" t="s">
        <v>27</v>
      </c>
      <c r="E30" s="38"/>
      <c r="F30" s="39" t="s">
        <v>94</v>
      </c>
      <c r="G30" s="36" t="s">
        <v>898</v>
      </c>
      <c r="H30" s="37" t="s">
        <v>823</v>
      </c>
      <c r="I30" s="38" t="s">
        <v>325</v>
      </c>
      <c r="J30" s="39" t="s">
        <v>94</v>
      </c>
      <c r="K30" s="37" t="s">
        <v>102</v>
      </c>
      <c r="L30" s="37" t="s">
        <v>96</v>
      </c>
      <c r="M30" s="40"/>
      <c r="N30" s="40"/>
      <c r="O30" s="45"/>
      <c r="P30" s="46"/>
      <c r="Q30" s="44"/>
    </row>
    <row r="31" spans="1:17" x14ac:dyDescent="0.2">
      <c r="A31" s="34">
        <f t="shared" si="0"/>
        <v>23</v>
      </c>
      <c r="B31" s="35" t="s">
        <v>125</v>
      </c>
      <c r="C31" s="36" t="s">
        <v>710</v>
      </c>
      <c r="D31" s="37" t="s">
        <v>27</v>
      </c>
      <c r="E31" s="38"/>
      <c r="F31" s="39" t="s">
        <v>94</v>
      </c>
      <c r="G31" s="36" t="s">
        <v>899</v>
      </c>
      <c r="H31" s="37" t="s">
        <v>823</v>
      </c>
      <c r="I31" s="38" t="s">
        <v>325</v>
      </c>
      <c r="J31" s="39" t="s">
        <v>94</v>
      </c>
      <c r="K31" s="37" t="s">
        <v>102</v>
      </c>
      <c r="L31" s="37" t="s">
        <v>96</v>
      </c>
      <c r="M31" s="40"/>
      <c r="N31" s="40"/>
      <c r="O31" s="45"/>
      <c r="P31" s="46"/>
      <c r="Q31" s="44"/>
    </row>
    <row r="32" spans="1:17" x14ac:dyDescent="0.2">
      <c r="A32" s="34">
        <f t="shared" si="0"/>
        <v>24</v>
      </c>
      <c r="B32" s="35" t="s">
        <v>126</v>
      </c>
      <c r="C32" s="36" t="s">
        <v>833</v>
      </c>
      <c r="D32" s="37" t="s">
        <v>27</v>
      </c>
      <c r="E32" s="38"/>
      <c r="F32" s="39" t="s">
        <v>94</v>
      </c>
      <c r="G32" s="36" t="s">
        <v>900</v>
      </c>
      <c r="H32" s="37" t="s">
        <v>823</v>
      </c>
      <c r="I32" s="38" t="s">
        <v>325</v>
      </c>
      <c r="J32" s="39" t="s">
        <v>94</v>
      </c>
      <c r="K32" s="37" t="s">
        <v>102</v>
      </c>
      <c r="L32" s="37" t="s">
        <v>96</v>
      </c>
      <c r="M32" s="40"/>
      <c r="N32" s="40"/>
      <c r="O32" s="45"/>
      <c r="P32" s="46"/>
      <c r="Q32" s="44"/>
    </row>
    <row r="33" spans="1:17" x14ac:dyDescent="0.2">
      <c r="A33" s="34">
        <f t="shared" si="0"/>
        <v>25</v>
      </c>
      <c r="B33" s="35" t="s">
        <v>127</v>
      </c>
      <c r="C33" s="36" t="s">
        <v>711</v>
      </c>
      <c r="D33" s="37" t="s">
        <v>27</v>
      </c>
      <c r="E33" s="38"/>
      <c r="F33" s="39" t="s">
        <v>94</v>
      </c>
      <c r="G33" s="36" t="s">
        <v>901</v>
      </c>
      <c r="H33" s="37" t="s">
        <v>823</v>
      </c>
      <c r="I33" s="38" t="s">
        <v>325</v>
      </c>
      <c r="J33" s="39" t="s">
        <v>94</v>
      </c>
      <c r="K33" s="37" t="s">
        <v>102</v>
      </c>
      <c r="L33" s="37" t="s">
        <v>96</v>
      </c>
      <c r="M33" s="40"/>
      <c r="N33" s="40"/>
      <c r="O33" s="45"/>
      <c r="P33" s="46"/>
      <c r="Q33" s="44"/>
    </row>
    <row r="34" spans="1:17" x14ac:dyDescent="0.2">
      <c r="A34" s="34">
        <f t="shared" si="0"/>
        <v>26</v>
      </c>
      <c r="B34" s="35" t="s">
        <v>128</v>
      </c>
      <c r="C34" s="36" t="s">
        <v>834</v>
      </c>
      <c r="D34" s="37" t="s">
        <v>27</v>
      </c>
      <c r="E34" s="38"/>
      <c r="F34" s="39" t="s">
        <v>94</v>
      </c>
      <c r="G34" s="36" t="s">
        <v>902</v>
      </c>
      <c r="H34" s="37" t="s">
        <v>823</v>
      </c>
      <c r="I34" s="38" t="s">
        <v>325</v>
      </c>
      <c r="J34" s="39" t="s">
        <v>94</v>
      </c>
      <c r="K34" s="37" t="s">
        <v>102</v>
      </c>
      <c r="L34" s="37" t="s">
        <v>96</v>
      </c>
      <c r="M34" s="40"/>
      <c r="N34" s="40"/>
      <c r="O34" s="45"/>
      <c r="P34" s="46"/>
      <c r="Q34" s="44"/>
    </row>
    <row r="35" spans="1:17" x14ac:dyDescent="0.2">
      <c r="A35" s="34">
        <f t="shared" si="0"/>
        <v>27</v>
      </c>
      <c r="B35" s="35" t="s">
        <v>129</v>
      </c>
      <c r="C35" s="36" t="s">
        <v>712</v>
      </c>
      <c r="D35" s="37" t="s">
        <v>27</v>
      </c>
      <c r="E35" s="38"/>
      <c r="F35" s="39" t="s">
        <v>94</v>
      </c>
      <c r="G35" s="36" t="s">
        <v>903</v>
      </c>
      <c r="H35" s="37" t="s">
        <v>823</v>
      </c>
      <c r="I35" s="38" t="s">
        <v>325</v>
      </c>
      <c r="J35" s="39" t="s">
        <v>94</v>
      </c>
      <c r="K35" s="37" t="s">
        <v>102</v>
      </c>
      <c r="L35" s="37" t="s">
        <v>96</v>
      </c>
      <c r="M35" s="40"/>
      <c r="N35" s="40"/>
      <c r="O35" s="45"/>
      <c r="P35" s="46"/>
      <c r="Q35" s="44"/>
    </row>
    <row r="36" spans="1:17" x14ac:dyDescent="0.2">
      <c r="A36" s="34">
        <f t="shared" si="0"/>
        <v>28</v>
      </c>
      <c r="B36" s="35" t="s">
        <v>130</v>
      </c>
      <c r="C36" s="36" t="s">
        <v>835</v>
      </c>
      <c r="D36" s="37" t="s">
        <v>27</v>
      </c>
      <c r="E36" s="38"/>
      <c r="F36" s="39" t="s">
        <v>94</v>
      </c>
      <c r="G36" s="36" t="s">
        <v>904</v>
      </c>
      <c r="H36" s="37" t="s">
        <v>823</v>
      </c>
      <c r="I36" s="38" t="s">
        <v>325</v>
      </c>
      <c r="J36" s="39" t="s">
        <v>94</v>
      </c>
      <c r="K36" s="37" t="s">
        <v>102</v>
      </c>
      <c r="L36" s="37" t="s">
        <v>96</v>
      </c>
      <c r="M36" s="40"/>
      <c r="N36" s="40"/>
      <c r="O36" s="45"/>
      <c r="P36" s="46"/>
      <c r="Q36" s="44"/>
    </row>
    <row r="37" spans="1:17" x14ac:dyDescent="0.2">
      <c r="A37" s="34">
        <f t="shared" si="0"/>
        <v>29</v>
      </c>
      <c r="B37" s="35" t="s">
        <v>131</v>
      </c>
      <c r="C37" s="36" t="s">
        <v>713</v>
      </c>
      <c r="D37" s="37" t="s">
        <v>27</v>
      </c>
      <c r="E37" s="38"/>
      <c r="F37" s="39" t="s">
        <v>94</v>
      </c>
      <c r="G37" s="36" t="s">
        <v>905</v>
      </c>
      <c r="H37" s="37" t="s">
        <v>823</v>
      </c>
      <c r="I37" s="38" t="s">
        <v>325</v>
      </c>
      <c r="J37" s="39" t="s">
        <v>94</v>
      </c>
      <c r="K37" s="37" t="s">
        <v>102</v>
      </c>
      <c r="L37" s="37" t="s">
        <v>96</v>
      </c>
      <c r="M37" s="40"/>
      <c r="N37" s="40"/>
      <c r="O37" s="45"/>
      <c r="P37" s="46"/>
      <c r="Q37" s="44"/>
    </row>
    <row r="38" spans="1:17" x14ac:dyDescent="0.2">
      <c r="A38" s="34">
        <f t="shared" si="0"/>
        <v>30</v>
      </c>
      <c r="B38" s="35" t="s">
        <v>132</v>
      </c>
      <c r="C38" s="36" t="s">
        <v>836</v>
      </c>
      <c r="D38" s="37" t="s">
        <v>27</v>
      </c>
      <c r="E38" s="38"/>
      <c r="F38" s="39" t="s">
        <v>94</v>
      </c>
      <c r="G38" s="36" t="s">
        <v>906</v>
      </c>
      <c r="H38" s="37" t="s">
        <v>823</v>
      </c>
      <c r="I38" s="38" t="s">
        <v>325</v>
      </c>
      <c r="J38" s="39" t="s">
        <v>94</v>
      </c>
      <c r="K38" s="37" t="s">
        <v>102</v>
      </c>
      <c r="L38" s="37" t="s">
        <v>96</v>
      </c>
      <c r="M38" s="40"/>
      <c r="N38" s="40"/>
      <c r="O38" s="45"/>
      <c r="P38" s="46"/>
      <c r="Q38" s="44"/>
    </row>
    <row r="39" spans="1:17" x14ac:dyDescent="0.2">
      <c r="A39" s="34">
        <f t="shared" si="0"/>
        <v>31</v>
      </c>
      <c r="B39" s="35" t="s">
        <v>133</v>
      </c>
      <c r="C39" s="36" t="s">
        <v>714</v>
      </c>
      <c r="D39" s="37" t="s">
        <v>27</v>
      </c>
      <c r="E39" s="38"/>
      <c r="F39" s="39" t="s">
        <v>94</v>
      </c>
      <c r="G39" s="36" t="s">
        <v>907</v>
      </c>
      <c r="H39" s="37" t="s">
        <v>823</v>
      </c>
      <c r="I39" s="38" t="s">
        <v>325</v>
      </c>
      <c r="J39" s="39" t="s">
        <v>94</v>
      </c>
      <c r="K39" s="37" t="s">
        <v>102</v>
      </c>
      <c r="L39" s="37" t="s">
        <v>96</v>
      </c>
      <c r="M39" s="40"/>
      <c r="N39" s="40"/>
      <c r="O39" s="45"/>
      <c r="P39" s="46"/>
      <c r="Q39" s="44"/>
    </row>
    <row r="40" spans="1:17" x14ac:dyDescent="0.2">
      <c r="A40" s="34">
        <f t="shared" si="0"/>
        <v>32</v>
      </c>
      <c r="B40" s="35" t="s">
        <v>134</v>
      </c>
      <c r="C40" s="36" t="s">
        <v>837</v>
      </c>
      <c r="D40" s="37" t="s">
        <v>27</v>
      </c>
      <c r="E40" s="38"/>
      <c r="F40" s="39" t="s">
        <v>94</v>
      </c>
      <c r="G40" s="36" t="s">
        <v>908</v>
      </c>
      <c r="H40" s="37" t="s">
        <v>823</v>
      </c>
      <c r="I40" s="38" t="s">
        <v>325</v>
      </c>
      <c r="J40" s="39" t="s">
        <v>94</v>
      </c>
      <c r="K40" s="37" t="s">
        <v>102</v>
      </c>
      <c r="L40" s="37" t="s">
        <v>96</v>
      </c>
      <c r="M40" s="40"/>
      <c r="N40" s="40"/>
      <c r="O40" s="45"/>
      <c r="P40" s="46"/>
      <c r="Q40" s="44"/>
    </row>
    <row r="41" spans="1:17" x14ac:dyDescent="0.2">
      <c r="A41" s="34">
        <f t="shared" si="0"/>
        <v>33</v>
      </c>
      <c r="B41" s="35" t="s">
        <v>755</v>
      </c>
      <c r="C41" s="36" t="s">
        <v>715</v>
      </c>
      <c r="D41" s="37" t="s">
        <v>27</v>
      </c>
      <c r="E41" s="38"/>
      <c r="F41" s="39" t="s">
        <v>94</v>
      </c>
      <c r="G41" s="36" t="s">
        <v>909</v>
      </c>
      <c r="H41" s="37" t="s">
        <v>823</v>
      </c>
      <c r="I41" s="38" t="s">
        <v>325</v>
      </c>
      <c r="J41" s="39" t="s">
        <v>94</v>
      </c>
      <c r="K41" s="37" t="s">
        <v>102</v>
      </c>
      <c r="L41" s="37" t="s">
        <v>96</v>
      </c>
      <c r="M41" s="40"/>
      <c r="N41" s="40"/>
      <c r="O41" s="45"/>
      <c r="P41" s="46"/>
      <c r="Q41" s="44"/>
    </row>
    <row r="42" spans="1:17" x14ac:dyDescent="0.2">
      <c r="A42" s="34">
        <f t="shared" si="0"/>
        <v>34</v>
      </c>
      <c r="B42" s="35" t="s">
        <v>756</v>
      </c>
      <c r="C42" s="36" t="s">
        <v>838</v>
      </c>
      <c r="D42" s="37" t="s">
        <v>27</v>
      </c>
      <c r="E42" s="38"/>
      <c r="F42" s="39" t="s">
        <v>94</v>
      </c>
      <c r="G42" s="36" t="s">
        <v>910</v>
      </c>
      <c r="H42" s="37" t="s">
        <v>823</v>
      </c>
      <c r="I42" s="38" t="s">
        <v>325</v>
      </c>
      <c r="J42" s="39" t="s">
        <v>94</v>
      </c>
      <c r="K42" s="37" t="s">
        <v>102</v>
      </c>
      <c r="L42" s="37" t="s">
        <v>96</v>
      </c>
      <c r="M42" s="40"/>
      <c r="N42" s="40"/>
      <c r="O42" s="45"/>
      <c r="P42" s="46"/>
      <c r="Q42" s="44"/>
    </row>
    <row r="43" spans="1:17" x14ac:dyDescent="0.2">
      <c r="A43" s="34">
        <f t="shared" si="0"/>
        <v>35</v>
      </c>
      <c r="B43" s="35" t="s">
        <v>757</v>
      </c>
      <c r="C43" s="36" t="s">
        <v>716</v>
      </c>
      <c r="D43" s="37" t="s">
        <v>27</v>
      </c>
      <c r="E43" s="38"/>
      <c r="F43" s="39" t="s">
        <v>94</v>
      </c>
      <c r="G43" s="36" t="s">
        <v>911</v>
      </c>
      <c r="H43" s="37" t="s">
        <v>823</v>
      </c>
      <c r="I43" s="38" t="s">
        <v>325</v>
      </c>
      <c r="J43" s="39" t="s">
        <v>94</v>
      </c>
      <c r="K43" s="37" t="s">
        <v>102</v>
      </c>
      <c r="L43" s="37" t="s">
        <v>96</v>
      </c>
      <c r="M43" s="40"/>
      <c r="N43" s="40"/>
      <c r="O43" s="45"/>
      <c r="P43" s="46"/>
      <c r="Q43" s="44"/>
    </row>
    <row r="44" spans="1:17" x14ac:dyDescent="0.2">
      <c r="A44" s="34">
        <f t="shared" si="0"/>
        <v>36</v>
      </c>
      <c r="B44" s="35" t="s">
        <v>758</v>
      </c>
      <c r="C44" s="36" t="s">
        <v>839</v>
      </c>
      <c r="D44" s="37" t="s">
        <v>27</v>
      </c>
      <c r="E44" s="38"/>
      <c r="F44" s="39" t="s">
        <v>94</v>
      </c>
      <c r="G44" s="36" t="s">
        <v>912</v>
      </c>
      <c r="H44" s="37" t="s">
        <v>823</v>
      </c>
      <c r="I44" s="38" t="s">
        <v>325</v>
      </c>
      <c r="J44" s="39" t="s">
        <v>94</v>
      </c>
      <c r="K44" s="37" t="s">
        <v>102</v>
      </c>
      <c r="L44" s="37" t="s">
        <v>96</v>
      </c>
      <c r="M44" s="40"/>
      <c r="N44" s="40"/>
      <c r="O44" s="45"/>
      <c r="P44" s="46"/>
      <c r="Q44" s="44"/>
    </row>
    <row r="45" spans="1:17" x14ac:dyDescent="0.2">
      <c r="A45" s="34">
        <f t="shared" si="0"/>
        <v>37</v>
      </c>
      <c r="B45" s="35" t="s">
        <v>759</v>
      </c>
      <c r="C45" s="36" t="s">
        <v>717</v>
      </c>
      <c r="D45" s="37" t="s">
        <v>27</v>
      </c>
      <c r="E45" s="38"/>
      <c r="F45" s="39" t="s">
        <v>94</v>
      </c>
      <c r="G45" s="36" t="s">
        <v>913</v>
      </c>
      <c r="H45" s="37" t="s">
        <v>823</v>
      </c>
      <c r="I45" s="38" t="s">
        <v>325</v>
      </c>
      <c r="J45" s="39" t="s">
        <v>94</v>
      </c>
      <c r="K45" s="37" t="s">
        <v>102</v>
      </c>
      <c r="L45" s="37" t="s">
        <v>96</v>
      </c>
      <c r="M45" s="40"/>
      <c r="N45" s="41"/>
      <c r="O45" s="42"/>
      <c r="P45" s="43"/>
      <c r="Q45" s="44"/>
    </row>
    <row r="46" spans="1:17" x14ac:dyDescent="0.2">
      <c r="A46" s="34">
        <f t="shared" si="0"/>
        <v>38</v>
      </c>
      <c r="B46" s="35" t="s">
        <v>760</v>
      </c>
      <c r="C46" s="36" t="s">
        <v>840</v>
      </c>
      <c r="D46" s="37" t="s">
        <v>27</v>
      </c>
      <c r="E46" s="38"/>
      <c r="F46" s="39" t="s">
        <v>94</v>
      </c>
      <c r="G46" s="36" t="s">
        <v>914</v>
      </c>
      <c r="H46" s="37" t="s">
        <v>823</v>
      </c>
      <c r="I46" s="38" t="s">
        <v>325</v>
      </c>
      <c r="J46" s="39" t="s">
        <v>94</v>
      </c>
      <c r="K46" s="37" t="s">
        <v>102</v>
      </c>
      <c r="L46" s="37" t="s">
        <v>96</v>
      </c>
      <c r="M46" s="40"/>
      <c r="N46" s="41"/>
      <c r="O46" s="42"/>
      <c r="P46" s="43"/>
      <c r="Q46" s="44"/>
    </row>
    <row r="47" spans="1:17" x14ac:dyDescent="0.2">
      <c r="A47" s="34">
        <f t="shared" si="0"/>
        <v>39</v>
      </c>
      <c r="B47" s="35" t="s">
        <v>761</v>
      </c>
      <c r="C47" s="36" t="s">
        <v>718</v>
      </c>
      <c r="D47" s="37" t="s">
        <v>27</v>
      </c>
      <c r="E47" s="38"/>
      <c r="F47" s="39" t="s">
        <v>94</v>
      </c>
      <c r="G47" s="36" t="s">
        <v>915</v>
      </c>
      <c r="H47" s="37" t="s">
        <v>823</v>
      </c>
      <c r="I47" s="38" t="s">
        <v>325</v>
      </c>
      <c r="J47" s="39" t="s">
        <v>94</v>
      </c>
      <c r="K47" s="37" t="s">
        <v>102</v>
      </c>
      <c r="L47" s="37" t="s">
        <v>96</v>
      </c>
      <c r="M47" s="40"/>
      <c r="N47" s="40"/>
      <c r="O47" s="45"/>
      <c r="P47" s="46"/>
      <c r="Q47" s="44"/>
    </row>
    <row r="48" spans="1:17" x14ac:dyDescent="0.2">
      <c r="A48" s="34">
        <f t="shared" si="0"/>
        <v>40</v>
      </c>
      <c r="B48" s="35" t="s">
        <v>762</v>
      </c>
      <c r="C48" s="36" t="s">
        <v>841</v>
      </c>
      <c r="D48" s="37" t="s">
        <v>27</v>
      </c>
      <c r="E48" s="38"/>
      <c r="F48" s="39" t="s">
        <v>94</v>
      </c>
      <c r="G48" s="36" t="s">
        <v>916</v>
      </c>
      <c r="H48" s="37" t="s">
        <v>823</v>
      </c>
      <c r="I48" s="38" t="s">
        <v>325</v>
      </c>
      <c r="J48" s="39" t="s">
        <v>94</v>
      </c>
      <c r="K48" s="37" t="s">
        <v>102</v>
      </c>
      <c r="L48" s="37" t="s">
        <v>96</v>
      </c>
      <c r="M48" s="40"/>
      <c r="N48" s="40"/>
      <c r="O48" s="45"/>
      <c r="P48" s="46"/>
      <c r="Q48" s="44"/>
    </row>
    <row r="49" spans="1:17" x14ac:dyDescent="0.2">
      <c r="A49" s="34">
        <f t="shared" si="0"/>
        <v>41</v>
      </c>
      <c r="B49" s="35" t="s">
        <v>763</v>
      </c>
      <c r="C49" s="36" t="s">
        <v>719</v>
      </c>
      <c r="D49" s="37" t="s">
        <v>27</v>
      </c>
      <c r="E49" s="38"/>
      <c r="F49" s="39" t="s">
        <v>94</v>
      </c>
      <c r="G49" s="36" t="s">
        <v>917</v>
      </c>
      <c r="H49" s="37" t="s">
        <v>823</v>
      </c>
      <c r="I49" s="38" t="s">
        <v>325</v>
      </c>
      <c r="J49" s="39" t="s">
        <v>94</v>
      </c>
      <c r="K49" s="37" t="s">
        <v>102</v>
      </c>
      <c r="L49" s="37" t="s">
        <v>96</v>
      </c>
      <c r="M49" s="40"/>
      <c r="N49" s="40"/>
      <c r="O49" s="45"/>
      <c r="P49" s="46"/>
      <c r="Q49" s="44"/>
    </row>
    <row r="50" spans="1:17" x14ac:dyDescent="0.2">
      <c r="A50" s="34">
        <f t="shared" si="0"/>
        <v>42</v>
      </c>
      <c r="B50" s="35" t="s">
        <v>764</v>
      </c>
      <c r="C50" s="36" t="s">
        <v>842</v>
      </c>
      <c r="D50" s="37" t="s">
        <v>27</v>
      </c>
      <c r="E50" s="38"/>
      <c r="F50" s="39" t="s">
        <v>94</v>
      </c>
      <c r="G50" s="36" t="s">
        <v>918</v>
      </c>
      <c r="H50" s="37" t="s">
        <v>823</v>
      </c>
      <c r="I50" s="38" t="s">
        <v>325</v>
      </c>
      <c r="J50" s="39" t="s">
        <v>94</v>
      </c>
      <c r="K50" s="37" t="s">
        <v>102</v>
      </c>
      <c r="L50" s="37" t="s">
        <v>96</v>
      </c>
      <c r="M50" s="40"/>
      <c r="N50" s="40"/>
      <c r="O50" s="45"/>
      <c r="P50" s="46"/>
      <c r="Q50" s="44"/>
    </row>
    <row r="51" spans="1:17" x14ac:dyDescent="0.2">
      <c r="A51" s="34">
        <f t="shared" si="0"/>
        <v>43</v>
      </c>
      <c r="B51" s="35" t="s">
        <v>765</v>
      </c>
      <c r="C51" s="36" t="s">
        <v>720</v>
      </c>
      <c r="D51" s="37" t="s">
        <v>27</v>
      </c>
      <c r="E51" s="38"/>
      <c r="F51" s="39" t="s">
        <v>94</v>
      </c>
      <c r="G51" s="36" t="s">
        <v>919</v>
      </c>
      <c r="H51" s="37" t="s">
        <v>823</v>
      </c>
      <c r="I51" s="38" t="s">
        <v>325</v>
      </c>
      <c r="J51" s="39" t="s">
        <v>94</v>
      </c>
      <c r="K51" s="37" t="s">
        <v>102</v>
      </c>
      <c r="L51" s="37" t="s">
        <v>96</v>
      </c>
      <c r="M51" s="40"/>
      <c r="N51" s="40"/>
      <c r="O51" s="45"/>
      <c r="P51" s="46"/>
      <c r="Q51" s="44"/>
    </row>
    <row r="52" spans="1:17" x14ac:dyDescent="0.2">
      <c r="A52" s="34">
        <f t="shared" si="0"/>
        <v>44</v>
      </c>
      <c r="B52" s="35" t="s">
        <v>766</v>
      </c>
      <c r="C52" s="36" t="s">
        <v>843</v>
      </c>
      <c r="D52" s="37" t="s">
        <v>27</v>
      </c>
      <c r="E52" s="38"/>
      <c r="F52" s="39" t="s">
        <v>94</v>
      </c>
      <c r="G52" s="36" t="s">
        <v>920</v>
      </c>
      <c r="H52" s="37" t="s">
        <v>823</v>
      </c>
      <c r="I52" s="38" t="s">
        <v>325</v>
      </c>
      <c r="J52" s="39" t="s">
        <v>94</v>
      </c>
      <c r="K52" s="37" t="s">
        <v>102</v>
      </c>
      <c r="L52" s="37" t="s">
        <v>96</v>
      </c>
      <c r="M52" s="40"/>
      <c r="N52" s="40"/>
      <c r="O52" s="45"/>
      <c r="P52" s="46"/>
      <c r="Q52" s="44"/>
    </row>
    <row r="53" spans="1:17" x14ac:dyDescent="0.2">
      <c r="A53" s="34">
        <f t="shared" si="0"/>
        <v>45</v>
      </c>
      <c r="B53" s="35" t="s">
        <v>767</v>
      </c>
      <c r="C53" s="36" t="s">
        <v>721</v>
      </c>
      <c r="D53" s="37" t="s">
        <v>27</v>
      </c>
      <c r="E53" s="38"/>
      <c r="F53" s="39" t="s">
        <v>94</v>
      </c>
      <c r="G53" s="36" t="s">
        <v>921</v>
      </c>
      <c r="H53" s="37" t="s">
        <v>823</v>
      </c>
      <c r="I53" s="38" t="s">
        <v>325</v>
      </c>
      <c r="J53" s="39" t="s">
        <v>94</v>
      </c>
      <c r="K53" s="37" t="s">
        <v>102</v>
      </c>
      <c r="L53" s="37" t="s">
        <v>96</v>
      </c>
      <c r="M53" s="40"/>
      <c r="N53" s="40"/>
      <c r="O53" s="45"/>
      <c r="P53" s="46"/>
      <c r="Q53" s="44"/>
    </row>
    <row r="54" spans="1:17" x14ac:dyDescent="0.2">
      <c r="A54" s="34">
        <f t="shared" si="0"/>
        <v>46</v>
      </c>
      <c r="B54" s="35" t="s">
        <v>768</v>
      </c>
      <c r="C54" s="36" t="s">
        <v>844</v>
      </c>
      <c r="D54" s="37" t="s">
        <v>27</v>
      </c>
      <c r="E54" s="38"/>
      <c r="F54" s="39" t="s">
        <v>94</v>
      </c>
      <c r="G54" s="36" t="s">
        <v>922</v>
      </c>
      <c r="H54" s="37" t="s">
        <v>823</v>
      </c>
      <c r="I54" s="38" t="s">
        <v>325</v>
      </c>
      <c r="J54" s="39" t="s">
        <v>94</v>
      </c>
      <c r="K54" s="37" t="s">
        <v>102</v>
      </c>
      <c r="L54" s="37" t="s">
        <v>96</v>
      </c>
      <c r="M54" s="40"/>
      <c r="N54" s="40"/>
      <c r="O54" s="45"/>
      <c r="P54" s="46"/>
      <c r="Q54" s="44"/>
    </row>
    <row r="55" spans="1:17" x14ac:dyDescent="0.2">
      <c r="A55" s="34">
        <f t="shared" si="0"/>
        <v>47</v>
      </c>
      <c r="B55" s="35" t="s">
        <v>769</v>
      </c>
      <c r="C55" s="36" t="s">
        <v>722</v>
      </c>
      <c r="D55" s="37" t="s">
        <v>27</v>
      </c>
      <c r="E55" s="38"/>
      <c r="F55" s="39" t="s">
        <v>94</v>
      </c>
      <c r="G55" s="36" t="s">
        <v>923</v>
      </c>
      <c r="H55" s="37" t="s">
        <v>823</v>
      </c>
      <c r="I55" s="38" t="s">
        <v>325</v>
      </c>
      <c r="J55" s="39" t="s">
        <v>94</v>
      </c>
      <c r="K55" s="37" t="s">
        <v>102</v>
      </c>
      <c r="L55" s="37" t="s">
        <v>96</v>
      </c>
      <c r="M55" s="40"/>
      <c r="N55" s="40"/>
      <c r="O55" s="45"/>
      <c r="P55" s="46"/>
      <c r="Q55" s="44"/>
    </row>
    <row r="56" spans="1:17" x14ac:dyDescent="0.2">
      <c r="A56" s="34">
        <f t="shared" si="0"/>
        <v>48</v>
      </c>
      <c r="B56" s="35" t="s">
        <v>770</v>
      </c>
      <c r="C56" s="36" t="s">
        <v>845</v>
      </c>
      <c r="D56" s="37" t="s">
        <v>27</v>
      </c>
      <c r="E56" s="38"/>
      <c r="F56" s="39" t="s">
        <v>94</v>
      </c>
      <c r="G56" s="36" t="s">
        <v>924</v>
      </c>
      <c r="H56" s="37" t="s">
        <v>823</v>
      </c>
      <c r="I56" s="38" t="s">
        <v>325</v>
      </c>
      <c r="J56" s="39" t="s">
        <v>94</v>
      </c>
      <c r="K56" s="37" t="s">
        <v>102</v>
      </c>
      <c r="L56" s="37" t="s">
        <v>96</v>
      </c>
      <c r="M56" s="40"/>
      <c r="N56" s="40"/>
      <c r="O56" s="45"/>
      <c r="P56" s="46"/>
      <c r="Q56" s="44"/>
    </row>
    <row r="57" spans="1:17" x14ac:dyDescent="0.2">
      <c r="A57" s="34">
        <f t="shared" si="0"/>
        <v>49</v>
      </c>
      <c r="B57" s="35" t="s">
        <v>771</v>
      </c>
      <c r="C57" s="36" t="s">
        <v>723</v>
      </c>
      <c r="D57" s="37" t="s">
        <v>27</v>
      </c>
      <c r="E57" s="38"/>
      <c r="F57" s="39" t="s">
        <v>94</v>
      </c>
      <c r="G57" s="36" t="s">
        <v>925</v>
      </c>
      <c r="H57" s="37" t="s">
        <v>823</v>
      </c>
      <c r="I57" s="38" t="s">
        <v>325</v>
      </c>
      <c r="J57" s="39" t="s">
        <v>94</v>
      </c>
      <c r="K57" s="37" t="s">
        <v>102</v>
      </c>
      <c r="L57" s="37" t="s">
        <v>96</v>
      </c>
      <c r="M57" s="40"/>
      <c r="N57" s="40"/>
      <c r="O57" s="45"/>
      <c r="P57" s="46"/>
      <c r="Q57" s="44"/>
    </row>
    <row r="58" spans="1:17" x14ac:dyDescent="0.2">
      <c r="A58" s="34">
        <f t="shared" si="0"/>
        <v>50</v>
      </c>
      <c r="B58" s="35" t="s">
        <v>772</v>
      </c>
      <c r="C58" s="36" t="s">
        <v>846</v>
      </c>
      <c r="D58" s="37" t="s">
        <v>27</v>
      </c>
      <c r="E58" s="38"/>
      <c r="F58" s="39" t="s">
        <v>94</v>
      </c>
      <c r="G58" s="36" t="s">
        <v>926</v>
      </c>
      <c r="H58" s="37" t="s">
        <v>823</v>
      </c>
      <c r="I58" s="38" t="s">
        <v>325</v>
      </c>
      <c r="J58" s="39" t="s">
        <v>94</v>
      </c>
      <c r="K58" s="37" t="s">
        <v>102</v>
      </c>
      <c r="L58" s="37" t="s">
        <v>96</v>
      </c>
      <c r="M58" s="40"/>
      <c r="N58" s="40"/>
      <c r="O58" s="45"/>
      <c r="P58" s="46"/>
      <c r="Q58" s="44"/>
    </row>
    <row r="59" spans="1:17" x14ac:dyDescent="0.2">
      <c r="A59" s="34">
        <f t="shared" si="0"/>
        <v>51</v>
      </c>
      <c r="B59" s="35" t="s">
        <v>773</v>
      </c>
      <c r="C59" s="36" t="s">
        <v>724</v>
      </c>
      <c r="D59" s="37" t="s">
        <v>27</v>
      </c>
      <c r="E59" s="38"/>
      <c r="F59" s="39" t="s">
        <v>94</v>
      </c>
      <c r="G59" s="36" t="s">
        <v>927</v>
      </c>
      <c r="H59" s="37" t="s">
        <v>823</v>
      </c>
      <c r="I59" s="38" t="s">
        <v>325</v>
      </c>
      <c r="J59" s="39" t="s">
        <v>94</v>
      </c>
      <c r="K59" s="37" t="s">
        <v>102</v>
      </c>
      <c r="L59" s="37" t="s">
        <v>96</v>
      </c>
      <c r="M59" s="40"/>
      <c r="N59" s="40"/>
      <c r="O59" s="45"/>
      <c r="P59" s="46"/>
      <c r="Q59" s="44"/>
    </row>
    <row r="60" spans="1:17" x14ac:dyDescent="0.2">
      <c r="A60" s="34">
        <f t="shared" si="0"/>
        <v>52</v>
      </c>
      <c r="B60" s="35" t="s">
        <v>774</v>
      </c>
      <c r="C60" s="36" t="s">
        <v>847</v>
      </c>
      <c r="D60" s="37" t="s">
        <v>27</v>
      </c>
      <c r="E60" s="38"/>
      <c r="F60" s="39" t="s">
        <v>94</v>
      </c>
      <c r="G60" s="36" t="s">
        <v>928</v>
      </c>
      <c r="H60" s="37" t="s">
        <v>823</v>
      </c>
      <c r="I60" s="38" t="s">
        <v>325</v>
      </c>
      <c r="J60" s="39" t="s">
        <v>94</v>
      </c>
      <c r="K60" s="37" t="s">
        <v>102</v>
      </c>
      <c r="L60" s="37" t="s">
        <v>96</v>
      </c>
      <c r="M60" s="40"/>
      <c r="N60" s="40"/>
      <c r="O60" s="45"/>
      <c r="P60" s="46"/>
      <c r="Q60" s="44"/>
    </row>
    <row r="61" spans="1:17" x14ac:dyDescent="0.2">
      <c r="A61" s="34">
        <f t="shared" si="0"/>
        <v>53</v>
      </c>
      <c r="B61" s="35" t="s">
        <v>775</v>
      </c>
      <c r="C61" s="36" t="s">
        <v>725</v>
      </c>
      <c r="D61" s="37" t="s">
        <v>27</v>
      </c>
      <c r="E61" s="38"/>
      <c r="F61" s="39" t="s">
        <v>94</v>
      </c>
      <c r="G61" s="36" t="s">
        <v>929</v>
      </c>
      <c r="H61" s="37" t="s">
        <v>823</v>
      </c>
      <c r="I61" s="38" t="s">
        <v>325</v>
      </c>
      <c r="J61" s="39" t="s">
        <v>94</v>
      </c>
      <c r="K61" s="37" t="s">
        <v>102</v>
      </c>
      <c r="L61" s="37" t="s">
        <v>96</v>
      </c>
      <c r="M61" s="40"/>
      <c r="N61" s="40"/>
      <c r="O61" s="45"/>
      <c r="P61" s="46"/>
      <c r="Q61" s="44"/>
    </row>
    <row r="62" spans="1:17" x14ac:dyDescent="0.2">
      <c r="A62" s="34">
        <f t="shared" si="0"/>
        <v>54</v>
      </c>
      <c r="B62" s="35" t="s">
        <v>776</v>
      </c>
      <c r="C62" s="36" t="s">
        <v>848</v>
      </c>
      <c r="D62" s="37" t="s">
        <v>27</v>
      </c>
      <c r="E62" s="38"/>
      <c r="F62" s="39" t="s">
        <v>94</v>
      </c>
      <c r="G62" s="36" t="s">
        <v>930</v>
      </c>
      <c r="H62" s="37" t="s">
        <v>823</v>
      </c>
      <c r="I62" s="38" t="s">
        <v>325</v>
      </c>
      <c r="J62" s="39" t="s">
        <v>94</v>
      </c>
      <c r="K62" s="37" t="s">
        <v>102</v>
      </c>
      <c r="L62" s="37" t="s">
        <v>96</v>
      </c>
      <c r="M62" s="40"/>
      <c r="N62" s="40"/>
      <c r="O62" s="45"/>
      <c r="P62" s="46"/>
      <c r="Q62" s="44"/>
    </row>
    <row r="63" spans="1:17" x14ac:dyDescent="0.2">
      <c r="A63" s="34">
        <f t="shared" si="0"/>
        <v>55</v>
      </c>
      <c r="B63" s="35" t="s">
        <v>777</v>
      </c>
      <c r="C63" s="36" t="s">
        <v>726</v>
      </c>
      <c r="D63" s="37" t="s">
        <v>27</v>
      </c>
      <c r="E63" s="38"/>
      <c r="F63" s="39" t="s">
        <v>94</v>
      </c>
      <c r="G63" s="36" t="s">
        <v>931</v>
      </c>
      <c r="H63" s="37" t="s">
        <v>823</v>
      </c>
      <c r="I63" s="38" t="s">
        <v>325</v>
      </c>
      <c r="J63" s="39" t="s">
        <v>94</v>
      </c>
      <c r="K63" s="37" t="s">
        <v>102</v>
      </c>
      <c r="L63" s="37" t="s">
        <v>96</v>
      </c>
      <c r="M63" s="40"/>
      <c r="N63" s="41"/>
      <c r="O63" s="42"/>
      <c r="P63" s="43"/>
      <c r="Q63" s="44"/>
    </row>
    <row r="64" spans="1:17" x14ac:dyDescent="0.2">
      <c r="A64" s="34">
        <f t="shared" si="0"/>
        <v>56</v>
      </c>
      <c r="B64" s="35" t="s">
        <v>778</v>
      </c>
      <c r="C64" s="36" t="s">
        <v>849</v>
      </c>
      <c r="D64" s="37" t="s">
        <v>27</v>
      </c>
      <c r="E64" s="38"/>
      <c r="F64" s="39" t="s">
        <v>94</v>
      </c>
      <c r="G64" s="36" t="s">
        <v>932</v>
      </c>
      <c r="H64" s="37" t="s">
        <v>823</v>
      </c>
      <c r="I64" s="38" t="s">
        <v>325</v>
      </c>
      <c r="J64" s="39" t="s">
        <v>94</v>
      </c>
      <c r="K64" s="37" t="s">
        <v>102</v>
      </c>
      <c r="L64" s="37" t="s">
        <v>96</v>
      </c>
      <c r="M64" s="40"/>
      <c r="N64" s="41"/>
      <c r="O64" s="42"/>
      <c r="P64" s="43"/>
      <c r="Q64" s="44"/>
    </row>
    <row r="65" spans="1:17" x14ac:dyDescent="0.2">
      <c r="A65" s="34">
        <f t="shared" si="0"/>
        <v>57</v>
      </c>
      <c r="B65" s="35" t="s">
        <v>779</v>
      </c>
      <c r="C65" s="36" t="s">
        <v>727</v>
      </c>
      <c r="D65" s="37" t="s">
        <v>27</v>
      </c>
      <c r="E65" s="38"/>
      <c r="F65" s="39" t="s">
        <v>94</v>
      </c>
      <c r="G65" s="36" t="s">
        <v>933</v>
      </c>
      <c r="H65" s="37" t="s">
        <v>823</v>
      </c>
      <c r="I65" s="38" t="s">
        <v>325</v>
      </c>
      <c r="J65" s="39" t="s">
        <v>94</v>
      </c>
      <c r="K65" s="37" t="s">
        <v>102</v>
      </c>
      <c r="L65" s="37" t="s">
        <v>96</v>
      </c>
      <c r="M65" s="40"/>
      <c r="N65" s="40"/>
      <c r="O65" s="45"/>
      <c r="P65" s="46"/>
      <c r="Q65" s="44"/>
    </row>
    <row r="66" spans="1:17" x14ac:dyDescent="0.2">
      <c r="A66" s="34">
        <f t="shared" si="0"/>
        <v>58</v>
      </c>
      <c r="B66" s="35" t="s">
        <v>780</v>
      </c>
      <c r="C66" s="36" t="s">
        <v>850</v>
      </c>
      <c r="D66" s="37" t="s">
        <v>27</v>
      </c>
      <c r="E66" s="38"/>
      <c r="F66" s="39" t="s">
        <v>94</v>
      </c>
      <c r="G66" s="36" t="s">
        <v>934</v>
      </c>
      <c r="H66" s="37" t="s">
        <v>823</v>
      </c>
      <c r="I66" s="38" t="s">
        <v>325</v>
      </c>
      <c r="J66" s="39" t="s">
        <v>94</v>
      </c>
      <c r="K66" s="37" t="s">
        <v>102</v>
      </c>
      <c r="L66" s="37" t="s">
        <v>96</v>
      </c>
      <c r="M66" s="40"/>
      <c r="N66" s="40"/>
      <c r="O66" s="45"/>
      <c r="P66" s="46"/>
      <c r="Q66" s="44"/>
    </row>
    <row r="67" spans="1:17" x14ac:dyDescent="0.2">
      <c r="A67" s="34">
        <f t="shared" si="0"/>
        <v>59</v>
      </c>
      <c r="B67" s="35" t="s">
        <v>781</v>
      </c>
      <c r="C67" s="36" t="s">
        <v>728</v>
      </c>
      <c r="D67" s="37" t="s">
        <v>27</v>
      </c>
      <c r="E67" s="38"/>
      <c r="F67" s="39" t="s">
        <v>94</v>
      </c>
      <c r="G67" s="36" t="s">
        <v>935</v>
      </c>
      <c r="H67" s="37" t="s">
        <v>823</v>
      </c>
      <c r="I67" s="38" t="s">
        <v>325</v>
      </c>
      <c r="J67" s="39" t="s">
        <v>94</v>
      </c>
      <c r="K67" s="37" t="s">
        <v>102</v>
      </c>
      <c r="L67" s="37" t="s">
        <v>96</v>
      </c>
      <c r="M67" s="40"/>
      <c r="N67" s="40"/>
      <c r="O67" s="45"/>
      <c r="P67" s="46"/>
      <c r="Q67" s="44"/>
    </row>
    <row r="68" spans="1:17" x14ac:dyDescent="0.2">
      <c r="A68" s="34">
        <f t="shared" si="0"/>
        <v>60</v>
      </c>
      <c r="B68" s="35" t="s">
        <v>782</v>
      </c>
      <c r="C68" s="36" t="s">
        <v>851</v>
      </c>
      <c r="D68" s="37" t="s">
        <v>27</v>
      </c>
      <c r="E68" s="38"/>
      <c r="F68" s="39" t="s">
        <v>94</v>
      </c>
      <c r="G68" s="36" t="s">
        <v>936</v>
      </c>
      <c r="H68" s="37" t="s">
        <v>823</v>
      </c>
      <c r="I68" s="38" t="s">
        <v>325</v>
      </c>
      <c r="J68" s="39" t="s">
        <v>94</v>
      </c>
      <c r="K68" s="37" t="s">
        <v>102</v>
      </c>
      <c r="L68" s="37" t="s">
        <v>96</v>
      </c>
      <c r="M68" s="40"/>
      <c r="N68" s="40"/>
      <c r="O68" s="45"/>
      <c r="P68" s="46"/>
      <c r="Q68" s="44"/>
    </row>
    <row r="69" spans="1:17" x14ac:dyDescent="0.2">
      <c r="A69" s="34">
        <f t="shared" si="0"/>
        <v>61</v>
      </c>
      <c r="B69" s="35" t="s">
        <v>783</v>
      </c>
      <c r="C69" s="36" t="s">
        <v>729</v>
      </c>
      <c r="D69" s="37" t="s">
        <v>27</v>
      </c>
      <c r="E69" s="38"/>
      <c r="F69" s="39" t="s">
        <v>94</v>
      </c>
      <c r="G69" s="36" t="s">
        <v>937</v>
      </c>
      <c r="H69" s="37" t="s">
        <v>823</v>
      </c>
      <c r="I69" s="38" t="s">
        <v>325</v>
      </c>
      <c r="J69" s="39" t="s">
        <v>94</v>
      </c>
      <c r="K69" s="37" t="s">
        <v>102</v>
      </c>
      <c r="L69" s="37" t="s">
        <v>96</v>
      </c>
      <c r="M69" s="40"/>
      <c r="N69" s="40"/>
      <c r="O69" s="45"/>
      <c r="P69" s="46"/>
      <c r="Q69" s="44"/>
    </row>
    <row r="70" spans="1:17" x14ac:dyDescent="0.2">
      <c r="A70" s="34">
        <f t="shared" si="0"/>
        <v>62</v>
      </c>
      <c r="B70" s="35" t="s">
        <v>784</v>
      </c>
      <c r="C70" s="36" t="s">
        <v>852</v>
      </c>
      <c r="D70" s="37" t="s">
        <v>27</v>
      </c>
      <c r="E70" s="38"/>
      <c r="F70" s="39" t="s">
        <v>94</v>
      </c>
      <c r="G70" s="36" t="s">
        <v>938</v>
      </c>
      <c r="H70" s="37" t="s">
        <v>823</v>
      </c>
      <c r="I70" s="38" t="s">
        <v>325</v>
      </c>
      <c r="J70" s="39" t="s">
        <v>94</v>
      </c>
      <c r="K70" s="37" t="s">
        <v>102</v>
      </c>
      <c r="L70" s="37" t="s">
        <v>96</v>
      </c>
      <c r="M70" s="40"/>
      <c r="N70" s="40"/>
      <c r="O70" s="45"/>
      <c r="P70" s="46"/>
      <c r="Q70" s="44"/>
    </row>
    <row r="71" spans="1:17" x14ac:dyDescent="0.2">
      <c r="A71" s="34">
        <f t="shared" si="0"/>
        <v>63</v>
      </c>
      <c r="B71" s="35" t="s">
        <v>785</v>
      </c>
      <c r="C71" s="36" t="s">
        <v>730</v>
      </c>
      <c r="D71" s="37" t="s">
        <v>27</v>
      </c>
      <c r="E71" s="38"/>
      <c r="F71" s="39" t="s">
        <v>94</v>
      </c>
      <c r="G71" s="36" t="s">
        <v>939</v>
      </c>
      <c r="H71" s="37" t="s">
        <v>823</v>
      </c>
      <c r="I71" s="38" t="s">
        <v>325</v>
      </c>
      <c r="J71" s="39" t="s">
        <v>94</v>
      </c>
      <c r="K71" s="37" t="s">
        <v>102</v>
      </c>
      <c r="L71" s="37" t="s">
        <v>96</v>
      </c>
      <c r="M71" s="40"/>
      <c r="N71" s="40"/>
      <c r="O71" s="45"/>
      <c r="P71" s="46"/>
      <c r="Q71" s="44"/>
    </row>
    <row r="72" spans="1:17" x14ac:dyDescent="0.2">
      <c r="A72" s="34">
        <f t="shared" si="0"/>
        <v>64</v>
      </c>
      <c r="B72" s="35" t="s">
        <v>786</v>
      </c>
      <c r="C72" s="36" t="s">
        <v>853</v>
      </c>
      <c r="D72" s="37" t="s">
        <v>27</v>
      </c>
      <c r="E72" s="38"/>
      <c r="F72" s="39" t="s">
        <v>94</v>
      </c>
      <c r="G72" s="36" t="s">
        <v>940</v>
      </c>
      <c r="H72" s="37" t="s">
        <v>823</v>
      </c>
      <c r="I72" s="38" t="s">
        <v>325</v>
      </c>
      <c r="J72" s="39" t="s">
        <v>94</v>
      </c>
      <c r="K72" s="37" t="s">
        <v>102</v>
      </c>
      <c r="L72" s="37" t="s">
        <v>96</v>
      </c>
      <c r="M72" s="40"/>
      <c r="N72" s="40"/>
      <c r="O72" s="45"/>
      <c r="P72" s="46"/>
      <c r="Q72" s="44"/>
    </row>
    <row r="73" spans="1:17" x14ac:dyDescent="0.2">
      <c r="A73" s="34">
        <f t="shared" si="0"/>
        <v>65</v>
      </c>
      <c r="B73" s="35" t="s">
        <v>787</v>
      </c>
      <c r="C73" s="36" t="s">
        <v>731</v>
      </c>
      <c r="D73" s="37" t="s">
        <v>27</v>
      </c>
      <c r="E73" s="38"/>
      <c r="F73" s="39" t="s">
        <v>94</v>
      </c>
      <c r="G73" s="36" t="s">
        <v>941</v>
      </c>
      <c r="H73" s="37" t="s">
        <v>823</v>
      </c>
      <c r="I73" s="38" t="s">
        <v>325</v>
      </c>
      <c r="J73" s="39" t="s">
        <v>94</v>
      </c>
      <c r="K73" s="37" t="s">
        <v>102</v>
      </c>
      <c r="L73" s="37" t="s">
        <v>96</v>
      </c>
      <c r="M73" s="40"/>
      <c r="N73" s="40"/>
      <c r="O73" s="45"/>
      <c r="P73" s="46"/>
      <c r="Q73" s="44"/>
    </row>
    <row r="74" spans="1:17" x14ac:dyDescent="0.2">
      <c r="A74" s="34">
        <f t="shared" si="0"/>
        <v>66</v>
      </c>
      <c r="B74" s="35" t="s">
        <v>788</v>
      </c>
      <c r="C74" s="36" t="s">
        <v>854</v>
      </c>
      <c r="D74" s="37" t="s">
        <v>27</v>
      </c>
      <c r="E74" s="38"/>
      <c r="F74" s="39" t="s">
        <v>94</v>
      </c>
      <c r="G74" s="36" t="s">
        <v>942</v>
      </c>
      <c r="H74" s="37" t="s">
        <v>823</v>
      </c>
      <c r="I74" s="38" t="s">
        <v>325</v>
      </c>
      <c r="J74" s="39" t="s">
        <v>94</v>
      </c>
      <c r="K74" s="37" t="s">
        <v>102</v>
      </c>
      <c r="L74" s="37" t="s">
        <v>96</v>
      </c>
      <c r="M74" s="40"/>
      <c r="N74" s="40"/>
      <c r="O74" s="45"/>
      <c r="P74" s="46"/>
      <c r="Q74" s="44"/>
    </row>
    <row r="75" spans="1:17" x14ac:dyDescent="0.2">
      <c r="A75" s="34">
        <f t="shared" si="0"/>
        <v>67</v>
      </c>
      <c r="B75" s="35" t="s">
        <v>789</v>
      </c>
      <c r="C75" s="36" t="s">
        <v>732</v>
      </c>
      <c r="D75" s="37" t="s">
        <v>27</v>
      </c>
      <c r="E75" s="38"/>
      <c r="F75" s="39" t="s">
        <v>94</v>
      </c>
      <c r="G75" s="36" t="s">
        <v>943</v>
      </c>
      <c r="H75" s="37" t="s">
        <v>823</v>
      </c>
      <c r="I75" s="38" t="s">
        <v>325</v>
      </c>
      <c r="J75" s="39" t="s">
        <v>94</v>
      </c>
      <c r="K75" s="37" t="s">
        <v>102</v>
      </c>
      <c r="L75" s="37" t="s">
        <v>96</v>
      </c>
      <c r="M75" s="40"/>
      <c r="N75" s="40"/>
      <c r="O75" s="45"/>
      <c r="P75" s="46"/>
      <c r="Q75" s="44"/>
    </row>
    <row r="76" spans="1:17" x14ac:dyDescent="0.2">
      <c r="A76" s="34">
        <f t="shared" si="0"/>
        <v>68</v>
      </c>
      <c r="B76" s="35" t="s">
        <v>790</v>
      </c>
      <c r="C76" s="36" t="s">
        <v>855</v>
      </c>
      <c r="D76" s="37" t="s">
        <v>27</v>
      </c>
      <c r="E76" s="38"/>
      <c r="F76" s="39" t="s">
        <v>94</v>
      </c>
      <c r="G76" s="36" t="s">
        <v>944</v>
      </c>
      <c r="H76" s="37" t="s">
        <v>823</v>
      </c>
      <c r="I76" s="38" t="s">
        <v>325</v>
      </c>
      <c r="J76" s="39" t="s">
        <v>94</v>
      </c>
      <c r="K76" s="37" t="s">
        <v>102</v>
      </c>
      <c r="L76" s="37" t="s">
        <v>96</v>
      </c>
      <c r="M76" s="40"/>
      <c r="N76" s="40"/>
      <c r="O76" s="45"/>
      <c r="P76" s="46"/>
      <c r="Q76" s="44"/>
    </row>
    <row r="77" spans="1:17" x14ac:dyDescent="0.2">
      <c r="A77" s="34">
        <f t="shared" si="0"/>
        <v>69</v>
      </c>
      <c r="B77" s="35" t="s">
        <v>791</v>
      </c>
      <c r="C77" s="36" t="s">
        <v>733</v>
      </c>
      <c r="D77" s="37" t="s">
        <v>27</v>
      </c>
      <c r="E77" s="38"/>
      <c r="F77" s="39" t="s">
        <v>94</v>
      </c>
      <c r="G77" s="36" t="s">
        <v>945</v>
      </c>
      <c r="H77" s="37" t="s">
        <v>823</v>
      </c>
      <c r="I77" s="38" t="s">
        <v>325</v>
      </c>
      <c r="J77" s="39" t="s">
        <v>94</v>
      </c>
      <c r="K77" s="37" t="s">
        <v>102</v>
      </c>
      <c r="L77" s="37" t="s">
        <v>96</v>
      </c>
      <c r="M77" s="40"/>
      <c r="N77" s="40"/>
      <c r="O77" s="45"/>
      <c r="P77" s="46"/>
      <c r="Q77" s="44"/>
    </row>
    <row r="78" spans="1:17" x14ac:dyDescent="0.2">
      <c r="A78" s="34">
        <f t="shared" si="0"/>
        <v>70</v>
      </c>
      <c r="B78" s="35" t="s">
        <v>792</v>
      </c>
      <c r="C78" s="36" t="s">
        <v>856</v>
      </c>
      <c r="D78" s="37" t="s">
        <v>27</v>
      </c>
      <c r="E78" s="38"/>
      <c r="F78" s="39" t="s">
        <v>94</v>
      </c>
      <c r="G78" s="36" t="s">
        <v>946</v>
      </c>
      <c r="H78" s="37" t="s">
        <v>823</v>
      </c>
      <c r="I78" s="38" t="s">
        <v>325</v>
      </c>
      <c r="J78" s="39" t="s">
        <v>94</v>
      </c>
      <c r="K78" s="37" t="s">
        <v>102</v>
      </c>
      <c r="L78" s="37" t="s">
        <v>96</v>
      </c>
      <c r="M78" s="40"/>
      <c r="N78" s="40"/>
      <c r="O78" s="45"/>
      <c r="P78" s="46"/>
      <c r="Q78" s="44"/>
    </row>
    <row r="79" spans="1:17" x14ac:dyDescent="0.2">
      <c r="A79" s="34">
        <f t="shared" si="0"/>
        <v>71</v>
      </c>
      <c r="B79" s="35" t="s">
        <v>793</v>
      </c>
      <c r="C79" s="36" t="s">
        <v>734</v>
      </c>
      <c r="D79" s="37" t="s">
        <v>27</v>
      </c>
      <c r="E79" s="38"/>
      <c r="F79" s="39" t="s">
        <v>94</v>
      </c>
      <c r="G79" s="36" t="s">
        <v>947</v>
      </c>
      <c r="H79" s="37" t="s">
        <v>823</v>
      </c>
      <c r="I79" s="38" t="s">
        <v>325</v>
      </c>
      <c r="J79" s="39" t="s">
        <v>94</v>
      </c>
      <c r="K79" s="37" t="s">
        <v>102</v>
      </c>
      <c r="L79" s="37" t="s">
        <v>96</v>
      </c>
      <c r="M79" s="40"/>
      <c r="N79" s="40"/>
      <c r="O79" s="45"/>
      <c r="P79" s="46"/>
      <c r="Q79" s="44"/>
    </row>
    <row r="80" spans="1:17" x14ac:dyDescent="0.2">
      <c r="A80" s="34">
        <f t="shared" si="0"/>
        <v>72</v>
      </c>
      <c r="B80" s="35" t="s">
        <v>794</v>
      </c>
      <c r="C80" s="36" t="s">
        <v>857</v>
      </c>
      <c r="D80" s="37" t="s">
        <v>27</v>
      </c>
      <c r="E80" s="38"/>
      <c r="F80" s="39" t="s">
        <v>94</v>
      </c>
      <c r="G80" s="36" t="s">
        <v>948</v>
      </c>
      <c r="H80" s="37" t="s">
        <v>823</v>
      </c>
      <c r="I80" s="38" t="s">
        <v>325</v>
      </c>
      <c r="J80" s="39" t="s">
        <v>94</v>
      </c>
      <c r="K80" s="37" t="s">
        <v>102</v>
      </c>
      <c r="L80" s="37" t="s">
        <v>96</v>
      </c>
      <c r="M80" s="40"/>
      <c r="N80" s="40"/>
      <c r="O80" s="45"/>
      <c r="P80" s="46"/>
      <c r="Q80" s="44"/>
    </row>
    <row r="81" spans="1:17" x14ac:dyDescent="0.2">
      <c r="A81" s="34">
        <f t="shared" si="0"/>
        <v>73</v>
      </c>
      <c r="B81" s="35" t="s">
        <v>795</v>
      </c>
      <c r="C81" s="36" t="s">
        <v>735</v>
      </c>
      <c r="D81" s="37" t="s">
        <v>27</v>
      </c>
      <c r="E81" s="38"/>
      <c r="F81" s="39" t="s">
        <v>94</v>
      </c>
      <c r="G81" s="36" t="s">
        <v>949</v>
      </c>
      <c r="H81" s="37" t="s">
        <v>823</v>
      </c>
      <c r="I81" s="38" t="s">
        <v>325</v>
      </c>
      <c r="J81" s="39" t="s">
        <v>94</v>
      </c>
      <c r="K81" s="37" t="s">
        <v>102</v>
      </c>
      <c r="L81" s="37" t="s">
        <v>96</v>
      </c>
      <c r="M81" s="40"/>
      <c r="N81" s="41"/>
      <c r="O81" s="42"/>
      <c r="P81" s="43"/>
      <c r="Q81" s="44"/>
    </row>
    <row r="82" spans="1:17" x14ac:dyDescent="0.2">
      <c r="A82" s="34">
        <f t="shared" si="0"/>
        <v>74</v>
      </c>
      <c r="B82" s="35" t="s">
        <v>796</v>
      </c>
      <c r="C82" s="36" t="s">
        <v>858</v>
      </c>
      <c r="D82" s="37" t="s">
        <v>27</v>
      </c>
      <c r="E82" s="38"/>
      <c r="F82" s="39" t="s">
        <v>94</v>
      </c>
      <c r="G82" s="36" t="s">
        <v>950</v>
      </c>
      <c r="H82" s="37" t="s">
        <v>823</v>
      </c>
      <c r="I82" s="38" t="s">
        <v>325</v>
      </c>
      <c r="J82" s="39" t="s">
        <v>94</v>
      </c>
      <c r="K82" s="37" t="s">
        <v>102</v>
      </c>
      <c r="L82" s="37" t="s">
        <v>96</v>
      </c>
      <c r="M82" s="40"/>
      <c r="N82" s="41"/>
      <c r="O82" s="42"/>
      <c r="P82" s="43"/>
      <c r="Q82" s="44"/>
    </row>
    <row r="83" spans="1:17" x14ac:dyDescent="0.2">
      <c r="A83" s="34">
        <f t="shared" si="0"/>
        <v>75</v>
      </c>
      <c r="B83" s="35" t="s">
        <v>797</v>
      </c>
      <c r="C83" s="36" t="s">
        <v>736</v>
      </c>
      <c r="D83" s="37" t="s">
        <v>27</v>
      </c>
      <c r="E83" s="38"/>
      <c r="F83" s="39" t="s">
        <v>94</v>
      </c>
      <c r="G83" s="36" t="s">
        <v>951</v>
      </c>
      <c r="H83" s="37" t="s">
        <v>823</v>
      </c>
      <c r="I83" s="38" t="s">
        <v>325</v>
      </c>
      <c r="J83" s="39" t="s">
        <v>94</v>
      </c>
      <c r="K83" s="37" t="s">
        <v>102</v>
      </c>
      <c r="L83" s="37" t="s">
        <v>96</v>
      </c>
      <c r="M83" s="40"/>
      <c r="N83" s="40"/>
      <c r="O83" s="45"/>
      <c r="P83" s="46"/>
      <c r="Q83" s="44"/>
    </row>
    <row r="84" spans="1:17" x14ac:dyDescent="0.2">
      <c r="A84" s="34">
        <f t="shared" si="0"/>
        <v>76</v>
      </c>
      <c r="B84" s="35" t="s">
        <v>798</v>
      </c>
      <c r="C84" s="36" t="s">
        <v>859</v>
      </c>
      <c r="D84" s="37" t="s">
        <v>27</v>
      </c>
      <c r="E84" s="38"/>
      <c r="F84" s="39" t="s">
        <v>94</v>
      </c>
      <c r="G84" s="36" t="s">
        <v>952</v>
      </c>
      <c r="H84" s="37" t="s">
        <v>823</v>
      </c>
      <c r="I84" s="38" t="s">
        <v>325</v>
      </c>
      <c r="J84" s="39" t="s">
        <v>94</v>
      </c>
      <c r="K84" s="37" t="s">
        <v>102</v>
      </c>
      <c r="L84" s="37" t="s">
        <v>96</v>
      </c>
      <c r="M84" s="40"/>
      <c r="N84" s="40"/>
      <c r="O84" s="45"/>
      <c r="P84" s="46"/>
      <c r="Q84" s="44"/>
    </row>
    <row r="85" spans="1:17" x14ac:dyDescent="0.2">
      <c r="A85" s="34">
        <f t="shared" si="0"/>
        <v>77</v>
      </c>
      <c r="B85" s="35" t="s">
        <v>799</v>
      </c>
      <c r="C85" s="36" t="s">
        <v>737</v>
      </c>
      <c r="D85" s="37" t="s">
        <v>27</v>
      </c>
      <c r="E85" s="38"/>
      <c r="F85" s="39" t="s">
        <v>94</v>
      </c>
      <c r="G85" s="36" t="s">
        <v>953</v>
      </c>
      <c r="H85" s="37" t="s">
        <v>823</v>
      </c>
      <c r="I85" s="38" t="s">
        <v>325</v>
      </c>
      <c r="J85" s="39" t="s">
        <v>94</v>
      </c>
      <c r="K85" s="37" t="s">
        <v>102</v>
      </c>
      <c r="L85" s="37" t="s">
        <v>96</v>
      </c>
      <c r="M85" s="40"/>
      <c r="N85" s="40"/>
      <c r="O85" s="45"/>
      <c r="P85" s="46"/>
      <c r="Q85" s="44"/>
    </row>
    <row r="86" spans="1:17" x14ac:dyDescent="0.2">
      <c r="A86" s="34">
        <f t="shared" si="0"/>
        <v>78</v>
      </c>
      <c r="B86" s="35" t="s">
        <v>800</v>
      </c>
      <c r="C86" s="36" t="s">
        <v>860</v>
      </c>
      <c r="D86" s="37" t="s">
        <v>27</v>
      </c>
      <c r="E86" s="38"/>
      <c r="F86" s="39" t="s">
        <v>94</v>
      </c>
      <c r="G86" s="36" t="s">
        <v>954</v>
      </c>
      <c r="H86" s="37" t="s">
        <v>823</v>
      </c>
      <c r="I86" s="38" t="s">
        <v>325</v>
      </c>
      <c r="J86" s="39" t="s">
        <v>94</v>
      </c>
      <c r="K86" s="37" t="s">
        <v>102</v>
      </c>
      <c r="L86" s="37" t="s">
        <v>96</v>
      </c>
      <c r="M86" s="40"/>
      <c r="N86" s="40"/>
      <c r="O86" s="45"/>
      <c r="P86" s="46"/>
      <c r="Q86" s="44"/>
    </row>
    <row r="87" spans="1:17" x14ac:dyDescent="0.2">
      <c r="A87" s="34">
        <f t="shared" si="0"/>
        <v>79</v>
      </c>
      <c r="B87" s="35" t="s">
        <v>801</v>
      </c>
      <c r="C87" s="36" t="s">
        <v>738</v>
      </c>
      <c r="D87" s="37" t="s">
        <v>27</v>
      </c>
      <c r="E87" s="38"/>
      <c r="F87" s="39" t="s">
        <v>94</v>
      </c>
      <c r="G87" s="36" t="s">
        <v>955</v>
      </c>
      <c r="H87" s="37" t="s">
        <v>823</v>
      </c>
      <c r="I87" s="38" t="s">
        <v>325</v>
      </c>
      <c r="J87" s="39" t="s">
        <v>94</v>
      </c>
      <c r="K87" s="37" t="s">
        <v>102</v>
      </c>
      <c r="L87" s="37" t="s">
        <v>96</v>
      </c>
      <c r="M87" s="40"/>
      <c r="N87" s="40"/>
      <c r="O87" s="45"/>
      <c r="P87" s="46"/>
      <c r="Q87" s="44"/>
    </row>
    <row r="88" spans="1:17" x14ac:dyDescent="0.2">
      <c r="A88" s="34">
        <f t="shared" si="0"/>
        <v>80</v>
      </c>
      <c r="B88" s="35" t="s">
        <v>802</v>
      </c>
      <c r="C88" s="36" t="s">
        <v>861</v>
      </c>
      <c r="D88" s="37" t="s">
        <v>27</v>
      </c>
      <c r="E88" s="38"/>
      <c r="F88" s="39" t="s">
        <v>94</v>
      </c>
      <c r="G88" s="36" t="s">
        <v>956</v>
      </c>
      <c r="H88" s="37" t="s">
        <v>823</v>
      </c>
      <c r="I88" s="38" t="s">
        <v>325</v>
      </c>
      <c r="J88" s="39" t="s">
        <v>94</v>
      </c>
      <c r="K88" s="37" t="s">
        <v>102</v>
      </c>
      <c r="L88" s="37" t="s">
        <v>96</v>
      </c>
      <c r="M88" s="40"/>
      <c r="N88" s="40"/>
      <c r="O88" s="45"/>
      <c r="P88" s="46"/>
      <c r="Q88" s="44"/>
    </row>
    <row r="89" spans="1:17" x14ac:dyDescent="0.2">
      <c r="A89" s="34">
        <f t="shared" si="0"/>
        <v>81</v>
      </c>
      <c r="B89" s="35" t="s">
        <v>803</v>
      </c>
      <c r="C89" s="36" t="s">
        <v>739</v>
      </c>
      <c r="D89" s="37" t="s">
        <v>27</v>
      </c>
      <c r="E89" s="38"/>
      <c r="F89" s="39" t="s">
        <v>94</v>
      </c>
      <c r="G89" s="36" t="s">
        <v>957</v>
      </c>
      <c r="H89" s="37" t="s">
        <v>823</v>
      </c>
      <c r="I89" s="38" t="s">
        <v>325</v>
      </c>
      <c r="J89" s="39" t="s">
        <v>94</v>
      </c>
      <c r="K89" s="37" t="s">
        <v>102</v>
      </c>
      <c r="L89" s="37" t="s">
        <v>96</v>
      </c>
      <c r="M89" s="40"/>
      <c r="N89" s="40"/>
      <c r="O89" s="45"/>
      <c r="P89" s="46"/>
      <c r="Q89" s="44"/>
    </row>
    <row r="90" spans="1:17" x14ac:dyDescent="0.2">
      <c r="A90" s="34">
        <f t="shared" si="0"/>
        <v>82</v>
      </c>
      <c r="B90" s="35" t="s">
        <v>804</v>
      </c>
      <c r="C90" s="36" t="s">
        <v>862</v>
      </c>
      <c r="D90" s="37" t="s">
        <v>27</v>
      </c>
      <c r="E90" s="38"/>
      <c r="F90" s="39" t="s">
        <v>94</v>
      </c>
      <c r="G90" s="36" t="s">
        <v>958</v>
      </c>
      <c r="H90" s="37" t="s">
        <v>823</v>
      </c>
      <c r="I90" s="38" t="s">
        <v>325</v>
      </c>
      <c r="J90" s="39" t="s">
        <v>94</v>
      </c>
      <c r="K90" s="37" t="s">
        <v>102</v>
      </c>
      <c r="L90" s="37" t="s">
        <v>96</v>
      </c>
      <c r="M90" s="40"/>
      <c r="N90" s="40"/>
      <c r="O90" s="45"/>
      <c r="P90" s="46"/>
      <c r="Q90" s="44"/>
    </row>
    <row r="91" spans="1:17" x14ac:dyDescent="0.2">
      <c r="A91" s="34">
        <f t="shared" si="0"/>
        <v>83</v>
      </c>
      <c r="B91" s="35" t="s">
        <v>805</v>
      </c>
      <c r="C91" s="36" t="s">
        <v>740</v>
      </c>
      <c r="D91" s="37" t="s">
        <v>27</v>
      </c>
      <c r="E91" s="38"/>
      <c r="F91" s="39" t="s">
        <v>94</v>
      </c>
      <c r="G91" s="36" t="s">
        <v>959</v>
      </c>
      <c r="H91" s="37" t="s">
        <v>823</v>
      </c>
      <c r="I91" s="38" t="s">
        <v>325</v>
      </c>
      <c r="J91" s="39" t="s">
        <v>94</v>
      </c>
      <c r="K91" s="37" t="s">
        <v>102</v>
      </c>
      <c r="L91" s="37" t="s">
        <v>96</v>
      </c>
      <c r="M91" s="40"/>
      <c r="N91" s="40"/>
      <c r="O91" s="45"/>
      <c r="P91" s="46"/>
      <c r="Q91" s="44"/>
    </row>
    <row r="92" spans="1:17" x14ac:dyDescent="0.2">
      <c r="A92" s="34">
        <f t="shared" si="0"/>
        <v>84</v>
      </c>
      <c r="B92" s="35" t="s">
        <v>806</v>
      </c>
      <c r="C92" s="36" t="s">
        <v>863</v>
      </c>
      <c r="D92" s="37" t="s">
        <v>27</v>
      </c>
      <c r="E92" s="38"/>
      <c r="F92" s="39" t="s">
        <v>94</v>
      </c>
      <c r="G92" s="36" t="s">
        <v>960</v>
      </c>
      <c r="H92" s="37" t="s">
        <v>823</v>
      </c>
      <c r="I92" s="38" t="s">
        <v>325</v>
      </c>
      <c r="J92" s="39" t="s">
        <v>94</v>
      </c>
      <c r="K92" s="37" t="s">
        <v>102</v>
      </c>
      <c r="L92" s="37" t="s">
        <v>96</v>
      </c>
      <c r="M92" s="40"/>
      <c r="N92" s="40"/>
      <c r="O92" s="45"/>
      <c r="P92" s="46"/>
      <c r="Q92" s="44"/>
    </row>
    <row r="93" spans="1:17" x14ac:dyDescent="0.2">
      <c r="A93" s="34">
        <f t="shared" si="0"/>
        <v>85</v>
      </c>
      <c r="B93" s="35" t="s">
        <v>807</v>
      </c>
      <c r="C93" s="36" t="s">
        <v>741</v>
      </c>
      <c r="D93" s="37" t="s">
        <v>27</v>
      </c>
      <c r="E93" s="38"/>
      <c r="F93" s="39" t="s">
        <v>94</v>
      </c>
      <c r="G93" s="36" t="s">
        <v>961</v>
      </c>
      <c r="H93" s="37" t="s">
        <v>823</v>
      </c>
      <c r="I93" s="38" t="s">
        <v>325</v>
      </c>
      <c r="J93" s="39" t="s">
        <v>94</v>
      </c>
      <c r="K93" s="37" t="s">
        <v>102</v>
      </c>
      <c r="L93" s="37" t="s">
        <v>96</v>
      </c>
      <c r="M93" s="40"/>
      <c r="N93" s="40"/>
      <c r="O93" s="45"/>
      <c r="P93" s="46"/>
      <c r="Q93" s="44"/>
    </row>
    <row r="94" spans="1:17" x14ac:dyDescent="0.2">
      <c r="A94" s="34">
        <f t="shared" si="0"/>
        <v>86</v>
      </c>
      <c r="B94" s="35" t="s">
        <v>808</v>
      </c>
      <c r="C94" s="36" t="s">
        <v>864</v>
      </c>
      <c r="D94" s="37" t="s">
        <v>27</v>
      </c>
      <c r="E94" s="38"/>
      <c r="F94" s="39" t="s">
        <v>94</v>
      </c>
      <c r="G94" s="36" t="s">
        <v>962</v>
      </c>
      <c r="H94" s="37" t="s">
        <v>823</v>
      </c>
      <c r="I94" s="38" t="s">
        <v>325</v>
      </c>
      <c r="J94" s="39" t="s">
        <v>94</v>
      </c>
      <c r="K94" s="37" t="s">
        <v>102</v>
      </c>
      <c r="L94" s="37" t="s">
        <v>96</v>
      </c>
      <c r="M94" s="40"/>
      <c r="N94" s="40"/>
      <c r="O94" s="45"/>
      <c r="P94" s="46"/>
      <c r="Q94" s="44"/>
    </row>
    <row r="95" spans="1:17" x14ac:dyDescent="0.2">
      <c r="A95" s="34">
        <f t="shared" si="0"/>
        <v>87</v>
      </c>
      <c r="B95" s="35" t="s">
        <v>809</v>
      </c>
      <c r="C95" s="36" t="s">
        <v>742</v>
      </c>
      <c r="D95" s="37" t="s">
        <v>27</v>
      </c>
      <c r="E95" s="38"/>
      <c r="F95" s="39" t="s">
        <v>94</v>
      </c>
      <c r="G95" s="36" t="s">
        <v>963</v>
      </c>
      <c r="H95" s="37" t="s">
        <v>823</v>
      </c>
      <c r="I95" s="38" t="s">
        <v>325</v>
      </c>
      <c r="J95" s="39" t="s">
        <v>94</v>
      </c>
      <c r="K95" s="37" t="s">
        <v>102</v>
      </c>
      <c r="L95" s="37" t="s">
        <v>96</v>
      </c>
      <c r="M95" s="40"/>
      <c r="N95" s="40"/>
      <c r="O95" s="45"/>
      <c r="P95" s="46"/>
      <c r="Q95" s="44"/>
    </row>
    <row r="96" spans="1:17" x14ac:dyDescent="0.2">
      <c r="A96" s="34">
        <f t="shared" si="0"/>
        <v>88</v>
      </c>
      <c r="B96" s="35" t="s">
        <v>810</v>
      </c>
      <c r="C96" s="36" t="s">
        <v>865</v>
      </c>
      <c r="D96" s="37" t="s">
        <v>27</v>
      </c>
      <c r="E96" s="38"/>
      <c r="F96" s="39" t="s">
        <v>94</v>
      </c>
      <c r="G96" s="36" t="s">
        <v>964</v>
      </c>
      <c r="H96" s="37" t="s">
        <v>823</v>
      </c>
      <c r="I96" s="38" t="s">
        <v>325</v>
      </c>
      <c r="J96" s="39" t="s">
        <v>94</v>
      </c>
      <c r="K96" s="37" t="s">
        <v>102</v>
      </c>
      <c r="L96" s="37" t="s">
        <v>96</v>
      </c>
      <c r="M96" s="40"/>
      <c r="N96" s="40"/>
      <c r="O96" s="45"/>
      <c r="P96" s="46"/>
      <c r="Q96" s="44"/>
    </row>
    <row r="97" spans="1:17" x14ac:dyDescent="0.2">
      <c r="A97" s="34">
        <f t="shared" si="0"/>
        <v>89</v>
      </c>
      <c r="B97" s="35" t="s">
        <v>811</v>
      </c>
      <c r="C97" s="36" t="s">
        <v>743</v>
      </c>
      <c r="D97" s="37" t="s">
        <v>27</v>
      </c>
      <c r="E97" s="38"/>
      <c r="F97" s="39" t="s">
        <v>94</v>
      </c>
      <c r="G97" s="36" t="s">
        <v>965</v>
      </c>
      <c r="H97" s="37" t="s">
        <v>823</v>
      </c>
      <c r="I97" s="38" t="s">
        <v>325</v>
      </c>
      <c r="J97" s="39" t="s">
        <v>94</v>
      </c>
      <c r="K97" s="37" t="s">
        <v>102</v>
      </c>
      <c r="L97" s="37" t="s">
        <v>96</v>
      </c>
      <c r="M97" s="40"/>
      <c r="N97" s="40"/>
      <c r="O97" s="45"/>
      <c r="P97" s="46"/>
      <c r="Q97" s="44"/>
    </row>
    <row r="98" spans="1:17" x14ac:dyDescent="0.2">
      <c r="A98" s="34">
        <f t="shared" si="0"/>
        <v>90</v>
      </c>
      <c r="B98" s="35" t="s">
        <v>812</v>
      </c>
      <c r="C98" s="36" t="s">
        <v>866</v>
      </c>
      <c r="D98" s="37" t="s">
        <v>27</v>
      </c>
      <c r="E98" s="38"/>
      <c r="F98" s="39" t="s">
        <v>94</v>
      </c>
      <c r="G98" s="36" t="s">
        <v>966</v>
      </c>
      <c r="H98" s="37" t="s">
        <v>823</v>
      </c>
      <c r="I98" s="38" t="s">
        <v>325</v>
      </c>
      <c r="J98" s="39" t="s">
        <v>94</v>
      </c>
      <c r="K98" s="37" t="s">
        <v>102</v>
      </c>
      <c r="L98" s="37" t="s">
        <v>96</v>
      </c>
      <c r="M98" s="40"/>
      <c r="N98" s="40"/>
      <c r="O98" s="45"/>
      <c r="P98" s="46"/>
      <c r="Q98" s="44"/>
    </row>
    <row r="99" spans="1:17" x14ac:dyDescent="0.2">
      <c r="A99" s="34">
        <f t="shared" si="0"/>
        <v>91</v>
      </c>
      <c r="B99" s="35" t="s">
        <v>813</v>
      </c>
      <c r="C99" s="36" t="s">
        <v>744</v>
      </c>
      <c r="D99" s="37" t="s">
        <v>27</v>
      </c>
      <c r="E99" s="38"/>
      <c r="F99" s="39" t="s">
        <v>94</v>
      </c>
      <c r="G99" s="36" t="s">
        <v>967</v>
      </c>
      <c r="H99" s="37" t="s">
        <v>823</v>
      </c>
      <c r="I99" s="38" t="s">
        <v>325</v>
      </c>
      <c r="J99" s="39" t="s">
        <v>94</v>
      </c>
      <c r="K99" s="37" t="s">
        <v>102</v>
      </c>
      <c r="L99" s="37" t="s">
        <v>96</v>
      </c>
      <c r="M99" s="40"/>
      <c r="N99" s="41"/>
      <c r="O99" s="42"/>
      <c r="P99" s="43"/>
      <c r="Q99" s="44"/>
    </row>
    <row r="100" spans="1:17" x14ac:dyDescent="0.2">
      <c r="A100" s="34">
        <f t="shared" si="0"/>
        <v>92</v>
      </c>
      <c r="B100" s="35" t="s">
        <v>814</v>
      </c>
      <c r="C100" s="36" t="s">
        <v>867</v>
      </c>
      <c r="D100" s="37" t="s">
        <v>27</v>
      </c>
      <c r="E100" s="38"/>
      <c r="F100" s="39" t="s">
        <v>94</v>
      </c>
      <c r="G100" s="36" t="s">
        <v>968</v>
      </c>
      <c r="H100" s="37" t="s">
        <v>823</v>
      </c>
      <c r="I100" s="38" t="s">
        <v>325</v>
      </c>
      <c r="J100" s="39" t="s">
        <v>94</v>
      </c>
      <c r="K100" s="37" t="s">
        <v>102</v>
      </c>
      <c r="L100" s="37" t="s">
        <v>96</v>
      </c>
      <c r="M100" s="40"/>
      <c r="N100" s="41"/>
      <c r="O100" s="42"/>
      <c r="P100" s="43"/>
      <c r="Q100" s="44"/>
    </row>
    <row r="101" spans="1:17" x14ac:dyDescent="0.2">
      <c r="A101" s="34">
        <f t="shared" si="0"/>
        <v>93</v>
      </c>
      <c r="B101" s="35" t="s">
        <v>815</v>
      </c>
      <c r="C101" s="36" t="s">
        <v>745</v>
      </c>
      <c r="D101" s="37" t="s">
        <v>27</v>
      </c>
      <c r="E101" s="38"/>
      <c r="F101" s="39" t="s">
        <v>94</v>
      </c>
      <c r="G101" s="36" t="s">
        <v>969</v>
      </c>
      <c r="H101" s="37" t="s">
        <v>823</v>
      </c>
      <c r="I101" s="38" t="s">
        <v>325</v>
      </c>
      <c r="J101" s="39" t="s">
        <v>94</v>
      </c>
      <c r="K101" s="37" t="s">
        <v>102</v>
      </c>
      <c r="L101" s="37" t="s">
        <v>96</v>
      </c>
      <c r="M101" s="40"/>
      <c r="N101" s="40"/>
      <c r="O101" s="45"/>
      <c r="P101" s="46"/>
      <c r="Q101" s="44"/>
    </row>
    <row r="102" spans="1:17" x14ac:dyDescent="0.2">
      <c r="A102" s="34">
        <f t="shared" si="0"/>
        <v>94</v>
      </c>
      <c r="B102" s="35" t="s">
        <v>816</v>
      </c>
      <c r="C102" s="36" t="s">
        <v>868</v>
      </c>
      <c r="D102" s="37" t="s">
        <v>27</v>
      </c>
      <c r="E102" s="38"/>
      <c r="F102" s="39" t="s">
        <v>94</v>
      </c>
      <c r="G102" s="36" t="s">
        <v>970</v>
      </c>
      <c r="H102" s="37" t="s">
        <v>823</v>
      </c>
      <c r="I102" s="38" t="s">
        <v>325</v>
      </c>
      <c r="J102" s="39" t="s">
        <v>94</v>
      </c>
      <c r="K102" s="37" t="s">
        <v>102</v>
      </c>
      <c r="L102" s="37" t="s">
        <v>96</v>
      </c>
      <c r="M102" s="40"/>
      <c r="N102" s="40"/>
      <c r="O102" s="45"/>
      <c r="P102" s="46"/>
      <c r="Q102" s="44"/>
    </row>
    <row r="103" spans="1:17" x14ac:dyDescent="0.2">
      <c r="A103" s="34">
        <f t="shared" si="0"/>
        <v>95</v>
      </c>
      <c r="B103" s="35" t="s">
        <v>817</v>
      </c>
      <c r="C103" s="36" t="s">
        <v>746</v>
      </c>
      <c r="D103" s="37" t="s">
        <v>27</v>
      </c>
      <c r="E103" s="38"/>
      <c r="F103" s="39" t="s">
        <v>94</v>
      </c>
      <c r="G103" s="36" t="s">
        <v>971</v>
      </c>
      <c r="H103" s="37" t="s">
        <v>823</v>
      </c>
      <c r="I103" s="38" t="s">
        <v>325</v>
      </c>
      <c r="J103" s="39" t="s">
        <v>94</v>
      </c>
      <c r="K103" s="37" t="s">
        <v>102</v>
      </c>
      <c r="L103" s="37" t="s">
        <v>96</v>
      </c>
      <c r="M103" s="40"/>
      <c r="N103" s="40"/>
      <c r="O103" s="45"/>
      <c r="P103" s="46"/>
      <c r="Q103" s="44"/>
    </row>
    <row r="104" spans="1:17" x14ac:dyDescent="0.2">
      <c r="A104" s="34">
        <f t="shared" si="0"/>
        <v>96</v>
      </c>
      <c r="B104" s="35" t="s">
        <v>818</v>
      </c>
      <c r="C104" s="36" t="s">
        <v>869</v>
      </c>
      <c r="D104" s="37" t="s">
        <v>27</v>
      </c>
      <c r="E104" s="38"/>
      <c r="F104" s="39" t="s">
        <v>94</v>
      </c>
      <c r="G104" s="36" t="s">
        <v>972</v>
      </c>
      <c r="H104" s="37" t="s">
        <v>823</v>
      </c>
      <c r="I104" s="38" t="s">
        <v>325</v>
      </c>
      <c r="J104" s="39" t="s">
        <v>94</v>
      </c>
      <c r="K104" s="37" t="s">
        <v>102</v>
      </c>
      <c r="L104" s="37" t="s">
        <v>96</v>
      </c>
      <c r="M104" s="40"/>
      <c r="N104" s="40"/>
      <c r="O104" s="45"/>
      <c r="P104" s="46"/>
      <c r="Q104" s="44"/>
    </row>
    <row r="105" spans="1:17" x14ac:dyDescent="0.2">
      <c r="A105" s="34">
        <f t="shared" si="0"/>
        <v>97</v>
      </c>
      <c r="B105" s="35" t="s">
        <v>819</v>
      </c>
      <c r="C105" s="36" t="s">
        <v>747</v>
      </c>
      <c r="D105" s="37" t="s">
        <v>27</v>
      </c>
      <c r="E105" s="38"/>
      <c r="F105" s="39" t="s">
        <v>94</v>
      </c>
      <c r="G105" s="36" t="s">
        <v>973</v>
      </c>
      <c r="H105" s="37" t="s">
        <v>823</v>
      </c>
      <c r="I105" s="38" t="s">
        <v>382</v>
      </c>
      <c r="J105" s="39" t="s">
        <v>94</v>
      </c>
      <c r="K105" s="37" t="s">
        <v>102</v>
      </c>
      <c r="L105" s="37" t="s">
        <v>96</v>
      </c>
      <c r="M105" s="40"/>
      <c r="N105" s="40"/>
      <c r="O105" s="45"/>
      <c r="P105" s="46"/>
      <c r="Q105" s="44"/>
    </row>
    <row r="106" spans="1:17" x14ac:dyDescent="0.2">
      <c r="A106" s="34">
        <f t="shared" si="0"/>
        <v>98</v>
      </c>
      <c r="B106" s="35" t="s">
        <v>820</v>
      </c>
      <c r="C106" s="36" t="s">
        <v>870</v>
      </c>
      <c r="D106" s="37" t="s">
        <v>27</v>
      </c>
      <c r="E106" s="38"/>
      <c r="F106" s="39" t="s">
        <v>94</v>
      </c>
      <c r="G106" s="36" t="s">
        <v>974</v>
      </c>
      <c r="H106" s="37" t="s">
        <v>823</v>
      </c>
      <c r="I106" s="38" t="s">
        <v>382</v>
      </c>
      <c r="J106" s="39" t="s">
        <v>94</v>
      </c>
      <c r="K106" s="37" t="s">
        <v>102</v>
      </c>
      <c r="L106" s="37" t="s">
        <v>96</v>
      </c>
      <c r="M106" s="40"/>
      <c r="N106" s="40"/>
      <c r="O106" s="45"/>
      <c r="P106" s="46"/>
      <c r="Q106" s="44"/>
    </row>
    <row r="107" spans="1:17" x14ac:dyDescent="0.2">
      <c r="A107" s="34">
        <f t="shared" si="0"/>
        <v>99</v>
      </c>
      <c r="B107" s="35" t="s">
        <v>821</v>
      </c>
      <c r="C107" s="36" t="s">
        <v>748</v>
      </c>
      <c r="D107" s="37" t="s">
        <v>27</v>
      </c>
      <c r="E107" s="38"/>
      <c r="F107" s="39" t="s">
        <v>94</v>
      </c>
      <c r="G107" s="36" t="s">
        <v>975</v>
      </c>
      <c r="H107" s="37" t="s">
        <v>823</v>
      </c>
      <c r="I107" s="38" t="s">
        <v>382</v>
      </c>
      <c r="J107" s="39" t="s">
        <v>94</v>
      </c>
      <c r="K107" s="37" t="s">
        <v>102</v>
      </c>
      <c r="L107" s="37" t="s">
        <v>96</v>
      </c>
      <c r="M107" s="40"/>
      <c r="N107" s="40"/>
      <c r="O107" s="45"/>
      <c r="P107" s="46"/>
      <c r="Q107" s="44"/>
    </row>
    <row r="108" spans="1:17" x14ac:dyDescent="0.2">
      <c r="A108" s="34">
        <f t="shared" si="0"/>
        <v>100</v>
      </c>
      <c r="B108" s="35" t="s">
        <v>822</v>
      </c>
      <c r="C108" s="36" t="s">
        <v>871</v>
      </c>
      <c r="D108" s="37" t="s">
        <v>27</v>
      </c>
      <c r="E108" s="38"/>
      <c r="F108" s="39" t="s">
        <v>94</v>
      </c>
      <c r="G108" s="36" t="s">
        <v>976</v>
      </c>
      <c r="H108" s="37" t="s">
        <v>823</v>
      </c>
      <c r="I108" s="38" t="s">
        <v>382</v>
      </c>
      <c r="J108" s="39" t="s">
        <v>94</v>
      </c>
      <c r="K108" s="37" t="s">
        <v>102</v>
      </c>
      <c r="L108" s="37" t="s">
        <v>96</v>
      </c>
      <c r="M108" s="40"/>
      <c r="N108" s="40"/>
      <c r="O108" s="45"/>
      <c r="P108" s="46"/>
      <c r="Q108" s="44"/>
    </row>
    <row r="109" spans="1:17" x14ac:dyDescent="0.2">
      <c r="A109" s="34">
        <f t="shared" si="0"/>
        <v>101</v>
      </c>
      <c r="B109" s="35" t="s">
        <v>135</v>
      </c>
      <c r="C109" s="36" t="s">
        <v>749</v>
      </c>
      <c r="D109" s="37" t="s">
        <v>27</v>
      </c>
      <c r="E109" s="38"/>
      <c r="F109" s="39" t="s">
        <v>94</v>
      </c>
      <c r="G109" s="36" t="s">
        <v>977</v>
      </c>
      <c r="H109" s="37" t="s">
        <v>823</v>
      </c>
      <c r="I109" s="38" t="s">
        <v>382</v>
      </c>
      <c r="J109" s="39" t="s">
        <v>94</v>
      </c>
      <c r="K109" s="37" t="s">
        <v>102</v>
      </c>
      <c r="L109" s="37" t="s">
        <v>96</v>
      </c>
      <c r="M109" s="40"/>
      <c r="N109" s="40"/>
      <c r="O109" s="45"/>
      <c r="P109" s="46"/>
      <c r="Q109" s="44"/>
    </row>
    <row r="110" spans="1:17" x14ac:dyDescent="0.2">
      <c r="A110" s="34">
        <f t="shared" si="0"/>
        <v>102</v>
      </c>
      <c r="B110" s="35" t="s">
        <v>136</v>
      </c>
      <c r="C110" s="36" t="s">
        <v>872</v>
      </c>
      <c r="D110" s="37" t="s">
        <v>27</v>
      </c>
      <c r="E110" s="38"/>
      <c r="F110" s="39" t="s">
        <v>94</v>
      </c>
      <c r="G110" s="36" t="s">
        <v>978</v>
      </c>
      <c r="H110" s="37" t="s">
        <v>823</v>
      </c>
      <c r="I110" s="38" t="s">
        <v>382</v>
      </c>
      <c r="J110" s="39" t="s">
        <v>94</v>
      </c>
      <c r="K110" s="37" t="s">
        <v>102</v>
      </c>
      <c r="L110" s="37" t="s">
        <v>96</v>
      </c>
      <c r="M110" s="40"/>
      <c r="N110" s="40"/>
      <c r="O110" s="45"/>
      <c r="P110" s="46"/>
      <c r="Q110" s="44"/>
    </row>
    <row r="111" spans="1:17" x14ac:dyDescent="0.2">
      <c r="A111" s="34">
        <f t="shared" si="0"/>
        <v>103</v>
      </c>
      <c r="B111" s="35" t="s">
        <v>137</v>
      </c>
      <c r="C111" s="36" t="s">
        <v>750</v>
      </c>
      <c r="D111" s="37" t="s">
        <v>27</v>
      </c>
      <c r="E111" s="38"/>
      <c r="F111" s="39" t="s">
        <v>94</v>
      </c>
      <c r="G111" s="36" t="s">
        <v>979</v>
      </c>
      <c r="H111" s="37" t="s">
        <v>823</v>
      </c>
      <c r="I111" s="38" t="s">
        <v>382</v>
      </c>
      <c r="J111" s="39" t="s">
        <v>94</v>
      </c>
      <c r="K111" s="37" t="s">
        <v>102</v>
      </c>
      <c r="L111" s="37" t="s">
        <v>96</v>
      </c>
      <c r="M111" s="40"/>
      <c r="N111" s="40"/>
      <c r="O111" s="45"/>
      <c r="P111" s="46"/>
      <c r="Q111" s="44"/>
    </row>
    <row r="112" spans="1:17" x14ac:dyDescent="0.2">
      <c r="A112" s="34">
        <f t="shared" si="0"/>
        <v>104</v>
      </c>
      <c r="B112" s="35" t="s">
        <v>138</v>
      </c>
      <c r="C112" s="36" t="s">
        <v>873</v>
      </c>
      <c r="D112" s="37" t="s">
        <v>27</v>
      </c>
      <c r="E112" s="38"/>
      <c r="F112" s="39" t="s">
        <v>94</v>
      </c>
      <c r="G112" s="36" t="s">
        <v>980</v>
      </c>
      <c r="H112" s="37" t="s">
        <v>823</v>
      </c>
      <c r="I112" s="38" t="s">
        <v>382</v>
      </c>
      <c r="J112" s="39" t="s">
        <v>94</v>
      </c>
      <c r="K112" s="37" t="s">
        <v>102</v>
      </c>
      <c r="L112" s="37" t="s">
        <v>96</v>
      </c>
      <c r="M112" s="40"/>
      <c r="N112" s="40"/>
      <c r="O112" s="45"/>
      <c r="P112" s="46"/>
      <c r="Q112" s="44"/>
    </row>
    <row r="113" spans="1:17" x14ac:dyDescent="0.2">
      <c r="A113" s="34">
        <f t="shared" si="0"/>
        <v>105</v>
      </c>
      <c r="B113" s="35" t="s">
        <v>139</v>
      </c>
      <c r="C113" s="36" t="s">
        <v>751</v>
      </c>
      <c r="D113" s="37" t="s">
        <v>27</v>
      </c>
      <c r="E113" s="38"/>
      <c r="F113" s="39" t="s">
        <v>94</v>
      </c>
      <c r="G113" s="36" t="s">
        <v>981</v>
      </c>
      <c r="H113" s="37" t="s">
        <v>823</v>
      </c>
      <c r="I113" s="38" t="s">
        <v>382</v>
      </c>
      <c r="J113" s="39" t="s">
        <v>94</v>
      </c>
      <c r="K113" s="37" t="s">
        <v>102</v>
      </c>
      <c r="L113" s="37" t="s">
        <v>96</v>
      </c>
      <c r="M113" s="40"/>
      <c r="N113" s="40"/>
      <c r="O113" s="45"/>
      <c r="P113" s="46"/>
      <c r="Q113" s="44"/>
    </row>
    <row r="114" spans="1:17" x14ac:dyDescent="0.2">
      <c r="A114" s="34">
        <f t="shared" si="0"/>
        <v>106</v>
      </c>
      <c r="B114" s="35" t="s">
        <v>140</v>
      </c>
      <c r="C114" s="36" t="s">
        <v>874</v>
      </c>
      <c r="D114" s="37" t="s">
        <v>27</v>
      </c>
      <c r="E114" s="38"/>
      <c r="F114" s="39" t="s">
        <v>94</v>
      </c>
      <c r="G114" s="36" t="s">
        <v>982</v>
      </c>
      <c r="H114" s="37" t="s">
        <v>823</v>
      </c>
      <c r="I114" s="38" t="s">
        <v>382</v>
      </c>
      <c r="J114" s="39" t="s">
        <v>94</v>
      </c>
      <c r="K114" s="37" t="s">
        <v>102</v>
      </c>
      <c r="L114" s="37" t="s">
        <v>96</v>
      </c>
      <c r="M114" s="40"/>
      <c r="N114" s="40"/>
      <c r="O114" s="45"/>
      <c r="P114" s="46"/>
      <c r="Q114" s="44"/>
    </row>
    <row r="115" spans="1:17" x14ac:dyDescent="0.2">
      <c r="A115" s="34">
        <f t="shared" si="0"/>
        <v>107</v>
      </c>
      <c r="B115" s="35" t="s">
        <v>141</v>
      </c>
      <c r="C115" s="36" t="s">
        <v>752</v>
      </c>
      <c r="D115" s="37" t="s">
        <v>27</v>
      </c>
      <c r="E115" s="38"/>
      <c r="F115" s="39" t="s">
        <v>94</v>
      </c>
      <c r="G115" s="36" t="s">
        <v>983</v>
      </c>
      <c r="H115" s="37" t="s">
        <v>823</v>
      </c>
      <c r="I115" s="38" t="s">
        <v>382</v>
      </c>
      <c r="J115" s="39" t="s">
        <v>94</v>
      </c>
      <c r="K115" s="37" t="s">
        <v>102</v>
      </c>
      <c r="L115" s="37" t="s">
        <v>96</v>
      </c>
      <c r="M115" s="40"/>
      <c r="N115" s="40"/>
      <c r="O115" s="45"/>
      <c r="P115" s="46"/>
      <c r="Q115" s="44"/>
    </row>
    <row r="116" spans="1:17" x14ac:dyDescent="0.2">
      <c r="A116" s="34">
        <f>A115+1</f>
        <v>108</v>
      </c>
      <c r="B116" s="35" t="s">
        <v>142</v>
      </c>
      <c r="C116" s="36" t="s">
        <v>875</v>
      </c>
      <c r="D116" s="37" t="s">
        <v>27</v>
      </c>
      <c r="E116" s="38"/>
      <c r="F116" s="39" t="s">
        <v>94</v>
      </c>
      <c r="G116" s="36" t="s">
        <v>984</v>
      </c>
      <c r="H116" s="37" t="s">
        <v>823</v>
      </c>
      <c r="I116" s="38" t="s">
        <v>382</v>
      </c>
      <c r="J116" s="39" t="s">
        <v>94</v>
      </c>
      <c r="K116" s="37" t="s">
        <v>102</v>
      </c>
      <c r="L116" s="37" t="s">
        <v>96</v>
      </c>
      <c r="M116" s="40"/>
      <c r="N116" s="40"/>
      <c r="O116" s="45"/>
      <c r="P116" s="46"/>
      <c r="Q116" s="44"/>
    </row>
    <row r="117" spans="1:17" x14ac:dyDescent="0.2">
      <c r="A117" s="34">
        <f>A116+1</f>
        <v>109</v>
      </c>
      <c r="B117" s="35" t="s">
        <v>143</v>
      </c>
      <c r="C117" s="36" t="s">
        <v>753</v>
      </c>
      <c r="D117" s="37" t="s">
        <v>27</v>
      </c>
      <c r="E117" s="38"/>
      <c r="F117" s="39" t="s">
        <v>94</v>
      </c>
      <c r="G117" s="36" t="s">
        <v>985</v>
      </c>
      <c r="H117" s="37" t="s">
        <v>823</v>
      </c>
      <c r="I117" s="38" t="s">
        <v>382</v>
      </c>
      <c r="J117" s="39" t="s">
        <v>94</v>
      </c>
      <c r="K117" s="37" t="s">
        <v>102</v>
      </c>
      <c r="L117" s="37" t="s">
        <v>96</v>
      </c>
      <c r="M117" s="40"/>
      <c r="N117" s="40"/>
      <c r="O117" s="45"/>
      <c r="P117" s="46"/>
      <c r="Q117" s="44"/>
    </row>
    <row r="118" spans="1:17" x14ac:dyDescent="0.2">
      <c r="A118" s="34">
        <f>A117+1</f>
        <v>110</v>
      </c>
      <c r="B118" s="35" t="s">
        <v>144</v>
      </c>
      <c r="C118" s="36" t="s">
        <v>876</v>
      </c>
      <c r="D118" s="37" t="s">
        <v>27</v>
      </c>
      <c r="E118" s="38"/>
      <c r="F118" s="39" t="s">
        <v>94</v>
      </c>
      <c r="G118" s="36" t="s">
        <v>986</v>
      </c>
      <c r="H118" s="37" t="s">
        <v>823</v>
      </c>
      <c r="I118" s="38" t="s">
        <v>382</v>
      </c>
      <c r="J118" s="39" t="s">
        <v>94</v>
      </c>
      <c r="K118" s="37" t="s">
        <v>102</v>
      </c>
      <c r="L118" s="37" t="s">
        <v>96</v>
      </c>
      <c r="M118" s="40"/>
      <c r="N118" s="40"/>
      <c r="O118" s="45"/>
      <c r="P118" s="46"/>
      <c r="Q118" s="44"/>
    </row>
    <row r="119" spans="1:17" x14ac:dyDescent="0.2">
      <c r="A119" s="34">
        <f>A118+1</f>
        <v>111</v>
      </c>
      <c r="B119" s="35" t="s">
        <v>145</v>
      </c>
      <c r="C119" s="36" t="s">
        <v>754</v>
      </c>
      <c r="D119" s="37" t="s">
        <v>27</v>
      </c>
      <c r="E119" s="38"/>
      <c r="F119" s="39" t="s">
        <v>94</v>
      </c>
      <c r="G119" s="36" t="s">
        <v>987</v>
      </c>
      <c r="H119" s="37" t="s">
        <v>823</v>
      </c>
      <c r="I119" s="38" t="s">
        <v>382</v>
      </c>
      <c r="J119" s="39" t="s">
        <v>94</v>
      </c>
      <c r="K119" s="37" t="s">
        <v>102</v>
      </c>
      <c r="L119" s="37" t="s">
        <v>96</v>
      </c>
      <c r="M119" s="40"/>
      <c r="N119" s="40"/>
      <c r="O119" s="45"/>
      <c r="P119" s="46"/>
      <c r="Q119" s="44"/>
    </row>
    <row r="120" spans="1:17" x14ac:dyDescent="0.2">
      <c r="A120" s="34">
        <f>A119+1</f>
        <v>112</v>
      </c>
      <c r="B120" s="35" t="s">
        <v>146</v>
      </c>
      <c r="C120" s="36" t="s">
        <v>877</v>
      </c>
      <c r="D120" s="37" t="s">
        <v>27</v>
      </c>
      <c r="E120" s="38"/>
      <c r="F120" s="39" t="s">
        <v>94</v>
      </c>
      <c r="G120" s="36" t="s">
        <v>988</v>
      </c>
      <c r="H120" s="37" t="s">
        <v>823</v>
      </c>
      <c r="I120" s="38" t="s">
        <v>382</v>
      </c>
      <c r="J120" s="39" t="s">
        <v>94</v>
      </c>
      <c r="K120" s="37" t="s">
        <v>102</v>
      </c>
      <c r="L120" s="37" t="s">
        <v>96</v>
      </c>
      <c r="M120" s="40"/>
      <c r="N120" s="40"/>
      <c r="O120" s="45"/>
      <c r="P120" s="46"/>
      <c r="Q120" s="44"/>
    </row>
    <row r="121" spans="1:17" x14ac:dyDescent="0.2">
      <c r="A121" s="34"/>
      <c r="B121" s="35"/>
      <c r="C121" s="36"/>
      <c r="D121" s="37"/>
      <c r="E121" s="38"/>
      <c r="F121" s="39"/>
      <c r="G121" s="36"/>
      <c r="H121" s="37"/>
      <c r="I121" s="38"/>
      <c r="J121" s="39"/>
      <c r="K121" s="37"/>
      <c r="L121" s="37"/>
      <c r="M121" s="40"/>
      <c r="N121" s="40"/>
      <c r="O121" s="45"/>
      <c r="P121" s="46"/>
      <c r="Q121" s="44"/>
    </row>
    <row r="122" spans="1:17" ht="13.5" thickBot="1" x14ac:dyDescent="0.25">
      <c r="A122" s="111"/>
      <c r="B122" s="120"/>
      <c r="C122" s="121"/>
      <c r="D122" s="112"/>
      <c r="E122" s="113"/>
      <c r="F122" s="122"/>
      <c r="G122" s="121"/>
      <c r="H122" s="112"/>
      <c r="I122" s="113"/>
      <c r="J122" s="122"/>
      <c r="K122" s="112"/>
      <c r="L122" s="112"/>
      <c r="M122" s="33"/>
      <c r="N122" s="33"/>
      <c r="O122" s="118"/>
      <c r="P122" s="119"/>
      <c r="Q122" s="123"/>
    </row>
  </sheetData>
  <autoFilter ref="A7:Q116"/>
  <mergeCells count="9">
    <mergeCell ref="A8:C8"/>
    <mergeCell ref="F2:H2"/>
    <mergeCell ref="F3:H3"/>
    <mergeCell ref="N1:Q2"/>
    <mergeCell ref="A6:A7"/>
    <mergeCell ref="B6:B7"/>
    <mergeCell ref="C6:F6"/>
    <mergeCell ref="M6:O6"/>
    <mergeCell ref="Q6:Q7"/>
  </mergeCells>
  <printOptions horizontalCentered="1" verticalCentered="1"/>
  <pageMargins left="0.19685039370078741" right="0.23622047244094491" top="0.43307086614173229" bottom="0.74803149606299213" header="0.43307086614173229" footer="0.19685039370078741"/>
  <pageSetup paperSize="8" scale="54" pageOrder="overThenDown" orientation="landscape" horizontalDpi="300" verticalDpi="300" r:id="rId1"/>
  <headerFooter alignWithMargins="0">
    <oddFooter>&amp;C&amp;"Arial,Bold"ENVIVIO_AIRTEL DTH HE PROJECT
AUDIO CABLE SHEDULE 102-XX-XXXX&amp;R&amp;"Arial,Regular"&amp;10Page &amp;P of  &amp;N</oddFooter>
  </headerFooter>
  <drawing r:id="rId2"/>
  <legacyDrawing r:id="rId3"/>
  <controls>
    <mc:AlternateContent xmlns:mc="http://schemas.openxmlformats.org/markup-compatibility/2006">
      <mc:Choice Requires="x14">
        <control shapeId="10241" r:id="rId4" name="CommandButton1">
          <controlPr locked="0" defaultSize="0" print="0" disabled="1" autoFill="0" autoLine="0" r:id="rId5">
            <anchor moveWithCells="1">
              <from>
                <xdr:col>6</xdr:col>
                <xdr:colOff>942975</xdr:colOff>
                <xdr:row>3</xdr:row>
                <xdr:rowOff>9525</xdr:rowOff>
              </from>
              <to>
                <xdr:col>6</xdr:col>
                <xdr:colOff>1857375</xdr:colOff>
                <xdr:row>4</xdr:row>
                <xdr:rowOff>95250</xdr:rowOff>
              </to>
            </anchor>
          </controlPr>
        </control>
      </mc:Choice>
      <mc:Fallback>
        <control shapeId="10241" r:id="rId4" name="Command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rgb="FFFF0000"/>
    <pageSetUpPr fitToPage="1"/>
  </sheetPr>
  <dimension ref="A1:R34"/>
  <sheetViews>
    <sheetView zoomScale="85" zoomScaleNormal="85" zoomScaleSheetLayoutView="50" workbookViewId="0">
      <pane xSplit="2" topLeftCell="C1" activePane="topRight" state="frozen"/>
      <selection pane="topRight" activeCell="H34" sqref="H34"/>
    </sheetView>
  </sheetViews>
  <sheetFormatPr defaultRowHeight="12.75" x14ac:dyDescent="0.2"/>
  <cols>
    <col min="1" max="1" width="6.83203125" style="18" bestFit="1" customWidth="1"/>
    <col min="2" max="2" width="10.83203125" style="7" bestFit="1" customWidth="1"/>
    <col min="3" max="3" width="26.83203125" style="2" bestFit="1" customWidth="1"/>
    <col min="4" max="4" width="20.1640625" style="7" bestFit="1" customWidth="1"/>
    <col min="5" max="5" width="18.83203125" style="7" bestFit="1" customWidth="1"/>
    <col min="6" max="6" width="12" style="7" bestFit="1" customWidth="1"/>
    <col min="7" max="7" width="24.83203125" style="6" bestFit="1" customWidth="1"/>
    <col min="8" max="8" width="12.33203125" style="7" bestFit="1" customWidth="1"/>
    <col min="9" max="9" width="15.5" style="7" bestFit="1" customWidth="1"/>
    <col min="10" max="10" width="12" style="6" bestFit="1" customWidth="1"/>
    <col min="11" max="11" width="12" style="7" bestFit="1" customWidth="1"/>
    <col min="12" max="12" width="11.6640625" style="7" bestFit="1" customWidth="1"/>
    <col min="13" max="13" width="10.1640625" style="49" bestFit="1" customWidth="1"/>
    <col min="14" max="14" width="10.83203125" style="49" bestFit="1" customWidth="1"/>
    <col min="15" max="15" width="13.33203125" style="7" bestFit="1" customWidth="1"/>
    <col min="16" max="16" width="9.83203125" style="18" bestFit="1" customWidth="1"/>
    <col min="17" max="17" width="18.6640625" style="6" bestFit="1" customWidth="1"/>
    <col min="18" max="21" width="9.33203125" style="7"/>
    <col min="22" max="22" width="14.5" style="7" customWidth="1"/>
    <col min="23" max="16384" width="9.33203125" style="7"/>
  </cols>
  <sheetData>
    <row r="1" spans="1:18" x14ac:dyDescent="0.2">
      <c r="B1" s="1"/>
      <c r="E1" s="18"/>
      <c r="G1" s="3"/>
      <c r="H1" s="4"/>
      <c r="I1" s="5"/>
      <c r="M1" s="109"/>
      <c r="N1" s="174" t="s">
        <v>31</v>
      </c>
      <c r="O1" s="174"/>
      <c r="P1" s="174"/>
      <c r="Q1" s="174"/>
    </row>
    <row r="2" spans="1:18" x14ac:dyDescent="0.2">
      <c r="B2" s="8" t="s">
        <v>11</v>
      </c>
      <c r="C2" s="9" t="s">
        <v>28</v>
      </c>
      <c r="D2" s="20" t="s">
        <v>19</v>
      </c>
      <c r="E2" s="21">
        <f>IF(COUNTA(D9:D991)&gt;(COUNTA(H9:H991)),(COUNTA(D9:D991)+COUNTA(H9:H991))-COUNTA(D9:D991),(COUNTA(D9:D991)+COUNTA(H9:H991))-COUNTA(H9:H991))</f>
        <v>3</v>
      </c>
      <c r="F2" s="158" t="s">
        <v>281</v>
      </c>
      <c r="G2" s="158"/>
      <c r="H2" s="158"/>
      <c r="I2" s="124"/>
      <c r="M2" s="22"/>
      <c r="N2" s="174"/>
      <c r="O2" s="174"/>
      <c r="P2" s="174"/>
      <c r="Q2" s="174"/>
    </row>
    <row r="3" spans="1:18" x14ac:dyDescent="0.2">
      <c r="B3" s="8" t="s">
        <v>12</v>
      </c>
      <c r="C3" s="62">
        <v>42413</v>
      </c>
      <c r="F3" s="158" t="s">
        <v>990</v>
      </c>
      <c r="G3" s="158"/>
      <c r="H3" s="158"/>
      <c r="I3" s="124"/>
      <c r="J3" s="124"/>
      <c r="M3" s="7"/>
      <c r="N3" s="23" t="s">
        <v>32</v>
      </c>
      <c r="O3" s="24"/>
      <c r="P3" s="25"/>
      <c r="Q3" s="3"/>
      <c r="R3" s="4"/>
    </row>
    <row r="4" spans="1:18" x14ac:dyDescent="0.2">
      <c r="B4" s="8" t="s">
        <v>13</v>
      </c>
      <c r="C4" s="9" t="s">
        <v>30</v>
      </c>
      <c r="E4" s="18"/>
      <c r="G4" s="110"/>
      <c r="H4" s="11"/>
      <c r="I4" s="12"/>
      <c r="J4" s="13"/>
      <c r="M4" s="7"/>
      <c r="N4" s="23"/>
      <c r="O4" s="24"/>
      <c r="P4" s="25"/>
      <c r="Q4" s="3"/>
      <c r="R4" s="4"/>
    </row>
    <row r="5" spans="1:18" ht="13.5" thickBot="1" x14ac:dyDescent="0.25">
      <c r="B5" s="14"/>
      <c r="E5" s="18"/>
      <c r="G5" s="3"/>
      <c r="H5" s="11"/>
      <c r="I5" s="5"/>
      <c r="K5" s="4"/>
      <c r="L5" s="4"/>
      <c r="M5" s="26"/>
      <c r="N5" s="26"/>
      <c r="O5" s="15"/>
      <c r="P5" s="16"/>
      <c r="Q5" s="3"/>
    </row>
    <row r="6" spans="1:18" ht="12.75" customHeight="1" x14ac:dyDescent="0.2">
      <c r="A6" s="160" t="s">
        <v>0</v>
      </c>
      <c r="B6" s="175" t="s">
        <v>18</v>
      </c>
      <c r="C6" s="177" t="s">
        <v>2</v>
      </c>
      <c r="D6" s="177"/>
      <c r="E6" s="177"/>
      <c r="F6" s="177"/>
      <c r="G6" s="17" t="s">
        <v>3</v>
      </c>
      <c r="H6" s="114"/>
      <c r="I6" s="115"/>
      <c r="J6" s="17"/>
      <c r="K6" s="27" t="s">
        <v>4</v>
      </c>
      <c r="L6" s="108" t="s">
        <v>21</v>
      </c>
      <c r="M6" s="178" t="s">
        <v>15</v>
      </c>
      <c r="N6" s="179"/>
      <c r="O6" s="179"/>
      <c r="P6" s="116" t="s">
        <v>23</v>
      </c>
      <c r="Q6" s="167" t="s">
        <v>17</v>
      </c>
    </row>
    <row r="7" spans="1:18" s="4" customFormat="1" ht="13.5" thickBot="1" x14ac:dyDescent="0.25">
      <c r="A7" s="161"/>
      <c r="B7" s="176"/>
      <c r="C7" s="29" t="s">
        <v>20</v>
      </c>
      <c r="D7" s="30" t="s">
        <v>6</v>
      </c>
      <c r="E7" s="31" t="s">
        <v>7</v>
      </c>
      <c r="F7" s="30" t="s">
        <v>8</v>
      </c>
      <c r="G7" s="29" t="s">
        <v>5</v>
      </c>
      <c r="H7" s="30" t="s">
        <v>6</v>
      </c>
      <c r="I7" s="31" t="s">
        <v>7</v>
      </c>
      <c r="J7" s="29" t="s">
        <v>8</v>
      </c>
      <c r="K7" s="30" t="s">
        <v>14</v>
      </c>
      <c r="L7" s="32" t="s">
        <v>22</v>
      </c>
      <c r="M7" s="117" t="s">
        <v>16</v>
      </c>
      <c r="N7" s="117" t="s">
        <v>25</v>
      </c>
      <c r="O7" s="118" t="s">
        <v>9</v>
      </c>
      <c r="P7" s="119" t="s">
        <v>24</v>
      </c>
      <c r="Q7" s="168"/>
    </row>
    <row r="8" spans="1:18" s="4" customFormat="1" ht="12.75" customHeight="1" x14ac:dyDescent="0.2">
      <c r="A8" s="172" t="s">
        <v>101</v>
      </c>
      <c r="B8" s="173"/>
      <c r="C8" s="173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3"/>
    </row>
    <row r="9" spans="1:18" x14ac:dyDescent="0.2">
      <c r="A9" s="34">
        <v>1</v>
      </c>
      <c r="B9" s="35" t="s">
        <v>148</v>
      </c>
      <c r="C9" s="36" t="s">
        <v>991</v>
      </c>
      <c r="D9" s="37" t="s">
        <v>10</v>
      </c>
      <c r="E9" s="37" t="s">
        <v>993</v>
      </c>
      <c r="F9" s="39" t="s">
        <v>94</v>
      </c>
      <c r="G9" s="36" t="s">
        <v>994</v>
      </c>
      <c r="H9" s="37" t="s">
        <v>10</v>
      </c>
      <c r="I9" s="37" t="s">
        <v>993</v>
      </c>
      <c r="J9" s="39" t="s">
        <v>94</v>
      </c>
      <c r="K9" s="37" t="s">
        <v>98</v>
      </c>
      <c r="L9" s="37" t="s">
        <v>151</v>
      </c>
      <c r="M9" s="40"/>
      <c r="N9" s="41"/>
      <c r="O9" s="42"/>
      <c r="P9" s="43"/>
      <c r="Q9" s="44"/>
    </row>
    <row r="10" spans="1:18" x14ac:dyDescent="0.2">
      <c r="A10" s="34">
        <f>A9+1</f>
        <v>2</v>
      </c>
      <c r="B10" s="35" t="s">
        <v>149</v>
      </c>
      <c r="C10" s="36" t="s">
        <v>992</v>
      </c>
      <c r="D10" s="37" t="s">
        <v>10</v>
      </c>
      <c r="E10" s="37" t="s">
        <v>993</v>
      </c>
      <c r="F10" s="39" t="s">
        <v>94</v>
      </c>
      <c r="G10" s="36" t="s">
        <v>995</v>
      </c>
      <c r="H10" s="37" t="s">
        <v>10</v>
      </c>
      <c r="I10" s="37" t="s">
        <v>993</v>
      </c>
      <c r="J10" s="39" t="s">
        <v>94</v>
      </c>
      <c r="K10" s="37" t="s">
        <v>98</v>
      </c>
      <c r="L10" s="37" t="s">
        <v>151</v>
      </c>
      <c r="M10" s="40"/>
      <c r="N10" s="41"/>
      <c r="O10" s="42"/>
      <c r="P10" s="43"/>
      <c r="Q10" s="44"/>
    </row>
    <row r="11" spans="1:18" x14ac:dyDescent="0.2">
      <c r="A11" s="34"/>
      <c r="B11" s="35"/>
      <c r="C11" s="36"/>
      <c r="D11" s="37"/>
      <c r="E11" s="37"/>
      <c r="F11" s="39"/>
      <c r="G11" s="36"/>
      <c r="H11" s="37"/>
      <c r="I11" s="37"/>
      <c r="J11" s="39"/>
      <c r="K11" s="37"/>
      <c r="L11" s="37"/>
      <c r="M11" s="40"/>
      <c r="N11" s="40"/>
      <c r="O11" s="45"/>
      <c r="P11" s="46"/>
      <c r="Q11" s="44"/>
    </row>
    <row r="12" spans="1:18" x14ac:dyDescent="0.2">
      <c r="A12" s="34"/>
      <c r="B12" s="35"/>
      <c r="C12" s="36"/>
      <c r="D12" s="37"/>
      <c r="E12" s="37"/>
      <c r="F12" s="39"/>
      <c r="G12" s="36"/>
      <c r="H12" s="37"/>
      <c r="I12" s="37"/>
      <c r="J12" s="39"/>
      <c r="K12" s="37"/>
      <c r="L12" s="37"/>
      <c r="M12" s="40"/>
      <c r="N12" s="40"/>
      <c r="O12" s="45"/>
      <c r="P12" s="46"/>
      <c r="Q12" s="44"/>
    </row>
    <row r="13" spans="1:18" x14ac:dyDescent="0.2">
      <c r="A13" s="34">
        <f>A10+1</f>
        <v>3</v>
      </c>
      <c r="B13" s="35" t="s">
        <v>150</v>
      </c>
      <c r="C13" s="36" t="s">
        <v>996</v>
      </c>
      <c r="D13" s="37" t="s">
        <v>10</v>
      </c>
      <c r="E13" s="37" t="s">
        <v>993</v>
      </c>
      <c r="F13" s="39" t="s">
        <v>94</v>
      </c>
      <c r="G13" s="36" t="s">
        <v>997</v>
      </c>
      <c r="H13" s="37" t="s">
        <v>10</v>
      </c>
      <c r="I13" s="37"/>
      <c r="J13" s="39" t="s">
        <v>94</v>
      </c>
      <c r="K13" s="37" t="s">
        <v>98</v>
      </c>
      <c r="L13" s="37" t="s">
        <v>151</v>
      </c>
      <c r="M13" s="40"/>
      <c r="N13" s="40"/>
      <c r="O13" s="45"/>
      <c r="P13" s="46"/>
      <c r="Q13" s="44"/>
    </row>
    <row r="14" spans="1:18" x14ac:dyDescent="0.2">
      <c r="A14" s="34"/>
      <c r="B14" s="35"/>
      <c r="C14" s="36"/>
      <c r="D14" s="37"/>
      <c r="E14" s="37"/>
      <c r="F14" s="39"/>
      <c r="G14" s="36"/>
      <c r="H14" s="37"/>
      <c r="I14" s="37"/>
      <c r="J14" s="39"/>
      <c r="K14" s="37"/>
      <c r="L14" s="37"/>
      <c r="M14" s="40"/>
      <c r="N14" s="40"/>
      <c r="O14" s="45"/>
      <c r="P14" s="46"/>
      <c r="Q14" s="44"/>
    </row>
    <row r="15" spans="1:18" ht="13.5" thickBot="1" x14ac:dyDescent="0.25">
      <c r="A15" s="111"/>
      <c r="B15" s="120"/>
      <c r="C15" s="121"/>
      <c r="D15" s="112"/>
      <c r="E15" s="113"/>
      <c r="F15" s="122"/>
      <c r="G15" s="121"/>
      <c r="H15" s="112"/>
      <c r="I15" s="113"/>
      <c r="J15" s="122"/>
      <c r="K15" s="112"/>
      <c r="L15" s="112"/>
      <c r="M15" s="33"/>
      <c r="N15" s="33"/>
      <c r="O15" s="118"/>
      <c r="P15" s="119"/>
      <c r="Q15" s="123"/>
    </row>
    <row r="28" spans="2:6" x14ac:dyDescent="0.2">
      <c r="C28" s="2" t="s">
        <v>1348</v>
      </c>
      <c r="D28" s="7" t="s">
        <v>1345</v>
      </c>
    </row>
    <row r="29" spans="2:6" x14ac:dyDescent="0.2">
      <c r="B29" s="147">
        <v>1</v>
      </c>
      <c r="C29" s="146" t="s">
        <v>1349</v>
      </c>
      <c r="D29" s="7" t="s">
        <v>1346</v>
      </c>
      <c r="F29" s="147">
        <v>12</v>
      </c>
    </row>
    <row r="30" spans="2:6" x14ac:dyDescent="0.2">
      <c r="B30" s="147">
        <v>2</v>
      </c>
      <c r="C30" s="146" t="s">
        <v>1350</v>
      </c>
      <c r="D30" s="7" t="s">
        <v>1346</v>
      </c>
      <c r="F30" s="147">
        <v>12</v>
      </c>
    </row>
    <row r="31" spans="2:6" x14ac:dyDescent="0.2">
      <c r="B31" s="147">
        <v>3</v>
      </c>
      <c r="C31" s="146" t="s">
        <v>1351</v>
      </c>
      <c r="D31" s="7" t="s">
        <v>1347</v>
      </c>
      <c r="F31" s="147">
        <v>12</v>
      </c>
    </row>
    <row r="32" spans="2:6" x14ac:dyDescent="0.2">
      <c r="B32" s="147">
        <v>4</v>
      </c>
      <c r="C32" s="146" t="s">
        <v>1343</v>
      </c>
      <c r="D32" s="7" t="s">
        <v>1347</v>
      </c>
      <c r="F32" s="147">
        <v>12</v>
      </c>
    </row>
    <row r="33" spans="2:6" x14ac:dyDescent="0.2">
      <c r="B33" s="147">
        <v>5</v>
      </c>
      <c r="C33" s="146" t="s">
        <v>1344</v>
      </c>
      <c r="D33" s="7" t="s">
        <v>1347</v>
      </c>
      <c r="F33" s="147">
        <v>12</v>
      </c>
    </row>
    <row r="34" spans="2:6" x14ac:dyDescent="0.2">
      <c r="F34" s="7">
        <f>SUM(F29:F33)</f>
        <v>60</v>
      </c>
    </row>
  </sheetData>
  <autoFilter ref="A7:Q15"/>
  <mergeCells count="9">
    <mergeCell ref="A8:C8"/>
    <mergeCell ref="F3:H3"/>
    <mergeCell ref="F2:H2"/>
    <mergeCell ref="N1:Q2"/>
    <mergeCell ref="A6:A7"/>
    <mergeCell ref="B6:B7"/>
    <mergeCell ref="C6:F6"/>
    <mergeCell ref="M6:O6"/>
    <mergeCell ref="Q6:Q7"/>
  </mergeCells>
  <printOptions horizontalCentered="1" verticalCentered="1"/>
  <pageMargins left="0.19685039370078741" right="0.23622047244094491" top="0.43307086614173229" bottom="0.74803149606299213" header="0.43307086614173229" footer="0.19685039370078741"/>
  <pageSetup paperSize="8" pageOrder="overThenDown" orientation="landscape" horizontalDpi="300" verticalDpi="300" r:id="rId1"/>
  <headerFooter alignWithMargins="0">
    <oddFooter>&amp;C&amp;"Arial,Bold"ENVIVIO_AIRTEL DTH HE PROJECT
ASI CABLE SHEDULE 102-XX-XXXX&amp;R&amp;"Arial,Regular"&amp;10Page &amp;P of  &amp;N</oddFooter>
  </headerFooter>
  <drawing r:id="rId2"/>
  <legacyDrawing r:id="rId3"/>
  <controls>
    <mc:AlternateContent xmlns:mc="http://schemas.openxmlformats.org/markup-compatibility/2006">
      <mc:Choice Requires="x14">
        <control shapeId="11265" r:id="rId4" name="CommandButton1">
          <controlPr locked="0" defaultSize="0" print="0" disabled="1" autoFill="0" autoLine="0" r:id="rId5">
            <anchor moveWithCells="1">
              <from>
                <xdr:col>6</xdr:col>
                <xdr:colOff>942975</xdr:colOff>
                <xdr:row>3</xdr:row>
                <xdr:rowOff>19050</xdr:rowOff>
              </from>
              <to>
                <xdr:col>7</xdr:col>
                <xdr:colOff>438150</xdr:colOff>
                <xdr:row>4</xdr:row>
                <xdr:rowOff>104775</xdr:rowOff>
              </to>
            </anchor>
          </controlPr>
        </control>
      </mc:Choice>
      <mc:Fallback>
        <control shapeId="11265" r:id="rId4" name="Command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FF0000"/>
    <pageSetUpPr fitToPage="1"/>
  </sheetPr>
  <dimension ref="A1:R167"/>
  <sheetViews>
    <sheetView topLeftCell="A169" zoomScale="85" zoomScaleNormal="85" zoomScaleSheetLayoutView="50" workbookViewId="0">
      <pane xSplit="2" topLeftCell="C1" activePane="topRight" state="frozen"/>
      <selection pane="topRight" activeCell="E32" sqref="E32"/>
    </sheetView>
  </sheetViews>
  <sheetFormatPr defaultRowHeight="12.75" x14ac:dyDescent="0.2"/>
  <cols>
    <col min="1" max="1" width="6.83203125" style="18" bestFit="1" customWidth="1"/>
    <col min="2" max="2" width="10.83203125" style="154" bestFit="1" customWidth="1"/>
    <col min="3" max="3" width="52.5" style="2" bestFit="1" customWidth="1"/>
    <col min="4" max="4" width="14.33203125" style="7" bestFit="1" customWidth="1"/>
    <col min="5" max="5" width="15.5" style="7" bestFit="1" customWidth="1"/>
    <col min="6" max="6" width="12" style="7" bestFit="1" customWidth="1"/>
    <col min="7" max="7" width="52.5" style="6" bestFit="1" customWidth="1"/>
    <col min="8" max="8" width="12.33203125" style="7" bestFit="1" customWidth="1"/>
    <col min="9" max="9" width="15.5" style="7" bestFit="1" customWidth="1"/>
    <col min="10" max="10" width="12" style="6" bestFit="1" customWidth="1"/>
    <col min="11" max="11" width="12" style="7" bestFit="1" customWidth="1"/>
    <col min="12" max="12" width="11.6640625" style="7" bestFit="1" customWidth="1"/>
    <col min="13" max="13" width="10.1640625" style="49" bestFit="1" customWidth="1"/>
    <col min="14" max="14" width="10.83203125" style="49" bestFit="1" customWidth="1"/>
    <col min="15" max="15" width="13.33203125" style="7" bestFit="1" customWidth="1"/>
    <col min="16" max="16" width="9.83203125" style="18" bestFit="1" customWidth="1"/>
    <col min="17" max="17" width="18.6640625" style="6" bestFit="1" customWidth="1"/>
    <col min="18" max="21" width="9.33203125" style="7"/>
    <col min="22" max="22" width="14.5" style="7" customWidth="1"/>
    <col min="23" max="16384" width="9.33203125" style="7"/>
  </cols>
  <sheetData>
    <row r="1" spans="1:18" x14ac:dyDescent="0.2">
      <c r="B1" s="150"/>
      <c r="E1" s="18"/>
      <c r="G1" s="3"/>
      <c r="H1" s="4"/>
      <c r="I1" s="5"/>
      <c r="M1" s="19"/>
      <c r="N1" s="174" t="s">
        <v>31</v>
      </c>
      <c r="O1" s="174"/>
      <c r="P1" s="174"/>
      <c r="Q1" s="174"/>
    </row>
    <row r="2" spans="1:18" x14ac:dyDescent="0.2">
      <c r="B2" s="151" t="s">
        <v>11</v>
      </c>
      <c r="C2" s="9" t="s">
        <v>28</v>
      </c>
      <c r="D2" s="20" t="s">
        <v>19</v>
      </c>
      <c r="E2" s="21">
        <f>IF(COUNTA(D9:D1143)&gt;(COUNTA(H9:H1143)),(COUNTA(D9:D1143)+COUNTA(H9:H1143))-COUNTA(D9:D1143),(COUNTA(D9:D1143)+COUNTA(H9:H1143))-COUNTA(H9:H1143))</f>
        <v>140</v>
      </c>
      <c r="F2" s="158" t="s">
        <v>281</v>
      </c>
      <c r="G2" s="158"/>
      <c r="H2" s="158"/>
      <c r="I2" s="124"/>
      <c r="M2" s="22"/>
      <c r="N2" s="174"/>
      <c r="O2" s="174"/>
      <c r="P2" s="174"/>
      <c r="Q2" s="174"/>
    </row>
    <row r="3" spans="1:18" x14ac:dyDescent="0.2">
      <c r="B3" s="151" t="s">
        <v>12</v>
      </c>
      <c r="C3" s="62">
        <v>42413</v>
      </c>
      <c r="E3" s="124"/>
      <c r="F3" s="158" t="s">
        <v>998</v>
      </c>
      <c r="G3" s="158"/>
      <c r="H3" s="158"/>
      <c r="I3" s="124"/>
      <c r="J3" s="124"/>
      <c r="M3" s="7"/>
      <c r="N3" s="23" t="s">
        <v>32</v>
      </c>
      <c r="O3" s="24"/>
      <c r="P3" s="25"/>
      <c r="Q3" s="3"/>
      <c r="R3" s="4"/>
    </row>
    <row r="4" spans="1:18" x14ac:dyDescent="0.2">
      <c r="B4" s="151" t="s">
        <v>13</v>
      </c>
      <c r="C4" s="9" t="s">
        <v>30</v>
      </c>
      <c r="E4" s="18"/>
      <c r="G4" s="10"/>
      <c r="H4" s="11"/>
      <c r="I4" s="12"/>
      <c r="J4" s="13"/>
      <c r="M4" s="7"/>
      <c r="N4" s="23"/>
      <c r="O4" s="24"/>
      <c r="P4" s="25"/>
      <c r="Q4" s="3"/>
      <c r="R4" s="4"/>
    </row>
    <row r="5" spans="1:18" ht="13.5" thickBot="1" x14ac:dyDescent="0.25">
      <c r="B5" s="152"/>
      <c r="E5" s="18"/>
      <c r="G5" s="3"/>
      <c r="H5" s="11"/>
      <c r="I5" s="5"/>
      <c r="K5" s="4"/>
      <c r="L5" s="4"/>
      <c r="M5" s="26"/>
      <c r="N5" s="26"/>
      <c r="O5" s="15"/>
      <c r="P5" s="16"/>
      <c r="Q5" s="3"/>
    </row>
    <row r="6" spans="1:18" ht="12.75" customHeight="1" x14ac:dyDescent="0.2">
      <c r="A6" s="160" t="s">
        <v>0</v>
      </c>
      <c r="B6" s="183" t="s">
        <v>18</v>
      </c>
      <c r="C6" s="177" t="s">
        <v>2</v>
      </c>
      <c r="D6" s="177"/>
      <c r="E6" s="177"/>
      <c r="F6" s="177"/>
      <c r="G6" s="17" t="s">
        <v>3</v>
      </c>
      <c r="H6" s="114"/>
      <c r="I6" s="115"/>
      <c r="J6" s="17"/>
      <c r="K6" s="27" t="s">
        <v>4</v>
      </c>
      <c r="L6" s="126" t="s">
        <v>21</v>
      </c>
      <c r="M6" s="178" t="s">
        <v>15</v>
      </c>
      <c r="N6" s="179"/>
      <c r="O6" s="179"/>
      <c r="P6" s="116" t="s">
        <v>23</v>
      </c>
      <c r="Q6" s="167" t="s">
        <v>17</v>
      </c>
    </row>
    <row r="7" spans="1:18" s="4" customFormat="1" ht="13.5" thickBot="1" x14ac:dyDescent="0.25">
      <c r="A7" s="161"/>
      <c r="B7" s="184"/>
      <c r="C7" s="29" t="s">
        <v>20</v>
      </c>
      <c r="D7" s="30" t="s">
        <v>6</v>
      </c>
      <c r="E7" s="31" t="s">
        <v>7</v>
      </c>
      <c r="F7" s="30" t="s">
        <v>8</v>
      </c>
      <c r="G7" s="29" t="s">
        <v>5</v>
      </c>
      <c r="H7" s="30" t="s">
        <v>6</v>
      </c>
      <c r="I7" s="31" t="s">
        <v>7</v>
      </c>
      <c r="J7" s="29" t="s">
        <v>8</v>
      </c>
      <c r="K7" s="30" t="s">
        <v>14</v>
      </c>
      <c r="L7" s="32" t="s">
        <v>22</v>
      </c>
      <c r="M7" s="117" t="s">
        <v>16</v>
      </c>
      <c r="N7" s="117" t="s">
        <v>25</v>
      </c>
      <c r="O7" s="118" t="s">
        <v>9</v>
      </c>
      <c r="P7" s="119" t="s">
        <v>24</v>
      </c>
      <c r="Q7" s="168"/>
    </row>
    <row r="8" spans="1:18" s="4" customFormat="1" ht="12.75" customHeight="1" x14ac:dyDescent="0.2">
      <c r="A8" s="172" t="s">
        <v>100</v>
      </c>
      <c r="B8" s="173"/>
      <c r="C8" s="173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3"/>
    </row>
    <row r="9" spans="1:18" x14ac:dyDescent="0.2">
      <c r="A9" s="34">
        <v>1</v>
      </c>
      <c r="B9" s="145" t="s">
        <v>1537</v>
      </c>
      <c r="C9" s="36" t="s">
        <v>999</v>
      </c>
      <c r="D9" s="37" t="s">
        <v>152</v>
      </c>
      <c r="E9" s="38" t="s">
        <v>262</v>
      </c>
      <c r="F9" s="39" t="s">
        <v>94</v>
      </c>
      <c r="G9" s="36" t="s">
        <v>1201</v>
      </c>
      <c r="H9" s="37" t="s">
        <v>152</v>
      </c>
      <c r="I9" s="38" t="s">
        <v>262</v>
      </c>
      <c r="J9" s="39" t="s">
        <v>94</v>
      </c>
      <c r="K9" s="37" t="s">
        <v>153</v>
      </c>
      <c r="L9" s="37" t="s">
        <v>1</v>
      </c>
      <c r="M9" s="40"/>
      <c r="N9" s="41"/>
      <c r="O9" s="42"/>
      <c r="P9" s="43"/>
      <c r="Q9" s="44"/>
    </row>
    <row r="10" spans="1:18" x14ac:dyDescent="0.2">
      <c r="A10" s="34">
        <f t="shared" ref="A10:A15" si="0">A9+1</f>
        <v>2</v>
      </c>
      <c r="B10" s="145" t="s">
        <v>1538</v>
      </c>
      <c r="C10" s="36" t="s">
        <v>1000</v>
      </c>
      <c r="D10" s="37" t="s">
        <v>152</v>
      </c>
      <c r="E10" s="38" t="s">
        <v>262</v>
      </c>
      <c r="F10" s="39" t="s">
        <v>94</v>
      </c>
      <c r="G10" s="36" t="s">
        <v>1202</v>
      </c>
      <c r="H10" s="37" t="s">
        <v>152</v>
      </c>
      <c r="I10" s="38" t="s">
        <v>262</v>
      </c>
      <c r="J10" s="39" t="s">
        <v>94</v>
      </c>
      <c r="K10" s="37" t="s">
        <v>153</v>
      </c>
      <c r="L10" s="37" t="s">
        <v>1</v>
      </c>
      <c r="M10" s="40"/>
      <c r="N10" s="41"/>
      <c r="O10" s="42"/>
      <c r="P10" s="43"/>
      <c r="Q10" s="44"/>
    </row>
    <row r="11" spans="1:18" x14ac:dyDescent="0.2">
      <c r="A11" s="34">
        <f t="shared" si="0"/>
        <v>3</v>
      </c>
      <c r="B11" s="145" t="s">
        <v>1539</v>
      </c>
      <c r="C11" s="36" t="s">
        <v>1001</v>
      </c>
      <c r="D11" s="37" t="s">
        <v>152</v>
      </c>
      <c r="E11" s="38" t="s">
        <v>262</v>
      </c>
      <c r="F11" s="39" t="s">
        <v>94</v>
      </c>
      <c r="G11" s="36" t="s">
        <v>1203</v>
      </c>
      <c r="H11" s="37" t="s">
        <v>152</v>
      </c>
      <c r="I11" s="38" t="s">
        <v>262</v>
      </c>
      <c r="J11" s="39" t="s">
        <v>94</v>
      </c>
      <c r="K11" s="37" t="s">
        <v>153</v>
      </c>
      <c r="L11" s="37" t="s">
        <v>1</v>
      </c>
      <c r="M11" s="40"/>
      <c r="N11" s="40"/>
      <c r="O11" s="45"/>
      <c r="P11" s="46"/>
      <c r="Q11" s="44"/>
    </row>
    <row r="12" spans="1:18" x14ac:dyDescent="0.2">
      <c r="A12" s="34">
        <f t="shared" si="0"/>
        <v>4</v>
      </c>
      <c r="B12" s="145" t="s">
        <v>1540</v>
      </c>
      <c r="C12" s="36" t="s">
        <v>1002</v>
      </c>
      <c r="D12" s="37" t="s">
        <v>152</v>
      </c>
      <c r="E12" s="38" t="s">
        <v>262</v>
      </c>
      <c r="F12" s="39" t="s">
        <v>94</v>
      </c>
      <c r="G12" s="36" t="s">
        <v>1204</v>
      </c>
      <c r="H12" s="37" t="s">
        <v>152</v>
      </c>
      <c r="I12" s="38" t="s">
        <v>262</v>
      </c>
      <c r="J12" s="39" t="s">
        <v>94</v>
      </c>
      <c r="K12" s="37" t="s">
        <v>153</v>
      </c>
      <c r="L12" s="37" t="s">
        <v>1</v>
      </c>
      <c r="M12" s="40"/>
      <c r="N12" s="40"/>
      <c r="O12" s="45"/>
      <c r="P12" s="46"/>
      <c r="Q12" s="44"/>
    </row>
    <row r="13" spans="1:18" x14ac:dyDescent="0.2">
      <c r="A13" s="34">
        <f t="shared" si="0"/>
        <v>5</v>
      </c>
      <c r="B13" s="145" t="s">
        <v>1541</v>
      </c>
      <c r="C13" s="36" t="s">
        <v>1003</v>
      </c>
      <c r="D13" s="37" t="s">
        <v>152</v>
      </c>
      <c r="E13" s="38" t="s">
        <v>262</v>
      </c>
      <c r="F13" s="39" t="s">
        <v>94</v>
      </c>
      <c r="G13" s="36" t="s">
        <v>1205</v>
      </c>
      <c r="H13" s="37" t="s">
        <v>152</v>
      </c>
      <c r="I13" s="38" t="s">
        <v>262</v>
      </c>
      <c r="J13" s="39" t="s">
        <v>94</v>
      </c>
      <c r="K13" s="37" t="s">
        <v>153</v>
      </c>
      <c r="L13" s="37" t="s">
        <v>1</v>
      </c>
      <c r="M13" s="40"/>
      <c r="N13" s="40"/>
      <c r="O13" s="45"/>
      <c r="P13" s="46"/>
      <c r="Q13" s="44"/>
    </row>
    <row r="14" spans="1:18" x14ac:dyDescent="0.2">
      <c r="A14" s="34">
        <f t="shared" si="0"/>
        <v>6</v>
      </c>
      <c r="B14" s="145" t="s">
        <v>1542</v>
      </c>
      <c r="C14" s="36" t="s">
        <v>1004</v>
      </c>
      <c r="D14" s="37" t="s">
        <v>152</v>
      </c>
      <c r="E14" s="38" t="s">
        <v>262</v>
      </c>
      <c r="F14" s="39" t="s">
        <v>94</v>
      </c>
      <c r="G14" s="36" t="s">
        <v>1206</v>
      </c>
      <c r="H14" s="37" t="s">
        <v>152</v>
      </c>
      <c r="I14" s="38" t="s">
        <v>262</v>
      </c>
      <c r="J14" s="39" t="s">
        <v>94</v>
      </c>
      <c r="K14" s="37" t="s">
        <v>153</v>
      </c>
      <c r="L14" s="37" t="s">
        <v>1</v>
      </c>
      <c r="M14" s="40"/>
      <c r="N14" s="40"/>
      <c r="O14" s="45"/>
      <c r="P14" s="46"/>
      <c r="Q14" s="44"/>
    </row>
    <row r="15" spans="1:18" x14ac:dyDescent="0.2">
      <c r="A15" s="34">
        <f t="shared" si="0"/>
        <v>7</v>
      </c>
      <c r="B15" s="145" t="s">
        <v>1543</v>
      </c>
      <c r="C15" s="36" t="s">
        <v>1005</v>
      </c>
      <c r="D15" s="37" t="s">
        <v>152</v>
      </c>
      <c r="E15" s="38" t="s">
        <v>262</v>
      </c>
      <c r="F15" s="39" t="s">
        <v>94</v>
      </c>
      <c r="G15" s="36" t="s">
        <v>1207</v>
      </c>
      <c r="H15" s="37" t="s">
        <v>152</v>
      </c>
      <c r="I15" s="38" t="s">
        <v>262</v>
      </c>
      <c r="J15" s="39" t="s">
        <v>94</v>
      </c>
      <c r="K15" s="37" t="s">
        <v>153</v>
      </c>
      <c r="L15" s="37" t="s">
        <v>1</v>
      </c>
      <c r="M15" s="40"/>
      <c r="N15" s="40"/>
      <c r="O15" s="45"/>
      <c r="P15" s="46"/>
      <c r="Q15" s="44"/>
    </row>
    <row r="16" spans="1:18" x14ac:dyDescent="0.2">
      <c r="A16" s="34">
        <f t="shared" ref="A16:A97" si="1">A15+1</f>
        <v>8</v>
      </c>
      <c r="B16" s="145" t="s">
        <v>1544</v>
      </c>
      <c r="C16" s="36" t="s">
        <v>1006</v>
      </c>
      <c r="D16" s="37" t="s">
        <v>152</v>
      </c>
      <c r="E16" s="38" t="s">
        <v>262</v>
      </c>
      <c r="F16" s="39" t="s">
        <v>94</v>
      </c>
      <c r="G16" s="36" t="s">
        <v>1208</v>
      </c>
      <c r="H16" s="37" t="s">
        <v>152</v>
      </c>
      <c r="I16" s="38" t="s">
        <v>262</v>
      </c>
      <c r="J16" s="39" t="s">
        <v>94</v>
      </c>
      <c r="K16" s="37" t="s">
        <v>153</v>
      </c>
      <c r="L16" s="37" t="s">
        <v>1</v>
      </c>
      <c r="M16" s="40"/>
      <c r="N16" s="40"/>
      <c r="O16" s="45"/>
      <c r="P16" s="46"/>
      <c r="Q16" s="44"/>
    </row>
    <row r="17" spans="1:17" x14ac:dyDescent="0.2">
      <c r="A17" s="34">
        <f t="shared" si="1"/>
        <v>9</v>
      </c>
      <c r="B17" s="145" t="s">
        <v>1545</v>
      </c>
      <c r="C17" s="36" t="s">
        <v>1007</v>
      </c>
      <c r="D17" s="37" t="s">
        <v>152</v>
      </c>
      <c r="E17" s="38" t="s">
        <v>262</v>
      </c>
      <c r="F17" s="39" t="s">
        <v>94</v>
      </c>
      <c r="G17" s="36" t="s">
        <v>1209</v>
      </c>
      <c r="H17" s="37" t="s">
        <v>152</v>
      </c>
      <c r="I17" s="38" t="s">
        <v>262</v>
      </c>
      <c r="J17" s="39" t="s">
        <v>94</v>
      </c>
      <c r="K17" s="37" t="s">
        <v>153</v>
      </c>
      <c r="L17" s="37" t="s">
        <v>1</v>
      </c>
      <c r="M17" s="40"/>
      <c r="N17" s="40"/>
      <c r="O17" s="45"/>
      <c r="P17" s="46"/>
      <c r="Q17" s="44"/>
    </row>
    <row r="18" spans="1:17" x14ac:dyDescent="0.2">
      <c r="A18" s="34">
        <f t="shared" si="1"/>
        <v>10</v>
      </c>
      <c r="B18" s="145" t="s">
        <v>1546</v>
      </c>
      <c r="C18" s="36" t="s">
        <v>1008</v>
      </c>
      <c r="D18" s="37" t="s">
        <v>152</v>
      </c>
      <c r="E18" s="38" t="s">
        <v>262</v>
      </c>
      <c r="F18" s="39" t="s">
        <v>94</v>
      </c>
      <c r="G18" s="36" t="s">
        <v>1210</v>
      </c>
      <c r="H18" s="37" t="s">
        <v>152</v>
      </c>
      <c r="I18" s="38" t="s">
        <v>262</v>
      </c>
      <c r="J18" s="39" t="s">
        <v>94</v>
      </c>
      <c r="K18" s="37" t="s">
        <v>153</v>
      </c>
      <c r="L18" s="37" t="s">
        <v>1</v>
      </c>
      <c r="M18" s="40"/>
      <c r="N18" s="40"/>
      <c r="O18" s="45"/>
      <c r="P18" s="46"/>
      <c r="Q18" s="44"/>
    </row>
    <row r="19" spans="1:17" x14ac:dyDescent="0.2">
      <c r="A19" s="34">
        <f t="shared" si="1"/>
        <v>11</v>
      </c>
      <c r="B19" s="145" t="s">
        <v>1547</v>
      </c>
      <c r="C19" s="36" t="s">
        <v>1009</v>
      </c>
      <c r="D19" s="37" t="s">
        <v>152</v>
      </c>
      <c r="E19" s="38" t="s">
        <v>262</v>
      </c>
      <c r="F19" s="39" t="s">
        <v>94</v>
      </c>
      <c r="G19" s="36" t="s">
        <v>1211</v>
      </c>
      <c r="H19" s="37" t="s">
        <v>152</v>
      </c>
      <c r="I19" s="38" t="s">
        <v>262</v>
      </c>
      <c r="J19" s="39" t="s">
        <v>94</v>
      </c>
      <c r="K19" s="37" t="s">
        <v>153</v>
      </c>
      <c r="L19" s="37" t="s">
        <v>1</v>
      </c>
      <c r="M19" s="40"/>
      <c r="N19" s="40"/>
      <c r="O19" s="45"/>
      <c r="P19" s="46"/>
      <c r="Q19" s="44"/>
    </row>
    <row r="20" spans="1:17" x14ac:dyDescent="0.2">
      <c r="A20" s="34">
        <f t="shared" si="1"/>
        <v>12</v>
      </c>
      <c r="B20" s="145" t="s">
        <v>1548</v>
      </c>
      <c r="C20" s="36" t="s">
        <v>1010</v>
      </c>
      <c r="D20" s="37" t="s">
        <v>152</v>
      </c>
      <c r="E20" s="38" t="s">
        <v>262</v>
      </c>
      <c r="F20" s="39" t="s">
        <v>94</v>
      </c>
      <c r="G20" s="36" t="s">
        <v>1212</v>
      </c>
      <c r="H20" s="37" t="s">
        <v>152</v>
      </c>
      <c r="I20" s="38" t="s">
        <v>262</v>
      </c>
      <c r="J20" s="39" t="s">
        <v>94</v>
      </c>
      <c r="K20" s="37" t="s">
        <v>153</v>
      </c>
      <c r="L20" s="37" t="s">
        <v>1</v>
      </c>
      <c r="M20" s="40"/>
      <c r="N20" s="40"/>
      <c r="O20" s="45"/>
      <c r="P20" s="46"/>
      <c r="Q20" s="44"/>
    </row>
    <row r="21" spans="1:17" x14ac:dyDescent="0.2">
      <c r="A21" s="34">
        <f t="shared" si="1"/>
        <v>13</v>
      </c>
      <c r="B21" s="145" t="s">
        <v>1549</v>
      </c>
      <c r="C21" s="36" t="s">
        <v>1011</v>
      </c>
      <c r="D21" s="37" t="s">
        <v>152</v>
      </c>
      <c r="E21" s="38" t="s">
        <v>262</v>
      </c>
      <c r="F21" s="39" t="s">
        <v>94</v>
      </c>
      <c r="G21" s="36" t="s">
        <v>1213</v>
      </c>
      <c r="H21" s="37" t="s">
        <v>152</v>
      </c>
      <c r="I21" s="38" t="s">
        <v>262</v>
      </c>
      <c r="J21" s="39" t="s">
        <v>94</v>
      </c>
      <c r="K21" s="37" t="s">
        <v>153</v>
      </c>
      <c r="L21" s="37" t="s">
        <v>1</v>
      </c>
      <c r="M21" s="40"/>
      <c r="N21" s="40"/>
      <c r="O21" s="45"/>
      <c r="P21" s="46"/>
      <c r="Q21" s="44"/>
    </row>
    <row r="22" spans="1:17" x14ac:dyDescent="0.2">
      <c r="A22" s="34">
        <f t="shared" si="1"/>
        <v>14</v>
      </c>
      <c r="B22" s="145" t="s">
        <v>1550</v>
      </c>
      <c r="C22" s="36" t="s">
        <v>1012</v>
      </c>
      <c r="D22" s="37" t="s">
        <v>152</v>
      </c>
      <c r="E22" s="38" t="s">
        <v>262</v>
      </c>
      <c r="F22" s="39" t="s">
        <v>94</v>
      </c>
      <c r="G22" s="36" t="s">
        <v>1214</v>
      </c>
      <c r="H22" s="37" t="s">
        <v>152</v>
      </c>
      <c r="I22" s="38" t="s">
        <v>262</v>
      </c>
      <c r="J22" s="39" t="s">
        <v>94</v>
      </c>
      <c r="K22" s="37" t="s">
        <v>153</v>
      </c>
      <c r="L22" s="37" t="s">
        <v>1</v>
      </c>
      <c r="M22" s="40"/>
      <c r="N22" s="40"/>
      <c r="O22" s="45"/>
      <c r="P22" s="46"/>
      <c r="Q22" s="44"/>
    </row>
    <row r="23" spans="1:17" x14ac:dyDescent="0.2">
      <c r="A23" s="34">
        <f t="shared" si="1"/>
        <v>15</v>
      </c>
      <c r="B23" s="145" t="s">
        <v>1551</v>
      </c>
      <c r="C23" s="36" t="s">
        <v>1013</v>
      </c>
      <c r="D23" s="37" t="s">
        <v>152</v>
      </c>
      <c r="E23" s="38" t="s">
        <v>262</v>
      </c>
      <c r="F23" s="39" t="s">
        <v>94</v>
      </c>
      <c r="G23" s="36" t="s">
        <v>1215</v>
      </c>
      <c r="H23" s="37" t="s">
        <v>152</v>
      </c>
      <c r="I23" s="38" t="s">
        <v>262</v>
      </c>
      <c r="J23" s="39" t="s">
        <v>94</v>
      </c>
      <c r="K23" s="37" t="s">
        <v>153</v>
      </c>
      <c r="L23" s="37" t="s">
        <v>1</v>
      </c>
      <c r="M23" s="40"/>
      <c r="N23" s="40"/>
      <c r="O23" s="45"/>
      <c r="P23" s="46"/>
      <c r="Q23" s="44"/>
    </row>
    <row r="24" spans="1:17" x14ac:dyDescent="0.2">
      <c r="A24" s="34">
        <f t="shared" si="1"/>
        <v>16</v>
      </c>
      <c r="B24" s="145" t="s">
        <v>1552</v>
      </c>
      <c r="C24" s="36" t="s">
        <v>1014</v>
      </c>
      <c r="D24" s="37" t="s">
        <v>152</v>
      </c>
      <c r="E24" s="38" t="s">
        <v>262</v>
      </c>
      <c r="F24" s="39" t="s">
        <v>94</v>
      </c>
      <c r="G24" s="36" t="s">
        <v>1216</v>
      </c>
      <c r="H24" s="37" t="s">
        <v>152</v>
      </c>
      <c r="I24" s="38" t="s">
        <v>262</v>
      </c>
      <c r="J24" s="39" t="s">
        <v>94</v>
      </c>
      <c r="K24" s="37" t="s">
        <v>153</v>
      </c>
      <c r="L24" s="37" t="s">
        <v>1</v>
      </c>
      <c r="M24" s="40"/>
      <c r="N24" s="40"/>
      <c r="O24" s="45"/>
      <c r="P24" s="46"/>
      <c r="Q24" s="44"/>
    </row>
    <row r="25" spans="1:17" x14ac:dyDescent="0.2">
      <c r="A25" s="34">
        <f t="shared" si="1"/>
        <v>17</v>
      </c>
      <c r="B25" s="145" t="s">
        <v>1553</v>
      </c>
      <c r="C25" s="36" t="s">
        <v>1015</v>
      </c>
      <c r="D25" s="37" t="s">
        <v>152</v>
      </c>
      <c r="E25" s="38" t="s">
        <v>262</v>
      </c>
      <c r="F25" s="39" t="s">
        <v>94</v>
      </c>
      <c r="G25" s="36" t="s">
        <v>1217</v>
      </c>
      <c r="H25" s="37" t="s">
        <v>152</v>
      </c>
      <c r="I25" s="38" t="s">
        <v>262</v>
      </c>
      <c r="J25" s="39" t="s">
        <v>94</v>
      </c>
      <c r="K25" s="37" t="s">
        <v>153</v>
      </c>
      <c r="L25" s="37" t="s">
        <v>1</v>
      </c>
      <c r="M25" s="40"/>
      <c r="N25" s="41"/>
      <c r="O25" s="42"/>
      <c r="P25" s="43"/>
      <c r="Q25" s="44"/>
    </row>
    <row r="26" spans="1:17" x14ac:dyDescent="0.2">
      <c r="A26" s="34">
        <f t="shared" si="1"/>
        <v>18</v>
      </c>
      <c r="B26" s="145" t="s">
        <v>1554</v>
      </c>
      <c r="C26" s="36" t="s">
        <v>1016</v>
      </c>
      <c r="D26" s="37" t="s">
        <v>152</v>
      </c>
      <c r="E26" s="38" t="s">
        <v>262</v>
      </c>
      <c r="F26" s="39" t="s">
        <v>94</v>
      </c>
      <c r="G26" s="36" t="s">
        <v>1218</v>
      </c>
      <c r="H26" s="37" t="s">
        <v>152</v>
      </c>
      <c r="I26" s="38" t="s">
        <v>262</v>
      </c>
      <c r="J26" s="39" t="s">
        <v>94</v>
      </c>
      <c r="K26" s="37" t="s">
        <v>153</v>
      </c>
      <c r="L26" s="37" t="s">
        <v>1</v>
      </c>
      <c r="M26" s="40"/>
      <c r="N26" s="41"/>
      <c r="O26" s="42"/>
      <c r="P26" s="43"/>
      <c r="Q26" s="44"/>
    </row>
    <row r="27" spans="1:17" x14ac:dyDescent="0.2">
      <c r="A27" s="34">
        <f t="shared" si="1"/>
        <v>19</v>
      </c>
      <c r="B27" s="145" t="s">
        <v>1555</v>
      </c>
      <c r="C27" s="36" t="s">
        <v>1017</v>
      </c>
      <c r="D27" s="37" t="s">
        <v>152</v>
      </c>
      <c r="E27" s="38" t="s">
        <v>262</v>
      </c>
      <c r="F27" s="39" t="s">
        <v>94</v>
      </c>
      <c r="G27" s="36" t="s">
        <v>1219</v>
      </c>
      <c r="H27" s="37" t="s">
        <v>152</v>
      </c>
      <c r="I27" s="38" t="s">
        <v>262</v>
      </c>
      <c r="J27" s="39" t="s">
        <v>94</v>
      </c>
      <c r="K27" s="37" t="s">
        <v>153</v>
      </c>
      <c r="L27" s="37" t="s">
        <v>1</v>
      </c>
      <c r="M27" s="40"/>
      <c r="N27" s="40"/>
      <c r="O27" s="45"/>
      <c r="P27" s="46"/>
      <c r="Q27" s="44"/>
    </row>
    <row r="28" spans="1:17" x14ac:dyDescent="0.2">
      <c r="A28" s="34">
        <f t="shared" si="1"/>
        <v>20</v>
      </c>
      <c r="B28" s="145" t="s">
        <v>1556</v>
      </c>
      <c r="C28" s="36" t="s">
        <v>1018</v>
      </c>
      <c r="D28" s="37" t="s">
        <v>152</v>
      </c>
      <c r="E28" s="38" t="s">
        <v>262</v>
      </c>
      <c r="F28" s="39" t="s">
        <v>94</v>
      </c>
      <c r="G28" s="36" t="s">
        <v>1220</v>
      </c>
      <c r="H28" s="37" t="s">
        <v>152</v>
      </c>
      <c r="I28" s="38" t="s">
        <v>262</v>
      </c>
      <c r="J28" s="39" t="s">
        <v>94</v>
      </c>
      <c r="K28" s="37" t="s">
        <v>153</v>
      </c>
      <c r="L28" s="37" t="s">
        <v>1</v>
      </c>
      <c r="M28" s="40"/>
      <c r="N28" s="40"/>
      <c r="O28" s="45"/>
      <c r="P28" s="46"/>
      <c r="Q28" s="44"/>
    </row>
    <row r="29" spans="1:17" x14ac:dyDescent="0.2">
      <c r="A29" s="34">
        <f t="shared" si="1"/>
        <v>21</v>
      </c>
      <c r="B29" s="145" t="s">
        <v>1557</v>
      </c>
      <c r="C29" s="36" t="s">
        <v>1019</v>
      </c>
      <c r="D29" s="37" t="s">
        <v>152</v>
      </c>
      <c r="E29" s="38" t="s">
        <v>282</v>
      </c>
      <c r="F29" s="39" t="s">
        <v>94</v>
      </c>
      <c r="G29" s="36" t="s">
        <v>1221</v>
      </c>
      <c r="H29" s="37" t="s">
        <v>152</v>
      </c>
      <c r="I29" s="38" t="s">
        <v>262</v>
      </c>
      <c r="J29" s="39" t="s">
        <v>94</v>
      </c>
      <c r="K29" s="37" t="s">
        <v>153</v>
      </c>
      <c r="L29" s="37" t="s">
        <v>1</v>
      </c>
      <c r="M29" s="40"/>
      <c r="N29" s="40"/>
      <c r="O29" s="45"/>
      <c r="P29" s="46"/>
      <c r="Q29" s="44"/>
    </row>
    <row r="30" spans="1:17" x14ac:dyDescent="0.2">
      <c r="A30" s="34">
        <f t="shared" si="1"/>
        <v>22</v>
      </c>
      <c r="B30" s="145" t="s">
        <v>1558</v>
      </c>
      <c r="C30" s="36" t="s">
        <v>1020</v>
      </c>
      <c r="D30" s="37" t="s">
        <v>152</v>
      </c>
      <c r="E30" s="38" t="s">
        <v>282</v>
      </c>
      <c r="F30" s="39" t="s">
        <v>94</v>
      </c>
      <c r="G30" s="36" t="s">
        <v>1222</v>
      </c>
      <c r="H30" s="37" t="s">
        <v>152</v>
      </c>
      <c r="I30" s="38" t="s">
        <v>262</v>
      </c>
      <c r="J30" s="39" t="s">
        <v>94</v>
      </c>
      <c r="K30" s="37" t="s">
        <v>153</v>
      </c>
      <c r="L30" s="37" t="s">
        <v>1</v>
      </c>
      <c r="M30" s="40"/>
      <c r="N30" s="40"/>
      <c r="O30" s="45"/>
      <c r="P30" s="46"/>
      <c r="Q30" s="44"/>
    </row>
    <row r="31" spans="1:17" x14ac:dyDescent="0.2">
      <c r="A31" s="34">
        <f t="shared" si="1"/>
        <v>23</v>
      </c>
      <c r="B31" s="145" t="s">
        <v>1559</v>
      </c>
      <c r="C31" s="36" t="s">
        <v>1021</v>
      </c>
      <c r="D31" s="37" t="s">
        <v>152</v>
      </c>
      <c r="E31" s="38" t="s">
        <v>282</v>
      </c>
      <c r="F31" s="39" t="s">
        <v>94</v>
      </c>
      <c r="G31" s="36" t="s">
        <v>1223</v>
      </c>
      <c r="H31" s="37" t="s">
        <v>152</v>
      </c>
      <c r="I31" s="38" t="s">
        <v>262</v>
      </c>
      <c r="J31" s="39" t="s">
        <v>94</v>
      </c>
      <c r="K31" s="37" t="s">
        <v>153</v>
      </c>
      <c r="L31" s="37" t="s">
        <v>1</v>
      </c>
      <c r="M31" s="40"/>
      <c r="N31" s="40"/>
      <c r="O31" s="45"/>
      <c r="P31" s="46"/>
      <c r="Q31" s="44"/>
    </row>
    <row r="32" spans="1:17" x14ac:dyDescent="0.2">
      <c r="A32" s="34">
        <f t="shared" si="1"/>
        <v>24</v>
      </c>
      <c r="B32" s="145" t="s">
        <v>1560</v>
      </c>
      <c r="C32" s="36" t="s">
        <v>1022</v>
      </c>
      <c r="D32" s="37" t="s">
        <v>152</v>
      </c>
      <c r="E32" s="38" t="s">
        <v>282</v>
      </c>
      <c r="F32" s="39" t="s">
        <v>94</v>
      </c>
      <c r="G32" s="36" t="s">
        <v>1224</v>
      </c>
      <c r="H32" s="37" t="s">
        <v>152</v>
      </c>
      <c r="I32" s="38" t="s">
        <v>262</v>
      </c>
      <c r="J32" s="39" t="s">
        <v>94</v>
      </c>
      <c r="K32" s="37" t="s">
        <v>153</v>
      </c>
      <c r="L32" s="37" t="s">
        <v>1</v>
      </c>
      <c r="M32" s="40"/>
      <c r="N32" s="40"/>
      <c r="O32" s="45"/>
      <c r="P32" s="46"/>
      <c r="Q32" s="44"/>
    </row>
    <row r="33" spans="1:17" x14ac:dyDescent="0.2">
      <c r="A33" s="34">
        <f t="shared" si="1"/>
        <v>25</v>
      </c>
      <c r="B33" s="145" t="s">
        <v>1561</v>
      </c>
      <c r="C33" s="36" t="s">
        <v>1023</v>
      </c>
      <c r="D33" s="37" t="s">
        <v>152</v>
      </c>
      <c r="E33" s="38" t="s">
        <v>282</v>
      </c>
      <c r="F33" s="39" t="s">
        <v>94</v>
      </c>
      <c r="G33" s="36" t="s">
        <v>1225</v>
      </c>
      <c r="H33" s="37" t="s">
        <v>152</v>
      </c>
      <c r="I33" s="38" t="s">
        <v>262</v>
      </c>
      <c r="J33" s="39" t="s">
        <v>94</v>
      </c>
      <c r="K33" s="37" t="s">
        <v>153</v>
      </c>
      <c r="L33" s="37" t="s">
        <v>1</v>
      </c>
      <c r="M33" s="40"/>
      <c r="N33" s="40"/>
      <c r="O33" s="45"/>
      <c r="P33" s="46"/>
      <c r="Q33" s="44"/>
    </row>
    <row r="34" spans="1:17" x14ac:dyDescent="0.2">
      <c r="A34" s="34">
        <f t="shared" si="1"/>
        <v>26</v>
      </c>
      <c r="B34" s="145" t="s">
        <v>1562</v>
      </c>
      <c r="C34" s="36" t="s">
        <v>1024</v>
      </c>
      <c r="D34" s="37" t="s">
        <v>152</v>
      </c>
      <c r="E34" s="38" t="s">
        <v>993</v>
      </c>
      <c r="F34" s="39" t="s">
        <v>94</v>
      </c>
      <c r="G34" s="36" t="s">
        <v>1226</v>
      </c>
      <c r="H34" s="37" t="s">
        <v>152</v>
      </c>
      <c r="I34" s="38" t="s">
        <v>262</v>
      </c>
      <c r="J34" s="39" t="s">
        <v>94</v>
      </c>
      <c r="K34" s="37" t="s">
        <v>153</v>
      </c>
      <c r="L34" s="37" t="s">
        <v>1</v>
      </c>
      <c r="M34" s="40"/>
      <c r="N34" s="40"/>
      <c r="O34" s="45"/>
      <c r="P34" s="46"/>
      <c r="Q34" s="44"/>
    </row>
    <row r="35" spans="1:17" x14ac:dyDescent="0.2">
      <c r="A35" s="34">
        <f t="shared" si="1"/>
        <v>27</v>
      </c>
      <c r="B35" s="145" t="s">
        <v>1563</v>
      </c>
      <c r="C35" s="36" t="s">
        <v>1025</v>
      </c>
      <c r="D35" s="37" t="s">
        <v>152</v>
      </c>
      <c r="E35" s="38" t="s">
        <v>993</v>
      </c>
      <c r="F35" s="39" t="s">
        <v>94</v>
      </c>
      <c r="G35" s="36" t="s">
        <v>1227</v>
      </c>
      <c r="H35" s="37" t="s">
        <v>152</v>
      </c>
      <c r="I35" s="38" t="s">
        <v>262</v>
      </c>
      <c r="J35" s="39" t="s">
        <v>94</v>
      </c>
      <c r="K35" s="37" t="s">
        <v>153</v>
      </c>
      <c r="L35" s="37" t="s">
        <v>1</v>
      </c>
      <c r="M35" s="40"/>
      <c r="N35" s="40"/>
      <c r="O35" s="45"/>
      <c r="P35" s="46"/>
      <c r="Q35" s="44"/>
    </row>
    <row r="36" spans="1:17" x14ac:dyDescent="0.2">
      <c r="A36" s="34">
        <f t="shared" si="1"/>
        <v>28</v>
      </c>
      <c r="B36" s="145" t="s">
        <v>1564</v>
      </c>
      <c r="C36" s="36" t="s">
        <v>1026</v>
      </c>
      <c r="D36" s="37" t="s">
        <v>152</v>
      </c>
      <c r="E36" s="38" t="s">
        <v>993</v>
      </c>
      <c r="F36" s="39" t="s">
        <v>94</v>
      </c>
      <c r="G36" s="36" t="s">
        <v>1228</v>
      </c>
      <c r="H36" s="37" t="s">
        <v>152</v>
      </c>
      <c r="I36" s="38" t="s">
        <v>262</v>
      </c>
      <c r="J36" s="39" t="s">
        <v>94</v>
      </c>
      <c r="K36" s="37" t="s">
        <v>153</v>
      </c>
      <c r="L36" s="37" t="s">
        <v>1</v>
      </c>
      <c r="M36" s="40"/>
      <c r="N36" s="40"/>
      <c r="O36" s="45"/>
      <c r="P36" s="46"/>
      <c r="Q36" s="44"/>
    </row>
    <row r="37" spans="1:17" x14ac:dyDescent="0.2">
      <c r="A37" s="34">
        <f t="shared" si="1"/>
        <v>29</v>
      </c>
      <c r="B37" s="145" t="s">
        <v>1565</v>
      </c>
      <c r="C37" s="36" t="s">
        <v>1027</v>
      </c>
      <c r="D37" s="37" t="s">
        <v>152</v>
      </c>
      <c r="E37" s="38" t="s">
        <v>993</v>
      </c>
      <c r="F37" s="39" t="s">
        <v>94</v>
      </c>
      <c r="G37" s="36" t="s">
        <v>1229</v>
      </c>
      <c r="H37" s="37" t="s">
        <v>152</v>
      </c>
      <c r="I37" s="38" t="s">
        <v>262</v>
      </c>
      <c r="J37" s="39" t="s">
        <v>94</v>
      </c>
      <c r="K37" s="37" t="s">
        <v>153</v>
      </c>
      <c r="L37" s="37" t="s">
        <v>1</v>
      </c>
      <c r="M37" s="40"/>
      <c r="N37" s="40"/>
      <c r="O37" s="45"/>
      <c r="P37" s="46"/>
      <c r="Q37" s="44"/>
    </row>
    <row r="38" spans="1:17" x14ac:dyDescent="0.2">
      <c r="A38" s="34"/>
      <c r="B38" s="145"/>
      <c r="C38" s="36"/>
      <c r="D38" s="37"/>
      <c r="E38" s="38"/>
      <c r="F38" s="39"/>
      <c r="G38" s="36"/>
      <c r="H38" s="37"/>
      <c r="I38" s="38"/>
      <c r="J38" s="39"/>
      <c r="K38" s="37"/>
      <c r="L38" s="37"/>
      <c r="M38" s="40"/>
      <c r="N38" s="40"/>
      <c r="O38" s="45"/>
      <c r="P38" s="46"/>
      <c r="Q38" s="44"/>
    </row>
    <row r="39" spans="1:17" x14ac:dyDescent="0.2">
      <c r="A39" s="34"/>
      <c r="B39" s="145"/>
      <c r="C39" s="36"/>
      <c r="D39" s="37"/>
      <c r="E39" s="38"/>
      <c r="F39" s="39"/>
      <c r="G39" s="36"/>
      <c r="H39" s="37"/>
      <c r="I39" s="38"/>
      <c r="J39" s="39"/>
      <c r="K39" s="37"/>
      <c r="L39" s="37"/>
      <c r="M39" s="40"/>
      <c r="N39" s="40"/>
      <c r="O39" s="45"/>
      <c r="P39" s="46"/>
      <c r="Q39" s="44"/>
    </row>
    <row r="40" spans="1:17" x14ac:dyDescent="0.2">
      <c r="A40" s="34">
        <f>A37+1</f>
        <v>30</v>
      </c>
      <c r="B40" s="145" t="s">
        <v>1566</v>
      </c>
      <c r="C40" s="36" t="s">
        <v>1028</v>
      </c>
      <c r="D40" s="37" t="s">
        <v>152</v>
      </c>
      <c r="E40" s="38" t="s">
        <v>262</v>
      </c>
      <c r="F40" s="39" t="s">
        <v>94</v>
      </c>
      <c r="G40" s="36" t="s">
        <v>1230</v>
      </c>
      <c r="H40" s="37" t="s">
        <v>152</v>
      </c>
      <c r="I40" s="38" t="s">
        <v>282</v>
      </c>
      <c r="J40" s="39" t="s">
        <v>94</v>
      </c>
      <c r="K40" s="37" t="s">
        <v>153</v>
      </c>
      <c r="L40" s="144" t="s">
        <v>1</v>
      </c>
      <c r="M40" s="180" t="s">
        <v>1338</v>
      </c>
      <c r="N40" s="40"/>
      <c r="O40" s="45"/>
      <c r="P40" s="46"/>
      <c r="Q40" s="44"/>
    </row>
    <row r="41" spans="1:17" x14ac:dyDescent="0.2">
      <c r="A41" s="34">
        <f t="shared" si="1"/>
        <v>31</v>
      </c>
      <c r="B41" s="145" t="s">
        <v>1567</v>
      </c>
      <c r="C41" s="36" t="s">
        <v>1029</v>
      </c>
      <c r="D41" s="37" t="s">
        <v>152</v>
      </c>
      <c r="E41" s="38" t="s">
        <v>262</v>
      </c>
      <c r="F41" s="39" t="s">
        <v>94</v>
      </c>
      <c r="G41" s="36" t="s">
        <v>1231</v>
      </c>
      <c r="H41" s="37" t="s">
        <v>152</v>
      </c>
      <c r="I41" s="38" t="s">
        <v>282</v>
      </c>
      <c r="J41" s="39" t="s">
        <v>94</v>
      </c>
      <c r="K41" s="37" t="s">
        <v>153</v>
      </c>
      <c r="L41" s="144" t="s">
        <v>1</v>
      </c>
      <c r="M41" s="181"/>
      <c r="N41" s="40"/>
      <c r="O41" s="45"/>
      <c r="P41" s="46"/>
      <c r="Q41" s="44"/>
    </row>
    <row r="42" spans="1:17" x14ac:dyDescent="0.2">
      <c r="A42" s="34">
        <f t="shared" si="1"/>
        <v>32</v>
      </c>
      <c r="B42" s="145" t="s">
        <v>1568</v>
      </c>
      <c r="C42" s="36" t="s">
        <v>1030</v>
      </c>
      <c r="D42" s="37" t="s">
        <v>152</v>
      </c>
      <c r="E42" s="38" t="s">
        <v>262</v>
      </c>
      <c r="F42" s="39" t="s">
        <v>94</v>
      </c>
      <c r="G42" s="36" t="s">
        <v>1232</v>
      </c>
      <c r="H42" s="37" t="s">
        <v>152</v>
      </c>
      <c r="I42" s="38" t="s">
        <v>282</v>
      </c>
      <c r="J42" s="39" t="s">
        <v>94</v>
      </c>
      <c r="K42" s="37" t="s">
        <v>153</v>
      </c>
      <c r="L42" s="144" t="s">
        <v>1</v>
      </c>
      <c r="M42" s="181"/>
      <c r="N42" s="41"/>
      <c r="O42" s="42"/>
      <c r="P42" s="43"/>
      <c r="Q42" s="44"/>
    </row>
    <row r="43" spans="1:17" x14ac:dyDescent="0.2">
      <c r="A43" s="34">
        <f t="shared" si="1"/>
        <v>33</v>
      </c>
      <c r="B43" s="145" t="s">
        <v>1569</v>
      </c>
      <c r="C43" s="36" t="s">
        <v>1031</v>
      </c>
      <c r="D43" s="37" t="s">
        <v>152</v>
      </c>
      <c r="E43" s="38" t="s">
        <v>262</v>
      </c>
      <c r="F43" s="39" t="s">
        <v>94</v>
      </c>
      <c r="G43" s="36" t="s">
        <v>1233</v>
      </c>
      <c r="H43" s="37" t="s">
        <v>152</v>
      </c>
      <c r="I43" s="38" t="s">
        <v>282</v>
      </c>
      <c r="J43" s="39" t="s">
        <v>94</v>
      </c>
      <c r="K43" s="37" t="s">
        <v>153</v>
      </c>
      <c r="L43" s="144" t="s">
        <v>1</v>
      </c>
      <c r="M43" s="181"/>
      <c r="N43" s="41"/>
      <c r="O43" s="42"/>
      <c r="P43" s="43"/>
      <c r="Q43" s="44"/>
    </row>
    <row r="44" spans="1:17" x14ac:dyDescent="0.2">
      <c r="A44" s="34">
        <f t="shared" si="1"/>
        <v>34</v>
      </c>
      <c r="B44" s="145" t="s">
        <v>1570</v>
      </c>
      <c r="C44" s="36" t="s">
        <v>1032</v>
      </c>
      <c r="D44" s="37" t="s">
        <v>152</v>
      </c>
      <c r="E44" s="38" t="s">
        <v>282</v>
      </c>
      <c r="F44" s="39" t="s">
        <v>94</v>
      </c>
      <c r="G44" s="36" t="s">
        <v>1234</v>
      </c>
      <c r="H44" s="37" t="s">
        <v>152</v>
      </c>
      <c r="I44" s="38" t="s">
        <v>282</v>
      </c>
      <c r="J44" s="39" t="s">
        <v>94</v>
      </c>
      <c r="K44" s="37" t="s">
        <v>153</v>
      </c>
      <c r="L44" s="144" t="s">
        <v>1</v>
      </c>
      <c r="M44" s="181"/>
      <c r="N44" s="40"/>
      <c r="O44" s="45"/>
      <c r="P44" s="46"/>
      <c r="Q44" s="44"/>
    </row>
    <row r="45" spans="1:17" x14ac:dyDescent="0.2">
      <c r="A45" s="34">
        <f t="shared" si="1"/>
        <v>35</v>
      </c>
      <c r="B45" s="145" t="s">
        <v>1571</v>
      </c>
      <c r="C45" s="36" t="s">
        <v>1033</v>
      </c>
      <c r="D45" s="37" t="s">
        <v>152</v>
      </c>
      <c r="E45" s="38" t="s">
        <v>282</v>
      </c>
      <c r="F45" s="39" t="s">
        <v>94</v>
      </c>
      <c r="G45" s="36" t="s">
        <v>1235</v>
      </c>
      <c r="H45" s="37" t="s">
        <v>152</v>
      </c>
      <c r="I45" s="38" t="s">
        <v>282</v>
      </c>
      <c r="J45" s="39" t="s">
        <v>94</v>
      </c>
      <c r="K45" s="37" t="s">
        <v>153</v>
      </c>
      <c r="L45" s="144" t="s">
        <v>1</v>
      </c>
      <c r="M45" s="181"/>
      <c r="N45" s="40"/>
      <c r="O45" s="45"/>
      <c r="P45" s="46"/>
      <c r="Q45" s="44"/>
    </row>
    <row r="46" spans="1:17" x14ac:dyDescent="0.2">
      <c r="A46" s="34">
        <f t="shared" si="1"/>
        <v>36</v>
      </c>
      <c r="B46" s="145" t="s">
        <v>1572</v>
      </c>
      <c r="C46" s="36" t="s">
        <v>1034</v>
      </c>
      <c r="D46" s="37" t="s">
        <v>152</v>
      </c>
      <c r="E46" s="38" t="s">
        <v>282</v>
      </c>
      <c r="F46" s="39" t="s">
        <v>94</v>
      </c>
      <c r="G46" s="36" t="s">
        <v>1236</v>
      </c>
      <c r="H46" s="37" t="s">
        <v>152</v>
      </c>
      <c r="I46" s="38" t="s">
        <v>282</v>
      </c>
      <c r="J46" s="39" t="s">
        <v>94</v>
      </c>
      <c r="K46" s="37" t="s">
        <v>153</v>
      </c>
      <c r="L46" s="144" t="s">
        <v>1</v>
      </c>
      <c r="M46" s="181"/>
      <c r="N46" s="40"/>
      <c r="O46" s="45"/>
      <c r="P46" s="46"/>
      <c r="Q46" s="44"/>
    </row>
    <row r="47" spans="1:17" x14ac:dyDescent="0.2">
      <c r="A47" s="34">
        <f t="shared" si="1"/>
        <v>37</v>
      </c>
      <c r="B47" s="145" t="s">
        <v>1573</v>
      </c>
      <c r="C47" s="36" t="s">
        <v>1035</v>
      </c>
      <c r="D47" s="37" t="s">
        <v>152</v>
      </c>
      <c r="E47" s="38" t="s">
        <v>282</v>
      </c>
      <c r="F47" s="39" t="s">
        <v>94</v>
      </c>
      <c r="G47" s="36" t="s">
        <v>1237</v>
      </c>
      <c r="H47" s="37" t="s">
        <v>152</v>
      </c>
      <c r="I47" s="38" t="s">
        <v>282</v>
      </c>
      <c r="J47" s="39" t="s">
        <v>94</v>
      </c>
      <c r="K47" s="37" t="s">
        <v>153</v>
      </c>
      <c r="L47" s="144" t="s">
        <v>1</v>
      </c>
      <c r="M47" s="181"/>
      <c r="N47" s="40"/>
      <c r="O47" s="45"/>
      <c r="P47" s="46"/>
      <c r="Q47" s="44"/>
    </row>
    <row r="48" spans="1:17" s="24" customFormat="1" x14ac:dyDescent="0.2">
      <c r="A48" s="34">
        <f t="shared" si="1"/>
        <v>38</v>
      </c>
      <c r="B48" s="145" t="s">
        <v>1574</v>
      </c>
      <c r="C48" s="36" t="s">
        <v>1036</v>
      </c>
      <c r="D48" s="37" t="s">
        <v>152</v>
      </c>
      <c r="E48" s="38" t="s">
        <v>282</v>
      </c>
      <c r="F48" s="39" t="s">
        <v>94</v>
      </c>
      <c r="G48" s="36" t="s">
        <v>1238</v>
      </c>
      <c r="H48" s="37" t="s">
        <v>152</v>
      </c>
      <c r="I48" s="38" t="s">
        <v>282</v>
      </c>
      <c r="J48" s="39" t="s">
        <v>94</v>
      </c>
      <c r="K48" s="37" t="s">
        <v>153</v>
      </c>
      <c r="L48" s="144" t="s">
        <v>1</v>
      </c>
      <c r="M48" s="181"/>
      <c r="N48" s="47"/>
      <c r="O48" s="45"/>
      <c r="P48" s="46"/>
      <c r="Q48" s="44"/>
    </row>
    <row r="49" spans="1:17" s="24" customFormat="1" x14ac:dyDescent="0.2">
      <c r="A49" s="34">
        <f t="shared" si="1"/>
        <v>39</v>
      </c>
      <c r="B49" s="145" t="s">
        <v>1575</v>
      </c>
      <c r="C49" s="36" t="s">
        <v>1037</v>
      </c>
      <c r="D49" s="37" t="s">
        <v>152</v>
      </c>
      <c r="E49" s="38" t="s">
        <v>282</v>
      </c>
      <c r="F49" s="39" t="s">
        <v>94</v>
      </c>
      <c r="G49" s="36" t="s">
        <v>1239</v>
      </c>
      <c r="H49" s="37" t="s">
        <v>152</v>
      </c>
      <c r="I49" s="38" t="s">
        <v>282</v>
      </c>
      <c r="J49" s="39" t="s">
        <v>94</v>
      </c>
      <c r="K49" s="37" t="s">
        <v>153</v>
      </c>
      <c r="L49" s="144" t="s">
        <v>1</v>
      </c>
      <c r="M49" s="181"/>
      <c r="N49" s="47"/>
      <c r="O49" s="45"/>
      <c r="P49" s="46"/>
      <c r="Q49" s="44"/>
    </row>
    <row r="50" spans="1:17" x14ac:dyDescent="0.2">
      <c r="A50" s="34">
        <f t="shared" si="1"/>
        <v>40</v>
      </c>
      <c r="B50" s="145" t="s">
        <v>1576</v>
      </c>
      <c r="C50" s="36" t="s">
        <v>1038</v>
      </c>
      <c r="D50" s="37" t="s">
        <v>152</v>
      </c>
      <c r="E50" s="38" t="s">
        <v>282</v>
      </c>
      <c r="F50" s="39" t="s">
        <v>94</v>
      </c>
      <c r="G50" s="36" t="s">
        <v>1240</v>
      </c>
      <c r="H50" s="37" t="s">
        <v>152</v>
      </c>
      <c r="I50" s="38" t="s">
        <v>282</v>
      </c>
      <c r="J50" s="39" t="s">
        <v>94</v>
      </c>
      <c r="K50" s="37" t="s">
        <v>153</v>
      </c>
      <c r="L50" s="144" t="s">
        <v>1</v>
      </c>
      <c r="M50" s="181"/>
      <c r="N50" s="40"/>
      <c r="O50" s="45"/>
      <c r="P50" s="46"/>
      <c r="Q50" s="44"/>
    </row>
    <row r="51" spans="1:17" x14ac:dyDescent="0.2">
      <c r="A51" s="34">
        <f t="shared" si="1"/>
        <v>41</v>
      </c>
      <c r="B51" s="145" t="s">
        <v>1577</v>
      </c>
      <c r="C51" s="36" t="s">
        <v>1039</v>
      </c>
      <c r="D51" s="37" t="s">
        <v>152</v>
      </c>
      <c r="E51" s="38" t="s">
        <v>282</v>
      </c>
      <c r="F51" s="39" t="s">
        <v>94</v>
      </c>
      <c r="G51" s="36" t="s">
        <v>1241</v>
      </c>
      <c r="H51" s="37" t="s">
        <v>152</v>
      </c>
      <c r="I51" s="38" t="s">
        <v>282</v>
      </c>
      <c r="J51" s="39" t="s">
        <v>94</v>
      </c>
      <c r="K51" s="37" t="s">
        <v>153</v>
      </c>
      <c r="L51" s="144" t="s">
        <v>1</v>
      </c>
      <c r="M51" s="181"/>
      <c r="N51" s="40"/>
      <c r="O51" s="45"/>
      <c r="P51" s="46"/>
      <c r="Q51" s="44"/>
    </row>
    <row r="52" spans="1:17" x14ac:dyDescent="0.2">
      <c r="A52" s="34">
        <f t="shared" si="1"/>
        <v>42</v>
      </c>
      <c r="B52" s="145" t="s">
        <v>1578</v>
      </c>
      <c r="C52" s="36" t="s">
        <v>1040</v>
      </c>
      <c r="D52" s="37" t="s">
        <v>152</v>
      </c>
      <c r="E52" s="38" t="s">
        <v>282</v>
      </c>
      <c r="F52" s="39" t="s">
        <v>94</v>
      </c>
      <c r="G52" s="36" t="s">
        <v>1242</v>
      </c>
      <c r="H52" s="37" t="s">
        <v>152</v>
      </c>
      <c r="I52" s="38" t="s">
        <v>282</v>
      </c>
      <c r="J52" s="39" t="s">
        <v>94</v>
      </c>
      <c r="K52" s="37" t="s">
        <v>153</v>
      </c>
      <c r="L52" s="144" t="s">
        <v>1</v>
      </c>
      <c r="M52" s="181"/>
      <c r="N52" s="40"/>
      <c r="O52" s="45"/>
      <c r="P52" s="46"/>
      <c r="Q52" s="44"/>
    </row>
    <row r="53" spans="1:17" x14ac:dyDescent="0.2">
      <c r="A53" s="34">
        <f t="shared" si="1"/>
        <v>43</v>
      </c>
      <c r="B53" s="145" t="s">
        <v>1579</v>
      </c>
      <c r="C53" s="36" t="s">
        <v>1041</v>
      </c>
      <c r="D53" s="37" t="s">
        <v>152</v>
      </c>
      <c r="E53" s="38" t="s">
        <v>282</v>
      </c>
      <c r="F53" s="39" t="s">
        <v>94</v>
      </c>
      <c r="G53" s="36" t="s">
        <v>1243</v>
      </c>
      <c r="H53" s="37" t="s">
        <v>152</v>
      </c>
      <c r="I53" s="38" t="s">
        <v>282</v>
      </c>
      <c r="J53" s="39" t="s">
        <v>94</v>
      </c>
      <c r="K53" s="37" t="s">
        <v>153</v>
      </c>
      <c r="L53" s="144" t="s">
        <v>1</v>
      </c>
      <c r="M53" s="181"/>
      <c r="N53" s="40"/>
      <c r="O53" s="45"/>
      <c r="P53" s="46"/>
      <c r="Q53" s="44"/>
    </row>
    <row r="54" spans="1:17" x14ac:dyDescent="0.2">
      <c r="A54" s="34">
        <f t="shared" si="1"/>
        <v>44</v>
      </c>
      <c r="B54" s="145" t="s">
        <v>1580</v>
      </c>
      <c r="C54" s="36" t="s">
        <v>1042</v>
      </c>
      <c r="D54" s="37" t="s">
        <v>152</v>
      </c>
      <c r="E54" s="38" t="s">
        <v>282</v>
      </c>
      <c r="F54" s="39" t="s">
        <v>94</v>
      </c>
      <c r="G54" s="36" t="s">
        <v>1244</v>
      </c>
      <c r="H54" s="37" t="s">
        <v>152</v>
      </c>
      <c r="I54" s="38" t="s">
        <v>282</v>
      </c>
      <c r="J54" s="39" t="s">
        <v>94</v>
      </c>
      <c r="K54" s="37" t="s">
        <v>153</v>
      </c>
      <c r="L54" s="144" t="s">
        <v>1</v>
      </c>
      <c r="M54" s="181"/>
      <c r="N54" s="40"/>
      <c r="O54" s="45"/>
      <c r="P54" s="46"/>
      <c r="Q54" s="44"/>
    </row>
    <row r="55" spans="1:17" x14ac:dyDescent="0.2">
      <c r="A55" s="34">
        <f t="shared" si="1"/>
        <v>45</v>
      </c>
      <c r="B55" s="145" t="s">
        <v>1581</v>
      </c>
      <c r="C55" s="36" t="s">
        <v>1043</v>
      </c>
      <c r="D55" s="37" t="s">
        <v>152</v>
      </c>
      <c r="E55" s="38" t="s">
        <v>282</v>
      </c>
      <c r="F55" s="39" t="s">
        <v>94</v>
      </c>
      <c r="G55" s="36" t="s">
        <v>1245</v>
      </c>
      <c r="H55" s="37" t="s">
        <v>152</v>
      </c>
      <c r="I55" s="38" t="s">
        <v>282</v>
      </c>
      <c r="J55" s="39" t="s">
        <v>94</v>
      </c>
      <c r="K55" s="37" t="s">
        <v>153</v>
      </c>
      <c r="L55" s="144" t="s">
        <v>1</v>
      </c>
      <c r="M55" s="181"/>
      <c r="N55" s="40"/>
      <c r="O55" s="45"/>
      <c r="P55" s="46"/>
      <c r="Q55" s="44"/>
    </row>
    <row r="56" spans="1:17" x14ac:dyDescent="0.2">
      <c r="A56" s="34">
        <f t="shared" si="1"/>
        <v>46</v>
      </c>
      <c r="B56" s="145" t="s">
        <v>1582</v>
      </c>
      <c r="C56" s="36" t="s">
        <v>1044</v>
      </c>
      <c r="D56" s="37" t="s">
        <v>152</v>
      </c>
      <c r="E56" s="38" t="s">
        <v>282</v>
      </c>
      <c r="F56" s="39" t="s">
        <v>94</v>
      </c>
      <c r="G56" s="36" t="s">
        <v>1246</v>
      </c>
      <c r="H56" s="37" t="s">
        <v>152</v>
      </c>
      <c r="I56" s="38" t="s">
        <v>282</v>
      </c>
      <c r="J56" s="39" t="s">
        <v>94</v>
      </c>
      <c r="K56" s="37" t="s">
        <v>153</v>
      </c>
      <c r="L56" s="144" t="s">
        <v>1</v>
      </c>
      <c r="M56" s="181"/>
      <c r="N56" s="40"/>
      <c r="O56" s="45"/>
      <c r="P56" s="46"/>
      <c r="Q56" s="44"/>
    </row>
    <row r="57" spans="1:17" x14ac:dyDescent="0.2">
      <c r="A57" s="34">
        <f t="shared" si="1"/>
        <v>47</v>
      </c>
      <c r="B57" s="145" t="s">
        <v>1583</v>
      </c>
      <c r="C57" s="36" t="s">
        <v>1045</v>
      </c>
      <c r="D57" s="37" t="s">
        <v>152</v>
      </c>
      <c r="E57" s="38" t="s">
        <v>282</v>
      </c>
      <c r="F57" s="39" t="s">
        <v>94</v>
      </c>
      <c r="G57" s="36" t="s">
        <v>1247</v>
      </c>
      <c r="H57" s="37" t="s">
        <v>152</v>
      </c>
      <c r="I57" s="38" t="s">
        <v>282</v>
      </c>
      <c r="J57" s="39" t="s">
        <v>94</v>
      </c>
      <c r="K57" s="37" t="s">
        <v>153</v>
      </c>
      <c r="L57" s="144" t="s">
        <v>1</v>
      </c>
      <c r="M57" s="181"/>
      <c r="N57" s="40"/>
      <c r="O57" s="45"/>
      <c r="P57" s="46"/>
      <c r="Q57" s="44"/>
    </row>
    <row r="58" spans="1:17" x14ac:dyDescent="0.2">
      <c r="A58" s="34">
        <f t="shared" si="1"/>
        <v>48</v>
      </c>
      <c r="B58" s="145" t="s">
        <v>1584</v>
      </c>
      <c r="C58" s="36" t="s">
        <v>1046</v>
      </c>
      <c r="D58" s="37" t="s">
        <v>152</v>
      </c>
      <c r="E58" s="38" t="s">
        <v>282</v>
      </c>
      <c r="F58" s="39" t="s">
        <v>94</v>
      </c>
      <c r="G58" s="36" t="s">
        <v>1248</v>
      </c>
      <c r="H58" s="37" t="s">
        <v>152</v>
      </c>
      <c r="I58" s="38" t="s">
        <v>282</v>
      </c>
      <c r="J58" s="39" t="s">
        <v>94</v>
      </c>
      <c r="K58" s="37" t="s">
        <v>153</v>
      </c>
      <c r="L58" s="144" t="s">
        <v>1</v>
      </c>
      <c r="M58" s="181"/>
      <c r="N58" s="40"/>
      <c r="O58" s="45"/>
      <c r="P58" s="46"/>
      <c r="Q58" s="44"/>
    </row>
    <row r="59" spans="1:17" x14ac:dyDescent="0.2">
      <c r="A59" s="34">
        <f t="shared" si="1"/>
        <v>49</v>
      </c>
      <c r="B59" s="145" t="s">
        <v>1585</v>
      </c>
      <c r="C59" s="36" t="s">
        <v>1047</v>
      </c>
      <c r="D59" s="37" t="s">
        <v>152</v>
      </c>
      <c r="E59" s="38" t="s">
        <v>282</v>
      </c>
      <c r="F59" s="39" t="s">
        <v>94</v>
      </c>
      <c r="G59" s="36" t="s">
        <v>1249</v>
      </c>
      <c r="H59" s="37" t="s">
        <v>152</v>
      </c>
      <c r="I59" s="38" t="s">
        <v>282</v>
      </c>
      <c r="J59" s="39" t="s">
        <v>94</v>
      </c>
      <c r="K59" s="37" t="s">
        <v>153</v>
      </c>
      <c r="L59" s="144" t="s">
        <v>1</v>
      </c>
      <c r="M59" s="181"/>
      <c r="N59" s="40"/>
      <c r="O59" s="45"/>
      <c r="P59" s="46"/>
      <c r="Q59" s="44"/>
    </row>
    <row r="60" spans="1:17" x14ac:dyDescent="0.2">
      <c r="A60" s="34">
        <f t="shared" si="1"/>
        <v>50</v>
      </c>
      <c r="B60" s="145" t="s">
        <v>1586</v>
      </c>
      <c r="C60" s="36" t="s">
        <v>1048</v>
      </c>
      <c r="D60" s="37" t="s">
        <v>152</v>
      </c>
      <c r="E60" s="38" t="s">
        <v>282</v>
      </c>
      <c r="F60" s="39" t="s">
        <v>94</v>
      </c>
      <c r="G60" s="36" t="s">
        <v>1250</v>
      </c>
      <c r="H60" s="37" t="s">
        <v>152</v>
      </c>
      <c r="I60" s="38" t="s">
        <v>282</v>
      </c>
      <c r="J60" s="39" t="s">
        <v>94</v>
      </c>
      <c r="K60" s="37" t="s">
        <v>153</v>
      </c>
      <c r="L60" s="144" t="s">
        <v>1</v>
      </c>
      <c r="M60" s="181"/>
      <c r="N60" s="40"/>
      <c r="O60" s="45"/>
      <c r="P60" s="46"/>
      <c r="Q60" s="44"/>
    </row>
    <row r="61" spans="1:17" x14ac:dyDescent="0.2">
      <c r="A61" s="34">
        <f t="shared" si="1"/>
        <v>51</v>
      </c>
      <c r="B61" s="145" t="s">
        <v>1587</v>
      </c>
      <c r="C61" s="36" t="s">
        <v>1049</v>
      </c>
      <c r="D61" s="37" t="s">
        <v>152</v>
      </c>
      <c r="E61" s="38" t="s">
        <v>282</v>
      </c>
      <c r="F61" s="39" t="s">
        <v>94</v>
      </c>
      <c r="G61" s="36" t="s">
        <v>1251</v>
      </c>
      <c r="H61" s="37" t="s">
        <v>152</v>
      </c>
      <c r="I61" s="38" t="s">
        <v>282</v>
      </c>
      <c r="J61" s="39" t="s">
        <v>94</v>
      </c>
      <c r="K61" s="37" t="s">
        <v>153</v>
      </c>
      <c r="L61" s="144" t="s">
        <v>1</v>
      </c>
      <c r="M61" s="181"/>
      <c r="N61" s="40"/>
      <c r="O61" s="45"/>
      <c r="P61" s="46"/>
      <c r="Q61" s="44"/>
    </row>
    <row r="62" spans="1:17" x14ac:dyDescent="0.2">
      <c r="A62" s="34">
        <f t="shared" si="1"/>
        <v>52</v>
      </c>
      <c r="B62" s="145" t="s">
        <v>1588</v>
      </c>
      <c r="C62" s="36" t="s">
        <v>1050</v>
      </c>
      <c r="D62" s="37" t="s">
        <v>152</v>
      </c>
      <c r="E62" s="38" t="s">
        <v>282</v>
      </c>
      <c r="F62" s="39" t="s">
        <v>94</v>
      </c>
      <c r="G62" s="36" t="s">
        <v>1252</v>
      </c>
      <c r="H62" s="37" t="s">
        <v>152</v>
      </c>
      <c r="I62" s="38" t="s">
        <v>282</v>
      </c>
      <c r="J62" s="39" t="s">
        <v>94</v>
      </c>
      <c r="K62" s="37" t="s">
        <v>153</v>
      </c>
      <c r="L62" s="144" t="s">
        <v>1</v>
      </c>
      <c r="M62" s="181"/>
      <c r="N62" s="41"/>
      <c r="O62" s="42"/>
      <c r="P62" s="43"/>
      <c r="Q62" s="44"/>
    </row>
    <row r="63" spans="1:17" x14ac:dyDescent="0.2">
      <c r="A63" s="34">
        <f t="shared" si="1"/>
        <v>53</v>
      </c>
      <c r="B63" s="145" t="s">
        <v>1589</v>
      </c>
      <c r="C63" s="36" t="s">
        <v>1051</v>
      </c>
      <c r="D63" s="37" t="s">
        <v>152</v>
      </c>
      <c r="E63" s="38" t="s">
        <v>282</v>
      </c>
      <c r="F63" s="39" t="s">
        <v>94</v>
      </c>
      <c r="G63" s="36" t="s">
        <v>1253</v>
      </c>
      <c r="H63" s="37" t="s">
        <v>152</v>
      </c>
      <c r="I63" s="38" t="s">
        <v>282</v>
      </c>
      <c r="J63" s="39" t="s">
        <v>94</v>
      </c>
      <c r="K63" s="37" t="s">
        <v>153</v>
      </c>
      <c r="L63" s="144" t="s">
        <v>1</v>
      </c>
      <c r="M63" s="181"/>
      <c r="N63" s="41"/>
      <c r="O63" s="42"/>
      <c r="P63" s="43"/>
      <c r="Q63" s="44"/>
    </row>
    <row r="64" spans="1:17" x14ac:dyDescent="0.2">
      <c r="A64" s="34">
        <f t="shared" si="1"/>
        <v>54</v>
      </c>
      <c r="B64" s="145" t="s">
        <v>1590</v>
      </c>
      <c r="C64" s="36" t="s">
        <v>1052</v>
      </c>
      <c r="D64" s="37" t="s">
        <v>152</v>
      </c>
      <c r="E64" s="38" t="s">
        <v>282</v>
      </c>
      <c r="F64" s="39" t="s">
        <v>94</v>
      </c>
      <c r="G64" s="36" t="s">
        <v>1254</v>
      </c>
      <c r="H64" s="37" t="s">
        <v>152</v>
      </c>
      <c r="I64" s="38" t="s">
        <v>282</v>
      </c>
      <c r="J64" s="39" t="s">
        <v>94</v>
      </c>
      <c r="K64" s="37" t="s">
        <v>153</v>
      </c>
      <c r="L64" s="144" t="s">
        <v>1</v>
      </c>
      <c r="M64" s="181"/>
      <c r="N64" s="40"/>
      <c r="O64" s="45"/>
      <c r="P64" s="46"/>
      <c r="Q64" s="44"/>
    </row>
    <row r="65" spans="1:17" x14ac:dyDescent="0.2">
      <c r="A65" s="34">
        <f t="shared" si="1"/>
        <v>55</v>
      </c>
      <c r="B65" s="145" t="s">
        <v>1591</v>
      </c>
      <c r="C65" s="36" t="s">
        <v>1053</v>
      </c>
      <c r="D65" s="37" t="s">
        <v>152</v>
      </c>
      <c r="E65" s="38" t="s">
        <v>993</v>
      </c>
      <c r="F65" s="39" t="s">
        <v>94</v>
      </c>
      <c r="G65" s="36" t="s">
        <v>1255</v>
      </c>
      <c r="H65" s="37" t="s">
        <v>152</v>
      </c>
      <c r="I65" s="38" t="s">
        <v>282</v>
      </c>
      <c r="J65" s="39" t="s">
        <v>94</v>
      </c>
      <c r="K65" s="37" t="s">
        <v>153</v>
      </c>
      <c r="L65" s="144" t="s">
        <v>1</v>
      </c>
      <c r="M65" s="181"/>
      <c r="N65" s="40"/>
      <c r="O65" s="45"/>
      <c r="P65" s="46"/>
      <c r="Q65" s="44"/>
    </row>
    <row r="66" spans="1:17" x14ac:dyDescent="0.2">
      <c r="A66" s="34">
        <f t="shared" si="1"/>
        <v>56</v>
      </c>
      <c r="B66" s="145" t="s">
        <v>1592</v>
      </c>
      <c r="C66" s="36" t="s">
        <v>1054</v>
      </c>
      <c r="D66" s="37" t="s">
        <v>152</v>
      </c>
      <c r="E66" s="38" t="s">
        <v>993</v>
      </c>
      <c r="F66" s="39" t="s">
        <v>94</v>
      </c>
      <c r="G66" s="36" t="s">
        <v>1256</v>
      </c>
      <c r="H66" s="37" t="s">
        <v>152</v>
      </c>
      <c r="I66" s="38" t="s">
        <v>282</v>
      </c>
      <c r="J66" s="39" t="s">
        <v>94</v>
      </c>
      <c r="K66" s="37" t="s">
        <v>153</v>
      </c>
      <c r="L66" s="144" t="s">
        <v>1</v>
      </c>
      <c r="M66" s="181"/>
      <c r="N66" s="40"/>
      <c r="O66" s="45"/>
      <c r="P66" s="46"/>
      <c r="Q66" s="44"/>
    </row>
    <row r="67" spans="1:17" x14ac:dyDescent="0.2">
      <c r="A67" s="34">
        <f t="shared" si="1"/>
        <v>57</v>
      </c>
      <c r="B67" s="145" t="s">
        <v>1593</v>
      </c>
      <c r="C67" s="36" t="s">
        <v>1055</v>
      </c>
      <c r="D67" s="37" t="s">
        <v>152</v>
      </c>
      <c r="E67" s="38" t="s">
        <v>993</v>
      </c>
      <c r="F67" s="39" t="s">
        <v>94</v>
      </c>
      <c r="G67" s="36" t="s">
        <v>1257</v>
      </c>
      <c r="H67" s="37" t="s">
        <v>152</v>
      </c>
      <c r="I67" s="38" t="s">
        <v>282</v>
      </c>
      <c r="J67" s="39" t="s">
        <v>94</v>
      </c>
      <c r="K67" s="37" t="s">
        <v>153</v>
      </c>
      <c r="L67" s="144" t="s">
        <v>1</v>
      </c>
      <c r="M67" s="181"/>
      <c r="N67" s="40"/>
      <c r="O67" s="45"/>
      <c r="P67" s="46"/>
      <c r="Q67" s="44"/>
    </row>
    <row r="68" spans="1:17" s="24" customFormat="1" x14ac:dyDescent="0.2">
      <c r="A68" s="34">
        <f t="shared" si="1"/>
        <v>58</v>
      </c>
      <c r="B68" s="145" t="s">
        <v>1594</v>
      </c>
      <c r="C68" s="36" t="s">
        <v>1056</v>
      </c>
      <c r="D68" s="37" t="s">
        <v>152</v>
      </c>
      <c r="E68" s="38" t="s">
        <v>993</v>
      </c>
      <c r="F68" s="39" t="s">
        <v>94</v>
      </c>
      <c r="G68" s="36" t="s">
        <v>1258</v>
      </c>
      <c r="H68" s="37" t="s">
        <v>152</v>
      </c>
      <c r="I68" s="38" t="s">
        <v>282</v>
      </c>
      <c r="J68" s="39" t="s">
        <v>94</v>
      </c>
      <c r="K68" s="37" t="s">
        <v>153</v>
      </c>
      <c r="L68" s="144" t="s">
        <v>1</v>
      </c>
      <c r="M68" s="182"/>
      <c r="N68" s="47"/>
      <c r="O68" s="45"/>
      <c r="P68" s="46"/>
      <c r="Q68" s="44"/>
    </row>
    <row r="69" spans="1:17" s="24" customFormat="1" x14ac:dyDescent="0.2">
      <c r="A69" s="34"/>
      <c r="B69" s="145"/>
      <c r="C69" s="36"/>
      <c r="D69" s="37"/>
      <c r="E69" s="38"/>
      <c r="F69" s="39"/>
      <c r="G69" s="36"/>
      <c r="H69" s="37"/>
      <c r="I69" s="38"/>
      <c r="J69" s="39"/>
      <c r="K69" s="37"/>
      <c r="L69" s="37"/>
      <c r="M69" s="47"/>
      <c r="N69" s="47"/>
      <c r="O69" s="45"/>
      <c r="P69" s="46"/>
      <c r="Q69" s="44"/>
    </row>
    <row r="70" spans="1:17" x14ac:dyDescent="0.2">
      <c r="A70" s="34"/>
      <c r="B70" s="145"/>
      <c r="C70" s="36"/>
      <c r="D70" s="37"/>
      <c r="E70" s="38"/>
      <c r="F70" s="39"/>
      <c r="G70" s="36"/>
      <c r="H70" s="37"/>
      <c r="I70" s="38"/>
      <c r="J70" s="39"/>
      <c r="K70" s="37"/>
      <c r="L70" s="37"/>
      <c r="M70" s="40"/>
      <c r="N70" s="40"/>
      <c r="O70" s="45"/>
      <c r="P70" s="46"/>
      <c r="Q70" s="44"/>
    </row>
    <row r="71" spans="1:17" x14ac:dyDescent="0.2">
      <c r="A71" s="34">
        <f>A68+1</f>
        <v>59</v>
      </c>
      <c r="B71" s="145" t="s">
        <v>1595</v>
      </c>
      <c r="C71" s="36" t="s">
        <v>1057</v>
      </c>
      <c r="D71" s="37" t="s">
        <v>152</v>
      </c>
      <c r="E71" s="38" t="s">
        <v>282</v>
      </c>
      <c r="F71" s="39" t="s">
        <v>94</v>
      </c>
      <c r="G71" s="36" t="s">
        <v>1189</v>
      </c>
      <c r="H71" s="37" t="s">
        <v>152</v>
      </c>
      <c r="I71" s="38" t="s">
        <v>993</v>
      </c>
      <c r="J71" s="39" t="s">
        <v>94</v>
      </c>
      <c r="K71" s="37" t="s">
        <v>153</v>
      </c>
      <c r="L71" s="37" t="s">
        <v>1</v>
      </c>
      <c r="M71" s="40"/>
      <c r="N71" s="40"/>
      <c r="O71" s="45"/>
      <c r="P71" s="46"/>
      <c r="Q71" s="44"/>
    </row>
    <row r="72" spans="1:17" x14ac:dyDescent="0.2">
      <c r="A72" s="34">
        <f t="shared" si="1"/>
        <v>60</v>
      </c>
      <c r="B72" s="145" t="s">
        <v>1596</v>
      </c>
      <c r="C72" s="36" t="s">
        <v>1058</v>
      </c>
      <c r="D72" s="37" t="s">
        <v>152</v>
      </c>
      <c r="E72" s="38" t="s">
        <v>282</v>
      </c>
      <c r="F72" s="39" t="s">
        <v>94</v>
      </c>
      <c r="G72" s="36" t="s">
        <v>1190</v>
      </c>
      <c r="H72" s="37" t="s">
        <v>152</v>
      </c>
      <c r="I72" s="38" t="s">
        <v>993</v>
      </c>
      <c r="J72" s="39" t="s">
        <v>94</v>
      </c>
      <c r="K72" s="37" t="s">
        <v>153</v>
      </c>
      <c r="L72" s="37" t="s">
        <v>1</v>
      </c>
      <c r="M72" s="40"/>
      <c r="N72" s="40"/>
      <c r="O72" s="45"/>
      <c r="P72" s="46"/>
      <c r="Q72" s="44"/>
    </row>
    <row r="73" spans="1:17" x14ac:dyDescent="0.2">
      <c r="A73" s="34">
        <f t="shared" si="1"/>
        <v>61</v>
      </c>
      <c r="B73" s="145" t="s">
        <v>1597</v>
      </c>
      <c r="C73" s="36" t="s">
        <v>1059</v>
      </c>
      <c r="D73" s="37" t="s">
        <v>152</v>
      </c>
      <c r="E73" s="38" t="s">
        <v>282</v>
      </c>
      <c r="F73" s="39" t="s">
        <v>94</v>
      </c>
      <c r="G73" s="36" t="s">
        <v>1191</v>
      </c>
      <c r="H73" s="37" t="s">
        <v>152</v>
      </c>
      <c r="I73" s="38" t="s">
        <v>993</v>
      </c>
      <c r="J73" s="39" t="s">
        <v>94</v>
      </c>
      <c r="K73" s="37" t="s">
        <v>153</v>
      </c>
      <c r="L73" s="37" t="s">
        <v>1</v>
      </c>
      <c r="M73" s="40"/>
      <c r="N73" s="40"/>
      <c r="O73" s="45"/>
      <c r="P73" s="46"/>
      <c r="Q73" s="44"/>
    </row>
    <row r="74" spans="1:17" x14ac:dyDescent="0.2">
      <c r="A74" s="34">
        <f t="shared" si="1"/>
        <v>62</v>
      </c>
      <c r="B74" s="145" t="s">
        <v>1598</v>
      </c>
      <c r="C74" s="36" t="s">
        <v>1060</v>
      </c>
      <c r="D74" s="37" t="s">
        <v>152</v>
      </c>
      <c r="E74" s="38" t="s">
        <v>282</v>
      </c>
      <c r="F74" s="39" t="s">
        <v>94</v>
      </c>
      <c r="G74" s="36" t="s">
        <v>1192</v>
      </c>
      <c r="H74" s="37" t="s">
        <v>152</v>
      </c>
      <c r="I74" s="38" t="s">
        <v>993</v>
      </c>
      <c r="J74" s="39" t="s">
        <v>94</v>
      </c>
      <c r="K74" s="37" t="s">
        <v>153</v>
      </c>
      <c r="L74" s="37" t="s">
        <v>1</v>
      </c>
      <c r="M74" s="40"/>
      <c r="N74" s="40"/>
      <c r="O74" s="45"/>
      <c r="P74" s="46"/>
      <c r="Q74" s="44"/>
    </row>
    <row r="75" spans="1:17" x14ac:dyDescent="0.2">
      <c r="A75" s="34">
        <f t="shared" si="1"/>
        <v>63</v>
      </c>
      <c r="B75" s="145" t="s">
        <v>1599</v>
      </c>
      <c r="C75" s="36" t="s">
        <v>1061</v>
      </c>
      <c r="D75" s="37" t="s">
        <v>152</v>
      </c>
      <c r="E75" s="38" t="s">
        <v>282</v>
      </c>
      <c r="F75" s="39" t="s">
        <v>94</v>
      </c>
      <c r="G75" s="36" t="s">
        <v>1193</v>
      </c>
      <c r="H75" s="37" t="s">
        <v>152</v>
      </c>
      <c r="I75" s="38" t="s">
        <v>993</v>
      </c>
      <c r="J75" s="39" t="s">
        <v>94</v>
      </c>
      <c r="K75" s="37" t="s">
        <v>153</v>
      </c>
      <c r="L75" s="37" t="s">
        <v>1</v>
      </c>
      <c r="M75" s="40"/>
      <c r="N75" s="40"/>
      <c r="O75" s="45"/>
      <c r="P75" s="46"/>
      <c r="Q75" s="44"/>
    </row>
    <row r="76" spans="1:17" x14ac:dyDescent="0.2">
      <c r="A76" s="34">
        <f t="shared" si="1"/>
        <v>64</v>
      </c>
      <c r="B76" s="145" t="s">
        <v>1600</v>
      </c>
      <c r="C76" s="36" t="s">
        <v>1062</v>
      </c>
      <c r="D76" s="37" t="s">
        <v>152</v>
      </c>
      <c r="E76" s="38" t="s">
        <v>993</v>
      </c>
      <c r="F76" s="39" t="s">
        <v>94</v>
      </c>
      <c r="G76" s="36" t="s">
        <v>1194</v>
      </c>
      <c r="H76" s="37" t="s">
        <v>152</v>
      </c>
      <c r="I76" s="38" t="s">
        <v>993</v>
      </c>
      <c r="J76" s="39" t="s">
        <v>94</v>
      </c>
      <c r="K76" s="37" t="s">
        <v>153</v>
      </c>
      <c r="L76" s="37" t="s">
        <v>1</v>
      </c>
      <c r="M76" s="40"/>
      <c r="N76" s="40"/>
      <c r="O76" s="45"/>
      <c r="P76" s="46"/>
      <c r="Q76" s="44"/>
    </row>
    <row r="77" spans="1:17" x14ac:dyDescent="0.2">
      <c r="A77" s="34">
        <f t="shared" si="1"/>
        <v>65</v>
      </c>
      <c r="B77" s="145" t="s">
        <v>1601</v>
      </c>
      <c r="C77" s="36" t="s">
        <v>1063</v>
      </c>
      <c r="D77" s="37" t="s">
        <v>152</v>
      </c>
      <c r="E77" s="38" t="s">
        <v>993</v>
      </c>
      <c r="F77" s="39" t="s">
        <v>94</v>
      </c>
      <c r="G77" s="36" t="s">
        <v>1195</v>
      </c>
      <c r="H77" s="37" t="s">
        <v>152</v>
      </c>
      <c r="I77" s="38" t="s">
        <v>993</v>
      </c>
      <c r="J77" s="39" t="s">
        <v>94</v>
      </c>
      <c r="K77" s="37" t="s">
        <v>153</v>
      </c>
      <c r="L77" s="37" t="s">
        <v>1</v>
      </c>
      <c r="M77" s="40"/>
      <c r="N77" s="40"/>
      <c r="O77" s="45"/>
      <c r="P77" s="46"/>
      <c r="Q77" s="44"/>
    </row>
    <row r="78" spans="1:17" x14ac:dyDescent="0.2">
      <c r="A78" s="34">
        <f t="shared" si="1"/>
        <v>66</v>
      </c>
      <c r="B78" s="145" t="s">
        <v>1602</v>
      </c>
      <c r="C78" s="36" t="s">
        <v>1064</v>
      </c>
      <c r="D78" s="37" t="s">
        <v>152</v>
      </c>
      <c r="E78" s="38" t="s">
        <v>993</v>
      </c>
      <c r="F78" s="39" t="s">
        <v>94</v>
      </c>
      <c r="G78" s="36" t="s">
        <v>1196</v>
      </c>
      <c r="H78" s="37" t="s">
        <v>152</v>
      </c>
      <c r="I78" s="38" t="s">
        <v>993</v>
      </c>
      <c r="J78" s="39" t="s">
        <v>94</v>
      </c>
      <c r="K78" s="37" t="s">
        <v>153</v>
      </c>
      <c r="L78" s="37" t="s">
        <v>1</v>
      </c>
      <c r="M78" s="40"/>
      <c r="N78" s="40"/>
      <c r="O78" s="45"/>
      <c r="P78" s="46"/>
      <c r="Q78" s="44"/>
    </row>
    <row r="79" spans="1:17" x14ac:dyDescent="0.2">
      <c r="A79" s="34">
        <f t="shared" si="1"/>
        <v>67</v>
      </c>
      <c r="B79" s="145" t="s">
        <v>1603</v>
      </c>
      <c r="C79" s="36" t="s">
        <v>1065</v>
      </c>
      <c r="D79" s="37" t="s">
        <v>152</v>
      </c>
      <c r="E79" s="38" t="s">
        <v>993</v>
      </c>
      <c r="F79" s="39" t="s">
        <v>94</v>
      </c>
      <c r="G79" s="36" t="s">
        <v>1197</v>
      </c>
      <c r="H79" s="37" t="s">
        <v>152</v>
      </c>
      <c r="I79" s="38" t="s">
        <v>993</v>
      </c>
      <c r="J79" s="39" t="s">
        <v>94</v>
      </c>
      <c r="K79" s="37" t="s">
        <v>153</v>
      </c>
      <c r="L79" s="37" t="s">
        <v>1</v>
      </c>
      <c r="M79" s="40"/>
      <c r="N79" s="40"/>
      <c r="O79" s="45"/>
      <c r="P79" s="46"/>
      <c r="Q79" s="44"/>
    </row>
    <row r="80" spans="1:17" x14ac:dyDescent="0.2">
      <c r="A80" s="34">
        <f t="shared" si="1"/>
        <v>68</v>
      </c>
      <c r="B80" s="145" t="s">
        <v>1604</v>
      </c>
      <c r="C80" s="36" t="s">
        <v>1066</v>
      </c>
      <c r="D80" s="37" t="s">
        <v>152</v>
      </c>
      <c r="E80" s="38" t="s">
        <v>993</v>
      </c>
      <c r="F80" s="39" t="s">
        <v>94</v>
      </c>
      <c r="G80" s="36" t="s">
        <v>1198</v>
      </c>
      <c r="H80" s="37" t="s">
        <v>152</v>
      </c>
      <c r="I80" s="38" t="s">
        <v>993</v>
      </c>
      <c r="J80" s="39" t="s">
        <v>94</v>
      </c>
      <c r="K80" s="37" t="s">
        <v>153</v>
      </c>
      <c r="L80" s="37" t="s">
        <v>1</v>
      </c>
      <c r="M80" s="40"/>
      <c r="N80" s="40"/>
      <c r="O80" s="45"/>
      <c r="P80" s="46"/>
      <c r="Q80" s="44"/>
    </row>
    <row r="81" spans="1:17" x14ac:dyDescent="0.2">
      <c r="A81" s="34"/>
      <c r="B81" s="145"/>
      <c r="C81" s="36"/>
      <c r="D81" s="37"/>
      <c r="E81" s="38"/>
      <c r="F81" s="39"/>
      <c r="G81" s="36"/>
      <c r="H81" s="37"/>
      <c r="I81" s="38"/>
      <c r="J81" s="39"/>
      <c r="K81" s="37"/>
      <c r="L81" s="37"/>
      <c r="M81" s="40"/>
      <c r="N81" s="40"/>
      <c r="O81" s="45"/>
      <c r="P81" s="46"/>
      <c r="Q81" s="44"/>
    </row>
    <row r="82" spans="1:17" x14ac:dyDescent="0.2">
      <c r="A82" s="34"/>
      <c r="B82" s="145"/>
      <c r="C82" s="36"/>
      <c r="D82" s="37"/>
      <c r="E82" s="38"/>
      <c r="F82" s="39"/>
      <c r="G82" s="36"/>
      <c r="H82" s="37"/>
      <c r="I82" s="38"/>
      <c r="J82" s="39"/>
      <c r="K82" s="37"/>
      <c r="L82" s="37"/>
      <c r="M82" s="40"/>
      <c r="N82" s="40"/>
      <c r="O82" s="45"/>
      <c r="P82" s="46"/>
      <c r="Q82" s="44"/>
    </row>
    <row r="83" spans="1:17" x14ac:dyDescent="0.2">
      <c r="A83" s="34">
        <f>A80+1</f>
        <v>69</v>
      </c>
      <c r="B83" s="145" t="s">
        <v>154</v>
      </c>
      <c r="C83" s="36" t="s">
        <v>1067</v>
      </c>
      <c r="D83" s="37" t="s">
        <v>152</v>
      </c>
      <c r="E83" s="38"/>
      <c r="F83" s="39" t="s">
        <v>94</v>
      </c>
      <c r="G83" s="36" t="s">
        <v>1199</v>
      </c>
      <c r="H83" s="37" t="s">
        <v>152</v>
      </c>
      <c r="I83" s="38" t="s">
        <v>993</v>
      </c>
      <c r="J83" s="39" t="s">
        <v>94</v>
      </c>
      <c r="K83" s="37" t="s">
        <v>153</v>
      </c>
      <c r="L83" s="37" t="s">
        <v>1</v>
      </c>
      <c r="M83" s="40"/>
      <c r="N83" s="40"/>
      <c r="O83" s="45"/>
      <c r="P83" s="46"/>
      <c r="Q83" s="44"/>
    </row>
    <row r="84" spans="1:17" x14ac:dyDescent="0.2">
      <c r="A84" s="34"/>
      <c r="B84" s="145"/>
      <c r="C84" s="36"/>
      <c r="D84" s="37"/>
      <c r="E84" s="38"/>
      <c r="F84" s="39"/>
      <c r="G84" s="36"/>
      <c r="H84" s="37"/>
      <c r="I84" s="38"/>
      <c r="J84" s="39"/>
      <c r="K84" s="37"/>
      <c r="L84" s="37"/>
      <c r="M84" s="40"/>
      <c r="N84" s="40"/>
      <c r="O84" s="45"/>
      <c r="P84" s="46"/>
      <c r="Q84" s="44"/>
    </row>
    <row r="85" spans="1:17" x14ac:dyDescent="0.2">
      <c r="A85" s="34">
        <f>A83+1</f>
        <v>70</v>
      </c>
      <c r="B85" s="145" t="s">
        <v>155</v>
      </c>
      <c r="C85" s="36" t="s">
        <v>1068</v>
      </c>
      <c r="D85" s="37" t="s">
        <v>152</v>
      </c>
      <c r="E85" s="38"/>
      <c r="F85" s="39" t="s">
        <v>94</v>
      </c>
      <c r="G85" s="36" t="s">
        <v>1200</v>
      </c>
      <c r="H85" s="37" t="s">
        <v>152</v>
      </c>
      <c r="I85" s="38" t="s">
        <v>993</v>
      </c>
      <c r="J85" s="39" t="s">
        <v>94</v>
      </c>
      <c r="K85" s="37" t="s">
        <v>153</v>
      </c>
      <c r="L85" s="37" t="s">
        <v>1</v>
      </c>
      <c r="M85" s="40"/>
      <c r="N85" s="40"/>
      <c r="O85" s="45"/>
      <c r="P85" s="46"/>
      <c r="Q85" s="44"/>
    </row>
    <row r="86" spans="1:17" x14ac:dyDescent="0.2">
      <c r="A86" s="34"/>
      <c r="B86" s="145"/>
      <c r="C86" s="36"/>
      <c r="D86" s="37"/>
      <c r="E86" s="38"/>
      <c r="F86" s="39"/>
      <c r="G86" s="36"/>
      <c r="H86" s="37"/>
      <c r="I86" s="38"/>
      <c r="J86" s="39"/>
      <c r="K86" s="37"/>
      <c r="L86" s="37"/>
      <c r="M86" s="40"/>
      <c r="N86" s="48"/>
      <c r="O86" s="45"/>
      <c r="P86" s="46"/>
      <c r="Q86" s="44"/>
    </row>
    <row r="87" spans="1:17" x14ac:dyDescent="0.2">
      <c r="A87" s="34"/>
      <c r="B87" s="145"/>
      <c r="C87" s="36"/>
      <c r="D87" s="37"/>
      <c r="E87" s="38"/>
      <c r="F87" s="39"/>
      <c r="G87" s="36"/>
      <c r="H87" s="37"/>
      <c r="I87" s="38"/>
      <c r="J87" s="39"/>
      <c r="K87" s="37"/>
      <c r="L87" s="37"/>
      <c r="M87" s="40"/>
      <c r="N87" s="48"/>
      <c r="O87" s="45"/>
      <c r="P87" s="46"/>
      <c r="Q87" s="44"/>
    </row>
    <row r="88" spans="1:17" x14ac:dyDescent="0.2">
      <c r="A88" s="34">
        <f>A85+1</f>
        <v>71</v>
      </c>
      <c r="B88" s="145" t="s">
        <v>1605</v>
      </c>
      <c r="C88" s="36" t="s">
        <v>1069</v>
      </c>
      <c r="D88" s="37" t="s">
        <v>152</v>
      </c>
      <c r="E88" s="38" t="s">
        <v>282</v>
      </c>
      <c r="F88" s="39" t="s">
        <v>94</v>
      </c>
      <c r="G88" s="36" t="s">
        <v>1178</v>
      </c>
      <c r="H88" s="37" t="s">
        <v>152</v>
      </c>
      <c r="I88" s="38" t="s">
        <v>993</v>
      </c>
      <c r="J88" s="39" t="s">
        <v>94</v>
      </c>
      <c r="K88" s="37" t="s">
        <v>153</v>
      </c>
      <c r="L88" s="37" t="s">
        <v>1</v>
      </c>
      <c r="M88" s="40"/>
      <c r="N88" s="41"/>
      <c r="O88" s="42"/>
      <c r="P88" s="43"/>
      <c r="Q88" s="44"/>
    </row>
    <row r="89" spans="1:17" x14ac:dyDescent="0.2">
      <c r="A89" s="34">
        <f t="shared" si="1"/>
        <v>72</v>
      </c>
      <c r="B89" s="145" t="s">
        <v>1606</v>
      </c>
      <c r="C89" s="36" t="s">
        <v>1070</v>
      </c>
      <c r="D89" s="37" t="s">
        <v>152</v>
      </c>
      <c r="E89" s="38" t="s">
        <v>282</v>
      </c>
      <c r="F89" s="39" t="s">
        <v>94</v>
      </c>
      <c r="G89" s="36" t="s">
        <v>1179</v>
      </c>
      <c r="H89" s="37" t="s">
        <v>152</v>
      </c>
      <c r="I89" s="38" t="s">
        <v>993</v>
      </c>
      <c r="J89" s="39" t="s">
        <v>94</v>
      </c>
      <c r="K89" s="37" t="s">
        <v>153</v>
      </c>
      <c r="L89" s="37" t="s">
        <v>1</v>
      </c>
      <c r="M89" s="40"/>
      <c r="N89" s="41"/>
      <c r="O89" s="42"/>
      <c r="P89" s="43"/>
      <c r="Q89" s="44"/>
    </row>
    <row r="90" spans="1:17" x14ac:dyDescent="0.2">
      <c r="A90" s="34">
        <f t="shared" si="1"/>
        <v>73</v>
      </c>
      <c r="B90" s="145" t="s">
        <v>1607</v>
      </c>
      <c r="C90" s="36" t="s">
        <v>1071</v>
      </c>
      <c r="D90" s="37" t="s">
        <v>152</v>
      </c>
      <c r="E90" s="38" t="s">
        <v>282</v>
      </c>
      <c r="F90" s="39" t="s">
        <v>94</v>
      </c>
      <c r="G90" s="36" t="s">
        <v>1180</v>
      </c>
      <c r="H90" s="37" t="s">
        <v>152</v>
      </c>
      <c r="I90" s="38" t="s">
        <v>993</v>
      </c>
      <c r="J90" s="39" t="s">
        <v>94</v>
      </c>
      <c r="K90" s="37" t="s">
        <v>153</v>
      </c>
      <c r="L90" s="37" t="s">
        <v>1</v>
      </c>
      <c r="M90" s="40"/>
      <c r="N90" s="40"/>
      <c r="O90" s="45"/>
      <c r="P90" s="46"/>
      <c r="Q90" s="44"/>
    </row>
    <row r="91" spans="1:17" x14ac:dyDescent="0.2">
      <c r="A91" s="34">
        <f t="shared" si="1"/>
        <v>74</v>
      </c>
      <c r="B91" s="145" t="s">
        <v>1608</v>
      </c>
      <c r="C91" s="36" t="s">
        <v>1072</v>
      </c>
      <c r="D91" s="37" t="s">
        <v>152</v>
      </c>
      <c r="E91" s="38" t="s">
        <v>282</v>
      </c>
      <c r="F91" s="39" t="s">
        <v>94</v>
      </c>
      <c r="G91" s="36" t="s">
        <v>1181</v>
      </c>
      <c r="H91" s="37" t="s">
        <v>152</v>
      </c>
      <c r="I91" s="38" t="s">
        <v>993</v>
      </c>
      <c r="J91" s="39" t="s">
        <v>94</v>
      </c>
      <c r="K91" s="37" t="s">
        <v>153</v>
      </c>
      <c r="L91" s="37" t="s">
        <v>1</v>
      </c>
      <c r="M91" s="40"/>
      <c r="N91" s="40"/>
      <c r="O91" s="45"/>
      <c r="P91" s="46"/>
      <c r="Q91" s="44"/>
    </row>
    <row r="92" spans="1:17" x14ac:dyDescent="0.2">
      <c r="A92" s="34">
        <f t="shared" si="1"/>
        <v>75</v>
      </c>
      <c r="B92" s="145" t="s">
        <v>1609</v>
      </c>
      <c r="C92" s="36" t="s">
        <v>1073</v>
      </c>
      <c r="D92" s="37" t="s">
        <v>152</v>
      </c>
      <c r="E92" s="38" t="s">
        <v>282</v>
      </c>
      <c r="F92" s="39" t="s">
        <v>94</v>
      </c>
      <c r="G92" s="36" t="s">
        <v>1182</v>
      </c>
      <c r="H92" s="37" t="s">
        <v>152</v>
      </c>
      <c r="I92" s="38" t="s">
        <v>993</v>
      </c>
      <c r="J92" s="39" t="s">
        <v>94</v>
      </c>
      <c r="K92" s="37" t="s">
        <v>153</v>
      </c>
      <c r="L92" s="37" t="s">
        <v>1</v>
      </c>
      <c r="M92" s="40"/>
      <c r="N92" s="40"/>
      <c r="O92" s="45"/>
      <c r="P92" s="46"/>
      <c r="Q92" s="44"/>
    </row>
    <row r="93" spans="1:17" x14ac:dyDescent="0.2">
      <c r="A93" s="34">
        <f t="shared" si="1"/>
        <v>76</v>
      </c>
      <c r="B93" s="145" t="s">
        <v>1610</v>
      </c>
      <c r="C93" s="36" t="s">
        <v>1074</v>
      </c>
      <c r="D93" s="37" t="s">
        <v>152</v>
      </c>
      <c r="E93" s="38" t="s">
        <v>993</v>
      </c>
      <c r="F93" s="39" t="s">
        <v>94</v>
      </c>
      <c r="G93" s="36" t="s">
        <v>1183</v>
      </c>
      <c r="H93" s="37" t="s">
        <v>152</v>
      </c>
      <c r="I93" s="38" t="s">
        <v>993</v>
      </c>
      <c r="J93" s="39" t="s">
        <v>94</v>
      </c>
      <c r="K93" s="37" t="s">
        <v>153</v>
      </c>
      <c r="L93" s="37" t="s">
        <v>1</v>
      </c>
      <c r="M93" s="40"/>
      <c r="N93" s="40"/>
      <c r="O93" s="45"/>
      <c r="P93" s="46"/>
      <c r="Q93" s="44"/>
    </row>
    <row r="94" spans="1:17" x14ac:dyDescent="0.2">
      <c r="A94" s="34">
        <f t="shared" si="1"/>
        <v>77</v>
      </c>
      <c r="B94" s="145" t="s">
        <v>1611</v>
      </c>
      <c r="C94" s="36" t="s">
        <v>1075</v>
      </c>
      <c r="D94" s="37" t="s">
        <v>152</v>
      </c>
      <c r="E94" s="38" t="s">
        <v>993</v>
      </c>
      <c r="F94" s="39" t="s">
        <v>94</v>
      </c>
      <c r="G94" s="36" t="s">
        <v>1184</v>
      </c>
      <c r="H94" s="37" t="s">
        <v>152</v>
      </c>
      <c r="I94" s="38" t="s">
        <v>993</v>
      </c>
      <c r="J94" s="39" t="s">
        <v>94</v>
      </c>
      <c r="K94" s="37" t="s">
        <v>153</v>
      </c>
      <c r="L94" s="37" t="s">
        <v>1</v>
      </c>
      <c r="M94" s="40"/>
      <c r="N94" s="40"/>
      <c r="O94" s="45"/>
      <c r="P94" s="46"/>
      <c r="Q94" s="44"/>
    </row>
    <row r="95" spans="1:17" x14ac:dyDescent="0.2">
      <c r="A95" s="34">
        <f t="shared" si="1"/>
        <v>78</v>
      </c>
      <c r="B95" s="145" t="s">
        <v>1612</v>
      </c>
      <c r="C95" s="36" t="s">
        <v>1076</v>
      </c>
      <c r="D95" s="37" t="s">
        <v>152</v>
      </c>
      <c r="E95" s="38" t="s">
        <v>993</v>
      </c>
      <c r="F95" s="39" t="s">
        <v>94</v>
      </c>
      <c r="G95" s="36" t="s">
        <v>1185</v>
      </c>
      <c r="H95" s="37" t="s">
        <v>152</v>
      </c>
      <c r="I95" s="38" t="s">
        <v>993</v>
      </c>
      <c r="J95" s="39" t="s">
        <v>94</v>
      </c>
      <c r="K95" s="37" t="s">
        <v>153</v>
      </c>
      <c r="L95" s="37" t="s">
        <v>1</v>
      </c>
      <c r="M95" s="40"/>
      <c r="N95" s="40"/>
      <c r="O95" s="45"/>
      <c r="P95" s="46"/>
      <c r="Q95" s="44"/>
    </row>
    <row r="96" spans="1:17" x14ac:dyDescent="0.2">
      <c r="A96" s="34">
        <f t="shared" si="1"/>
        <v>79</v>
      </c>
      <c r="B96" s="145" t="s">
        <v>1613</v>
      </c>
      <c r="C96" s="36" t="s">
        <v>1077</v>
      </c>
      <c r="D96" s="37" t="s">
        <v>152</v>
      </c>
      <c r="E96" s="38" t="s">
        <v>993</v>
      </c>
      <c r="F96" s="39" t="s">
        <v>94</v>
      </c>
      <c r="G96" s="36" t="s">
        <v>1186</v>
      </c>
      <c r="H96" s="37" t="s">
        <v>152</v>
      </c>
      <c r="I96" s="38" t="s">
        <v>993</v>
      </c>
      <c r="J96" s="39" t="s">
        <v>94</v>
      </c>
      <c r="K96" s="37" t="s">
        <v>153</v>
      </c>
      <c r="L96" s="37" t="s">
        <v>1</v>
      </c>
      <c r="M96" s="40"/>
      <c r="N96" s="40"/>
      <c r="O96" s="45"/>
      <c r="P96" s="46"/>
      <c r="Q96" s="44"/>
    </row>
    <row r="97" spans="1:17" x14ac:dyDescent="0.2">
      <c r="A97" s="34">
        <f t="shared" si="1"/>
        <v>80</v>
      </c>
      <c r="B97" s="145" t="s">
        <v>1614</v>
      </c>
      <c r="C97" s="36" t="s">
        <v>1078</v>
      </c>
      <c r="D97" s="37" t="s">
        <v>152</v>
      </c>
      <c r="E97" s="38" t="s">
        <v>993</v>
      </c>
      <c r="F97" s="39" t="s">
        <v>94</v>
      </c>
      <c r="G97" s="36" t="s">
        <v>1187</v>
      </c>
      <c r="H97" s="37" t="s">
        <v>152</v>
      </c>
      <c r="I97" s="38" t="s">
        <v>993</v>
      </c>
      <c r="J97" s="39" t="s">
        <v>94</v>
      </c>
      <c r="K97" s="37" t="s">
        <v>153</v>
      </c>
      <c r="L97" s="37" t="s">
        <v>1</v>
      </c>
      <c r="M97" s="40"/>
      <c r="N97" s="40"/>
      <c r="O97" s="45"/>
      <c r="P97" s="46"/>
      <c r="Q97" s="44"/>
    </row>
    <row r="98" spans="1:17" x14ac:dyDescent="0.2">
      <c r="A98" s="34"/>
      <c r="B98" s="145"/>
      <c r="C98" s="36"/>
      <c r="D98" s="37"/>
      <c r="E98" s="38"/>
      <c r="F98" s="39"/>
      <c r="G98" s="36"/>
      <c r="H98" s="37"/>
      <c r="I98" s="38"/>
      <c r="J98" s="39"/>
      <c r="K98" s="37"/>
      <c r="L98" s="37"/>
      <c r="M98" s="40"/>
      <c r="N98" s="40"/>
      <c r="O98" s="45"/>
      <c r="P98" s="46"/>
      <c r="Q98" s="44"/>
    </row>
    <row r="99" spans="1:17" x14ac:dyDescent="0.2">
      <c r="A99" s="34"/>
      <c r="B99" s="145"/>
      <c r="C99" s="36"/>
      <c r="D99" s="37"/>
      <c r="E99" s="38"/>
      <c r="F99" s="39"/>
      <c r="G99" s="36"/>
      <c r="H99" s="37"/>
      <c r="I99" s="38"/>
      <c r="J99" s="39"/>
      <c r="K99" s="37"/>
      <c r="L99" s="37"/>
      <c r="M99" s="40"/>
      <c r="N99" s="40"/>
      <c r="O99" s="45"/>
      <c r="P99" s="46"/>
      <c r="Q99" s="44"/>
    </row>
    <row r="100" spans="1:17" x14ac:dyDescent="0.2">
      <c r="A100" s="34">
        <f>A97+1</f>
        <v>81</v>
      </c>
      <c r="B100" s="145" t="s">
        <v>1080</v>
      </c>
      <c r="C100" s="36" t="s">
        <v>1079</v>
      </c>
      <c r="D100" s="37" t="s">
        <v>152</v>
      </c>
      <c r="E100" s="38"/>
      <c r="F100" s="39" t="s">
        <v>94</v>
      </c>
      <c r="G100" s="36" t="s">
        <v>1188</v>
      </c>
      <c r="H100" s="37" t="s">
        <v>152</v>
      </c>
      <c r="I100" s="38" t="s">
        <v>993</v>
      </c>
      <c r="J100" s="39" t="s">
        <v>94</v>
      </c>
      <c r="K100" s="37" t="s">
        <v>153</v>
      </c>
      <c r="L100" s="37" t="s">
        <v>1</v>
      </c>
      <c r="M100" s="40"/>
      <c r="N100" s="40"/>
      <c r="O100" s="45"/>
      <c r="P100" s="46"/>
      <c r="Q100" s="44"/>
    </row>
    <row r="101" spans="1:17" x14ac:dyDescent="0.2">
      <c r="A101" s="34"/>
      <c r="B101" s="145"/>
      <c r="C101" s="36"/>
      <c r="D101" s="37"/>
      <c r="E101" s="38"/>
      <c r="F101" s="39"/>
      <c r="G101" s="36"/>
      <c r="H101" s="37"/>
      <c r="I101" s="38"/>
      <c r="J101" s="39"/>
      <c r="K101" s="37"/>
      <c r="L101" s="37"/>
      <c r="M101" s="40"/>
      <c r="N101" s="40"/>
      <c r="O101" s="45"/>
      <c r="P101" s="46"/>
      <c r="Q101" s="44"/>
    </row>
    <row r="102" spans="1:17" x14ac:dyDescent="0.2">
      <c r="A102" s="34"/>
      <c r="B102" s="145"/>
      <c r="C102" s="36"/>
      <c r="D102" s="37"/>
      <c r="E102" s="38"/>
      <c r="F102" s="39"/>
      <c r="G102" s="36"/>
      <c r="H102" s="37"/>
      <c r="I102" s="38"/>
      <c r="J102" s="39"/>
      <c r="K102" s="37"/>
      <c r="L102" s="37"/>
      <c r="M102" s="40"/>
      <c r="N102" s="40"/>
      <c r="O102" s="45"/>
      <c r="P102" s="46"/>
      <c r="Q102" s="44"/>
    </row>
    <row r="103" spans="1:17" x14ac:dyDescent="0.2">
      <c r="A103" s="34">
        <f>A100+1</f>
        <v>82</v>
      </c>
      <c r="B103" s="145" t="s">
        <v>1081</v>
      </c>
      <c r="C103" s="36" t="s">
        <v>1151</v>
      </c>
      <c r="D103" s="37" t="s">
        <v>152</v>
      </c>
      <c r="E103" s="38" t="s">
        <v>262</v>
      </c>
      <c r="F103" s="39" t="s">
        <v>94</v>
      </c>
      <c r="G103" s="36" t="s">
        <v>1116</v>
      </c>
      <c r="H103" s="37" t="s">
        <v>152</v>
      </c>
      <c r="I103" s="38" t="s">
        <v>262</v>
      </c>
      <c r="J103" s="39" t="s">
        <v>94</v>
      </c>
      <c r="K103" s="37" t="s">
        <v>153</v>
      </c>
      <c r="L103" s="37" t="s">
        <v>156</v>
      </c>
      <c r="M103" s="40"/>
      <c r="N103" s="40"/>
      <c r="O103" s="45"/>
      <c r="P103" s="46"/>
      <c r="Q103" s="44"/>
    </row>
    <row r="104" spans="1:17" x14ac:dyDescent="0.2">
      <c r="A104" s="34">
        <f>A103+1</f>
        <v>83</v>
      </c>
      <c r="B104" s="145" t="s">
        <v>1082</v>
      </c>
      <c r="C104" s="36" t="s">
        <v>1152</v>
      </c>
      <c r="D104" s="37" t="s">
        <v>152</v>
      </c>
      <c r="E104" s="38" t="s">
        <v>262</v>
      </c>
      <c r="F104" s="39" t="s">
        <v>94</v>
      </c>
      <c r="G104" s="36" t="s">
        <v>1117</v>
      </c>
      <c r="H104" s="37" t="s">
        <v>152</v>
      </c>
      <c r="I104" s="38" t="s">
        <v>262</v>
      </c>
      <c r="J104" s="39" t="s">
        <v>94</v>
      </c>
      <c r="K104" s="37" t="s">
        <v>153</v>
      </c>
      <c r="L104" s="37" t="s">
        <v>156</v>
      </c>
      <c r="M104" s="40"/>
      <c r="N104" s="40"/>
      <c r="O104" s="45"/>
      <c r="P104" s="46"/>
      <c r="Q104" s="44"/>
    </row>
    <row r="105" spans="1:17" x14ac:dyDescent="0.2">
      <c r="A105" s="34">
        <f>A104+1</f>
        <v>84</v>
      </c>
      <c r="B105" s="145" t="s">
        <v>1083</v>
      </c>
      <c r="C105" s="36" t="s">
        <v>1153</v>
      </c>
      <c r="D105" s="37" t="s">
        <v>152</v>
      </c>
      <c r="E105" s="38" t="s">
        <v>262</v>
      </c>
      <c r="F105" s="39" t="s">
        <v>94</v>
      </c>
      <c r="G105" s="36" t="s">
        <v>1118</v>
      </c>
      <c r="H105" s="37" t="s">
        <v>152</v>
      </c>
      <c r="I105" s="38" t="s">
        <v>262</v>
      </c>
      <c r="J105" s="39" t="s">
        <v>94</v>
      </c>
      <c r="K105" s="37" t="s">
        <v>153</v>
      </c>
      <c r="L105" s="37" t="s">
        <v>156</v>
      </c>
      <c r="M105" s="40"/>
      <c r="N105" s="40"/>
      <c r="O105" s="45"/>
      <c r="P105" s="46"/>
      <c r="Q105" s="44"/>
    </row>
    <row r="106" spans="1:17" x14ac:dyDescent="0.2">
      <c r="A106" s="34">
        <f t="shared" ref="A106:A165" si="2">A105+1</f>
        <v>85</v>
      </c>
      <c r="B106" s="145" t="s">
        <v>1084</v>
      </c>
      <c r="C106" s="36" t="s">
        <v>1154</v>
      </c>
      <c r="D106" s="37" t="s">
        <v>152</v>
      </c>
      <c r="E106" s="38" t="s">
        <v>262</v>
      </c>
      <c r="F106" s="39" t="s">
        <v>94</v>
      </c>
      <c r="G106" s="36" t="s">
        <v>1119</v>
      </c>
      <c r="H106" s="37" t="s">
        <v>152</v>
      </c>
      <c r="I106" s="38" t="s">
        <v>262</v>
      </c>
      <c r="J106" s="39" t="s">
        <v>94</v>
      </c>
      <c r="K106" s="37" t="s">
        <v>153</v>
      </c>
      <c r="L106" s="37" t="s">
        <v>156</v>
      </c>
      <c r="M106" s="40"/>
      <c r="N106" s="40"/>
      <c r="O106" s="45"/>
      <c r="P106" s="46"/>
      <c r="Q106" s="44"/>
    </row>
    <row r="107" spans="1:17" x14ac:dyDescent="0.2">
      <c r="A107" s="34">
        <f t="shared" si="2"/>
        <v>86</v>
      </c>
      <c r="B107" s="145" t="s">
        <v>1085</v>
      </c>
      <c r="C107" s="36" t="s">
        <v>1155</v>
      </c>
      <c r="D107" s="37" t="s">
        <v>152</v>
      </c>
      <c r="E107" s="38" t="s">
        <v>262</v>
      </c>
      <c r="F107" s="39" t="s">
        <v>94</v>
      </c>
      <c r="G107" s="36" t="s">
        <v>1120</v>
      </c>
      <c r="H107" s="37" t="s">
        <v>152</v>
      </c>
      <c r="I107" s="38" t="s">
        <v>262</v>
      </c>
      <c r="J107" s="39" t="s">
        <v>94</v>
      </c>
      <c r="K107" s="37" t="s">
        <v>153</v>
      </c>
      <c r="L107" s="37" t="s">
        <v>156</v>
      </c>
      <c r="M107" s="40"/>
      <c r="N107" s="40"/>
      <c r="O107" s="45"/>
      <c r="P107" s="46"/>
      <c r="Q107" s="44"/>
    </row>
    <row r="108" spans="1:17" x14ac:dyDescent="0.2">
      <c r="A108" s="34">
        <f t="shared" si="2"/>
        <v>87</v>
      </c>
      <c r="B108" s="145" t="s">
        <v>1086</v>
      </c>
      <c r="C108" s="36" t="s">
        <v>1156</v>
      </c>
      <c r="D108" s="37" t="s">
        <v>152</v>
      </c>
      <c r="E108" s="38" t="s">
        <v>262</v>
      </c>
      <c r="F108" s="39" t="s">
        <v>94</v>
      </c>
      <c r="G108" s="36" t="s">
        <v>1121</v>
      </c>
      <c r="H108" s="37" t="s">
        <v>152</v>
      </c>
      <c r="I108" s="38" t="s">
        <v>262</v>
      </c>
      <c r="J108" s="39" t="s">
        <v>94</v>
      </c>
      <c r="K108" s="37" t="s">
        <v>153</v>
      </c>
      <c r="L108" s="37" t="s">
        <v>156</v>
      </c>
      <c r="M108" s="40"/>
      <c r="N108" s="40"/>
      <c r="O108" s="45"/>
      <c r="P108" s="46"/>
      <c r="Q108" s="44"/>
    </row>
    <row r="109" spans="1:17" x14ac:dyDescent="0.2">
      <c r="A109" s="34">
        <f t="shared" si="2"/>
        <v>88</v>
      </c>
      <c r="B109" s="145" t="s">
        <v>1087</v>
      </c>
      <c r="C109" s="36" t="s">
        <v>1157</v>
      </c>
      <c r="D109" s="37" t="s">
        <v>152</v>
      </c>
      <c r="E109" s="38" t="s">
        <v>262</v>
      </c>
      <c r="F109" s="39" t="s">
        <v>94</v>
      </c>
      <c r="G109" s="36" t="s">
        <v>1122</v>
      </c>
      <c r="H109" s="37" t="s">
        <v>152</v>
      </c>
      <c r="I109" s="38" t="s">
        <v>262</v>
      </c>
      <c r="J109" s="39" t="s">
        <v>94</v>
      </c>
      <c r="K109" s="37" t="s">
        <v>153</v>
      </c>
      <c r="L109" s="37" t="s">
        <v>156</v>
      </c>
      <c r="M109" s="40"/>
      <c r="N109" s="40"/>
      <c r="O109" s="45"/>
      <c r="P109" s="46"/>
      <c r="Q109" s="44"/>
    </row>
    <row r="110" spans="1:17" x14ac:dyDescent="0.2">
      <c r="A110" s="34">
        <f t="shared" si="2"/>
        <v>89</v>
      </c>
      <c r="B110" s="145" t="s">
        <v>1088</v>
      </c>
      <c r="C110" s="36" t="s">
        <v>1158</v>
      </c>
      <c r="D110" s="37" t="s">
        <v>152</v>
      </c>
      <c r="E110" s="38" t="s">
        <v>262</v>
      </c>
      <c r="F110" s="39" t="s">
        <v>94</v>
      </c>
      <c r="G110" s="36" t="s">
        <v>1123</v>
      </c>
      <c r="H110" s="37" t="s">
        <v>152</v>
      </c>
      <c r="I110" s="38" t="s">
        <v>262</v>
      </c>
      <c r="J110" s="39" t="s">
        <v>94</v>
      </c>
      <c r="K110" s="37" t="s">
        <v>153</v>
      </c>
      <c r="L110" s="37" t="s">
        <v>156</v>
      </c>
      <c r="M110" s="40"/>
      <c r="N110" s="40"/>
      <c r="O110" s="45"/>
      <c r="P110" s="46"/>
      <c r="Q110" s="44"/>
    </row>
    <row r="111" spans="1:17" x14ac:dyDescent="0.2">
      <c r="A111" s="34">
        <f t="shared" si="2"/>
        <v>90</v>
      </c>
      <c r="B111" s="145" t="s">
        <v>1089</v>
      </c>
      <c r="C111" s="36" t="s">
        <v>1159</v>
      </c>
      <c r="D111" s="37" t="s">
        <v>152</v>
      </c>
      <c r="E111" s="38" t="s">
        <v>262</v>
      </c>
      <c r="F111" s="39" t="s">
        <v>94</v>
      </c>
      <c r="G111" s="36" t="s">
        <v>1124</v>
      </c>
      <c r="H111" s="37" t="s">
        <v>152</v>
      </c>
      <c r="I111" s="38" t="s">
        <v>262</v>
      </c>
      <c r="J111" s="39" t="s">
        <v>94</v>
      </c>
      <c r="K111" s="37" t="s">
        <v>153</v>
      </c>
      <c r="L111" s="37" t="s">
        <v>156</v>
      </c>
      <c r="M111" s="40"/>
      <c r="N111" s="40"/>
      <c r="O111" s="45"/>
      <c r="P111" s="46"/>
      <c r="Q111" s="44"/>
    </row>
    <row r="112" spans="1:17" x14ac:dyDescent="0.2">
      <c r="A112" s="34">
        <f t="shared" si="2"/>
        <v>91</v>
      </c>
      <c r="B112" s="145" t="s">
        <v>1090</v>
      </c>
      <c r="C112" s="36" t="s">
        <v>1160</v>
      </c>
      <c r="D112" s="37" t="s">
        <v>152</v>
      </c>
      <c r="E112" s="38" t="s">
        <v>262</v>
      </c>
      <c r="F112" s="39" t="s">
        <v>94</v>
      </c>
      <c r="G112" s="36" t="s">
        <v>1125</v>
      </c>
      <c r="H112" s="37" t="s">
        <v>152</v>
      </c>
      <c r="I112" s="38" t="s">
        <v>262</v>
      </c>
      <c r="J112" s="39" t="s">
        <v>94</v>
      </c>
      <c r="K112" s="37" t="s">
        <v>153</v>
      </c>
      <c r="L112" s="37" t="s">
        <v>156</v>
      </c>
      <c r="M112" s="40"/>
      <c r="N112" s="40"/>
      <c r="O112" s="45"/>
      <c r="P112" s="46"/>
      <c r="Q112" s="44"/>
    </row>
    <row r="113" spans="1:17" x14ac:dyDescent="0.2">
      <c r="A113" s="34">
        <f t="shared" si="2"/>
        <v>92</v>
      </c>
      <c r="B113" s="145" t="s">
        <v>1091</v>
      </c>
      <c r="C113" s="36" t="s">
        <v>1161</v>
      </c>
      <c r="D113" s="37" t="s">
        <v>152</v>
      </c>
      <c r="E113" s="38" t="s">
        <v>262</v>
      </c>
      <c r="F113" s="39" t="s">
        <v>94</v>
      </c>
      <c r="G113" s="36" t="s">
        <v>1126</v>
      </c>
      <c r="H113" s="37" t="s">
        <v>152</v>
      </c>
      <c r="I113" s="38" t="s">
        <v>262</v>
      </c>
      <c r="J113" s="39" t="s">
        <v>94</v>
      </c>
      <c r="K113" s="37" t="s">
        <v>153</v>
      </c>
      <c r="L113" s="37" t="s">
        <v>156</v>
      </c>
      <c r="M113" s="40"/>
      <c r="N113" s="40"/>
      <c r="O113" s="45"/>
      <c r="P113" s="46"/>
      <c r="Q113" s="44"/>
    </row>
    <row r="114" spans="1:17" x14ac:dyDescent="0.2">
      <c r="A114" s="34">
        <f t="shared" si="2"/>
        <v>93</v>
      </c>
      <c r="B114" s="145" t="s">
        <v>1092</v>
      </c>
      <c r="C114" s="36" t="s">
        <v>1162</v>
      </c>
      <c r="D114" s="37" t="s">
        <v>152</v>
      </c>
      <c r="E114" s="38" t="s">
        <v>262</v>
      </c>
      <c r="F114" s="39" t="s">
        <v>94</v>
      </c>
      <c r="G114" s="36" t="s">
        <v>1127</v>
      </c>
      <c r="H114" s="37" t="s">
        <v>152</v>
      </c>
      <c r="I114" s="38" t="s">
        <v>262</v>
      </c>
      <c r="J114" s="39" t="s">
        <v>94</v>
      </c>
      <c r="K114" s="37" t="s">
        <v>153</v>
      </c>
      <c r="L114" s="37" t="s">
        <v>156</v>
      </c>
      <c r="M114" s="40"/>
      <c r="N114" s="41"/>
      <c r="O114" s="42"/>
      <c r="P114" s="43"/>
      <c r="Q114" s="44"/>
    </row>
    <row r="115" spans="1:17" x14ac:dyDescent="0.2">
      <c r="A115" s="34">
        <f t="shared" si="2"/>
        <v>94</v>
      </c>
      <c r="B115" s="145" t="s">
        <v>1093</v>
      </c>
      <c r="C115" s="36" t="s">
        <v>1163</v>
      </c>
      <c r="D115" s="37" t="s">
        <v>152</v>
      </c>
      <c r="E115" s="38" t="s">
        <v>262</v>
      </c>
      <c r="F115" s="39" t="s">
        <v>94</v>
      </c>
      <c r="G115" s="36" t="s">
        <v>1128</v>
      </c>
      <c r="H115" s="37" t="s">
        <v>152</v>
      </c>
      <c r="I115" s="38" t="s">
        <v>262</v>
      </c>
      <c r="J115" s="39" t="s">
        <v>94</v>
      </c>
      <c r="K115" s="37" t="s">
        <v>153</v>
      </c>
      <c r="L115" s="37" t="s">
        <v>156</v>
      </c>
      <c r="M115" s="40"/>
      <c r="N115" s="41"/>
      <c r="O115" s="42"/>
      <c r="P115" s="43"/>
      <c r="Q115" s="44"/>
    </row>
    <row r="116" spans="1:17" x14ac:dyDescent="0.2">
      <c r="A116" s="34">
        <f t="shared" si="2"/>
        <v>95</v>
      </c>
      <c r="B116" s="145" t="s">
        <v>1094</v>
      </c>
      <c r="C116" s="36" t="s">
        <v>1164</v>
      </c>
      <c r="D116" s="37" t="s">
        <v>152</v>
      </c>
      <c r="E116" s="38" t="s">
        <v>262</v>
      </c>
      <c r="F116" s="39" t="s">
        <v>94</v>
      </c>
      <c r="G116" s="36" t="s">
        <v>1129</v>
      </c>
      <c r="H116" s="37" t="s">
        <v>152</v>
      </c>
      <c r="I116" s="38" t="s">
        <v>262</v>
      </c>
      <c r="J116" s="39" t="s">
        <v>94</v>
      </c>
      <c r="K116" s="37" t="s">
        <v>153</v>
      </c>
      <c r="L116" s="37" t="s">
        <v>156</v>
      </c>
      <c r="M116" s="40"/>
      <c r="N116" s="40"/>
      <c r="O116" s="45"/>
      <c r="P116" s="46"/>
      <c r="Q116" s="44"/>
    </row>
    <row r="117" spans="1:17" x14ac:dyDescent="0.2">
      <c r="A117" s="34">
        <f t="shared" si="2"/>
        <v>96</v>
      </c>
      <c r="B117" s="145" t="s">
        <v>1095</v>
      </c>
      <c r="C117" s="36" t="s">
        <v>1165</v>
      </c>
      <c r="D117" s="37" t="s">
        <v>152</v>
      </c>
      <c r="E117" s="38" t="s">
        <v>262</v>
      </c>
      <c r="F117" s="39" t="s">
        <v>94</v>
      </c>
      <c r="G117" s="36" t="s">
        <v>1130</v>
      </c>
      <c r="H117" s="37" t="s">
        <v>152</v>
      </c>
      <c r="I117" s="38" t="s">
        <v>262</v>
      </c>
      <c r="J117" s="39" t="s">
        <v>94</v>
      </c>
      <c r="K117" s="37" t="s">
        <v>153</v>
      </c>
      <c r="L117" s="37" t="s">
        <v>156</v>
      </c>
      <c r="M117" s="40"/>
      <c r="N117" s="40"/>
      <c r="O117" s="45"/>
      <c r="P117" s="46"/>
      <c r="Q117" s="44"/>
    </row>
    <row r="118" spans="1:17" x14ac:dyDescent="0.2">
      <c r="A118" s="34">
        <f t="shared" si="2"/>
        <v>97</v>
      </c>
      <c r="B118" s="145" t="s">
        <v>1096</v>
      </c>
      <c r="C118" s="36" t="s">
        <v>1166</v>
      </c>
      <c r="D118" s="37" t="s">
        <v>152</v>
      </c>
      <c r="E118" s="38" t="s">
        <v>262</v>
      </c>
      <c r="F118" s="39" t="s">
        <v>94</v>
      </c>
      <c r="G118" s="36" t="s">
        <v>1131</v>
      </c>
      <c r="H118" s="37" t="s">
        <v>152</v>
      </c>
      <c r="I118" s="38" t="s">
        <v>262</v>
      </c>
      <c r="J118" s="39" t="s">
        <v>94</v>
      </c>
      <c r="K118" s="37" t="s">
        <v>153</v>
      </c>
      <c r="L118" s="37" t="s">
        <v>156</v>
      </c>
      <c r="M118" s="40"/>
      <c r="N118" s="40"/>
      <c r="O118" s="45"/>
      <c r="P118" s="46"/>
      <c r="Q118" s="44"/>
    </row>
    <row r="119" spans="1:17" x14ac:dyDescent="0.2">
      <c r="A119" s="34">
        <f t="shared" si="2"/>
        <v>98</v>
      </c>
      <c r="B119" s="145" t="s">
        <v>1097</v>
      </c>
      <c r="C119" s="36" t="s">
        <v>1167</v>
      </c>
      <c r="D119" s="37" t="s">
        <v>152</v>
      </c>
      <c r="E119" s="38" t="s">
        <v>262</v>
      </c>
      <c r="F119" s="39" t="s">
        <v>94</v>
      </c>
      <c r="G119" s="36" t="s">
        <v>1132</v>
      </c>
      <c r="H119" s="37" t="s">
        <v>152</v>
      </c>
      <c r="I119" s="38" t="s">
        <v>262</v>
      </c>
      <c r="J119" s="39" t="s">
        <v>94</v>
      </c>
      <c r="K119" s="37" t="s">
        <v>153</v>
      </c>
      <c r="L119" s="37" t="s">
        <v>156</v>
      </c>
      <c r="M119" s="40"/>
      <c r="N119" s="40"/>
      <c r="O119" s="45"/>
      <c r="P119" s="46"/>
      <c r="Q119" s="44"/>
    </row>
    <row r="120" spans="1:17" x14ac:dyDescent="0.2">
      <c r="A120" s="34">
        <f t="shared" si="2"/>
        <v>99</v>
      </c>
      <c r="B120" s="145" t="s">
        <v>1098</v>
      </c>
      <c r="C120" s="36" t="s">
        <v>1168</v>
      </c>
      <c r="D120" s="37" t="s">
        <v>152</v>
      </c>
      <c r="E120" s="38" t="s">
        <v>262</v>
      </c>
      <c r="F120" s="39" t="s">
        <v>94</v>
      </c>
      <c r="G120" s="36" t="s">
        <v>1133</v>
      </c>
      <c r="H120" s="37" t="s">
        <v>152</v>
      </c>
      <c r="I120" s="38" t="s">
        <v>262</v>
      </c>
      <c r="J120" s="39" t="s">
        <v>94</v>
      </c>
      <c r="K120" s="37" t="s">
        <v>153</v>
      </c>
      <c r="L120" s="37" t="s">
        <v>156</v>
      </c>
      <c r="M120" s="40"/>
      <c r="N120" s="40"/>
      <c r="O120" s="45"/>
      <c r="P120" s="46"/>
      <c r="Q120" s="44"/>
    </row>
    <row r="121" spans="1:17" x14ac:dyDescent="0.2">
      <c r="A121" s="34">
        <f t="shared" si="2"/>
        <v>100</v>
      </c>
      <c r="B121" s="145" t="s">
        <v>1099</v>
      </c>
      <c r="C121" s="36" t="s">
        <v>1169</v>
      </c>
      <c r="D121" s="37" t="s">
        <v>152</v>
      </c>
      <c r="E121" s="38" t="s">
        <v>262</v>
      </c>
      <c r="F121" s="39" t="s">
        <v>94</v>
      </c>
      <c r="G121" s="36" t="s">
        <v>1134</v>
      </c>
      <c r="H121" s="37" t="s">
        <v>152</v>
      </c>
      <c r="I121" s="38" t="s">
        <v>262</v>
      </c>
      <c r="J121" s="39" t="s">
        <v>94</v>
      </c>
      <c r="K121" s="37" t="s">
        <v>153</v>
      </c>
      <c r="L121" s="37" t="s">
        <v>156</v>
      </c>
      <c r="M121" s="40"/>
      <c r="N121" s="40"/>
      <c r="O121" s="45"/>
      <c r="P121" s="46"/>
      <c r="Q121" s="44"/>
    </row>
    <row r="122" spans="1:17" x14ac:dyDescent="0.2">
      <c r="A122" s="34">
        <f t="shared" si="2"/>
        <v>101</v>
      </c>
      <c r="B122" s="145" t="s">
        <v>1100</v>
      </c>
      <c r="C122" s="36" t="s">
        <v>1170</v>
      </c>
      <c r="D122" s="37" t="s">
        <v>152</v>
      </c>
      <c r="E122" s="38" t="s">
        <v>262</v>
      </c>
      <c r="F122" s="39" t="s">
        <v>94</v>
      </c>
      <c r="G122" s="36" t="s">
        <v>1135</v>
      </c>
      <c r="H122" s="37" t="s">
        <v>152</v>
      </c>
      <c r="I122" s="38" t="s">
        <v>262</v>
      </c>
      <c r="J122" s="39" t="s">
        <v>94</v>
      </c>
      <c r="K122" s="37" t="s">
        <v>153</v>
      </c>
      <c r="L122" s="37" t="s">
        <v>156</v>
      </c>
      <c r="M122" s="40"/>
      <c r="N122" s="40"/>
      <c r="O122" s="45"/>
      <c r="P122" s="46"/>
      <c r="Q122" s="44"/>
    </row>
    <row r="123" spans="1:17" x14ac:dyDescent="0.2">
      <c r="A123" s="34">
        <f t="shared" si="2"/>
        <v>102</v>
      </c>
      <c r="B123" s="145" t="s">
        <v>1101</v>
      </c>
      <c r="C123" s="36" t="s">
        <v>1325</v>
      </c>
      <c r="D123" s="37" t="s">
        <v>152</v>
      </c>
      <c r="E123" s="38" t="s">
        <v>282</v>
      </c>
      <c r="F123" s="39" t="s">
        <v>94</v>
      </c>
      <c r="G123" s="36" t="s">
        <v>1136</v>
      </c>
      <c r="H123" s="37" t="s">
        <v>152</v>
      </c>
      <c r="I123" s="38" t="s">
        <v>262</v>
      </c>
      <c r="J123" s="39" t="s">
        <v>94</v>
      </c>
      <c r="K123" s="37" t="s">
        <v>153</v>
      </c>
      <c r="L123" s="37" t="s">
        <v>156</v>
      </c>
      <c r="M123" s="40"/>
      <c r="N123" s="40"/>
      <c r="O123" s="45"/>
      <c r="P123" s="46"/>
      <c r="Q123" s="44"/>
    </row>
    <row r="124" spans="1:17" s="24" customFormat="1" x14ac:dyDescent="0.2">
      <c r="A124" s="34">
        <f t="shared" si="2"/>
        <v>103</v>
      </c>
      <c r="B124" s="145" t="s">
        <v>1102</v>
      </c>
      <c r="C124" s="36" t="s">
        <v>1326</v>
      </c>
      <c r="D124" s="37" t="s">
        <v>152</v>
      </c>
      <c r="E124" s="38" t="s">
        <v>282</v>
      </c>
      <c r="F124" s="39" t="s">
        <v>94</v>
      </c>
      <c r="G124" s="36" t="s">
        <v>1137</v>
      </c>
      <c r="H124" s="37" t="s">
        <v>152</v>
      </c>
      <c r="I124" s="38" t="s">
        <v>262</v>
      </c>
      <c r="J124" s="39" t="s">
        <v>94</v>
      </c>
      <c r="K124" s="37" t="s">
        <v>153</v>
      </c>
      <c r="L124" s="37" t="s">
        <v>156</v>
      </c>
      <c r="M124" s="40"/>
      <c r="N124" s="40"/>
      <c r="O124" s="45"/>
      <c r="P124" s="46"/>
      <c r="Q124" s="44"/>
    </row>
    <row r="125" spans="1:17" x14ac:dyDescent="0.2">
      <c r="A125" s="34">
        <f t="shared" si="2"/>
        <v>104</v>
      </c>
      <c r="B125" s="145" t="s">
        <v>1103</v>
      </c>
      <c r="C125" s="36" t="s">
        <v>1327</v>
      </c>
      <c r="D125" s="37" t="s">
        <v>152</v>
      </c>
      <c r="E125" s="38" t="s">
        <v>282</v>
      </c>
      <c r="F125" s="39" t="s">
        <v>94</v>
      </c>
      <c r="G125" s="36" t="s">
        <v>1138</v>
      </c>
      <c r="H125" s="37" t="s">
        <v>152</v>
      </c>
      <c r="I125" s="38" t="s">
        <v>262</v>
      </c>
      <c r="J125" s="39" t="s">
        <v>94</v>
      </c>
      <c r="K125" s="37" t="s">
        <v>153</v>
      </c>
      <c r="L125" s="37" t="s">
        <v>156</v>
      </c>
      <c r="M125" s="40"/>
      <c r="N125" s="40"/>
      <c r="O125" s="45"/>
      <c r="P125" s="46"/>
      <c r="Q125" s="44"/>
    </row>
    <row r="126" spans="1:17" s="24" customFormat="1" x14ac:dyDescent="0.2">
      <c r="A126" s="34">
        <f t="shared" si="2"/>
        <v>105</v>
      </c>
      <c r="B126" s="145" t="s">
        <v>1104</v>
      </c>
      <c r="C126" s="36" t="s">
        <v>1328</v>
      </c>
      <c r="D126" s="37" t="s">
        <v>152</v>
      </c>
      <c r="E126" s="38" t="s">
        <v>282</v>
      </c>
      <c r="F126" s="39" t="s">
        <v>94</v>
      </c>
      <c r="G126" s="36" t="s">
        <v>1139</v>
      </c>
      <c r="H126" s="37" t="s">
        <v>152</v>
      </c>
      <c r="I126" s="38" t="s">
        <v>262</v>
      </c>
      <c r="J126" s="39" t="s">
        <v>94</v>
      </c>
      <c r="K126" s="37" t="s">
        <v>153</v>
      </c>
      <c r="L126" s="37" t="s">
        <v>156</v>
      </c>
      <c r="M126" s="40"/>
      <c r="N126" s="40"/>
      <c r="O126" s="45"/>
      <c r="P126" s="46"/>
      <c r="Q126" s="44"/>
    </row>
    <row r="127" spans="1:17" s="24" customFormat="1" x14ac:dyDescent="0.2">
      <c r="A127" s="34">
        <f t="shared" si="2"/>
        <v>106</v>
      </c>
      <c r="B127" s="145" t="s">
        <v>1105</v>
      </c>
      <c r="C127" s="36" t="s">
        <v>1329</v>
      </c>
      <c r="D127" s="37" t="s">
        <v>152</v>
      </c>
      <c r="E127" s="38" t="s">
        <v>282</v>
      </c>
      <c r="F127" s="39" t="s">
        <v>94</v>
      </c>
      <c r="G127" s="36" t="s">
        <v>1140</v>
      </c>
      <c r="H127" s="37" t="s">
        <v>152</v>
      </c>
      <c r="I127" s="38" t="s">
        <v>262</v>
      </c>
      <c r="J127" s="39" t="s">
        <v>94</v>
      </c>
      <c r="K127" s="37" t="s">
        <v>153</v>
      </c>
      <c r="L127" s="37" t="s">
        <v>156</v>
      </c>
      <c r="M127" s="40"/>
      <c r="N127" s="40"/>
      <c r="O127" s="45"/>
      <c r="P127" s="46"/>
      <c r="Q127" s="44"/>
    </row>
    <row r="128" spans="1:17" x14ac:dyDescent="0.2">
      <c r="A128" s="34">
        <f t="shared" si="2"/>
        <v>107</v>
      </c>
      <c r="B128" s="145" t="s">
        <v>1106</v>
      </c>
      <c r="C128" s="36" t="s">
        <v>1330</v>
      </c>
      <c r="D128" s="37" t="s">
        <v>152</v>
      </c>
      <c r="E128" s="38" t="s">
        <v>993</v>
      </c>
      <c r="F128" s="39" t="s">
        <v>94</v>
      </c>
      <c r="G128" s="36" t="s">
        <v>1141</v>
      </c>
      <c r="H128" s="37" t="s">
        <v>152</v>
      </c>
      <c r="I128" s="38" t="s">
        <v>262</v>
      </c>
      <c r="J128" s="39" t="s">
        <v>94</v>
      </c>
      <c r="K128" s="37" t="s">
        <v>153</v>
      </c>
      <c r="L128" s="37" t="s">
        <v>156</v>
      </c>
      <c r="M128" s="40"/>
      <c r="N128" s="40"/>
      <c r="O128" s="45"/>
      <c r="P128" s="46"/>
      <c r="Q128" s="44"/>
    </row>
    <row r="129" spans="1:17" x14ac:dyDescent="0.2">
      <c r="A129" s="34">
        <f t="shared" si="2"/>
        <v>108</v>
      </c>
      <c r="B129" s="145" t="s">
        <v>1107</v>
      </c>
      <c r="C129" s="36" t="s">
        <v>1331</v>
      </c>
      <c r="D129" s="37" t="s">
        <v>152</v>
      </c>
      <c r="E129" s="38" t="s">
        <v>993</v>
      </c>
      <c r="F129" s="39" t="s">
        <v>94</v>
      </c>
      <c r="G129" s="36" t="s">
        <v>1142</v>
      </c>
      <c r="H129" s="37" t="s">
        <v>152</v>
      </c>
      <c r="I129" s="38" t="s">
        <v>262</v>
      </c>
      <c r="J129" s="39" t="s">
        <v>94</v>
      </c>
      <c r="K129" s="37" t="s">
        <v>153</v>
      </c>
      <c r="L129" s="37" t="s">
        <v>156</v>
      </c>
      <c r="M129" s="40"/>
      <c r="N129" s="40"/>
      <c r="O129" s="45"/>
      <c r="P129" s="46"/>
      <c r="Q129" s="44"/>
    </row>
    <row r="130" spans="1:17" x14ac:dyDescent="0.2">
      <c r="A130" s="34">
        <f t="shared" si="2"/>
        <v>109</v>
      </c>
      <c r="B130" s="145" t="s">
        <v>1108</v>
      </c>
      <c r="C130" s="36" t="s">
        <v>1332</v>
      </c>
      <c r="D130" s="37" t="s">
        <v>152</v>
      </c>
      <c r="E130" s="38" t="s">
        <v>993</v>
      </c>
      <c r="F130" s="39" t="s">
        <v>94</v>
      </c>
      <c r="G130" s="36" t="s">
        <v>1143</v>
      </c>
      <c r="H130" s="37" t="s">
        <v>152</v>
      </c>
      <c r="I130" s="38" t="s">
        <v>262</v>
      </c>
      <c r="J130" s="39" t="s">
        <v>94</v>
      </c>
      <c r="K130" s="37" t="s">
        <v>153</v>
      </c>
      <c r="L130" s="37" t="s">
        <v>156</v>
      </c>
      <c r="M130" s="40"/>
      <c r="N130" s="40"/>
      <c r="O130" s="45"/>
      <c r="P130" s="46"/>
      <c r="Q130" s="44"/>
    </row>
    <row r="131" spans="1:17" x14ac:dyDescent="0.2">
      <c r="A131" s="34">
        <f t="shared" si="2"/>
        <v>110</v>
      </c>
      <c r="B131" s="145" t="s">
        <v>1109</v>
      </c>
      <c r="C131" s="36" t="s">
        <v>1333</v>
      </c>
      <c r="D131" s="37" t="s">
        <v>152</v>
      </c>
      <c r="E131" s="38" t="s">
        <v>993</v>
      </c>
      <c r="F131" s="39" t="s">
        <v>94</v>
      </c>
      <c r="G131" s="36" t="s">
        <v>1144</v>
      </c>
      <c r="H131" s="37" t="s">
        <v>152</v>
      </c>
      <c r="I131" s="38" t="s">
        <v>262</v>
      </c>
      <c r="J131" s="39" t="s">
        <v>94</v>
      </c>
      <c r="K131" s="37" t="s">
        <v>153</v>
      </c>
      <c r="L131" s="37" t="s">
        <v>156</v>
      </c>
      <c r="M131" s="40"/>
      <c r="N131" s="40"/>
      <c r="O131" s="45"/>
      <c r="P131" s="46"/>
      <c r="Q131" s="44"/>
    </row>
    <row r="132" spans="1:17" x14ac:dyDescent="0.2">
      <c r="A132" s="34">
        <f t="shared" si="2"/>
        <v>111</v>
      </c>
      <c r="B132" s="145" t="s">
        <v>1110</v>
      </c>
      <c r="C132" s="36" t="s">
        <v>1171</v>
      </c>
      <c r="D132" s="37" t="s">
        <v>152</v>
      </c>
      <c r="E132" s="38" t="s">
        <v>993</v>
      </c>
      <c r="F132" s="39" t="s">
        <v>94</v>
      </c>
      <c r="G132" s="36" t="s">
        <v>1145</v>
      </c>
      <c r="H132" s="37" t="s">
        <v>152</v>
      </c>
      <c r="I132" s="38" t="s">
        <v>262</v>
      </c>
      <c r="J132" s="39" t="s">
        <v>94</v>
      </c>
      <c r="K132" s="37" t="s">
        <v>153</v>
      </c>
      <c r="L132" s="37" t="s">
        <v>156</v>
      </c>
      <c r="M132" s="40"/>
      <c r="N132" s="40"/>
      <c r="O132" s="45"/>
      <c r="P132" s="46"/>
      <c r="Q132" s="44"/>
    </row>
    <row r="133" spans="1:17" x14ac:dyDescent="0.2">
      <c r="A133" s="34">
        <f t="shared" si="2"/>
        <v>112</v>
      </c>
      <c r="B133" s="145" t="s">
        <v>1111</v>
      </c>
      <c r="C133" s="36" t="s">
        <v>1172</v>
      </c>
      <c r="D133" s="37" t="s">
        <v>152</v>
      </c>
      <c r="E133" s="38" t="s">
        <v>262</v>
      </c>
      <c r="F133" s="39" t="s">
        <v>94</v>
      </c>
      <c r="G133" s="36" t="s">
        <v>1146</v>
      </c>
      <c r="H133" s="37" t="s">
        <v>152</v>
      </c>
      <c r="I133" s="38" t="s">
        <v>262</v>
      </c>
      <c r="J133" s="39" t="s">
        <v>94</v>
      </c>
      <c r="K133" s="37" t="s">
        <v>153</v>
      </c>
      <c r="L133" s="37" t="s">
        <v>156</v>
      </c>
      <c r="M133" s="40"/>
      <c r="N133" s="40"/>
      <c r="O133" s="45"/>
      <c r="P133" s="46"/>
      <c r="Q133" s="44"/>
    </row>
    <row r="134" spans="1:17" x14ac:dyDescent="0.2">
      <c r="A134" s="34">
        <f t="shared" si="2"/>
        <v>113</v>
      </c>
      <c r="B134" s="145" t="s">
        <v>1112</v>
      </c>
      <c r="C134" s="36" t="s">
        <v>1173</v>
      </c>
      <c r="D134" s="37" t="s">
        <v>152</v>
      </c>
      <c r="E134" s="38" t="s">
        <v>993</v>
      </c>
      <c r="F134" s="39" t="s">
        <v>94</v>
      </c>
      <c r="G134" s="36" t="s">
        <v>1147</v>
      </c>
      <c r="H134" s="37" t="s">
        <v>152</v>
      </c>
      <c r="I134" s="38" t="s">
        <v>262</v>
      </c>
      <c r="J134" s="39" t="s">
        <v>94</v>
      </c>
      <c r="K134" s="37" t="s">
        <v>153</v>
      </c>
      <c r="L134" s="37" t="s">
        <v>156</v>
      </c>
      <c r="M134" s="40"/>
      <c r="N134" s="40"/>
      <c r="O134" s="45"/>
      <c r="P134" s="46"/>
      <c r="Q134" s="44"/>
    </row>
    <row r="135" spans="1:17" x14ac:dyDescent="0.2">
      <c r="A135" s="34">
        <f t="shared" si="2"/>
        <v>114</v>
      </c>
      <c r="B135" s="145" t="s">
        <v>1113</v>
      </c>
      <c r="C135" s="36" t="s">
        <v>1174</v>
      </c>
      <c r="D135" s="37" t="s">
        <v>152</v>
      </c>
      <c r="E135" s="38" t="s">
        <v>993</v>
      </c>
      <c r="F135" s="39" t="s">
        <v>94</v>
      </c>
      <c r="G135" s="36" t="s">
        <v>1148</v>
      </c>
      <c r="H135" s="37" t="s">
        <v>152</v>
      </c>
      <c r="I135" s="38" t="s">
        <v>262</v>
      </c>
      <c r="J135" s="39" t="s">
        <v>94</v>
      </c>
      <c r="K135" s="37" t="s">
        <v>153</v>
      </c>
      <c r="L135" s="37" t="s">
        <v>156</v>
      </c>
      <c r="M135" s="40"/>
      <c r="N135" s="40"/>
      <c r="O135" s="45"/>
      <c r="P135" s="46"/>
      <c r="Q135" s="44"/>
    </row>
    <row r="136" spans="1:17" x14ac:dyDescent="0.2">
      <c r="A136" s="34">
        <f t="shared" si="2"/>
        <v>115</v>
      </c>
      <c r="B136" s="145" t="s">
        <v>1114</v>
      </c>
      <c r="C136" s="36" t="s">
        <v>1175</v>
      </c>
      <c r="D136" s="37" t="s">
        <v>152</v>
      </c>
      <c r="E136" s="38" t="s">
        <v>325</v>
      </c>
      <c r="F136" s="39" t="s">
        <v>94</v>
      </c>
      <c r="G136" s="36" t="s">
        <v>1149</v>
      </c>
      <c r="H136" s="37" t="s">
        <v>152</v>
      </c>
      <c r="I136" s="38" t="s">
        <v>262</v>
      </c>
      <c r="J136" s="39" t="s">
        <v>94</v>
      </c>
      <c r="K136" s="37" t="s">
        <v>153</v>
      </c>
      <c r="L136" s="37" t="s">
        <v>156</v>
      </c>
      <c r="M136" s="40"/>
      <c r="N136" s="40"/>
      <c r="O136" s="45"/>
      <c r="P136" s="46"/>
      <c r="Q136" s="44"/>
    </row>
    <row r="137" spans="1:17" x14ac:dyDescent="0.2">
      <c r="A137" s="34">
        <f t="shared" si="2"/>
        <v>116</v>
      </c>
      <c r="B137" s="145" t="s">
        <v>1115</v>
      </c>
      <c r="C137" s="36" t="s">
        <v>1176</v>
      </c>
      <c r="D137" s="37" t="s">
        <v>152</v>
      </c>
      <c r="E137" s="38" t="s">
        <v>993</v>
      </c>
      <c r="F137" s="39" t="s">
        <v>94</v>
      </c>
      <c r="G137" s="36" t="s">
        <v>1150</v>
      </c>
      <c r="H137" s="37" t="s">
        <v>152</v>
      </c>
      <c r="I137" s="38" t="s">
        <v>262</v>
      </c>
      <c r="J137" s="39" t="s">
        <v>94</v>
      </c>
      <c r="K137" s="37" t="s">
        <v>153</v>
      </c>
      <c r="L137" s="37" t="s">
        <v>156</v>
      </c>
      <c r="M137" s="40"/>
      <c r="N137" s="40"/>
      <c r="O137" s="45"/>
      <c r="P137" s="46"/>
      <c r="Q137" s="44"/>
    </row>
    <row r="138" spans="1:17" x14ac:dyDescent="0.2">
      <c r="A138" s="34"/>
      <c r="B138" s="145"/>
      <c r="C138" s="36"/>
      <c r="D138" s="37"/>
      <c r="E138" s="38"/>
      <c r="F138" s="39"/>
      <c r="G138" s="36"/>
      <c r="H138" s="37"/>
      <c r="I138" s="38"/>
      <c r="J138" s="39"/>
      <c r="K138" s="37"/>
      <c r="L138" s="37"/>
      <c r="M138" s="40"/>
      <c r="N138" s="40"/>
      <c r="O138" s="45"/>
      <c r="P138" s="46"/>
      <c r="Q138" s="44"/>
    </row>
    <row r="139" spans="1:17" x14ac:dyDescent="0.2">
      <c r="A139" s="34"/>
      <c r="B139" s="145"/>
      <c r="C139" s="36"/>
      <c r="D139" s="37"/>
      <c r="E139" s="38"/>
      <c r="F139" s="39"/>
      <c r="G139" s="36"/>
      <c r="H139" s="37"/>
      <c r="I139" s="38"/>
      <c r="J139" s="39"/>
      <c r="K139" s="37"/>
      <c r="L139" s="37"/>
      <c r="M139" s="40"/>
      <c r="N139" s="40"/>
      <c r="O139" s="45"/>
      <c r="P139" s="46"/>
      <c r="Q139" s="44"/>
    </row>
    <row r="140" spans="1:17" x14ac:dyDescent="0.2">
      <c r="A140" s="34">
        <f>A137+1</f>
        <v>117</v>
      </c>
      <c r="B140" s="145" t="s">
        <v>147</v>
      </c>
      <c r="C140" s="36" t="s">
        <v>1337</v>
      </c>
      <c r="D140" s="37" t="s">
        <v>152</v>
      </c>
      <c r="E140" s="38" t="s">
        <v>282</v>
      </c>
      <c r="F140" s="39" t="s">
        <v>94</v>
      </c>
      <c r="G140" s="36" t="s">
        <v>1177</v>
      </c>
      <c r="H140" s="37" t="s">
        <v>152</v>
      </c>
      <c r="I140" s="38" t="s">
        <v>262</v>
      </c>
      <c r="J140" s="39" t="s">
        <v>94</v>
      </c>
      <c r="K140" s="37" t="s">
        <v>153</v>
      </c>
      <c r="L140" s="37" t="s">
        <v>156</v>
      </c>
      <c r="M140" s="40"/>
      <c r="N140" s="40"/>
      <c r="O140" s="45"/>
      <c r="P140" s="46"/>
      <c r="Q140" s="44"/>
    </row>
    <row r="141" spans="1:17" x14ac:dyDescent="0.2">
      <c r="A141" s="34"/>
      <c r="B141" s="145"/>
      <c r="C141" s="36"/>
      <c r="D141" s="37"/>
      <c r="E141" s="38"/>
      <c r="F141" s="39"/>
      <c r="G141" s="36"/>
      <c r="H141" s="37"/>
      <c r="I141" s="38"/>
      <c r="J141" s="39"/>
      <c r="K141" s="37"/>
      <c r="L141" s="37"/>
      <c r="M141" s="40"/>
      <c r="N141" s="40"/>
      <c r="O141" s="45"/>
      <c r="P141" s="46"/>
      <c r="Q141" s="44"/>
    </row>
    <row r="142" spans="1:17" x14ac:dyDescent="0.2">
      <c r="A142" s="34"/>
      <c r="B142" s="145"/>
      <c r="C142" s="36"/>
      <c r="D142" s="37"/>
      <c r="E142" s="38"/>
      <c r="F142" s="39"/>
      <c r="G142" s="36"/>
      <c r="H142" s="37"/>
      <c r="I142" s="38"/>
      <c r="J142" s="39"/>
      <c r="K142" s="37"/>
      <c r="L142" s="37"/>
      <c r="M142" s="40"/>
      <c r="N142" s="40"/>
      <c r="O142" s="45"/>
      <c r="P142" s="46"/>
      <c r="Q142" s="44"/>
    </row>
    <row r="143" spans="1:17" x14ac:dyDescent="0.2">
      <c r="A143" s="34">
        <f>A140+1</f>
        <v>118</v>
      </c>
      <c r="B143" s="145" t="s">
        <v>1259</v>
      </c>
      <c r="C143" s="36" t="s">
        <v>1305</v>
      </c>
      <c r="D143" s="37" t="s">
        <v>152</v>
      </c>
      <c r="E143" s="38" t="s">
        <v>262</v>
      </c>
      <c r="F143" s="39" t="s">
        <v>94</v>
      </c>
      <c r="G143" s="36" t="s">
        <v>1282</v>
      </c>
      <c r="H143" s="37" t="s">
        <v>152</v>
      </c>
      <c r="I143" s="38" t="s">
        <v>282</v>
      </c>
      <c r="J143" s="39" t="s">
        <v>94</v>
      </c>
      <c r="K143" s="37" t="s">
        <v>153</v>
      </c>
      <c r="L143" s="37" t="s">
        <v>156</v>
      </c>
      <c r="M143" s="40"/>
      <c r="N143" s="40"/>
      <c r="O143" s="45"/>
      <c r="P143" s="46"/>
      <c r="Q143" s="44"/>
    </row>
    <row r="144" spans="1:17" x14ac:dyDescent="0.2">
      <c r="A144" s="34">
        <f>A143+1</f>
        <v>119</v>
      </c>
      <c r="B144" s="145" t="s">
        <v>1260</v>
      </c>
      <c r="C144" s="36" t="s">
        <v>1306</v>
      </c>
      <c r="D144" s="37" t="s">
        <v>152</v>
      </c>
      <c r="E144" s="38" t="s">
        <v>262</v>
      </c>
      <c r="F144" s="39" t="s">
        <v>94</v>
      </c>
      <c r="G144" s="36" t="s">
        <v>1283</v>
      </c>
      <c r="H144" s="37" t="s">
        <v>152</v>
      </c>
      <c r="I144" s="38" t="s">
        <v>282</v>
      </c>
      <c r="J144" s="39" t="s">
        <v>94</v>
      </c>
      <c r="K144" s="37" t="s">
        <v>153</v>
      </c>
      <c r="L144" s="37" t="s">
        <v>156</v>
      </c>
      <c r="M144" s="40"/>
      <c r="N144" s="40"/>
      <c r="O144" s="45"/>
      <c r="P144" s="46"/>
      <c r="Q144" s="44"/>
    </row>
    <row r="145" spans="1:17" x14ac:dyDescent="0.2">
      <c r="A145" s="34">
        <f>A144+1</f>
        <v>120</v>
      </c>
      <c r="B145" s="145" t="s">
        <v>1261</v>
      </c>
      <c r="C145" s="36" t="s">
        <v>1307</v>
      </c>
      <c r="D145" s="37" t="s">
        <v>152</v>
      </c>
      <c r="E145" s="38" t="s">
        <v>262</v>
      </c>
      <c r="F145" s="39" t="s">
        <v>94</v>
      </c>
      <c r="G145" s="36" t="s">
        <v>1284</v>
      </c>
      <c r="H145" s="37" t="s">
        <v>152</v>
      </c>
      <c r="I145" s="38" t="s">
        <v>282</v>
      </c>
      <c r="J145" s="39" t="s">
        <v>94</v>
      </c>
      <c r="K145" s="37" t="s">
        <v>153</v>
      </c>
      <c r="L145" s="37" t="s">
        <v>156</v>
      </c>
      <c r="M145" s="40"/>
      <c r="N145" s="40"/>
      <c r="O145" s="45"/>
      <c r="P145" s="46"/>
      <c r="Q145" s="44"/>
    </row>
    <row r="146" spans="1:17" x14ac:dyDescent="0.2">
      <c r="A146" s="34">
        <f t="shared" si="2"/>
        <v>121</v>
      </c>
      <c r="B146" s="145" t="s">
        <v>1262</v>
      </c>
      <c r="C146" s="36" t="s">
        <v>1308</v>
      </c>
      <c r="D146" s="37" t="s">
        <v>152</v>
      </c>
      <c r="E146" s="38" t="s">
        <v>262</v>
      </c>
      <c r="F146" s="39" t="s">
        <v>94</v>
      </c>
      <c r="G146" s="36" t="s">
        <v>1285</v>
      </c>
      <c r="H146" s="37" t="s">
        <v>152</v>
      </c>
      <c r="I146" s="38" t="s">
        <v>282</v>
      </c>
      <c r="J146" s="39" t="s">
        <v>94</v>
      </c>
      <c r="K146" s="37" t="s">
        <v>153</v>
      </c>
      <c r="L146" s="37" t="s">
        <v>156</v>
      </c>
      <c r="M146" s="40"/>
      <c r="N146" s="40"/>
      <c r="O146" s="45"/>
      <c r="P146" s="46"/>
      <c r="Q146" s="44"/>
    </row>
    <row r="147" spans="1:17" x14ac:dyDescent="0.2">
      <c r="A147" s="34">
        <f t="shared" si="2"/>
        <v>122</v>
      </c>
      <c r="B147" s="145" t="s">
        <v>1263</v>
      </c>
      <c r="C147" s="36" t="s">
        <v>1309</v>
      </c>
      <c r="D147" s="37" t="s">
        <v>152</v>
      </c>
      <c r="E147" s="38" t="s">
        <v>282</v>
      </c>
      <c r="F147" s="39" t="s">
        <v>94</v>
      </c>
      <c r="G147" s="36" t="s">
        <v>1286</v>
      </c>
      <c r="H147" s="37" t="s">
        <v>152</v>
      </c>
      <c r="I147" s="38" t="s">
        <v>282</v>
      </c>
      <c r="J147" s="39" t="s">
        <v>94</v>
      </c>
      <c r="K147" s="37" t="s">
        <v>153</v>
      </c>
      <c r="L147" s="37" t="s">
        <v>156</v>
      </c>
      <c r="M147" s="40"/>
      <c r="N147" s="40"/>
      <c r="O147" s="45"/>
      <c r="P147" s="46"/>
      <c r="Q147" s="44"/>
    </row>
    <row r="148" spans="1:17" x14ac:dyDescent="0.2">
      <c r="A148" s="34">
        <f t="shared" si="2"/>
        <v>123</v>
      </c>
      <c r="B148" s="145" t="s">
        <v>1264</v>
      </c>
      <c r="C148" s="36" t="s">
        <v>1310</v>
      </c>
      <c r="D148" s="37" t="s">
        <v>152</v>
      </c>
      <c r="E148" s="38" t="s">
        <v>282</v>
      </c>
      <c r="F148" s="39" t="s">
        <v>94</v>
      </c>
      <c r="G148" s="36" t="s">
        <v>1287</v>
      </c>
      <c r="H148" s="37" t="s">
        <v>152</v>
      </c>
      <c r="I148" s="38" t="s">
        <v>282</v>
      </c>
      <c r="J148" s="39" t="s">
        <v>94</v>
      </c>
      <c r="K148" s="37" t="s">
        <v>153</v>
      </c>
      <c r="L148" s="37" t="s">
        <v>156</v>
      </c>
      <c r="M148" s="40"/>
      <c r="N148" s="40"/>
      <c r="O148" s="45"/>
      <c r="P148" s="46"/>
      <c r="Q148" s="44"/>
    </row>
    <row r="149" spans="1:17" x14ac:dyDescent="0.2">
      <c r="A149" s="34">
        <f t="shared" si="2"/>
        <v>124</v>
      </c>
      <c r="B149" s="145" t="s">
        <v>1265</v>
      </c>
      <c r="C149" s="36" t="s">
        <v>1311</v>
      </c>
      <c r="D149" s="37" t="s">
        <v>152</v>
      </c>
      <c r="E149" s="38" t="s">
        <v>282</v>
      </c>
      <c r="F149" s="39" t="s">
        <v>94</v>
      </c>
      <c r="G149" s="36" t="s">
        <v>1288</v>
      </c>
      <c r="H149" s="37" t="s">
        <v>152</v>
      </c>
      <c r="I149" s="38" t="s">
        <v>282</v>
      </c>
      <c r="J149" s="39" t="s">
        <v>94</v>
      </c>
      <c r="K149" s="37" t="s">
        <v>153</v>
      </c>
      <c r="L149" s="37" t="s">
        <v>156</v>
      </c>
      <c r="M149" s="40"/>
      <c r="N149" s="40"/>
      <c r="O149" s="45"/>
      <c r="P149" s="46"/>
      <c r="Q149" s="44"/>
    </row>
    <row r="150" spans="1:17" x14ac:dyDescent="0.2">
      <c r="A150" s="34">
        <f t="shared" si="2"/>
        <v>125</v>
      </c>
      <c r="B150" s="145" t="s">
        <v>1266</v>
      </c>
      <c r="C150" s="36" t="s">
        <v>1312</v>
      </c>
      <c r="D150" s="37" t="s">
        <v>152</v>
      </c>
      <c r="E150" s="38" t="s">
        <v>282</v>
      </c>
      <c r="F150" s="39" t="s">
        <v>94</v>
      </c>
      <c r="G150" s="36" t="s">
        <v>1289</v>
      </c>
      <c r="H150" s="37" t="s">
        <v>152</v>
      </c>
      <c r="I150" s="38" t="s">
        <v>282</v>
      </c>
      <c r="J150" s="39" t="s">
        <v>94</v>
      </c>
      <c r="K150" s="37" t="s">
        <v>153</v>
      </c>
      <c r="L150" s="37" t="s">
        <v>156</v>
      </c>
      <c r="M150" s="40"/>
      <c r="N150" s="40"/>
      <c r="O150" s="45"/>
      <c r="P150" s="46"/>
      <c r="Q150" s="44"/>
    </row>
    <row r="151" spans="1:17" x14ac:dyDescent="0.2">
      <c r="A151" s="34">
        <f t="shared" si="2"/>
        <v>126</v>
      </c>
      <c r="B151" s="145" t="s">
        <v>1267</v>
      </c>
      <c r="C151" s="36" t="s">
        <v>1313</v>
      </c>
      <c r="D151" s="37" t="s">
        <v>152</v>
      </c>
      <c r="E151" s="38" t="s">
        <v>282</v>
      </c>
      <c r="F151" s="39" t="s">
        <v>94</v>
      </c>
      <c r="G151" s="36" t="s">
        <v>1290</v>
      </c>
      <c r="H151" s="37" t="s">
        <v>152</v>
      </c>
      <c r="I151" s="38" t="s">
        <v>282</v>
      </c>
      <c r="J151" s="39" t="s">
        <v>94</v>
      </c>
      <c r="K151" s="37" t="s">
        <v>153</v>
      </c>
      <c r="L151" s="37" t="s">
        <v>156</v>
      </c>
      <c r="M151" s="40"/>
      <c r="N151" s="40"/>
      <c r="O151" s="45"/>
      <c r="P151" s="46"/>
      <c r="Q151" s="44"/>
    </row>
    <row r="152" spans="1:17" x14ac:dyDescent="0.2">
      <c r="A152" s="34">
        <f t="shared" si="2"/>
        <v>127</v>
      </c>
      <c r="B152" s="145" t="s">
        <v>1268</v>
      </c>
      <c r="C152" s="36" t="s">
        <v>1314</v>
      </c>
      <c r="D152" s="37" t="s">
        <v>152</v>
      </c>
      <c r="E152" s="38" t="s">
        <v>282</v>
      </c>
      <c r="F152" s="39" t="s">
        <v>94</v>
      </c>
      <c r="G152" s="36" t="s">
        <v>1291</v>
      </c>
      <c r="H152" s="37" t="s">
        <v>152</v>
      </c>
      <c r="I152" s="38" t="s">
        <v>282</v>
      </c>
      <c r="J152" s="39" t="s">
        <v>94</v>
      </c>
      <c r="K152" s="37" t="s">
        <v>153</v>
      </c>
      <c r="L152" s="37" t="s">
        <v>156</v>
      </c>
      <c r="M152" s="40"/>
      <c r="N152" s="40"/>
      <c r="O152" s="45"/>
      <c r="P152" s="46"/>
      <c r="Q152" s="44"/>
    </row>
    <row r="153" spans="1:17" x14ac:dyDescent="0.2">
      <c r="A153" s="34">
        <f t="shared" si="2"/>
        <v>128</v>
      </c>
      <c r="B153" s="145" t="s">
        <v>1269</v>
      </c>
      <c r="C153" s="36" t="s">
        <v>1315</v>
      </c>
      <c r="D153" s="37" t="s">
        <v>152</v>
      </c>
      <c r="E153" s="38" t="s">
        <v>282</v>
      </c>
      <c r="F153" s="39" t="s">
        <v>94</v>
      </c>
      <c r="G153" s="36" t="s">
        <v>1292</v>
      </c>
      <c r="H153" s="37" t="s">
        <v>152</v>
      </c>
      <c r="I153" s="38" t="s">
        <v>282</v>
      </c>
      <c r="J153" s="39" t="s">
        <v>94</v>
      </c>
      <c r="K153" s="37" t="s">
        <v>153</v>
      </c>
      <c r="L153" s="37" t="s">
        <v>156</v>
      </c>
      <c r="M153" s="40"/>
      <c r="N153" s="40"/>
      <c r="O153" s="45"/>
      <c r="P153" s="46"/>
      <c r="Q153" s="44"/>
    </row>
    <row r="154" spans="1:17" x14ac:dyDescent="0.2">
      <c r="A154" s="34">
        <f t="shared" si="2"/>
        <v>129</v>
      </c>
      <c r="B154" s="145" t="s">
        <v>1270</v>
      </c>
      <c r="C154" s="36" t="s">
        <v>1316</v>
      </c>
      <c r="D154" s="37" t="s">
        <v>152</v>
      </c>
      <c r="E154" s="38" t="s">
        <v>282</v>
      </c>
      <c r="F154" s="39" t="s">
        <v>94</v>
      </c>
      <c r="G154" s="36" t="s">
        <v>1293</v>
      </c>
      <c r="H154" s="37" t="s">
        <v>152</v>
      </c>
      <c r="I154" s="38" t="s">
        <v>282</v>
      </c>
      <c r="J154" s="39" t="s">
        <v>94</v>
      </c>
      <c r="K154" s="37" t="s">
        <v>153</v>
      </c>
      <c r="L154" s="37" t="s">
        <v>156</v>
      </c>
      <c r="M154" s="40"/>
      <c r="N154" s="40"/>
      <c r="O154" s="45"/>
      <c r="P154" s="46"/>
      <c r="Q154" s="44"/>
    </row>
    <row r="155" spans="1:17" x14ac:dyDescent="0.2">
      <c r="A155" s="34">
        <f t="shared" si="2"/>
        <v>130</v>
      </c>
      <c r="B155" s="145" t="s">
        <v>1271</v>
      </c>
      <c r="C155" s="36" t="s">
        <v>1317</v>
      </c>
      <c r="D155" s="37" t="s">
        <v>152</v>
      </c>
      <c r="E155" s="38" t="s">
        <v>282</v>
      </c>
      <c r="F155" s="39" t="s">
        <v>94</v>
      </c>
      <c r="G155" s="36" t="s">
        <v>1294</v>
      </c>
      <c r="H155" s="37" t="s">
        <v>152</v>
      </c>
      <c r="I155" s="38" t="s">
        <v>282</v>
      </c>
      <c r="J155" s="39" t="s">
        <v>94</v>
      </c>
      <c r="K155" s="37" t="s">
        <v>153</v>
      </c>
      <c r="L155" s="37" t="s">
        <v>156</v>
      </c>
      <c r="M155" s="40"/>
      <c r="N155" s="40"/>
      <c r="O155" s="45"/>
      <c r="P155" s="46"/>
      <c r="Q155" s="44"/>
    </row>
    <row r="156" spans="1:17" x14ac:dyDescent="0.2">
      <c r="A156" s="34">
        <f t="shared" si="2"/>
        <v>131</v>
      </c>
      <c r="B156" s="145" t="s">
        <v>1272</v>
      </c>
      <c r="C156" s="36" t="s">
        <v>1318</v>
      </c>
      <c r="D156" s="37" t="s">
        <v>152</v>
      </c>
      <c r="E156" s="38" t="s">
        <v>282</v>
      </c>
      <c r="F156" s="39" t="s">
        <v>94</v>
      </c>
      <c r="G156" s="36" t="s">
        <v>1295</v>
      </c>
      <c r="H156" s="37" t="s">
        <v>152</v>
      </c>
      <c r="I156" s="38" t="s">
        <v>282</v>
      </c>
      <c r="J156" s="39" t="s">
        <v>94</v>
      </c>
      <c r="K156" s="37" t="s">
        <v>153</v>
      </c>
      <c r="L156" s="37" t="s">
        <v>156</v>
      </c>
      <c r="M156" s="40"/>
      <c r="N156" s="40"/>
      <c r="O156" s="45"/>
      <c r="P156" s="46"/>
      <c r="Q156" s="44"/>
    </row>
    <row r="157" spans="1:17" x14ac:dyDescent="0.2">
      <c r="A157" s="34">
        <f t="shared" si="2"/>
        <v>132</v>
      </c>
      <c r="B157" s="145" t="s">
        <v>1273</v>
      </c>
      <c r="C157" s="36" t="s">
        <v>1319</v>
      </c>
      <c r="D157" s="37" t="s">
        <v>152</v>
      </c>
      <c r="E157" s="38" t="s">
        <v>282</v>
      </c>
      <c r="F157" s="39" t="s">
        <v>94</v>
      </c>
      <c r="G157" s="36" t="s">
        <v>1296</v>
      </c>
      <c r="H157" s="37" t="s">
        <v>152</v>
      </c>
      <c r="I157" s="38" t="s">
        <v>282</v>
      </c>
      <c r="J157" s="39" t="s">
        <v>94</v>
      </c>
      <c r="K157" s="37" t="s">
        <v>153</v>
      </c>
      <c r="L157" s="37" t="s">
        <v>156</v>
      </c>
      <c r="M157" s="40"/>
      <c r="N157" s="40"/>
      <c r="O157" s="45"/>
      <c r="P157" s="46"/>
      <c r="Q157" s="44"/>
    </row>
    <row r="158" spans="1:17" x14ac:dyDescent="0.2">
      <c r="A158" s="34">
        <f t="shared" si="2"/>
        <v>133</v>
      </c>
      <c r="B158" s="145" t="s">
        <v>1274</v>
      </c>
      <c r="C158" s="36" t="s">
        <v>1320</v>
      </c>
      <c r="D158" s="37" t="s">
        <v>152</v>
      </c>
      <c r="E158" s="38" t="s">
        <v>282</v>
      </c>
      <c r="F158" s="39" t="s">
        <v>94</v>
      </c>
      <c r="G158" s="36" t="s">
        <v>1297</v>
      </c>
      <c r="H158" s="37" t="s">
        <v>152</v>
      </c>
      <c r="I158" s="38" t="s">
        <v>282</v>
      </c>
      <c r="J158" s="39" t="s">
        <v>94</v>
      </c>
      <c r="K158" s="37" t="s">
        <v>153</v>
      </c>
      <c r="L158" s="37" t="s">
        <v>156</v>
      </c>
      <c r="M158" s="40"/>
      <c r="N158" s="40"/>
      <c r="O158" s="45"/>
      <c r="P158" s="46"/>
      <c r="Q158" s="44"/>
    </row>
    <row r="159" spans="1:17" x14ac:dyDescent="0.2">
      <c r="A159" s="34">
        <f t="shared" si="2"/>
        <v>134</v>
      </c>
      <c r="B159" s="145" t="s">
        <v>1275</v>
      </c>
      <c r="C159" s="36" t="s">
        <v>1321</v>
      </c>
      <c r="D159" s="37" t="s">
        <v>152</v>
      </c>
      <c r="E159" s="38" t="s">
        <v>282</v>
      </c>
      <c r="F159" s="39" t="s">
        <v>94</v>
      </c>
      <c r="G159" s="36" t="s">
        <v>1298</v>
      </c>
      <c r="H159" s="37" t="s">
        <v>152</v>
      </c>
      <c r="I159" s="38" t="s">
        <v>282</v>
      </c>
      <c r="J159" s="39" t="s">
        <v>94</v>
      </c>
      <c r="K159" s="37" t="s">
        <v>153</v>
      </c>
      <c r="L159" s="37" t="s">
        <v>156</v>
      </c>
      <c r="M159" s="40"/>
      <c r="N159" s="40"/>
      <c r="O159" s="45"/>
      <c r="P159" s="46"/>
      <c r="Q159" s="44"/>
    </row>
    <row r="160" spans="1:17" x14ac:dyDescent="0.2">
      <c r="A160" s="34">
        <f t="shared" si="2"/>
        <v>135</v>
      </c>
      <c r="B160" s="145" t="s">
        <v>1276</v>
      </c>
      <c r="C160" s="36" t="s">
        <v>1322</v>
      </c>
      <c r="D160" s="37" t="s">
        <v>152</v>
      </c>
      <c r="E160" s="38" t="s">
        <v>282</v>
      </c>
      <c r="F160" s="39" t="s">
        <v>94</v>
      </c>
      <c r="G160" s="36" t="s">
        <v>1299</v>
      </c>
      <c r="H160" s="37" t="s">
        <v>152</v>
      </c>
      <c r="I160" s="38" t="s">
        <v>282</v>
      </c>
      <c r="J160" s="39" t="s">
        <v>94</v>
      </c>
      <c r="K160" s="37" t="s">
        <v>153</v>
      </c>
      <c r="L160" s="37" t="s">
        <v>156</v>
      </c>
      <c r="M160" s="40"/>
      <c r="N160" s="40"/>
      <c r="O160" s="45"/>
      <c r="P160" s="46"/>
      <c r="Q160" s="44"/>
    </row>
    <row r="161" spans="1:17" x14ac:dyDescent="0.2">
      <c r="A161" s="34">
        <f t="shared" si="2"/>
        <v>136</v>
      </c>
      <c r="B161" s="145" t="s">
        <v>1277</v>
      </c>
      <c r="C161" s="36" t="s">
        <v>1323</v>
      </c>
      <c r="D161" s="37" t="s">
        <v>152</v>
      </c>
      <c r="E161" s="38" t="s">
        <v>282</v>
      </c>
      <c r="F161" s="39" t="s">
        <v>94</v>
      </c>
      <c r="G161" s="36" t="s">
        <v>1300</v>
      </c>
      <c r="H161" s="37" t="s">
        <v>152</v>
      </c>
      <c r="I161" s="38" t="s">
        <v>282</v>
      </c>
      <c r="J161" s="39" t="s">
        <v>94</v>
      </c>
      <c r="K161" s="37" t="s">
        <v>153</v>
      </c>
      <c r="L161" s="37" t="s">
        <v>156</v>
      </c>
      <c r="M161" s="40"/>
      <c r="N161" s="40"/>
      <c r="O161" s="45"/>
      <c r="P161" s="46"/>
      <c r="Q161" s="44"/>
    </row>
    <row r="162" spans="1:17" x14ac:dyDescent="0.2">
      <c r="A162" s="34">
        <f t="shared" si="2"/>
        <v>137</v>
      </c>
      <c r="B162" s="145" t="s">
        <v>1278</v>
      </c>
      <c r="C162" s="36" t="s">
        <v>1324</v>
      </c>
      <c r="D162" s="37" t="s">
        <v>152</v>
      </c>
      <c r="E162" s="38" t="s">
        <v>282</v>
      </c>
      <c r="F162" s="39" t="s">
        <v>94</v>
      </c>
      <c r="G162" s="36" t="s">
        <v>1301</v>
      </c>
      <c r="H162" s="37" t="s">
        <v>152</v>
      </c>
      <c r="I162" s="38" t="s">
        <v>282</v>
      </c>
      <c r="J162" s="39" t="s">
        <v>94</v>
      </c>
      <c r="K162" s="37" t="s">
        <v>153</v>
      </c>
      <c r="L162" s="37" t="s">
        <v>156</v>
      </c>
      <c r="M162" s="40"/>
      <c r="N162" s="40"/>
      <c r="O162" s="45"/>
      <c r="P162" s="46"/>
      <c r="Q162" s="44"/>
    </row>
    <row r="163" spans="1:17" x14ac:dyDescent="0.2">
      <c r="A163" s="34">
        <f t="shared" si="2"/>
        <v>138</v>
      </c>
      <c r="B163" s="145" t="s">
        <v>1279</v>
      </c>
      <c r="C163" s="36" t="s">
        <v>1334</v>
      </c>
      <c r="D163" s="37" t="s">
        <v>152</v>
      </c>
      <c r="E163" s="38" t="s">
        <v>993</v>
      </c>
      <c r="F163" s="39" t="s">
        <v>94</v>
      </c>
      <c r="G163" s="36" t="s">
        <v>1302</v>
      </c>
      <c r="H163" s="37" t="s">
        <v>152</v>
      </c>
      <c r="I163" s="38" t="s">
        <v>282</v>
      </c>
      <c r="J163" s="39" t="s">
        <v>94</v>
      </c>
      <c r="K163" s="37" t="s">
        <v>153</v>
      </c>
      <c r="L163" s="37" t="s">
        <v>156</v>
      </c>
      <c r="M163" s="40"/>
      <c r="N163" s="40"/>
      <c r="O163" s="45"/>
      <c r="P163" s="46"/>
      <c r="Q163" s="44"/>
    </row>
    <row r="164" spans="1:17" x14ac:dyDescent="0.2">
      <c r="A164" s="34">
        <f t="shared" si="2"/>
        <v>139</v>
      </c>
      <c r="B164" s="145" t="s">
        <v>1280</v>
      </c>
      <c r="C164" s="36" t="s">
        <v>1335</v>
      </c>
      <c r="D164" s="37" t="s">
        <v>152</v>
      </c>
      <c r="E164" s="38" t="s">
        <v>282</v>
      </c>
      <c r="F164" s="39" t="s">
        <v>94</v>
      </c>
      <c r="G164" s="36" t="s">
        <v>1303</v>
      </c>
      <c r="H164" s="37" t="s">
        <v>152</v>
      </c>
      <c r="I164" s="38" t="s">
        <v>282</v>
      </c>
      <c r="J164" s="39" t="s">
        <v>94</v>
      </c>
      <c r="K164" s="37" t="s">
        <v>153</v>
      </c>
      <c r="L164" s="37" t="s">
        <v>156</v>
      </c>
      <c r="M164" s="40"/>
      <c r="N164" s="40"/>
      <c r="O164" s="45"/>
      <c r="P164" s="46"/>
      <c r="Q164" s="44"/>
    </row>
    <row r="165" spans="1:17" x14ac:dyDescent="0.2">
      <c r="A165" s="34">
        <f t="shared" si="2"/>
        <v>140</v>
      </c>
      <c r="B165" s="145" t="s">
        <v>1281</v>
      </c>
      <c r="C165" s="36" t="s">
        <v>1336</v>
      </c>
      <c r="D165" s="37" t="s">
        <v>152</v>
      </c>
      <c r="E165" s="38" t="s">
        <v>993</v>
      </c>
      <c r="F165" s="39" t="s">
        <v>94</v>
      </c>
      <c r="G165" s="36" t="s">
        <v>1304</v>
      </c>
      <c r="H165" s="37" t="s">
        <v>152</v>
      </c>
      <c r="I165" s="38" t="s">
        <v>282</v>
      </c>
      <c r="J165" s="39" t="s">
        <v>94</v>
      </c>
      <c r="K165" s="37" t="s">
        <v>153</v>
      </c>
      <c r="L165" s="37" t="s">
        <v>156</v>
      </c>
      <c r="M165" s="40"/>
      <c r="N165" s="40"/>
      <c r="O165" s="45"/>
      <c r="P165" s="46"/>
      <c r="Q165" s="44"/>
    </row>
    <row r="166" spans="1:17" x14ac:dyDescent="0.2">
      <c r="A166" s="34"/>
      <c r="B166" s="145"/>
      <c r="C166" s="36"/>
      <c r="D166" s="37"/>
      <c r="E166" s="38"/>
      <c r="F166" s="39"/>
      <c r="G166" s="36"/>
      <c r="H166" s="37"/>
      <c r="I166" s="38"/>
      <c r="J166" s="39"/>
      <c r="K166" s="37"/>
      <c r="L166" s="37"/>
      <c r="M166" s="40"/>
      <c r="N166" s="48"/>
      <c r="O166" s="45"/>
      <c r="P166" s="46"/>
      <c r="Q166" s="44"/>
    </row>
    <row r="167" spans="1:17" ht="13.5" thickBot="1" x14ac:dyDescent="0.25">
      <c r="A167" s="111"/>
      <c r="B167" s="153"/>
      <c r="C167" s="121"/>
      <c r="D167" s="112"/>
      <c r="E167" s="113"/>
      <c r="F167" s="122"/>
      <c r="G167" s="121"/>
      <c r="H167" s="112"/>
      <c r="I167" s="113"/>
      <c r="J167" s="122"/>
      <c r="K167" s="112"/>
      <c r="L167" s="112"/>
      <c r="M167" s="33"/>
      <c r="N167" s="33"/>
      <c r="O167" s="118"/>
      <c r="P167" s="119"/>
      <c r="Q167" s="123"/>
    </row>
  </sheetData>
  <autoFilter ref="A7:Q145"/>
  <customSheetViews>
    <customSheetView guid="{D8F10920-E766-11D0-9DB9-444553540000}" showPageBreaks="1" printArea="1" showRuler="0">
      <selection activeCell="F30" sqref="F30"/>
      <rowBreaks count="48" manualBreakCount="48">
        <brk id="55" max="13" man="1"/>
        <brk id="103" max="13" man="1"/>
        <brk id="151" max="13" man="1"/>
        <brk id="199" max="13" man="1"/>
        <brk id="247" max="13" man="1"/>
        <brk id="295" max="13" man="1"/>
        <brk id="343" max="13" man="1"/>
        <brk id="391" max="13" man="1"/>
        <brk id="439" max="13" man="1"/>
        <brk id="487" max="13" man="1"/>
        <brk id="535" max="13" man="1"/>
        <brk id="583" max="13" man="1"/>
        <brk id="631" max="13" man="1"/>
        <brk id="726" max="65535" man="1"/>
        <brk id="774" max="65535" man="1"/>
        <brk id="822" max="65535" man="1"/>
        <brk id="870" max="65535" man="1"/>
        <brk id="918" max="65535" man="1"/>
        <brk id="966" max="65535" man="1"/>
        <brk id="1014" max="65535" man="1"/>
        <brk id="1062" max="65535" man="1"/>
        <brk id="1110" max="65535" man="1"/>
        <brk id="1158" max="65535" man="1"/>
        <brk id="1206" max="65535" man="1"/>
        <brk id="1254" max="65535" man="1"/>
        <brk id="1302" max="65535" man="1"/>
        <brk id="1350" max="65535" man="1"/>
        <brk id="1398" max="65535" man="1"/>
        <brk id="1446" max="65535" man="1"/>
        <brk id="1494" max="65535" man="1"/>
        <brk id="1542" max="65535" man="1"/>
        <brk id="1590" max="65535" man="1"/>
        <brk id="1638" max="65535" man="1"/>
        <brk id="1686" max="65535" man="1"/>
        <brk id="1734" max="65535" man="1"/>
        <brk id="1782" max="65535" man="1"/>
        <brk id="1830" max="65535" man="1"/>
        <brk id="1878" max="65535" man="1"/>
        <brk id="1926" max="65535" man="1"/>
        <brk id="1974" max="65535" man="1"/>
        <brk id="2022" max="65535" man="1"/>
        <brk id="2070" max="65535" man="1"/>
        <brk id="2118" max="65535" man="1"/>
        <brk id="2166" max="65535" man="1"/>
        <brk id="2214" max="65535" man="1"/>
        <brk id="2262" max="65535" man="1"/>
        <brk id="2310" max="65535" man="1"/>
        <brk id="2358" max="65535" man="1"/>
      </rowBreaks>
      <pageMargins left="0.23622047244094491" right="0.23622047244094491" top="0.51181102362204722" bottom="0.48" header="0.51181102362204722" footer="0.2"/>
      <pageSetup paperSize="9" scale="79" orientation="landscape" horizontalDpi="4294967292" verticalDpi="4294967292" r:id="rId1"/>
      <headerFooter alignWithMargins="0">
        <oddFooter>&amp;R&amp;"Arial,Regular"&amp;10Page &amp;P of  &amp;N</oddFooter>
      </headerFooter>
    </customSheetView>
  </customSheetViews>
  <mergeCells count="10">
    <mergeCell ref="M40:M68"/>
    <mergeCell ref="F3:H3"/>
    <mergeCell ref="A8:C8"/>
    <mergeCell ref="N1:Q2"/>
    <mergeCell ref="C6:F6"/>
    <mergeCell ref="A6:A7"/>
    <mergeCell ref="M6:O6"/>
    <mergeCell ref="Q6:Q7"/>
    <mergeCell ref="B6:B7"/>
    <mergeCell ref="F2:H2"/>
  </mergeCells>
  <phoneticPr fontId="0" type="noConversion"/>
  <printOptions horizontalCentered="1" verticalCentered="1"/>
  <pageMargins left="0.19685039370078741" right="0.23622047244094491" top="0.43307086614173229" bottom="0.74803149606299213" header="0.43307086614173229" footer="0.19685039370078741"/>
  <pageSetup paperSize="8" scale="43" pageOrder="overThenDown" orientation="landscape" horizontalDpi="300" verticalDpi="300" r:id="rId2"/>
  <headerFooter alignWithMargins="0">
    <oddFooter>&amp;C&amp;"Arial,Bold"ENVIVIO_AIRTEL DTH HE PROJECT
NETWORK CABLE SHEDULE 102-XX-XXXX&amp;R&amp;"Arial,Regular"&amp;10Page &amp;P of  &amp;N</oddFooter>
  </headerFooter>
  <drawing r:id="rId3"/>
  <legacyDrawing r:id="rId4"/>
  <controls>
    <mc:AlternateContent xmlns:mc="http://schemas.openxmlformats.org/markup-compatibility/2006">
      <mc:Choice Requires="x14">
        <control shapeId="1059" r:id="rId5" name="CommandButton1">
          <controlPr locked="0" defaultSize="0" print="0" disabled="1" autoFill="0" autoLine="0" r:id="rId6">
            <anchor moveWithCells="1">
              <from>
                <xdr:col>6</xdr:col>
                <xdr:colOff>942975</xdr:colOff>
                <xdr:row>3</xdr:row>
                <xdr:rowOff>19050</xdr:rowOff>
              </from>
              <to>
                <xdr:col>6</xdr:col>
                <xdr:colOff>1857375</xdr:colOff>
                <xdr:row>4</xdr:row>
                <xdr:rowOff>104775</xdr:rowOff>
              </to>
            </anchor>
          </controlPr>
        </control>
      </mc:Choice>
      <mc:Fallback>
        <control shapeId="1059" r:id="rId5" name="CommandButton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0000"/>
  </sheetPr>
  <dimension ref="A1:E14"/>
  <sheetViews>
    <sheetView zoomScale="75" zoomScaleNormal="75" workbookViewId="0">
      <selection activeCell="H13" sqref="H13"/>
    </sheetView>
  </sheetViews>
  <sheetFormatPr defaultRowHeight="15.75" x14ac:dyDescent="0.2"/>
  <cols>
    <col min="1" max="1" width="9" style="127" bestFit="1" customWidth="1"/>
    <col min="2" max="2" width="42.33203125" style="128" bestFit="1" customWidth="1"/>
    <col min="3" max="3" width="32.6640625" style="128" bestFit="1" customWidth="1"/>
    <col min="4" max="4" width="14.33203125" style="127" bestFit="1" customWidth="1"/>
    <col min="5" max="5" width="13" style="127" bestFit="1" customWidth="1"/>
    <col min="6" max="16384" width="9.33203125" style="127"/>
  </cols>
  <sheetData>
    <row r="1" spans="1:5" x14ac:dyDescent="0.2">
      <c r="A1" s="190" t="s">
        <v>157</v>
      </c>
      <c r="B1" s="191"/>
      <c r="C1" s="191"/>
      <c r="D1" s="191"/>
      <c r="E1" s="192"/>
    </row>
    <row r="2" spans="1:5" x14ac:dyDescent="0.2">
      <c r="A2" s="185" t="s">
        <v>26</v>
      </c>
      <c r="B2" s="187" t="s">
        <v>158</v>
      </c>
      <c r="C2" s="187" t="s">
        <v>160</v>
      </c>
      <c r="D2" s="187" t="s">
        <v>159</v>
      </c>
      <c r="E2" s="189"/>
    </row>
    <row r="3" spans="1:5" ht="16.5" thickBot="1" x14ac:dyDescent="0.25">
      <c r="A3" s="186"/>
      <c r="B3" s="188"/>
      <c r="C3" s="188"/>
      <c r="D3" s="142" t="s">
        <v>161</v>
      </c>
      <c r="E3" s="143" t="s">
        <v>162</v>
      </c>
    </row>
    <row r="4" spans="1:5" x14ac:dyDescent="0.2">
      <c r="A4" s="138">
        <v>1</v>
      </c>
      <c r="B4" s="139" t="s">
        <v>164</v>
      </c>
      <c r="C4" s="139" t="s">
        <v>165</v>
      </c>
      <c r="D4" s="140" t="s">
        <v>167</v>
      </c>
      <c r="E4" s="141" t="s">
        <v>163</v>
      </c>
    </row>
    <row r="5" spans="1:5" x14ac:dyDescent="0.2">
      <c r="A5" s="132">
        <f>A4+1</f>
        <v>2</v>
      </c>
      <c r="B5" s="155" t="s">
        <v>164</v>
      </c>
      <c r="C5" s="155" t="s">
        <v>166</v>
      </c>
      <c r="D5" s="156" t="s">
        <v>1615</v>
      </c>
      <c r="E5" s="157" t="s">
        <v>163</v>
      </c>
    </row>
    <row r="6" spans="1:5" x14ac:dyDescent="0.2">
      <c r="A6" s="132">
        <f t="shared" ref="A6:A14" si="0">A5+1</f>
        <v>3</v>
      </c>
      <c r="B6" s="130" t="s">
        <v>168</v>
      </c>
      <c r="C6" s="130" t="s">
        <v>169</v>
      </c>
      <c r="D6" s="131" t="s">
        <v>170</v>
      </c>
      <c r="E6" s="133">
        <v>11000</v>
      </c>
    </row>
    <row r="7" spans="1:5" x14ac:dyDescent="0.2">
      <c r="A7" s="132">
        <f t="shared" si="0"/>
        <v>4</v>
      </c>
      <c r="B7" s="130" t="s">
        <v>168</v>
      </c>
      <c r="C7" s="130" t="s">
        <v>171</v>
      </c>
      <c r="D7" s="131" t="s">
        <v>172</v>
      </c>
      <c r="E7" s="133">
        <v>12000</v>
      </c>
    </row>
    <row r="8" spans="1:5" x14ac:dyDescent="0.2">
      <c r="A8" s="132">
        <f t="shared" si="0"/>
        <v>5</v>
      </c>
      <c r="B8" s="155" t="s">
        <v>173</v>
      </c>
      <c r="C8" s="155" t="s">
        <v>1340</v>
      </c>
      <c r="D8" s="156" t="s">
        <v>1339</v>
      </c>
      <c r="E8" s="157">
        <v>3000</v>
      </c>
    </row>
    <row r="9" spans="1:5" x14ac:dyDescent="0.2">
      <c r="A9" s="132"/>
      <c r="B9" s="155" t="s">
        <v>173</v>
      </c>
      <c r="C9" s="155" t="s">
        <v>1341</v>
      </c>
      <c r="D9" s="156" t="s">
        <v>1342</v>
      </c>
      <c r="E9" s="157">
        <v>4000</v>
      </c>
    </row>
    <row r="10" spans="1:5" x14ac:dyDescent="0.2">
      <c r="A10" s="132">
        <f>A8+1</f>
        <v>6</v>
      </c>
      <c r="B10" s="130" t="s">
        <v>175</v>
      </c>
      <c r="C10" s="130" t="s">
        <v>174</v>
      </c>
      <c r="D10" s="131" t="s">
        <v>176</v>
      </c>
      <c r="E10" s="133" t="s">
        <v>181</v>
      </c>
    </row>
    <row r="11" spans="1:5" x14ac:dyDescent="0.2">
      <c r="A11" s="132">
        <f t="shared" si="0"/>
        <v>7</v>
      </c>
      <c r="B11" s="130" t="s">
        <v>164</v>
      </c>
      <c r="C11" s="130" t="s">
        <v>177</v>
      </c>
      <c r="D11" s="131" t="s">
        <v>177</v>
      </c>
      <c r="E11" s="133">
        <v>8000</v>
      </c>
    </row>
    <row r="12" spans="1:5" x14ac:dyDescent="0.2">
      <c r="A12" s="132">
        <f t="shared" si="0"/>
        <v>8</v>
      </c>
      <c r="B12" s="130" t="s">
        <v>178</v>
      </c>
      <c r="C12" s="130" t="s">
        <v>179</v>
      </c>
      <c r="D12" s="131" t="s">
        <v>180</v>
      </c>
      <c r="E12" s="133">
        <v>7000</v>
      </c>
    </row>
    <row r="13" spans="1:5" x14ac:dyDescent="0.2">
      <c r="A13" s="132">
        <f t="shared" si="0"/>
        <v>9</v>
      </c>
      <c r="B13" s="130" t="s">
        <v>185</v>
      </c>
      <c r="C13" s="130" t="s">
        <v>182</v>
      </c>
      <c r="D13" s="131" t="s">
        <v>183</v>
      </c>
      <c r="E13" s="133">
        <v>9000</v>
      </c>
    </row>
    <row r="14" spans="1:5" ht="16.5" thickBot="1" x14ac:dyDescent="0.25">
      <c r="A14" s="134">
        <f t="shared" si="0"/>
        <v>10</v>
      </c>
      <c r="B14" s="135" t="s">
        <v>186</v>
      </c>
      <c r="C14" s="135" t="s">
        <v>184</v>
      </c>
      <c r="D14" s="136" t="s">
        <v>184</v>
      </c>
      <c r="E14" s="137">
        <v>10000</v>
      </c>
    </row>
  </sheetData>
  <mergeCells count="5">
    <mergeCell ref="A2:A3"/>
    <mergeCell ref="B2:B3"/>
    <mergeCell ref="C2:C3"/>
    <mergeCell ref="D2:E2"/>
    <mergeCell ref="A1:E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RF Schedule</vt:lpstr>
      <vt:lpstr>Video Schedule</vt:lpstr>
      <vt:lpstr>Audio Schedule</vt:lpstr>
      <vt:lpstr>ASI Schedule</vt:lpstr>
      <vt:lpstr>Network Schedule</vt:lpstr>
      <vt:lpstr>Cable No Legend</vt:lpstr>
      <vt:lpstr>'ASI Schedule'!Print_Area</vt:lpstr>
      <vt:lpstr>'Audio Schedule'!Print_Area</vt:lpstr>
      <vt:lpstr>'Network Schedule'!Print_Area</vt:lpstr>
      <vt:lpstr>'RF Schedule'!Print_Area</vt:lpstr>
      <vt:lpstr>'Video Schedule'!Print_Area</vt:lpstr>
      <vt:lpstr>'ASI Schedule'!Print_Titles</vt:lpstr>
      <vt:lpstr>'Audio Schedule'!Print_Titles</vt:lpstr>
      <vt:lpstr>'Network Schedule'!Print_Titles</vt:lpstr>
      <vt:lpstr>'RF Schedule'!Print_Titles</vt:lpstr>
      <vt:lpstr>'Video Schedule'!Print_Titles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Video Cable Schedule - Auditorium</dc:title>
  <dc:creator>Steve Hanson</dc:creator>
  <cp:lastModifiedBy>Janardhan</cp:lastModifiedBy>
  <cp:lastPrinted>2016-02-13T15:32:10Z</cp:lastPrinted>
  <dcterms:created xsi:type="dcterms:W3CDTF">1997-05-05T20:38:13Z</dcterms:created>
  <dcterms:modified xsi:type="dcterms:W3CDTF">2016-10-29T14:17:09Z</dcterms:modified>
</cp:coreProperties>
</file>