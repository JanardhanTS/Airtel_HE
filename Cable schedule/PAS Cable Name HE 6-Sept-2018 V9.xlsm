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HE\Cable schedule\"/>
    </mc:Choice>
  </mc:AlternateContent>
  <bookViews>
    <workbookView xWindow="0" yWindow="0" windowWidth="15360" windowHeight="7770" tabRatio="811" firstSheet="9" activeTab="11"/>
  </bookViews>
  <sheets>
    <sheet name="DA" sheetId="19" r:id="rId1"/>
    <sheet name="EN Quin Sw" sheetId="1" r:id="rId2"/>
    <sheet name="HM Quin Sw" sheetId="20" r:id="rId3"/>
    <sheet name="EN-HM IRD" sheetId="2" r:id="rId4"/>
    <sheet name="EN SDI-Router" sheetId="17" r:id="rId5"/>
    <sheet name="HM SDI - Router" sheetId="21" r:id="rId6"/>
    <sheet name="EN STB" sheetId="8" r:id="rId7"/>
    <sheet name="HM STB" sheetId="22" r:id="rId8"/>
    <sheet name="Free Ports" sheetId="28" r:id="rId9"/>
    <sheet name="EN IRD 1,2,3,4" sheetId="3" r:id="rId10"/>
    <sheet name="EN IRD 5,6,7,8" sheetId="5" r:id="rId11"/>
    <sheet name="EN IRD 9,10,11,12" sheetId="6" r:id="rId12"/>
    <sheet name="EN IRD 13,14,15,16" sheetId="7" r:id="rId13"/>
    <sheet name="EN IRD 17,18,19,20" sheetId="9" r:id="rId14"/>
    <sheet name="HM IRD 1,2,3,4" sheetId="12" r:id="rId15"/>
    <sheet name="HM IRD 5,6,7,8" sheetId="13" r:id="rId16"/>
    <sheet name="HM IRD 9,10,11,12" sheetId="23" r:id="rId17"/>
    <sheet name="HM IRD 13,14,15,16" sheetId="14" r:id="rId18"/>
    <sheet name="HM IRD 17,18,19,20" sheetId="24" r:id="rId19"/>
    <sheet name="Muse Multicast" sheetId="16" r:id="rId20"/>
    <sheet name="Eletra 8K, XT Mutlicast" sheetId="18" r:id="rId21"/>
    <sheet name="MUX Multicast" sheetId="25" r:id="rId22"/>
    <sheet name="IRD Multicast" sheetId="27" r:id="rId23"/>
  </sheets>
  <definedNames>
    <definedName name="Cable_Name" localSheetId="2">'HM Quin Sw'!#REF!</definedName>
    <definedName name="Cable_Name">'EN Quin Sw'!$AV$2:$AV$166</definedName>
    <definedName name="_xlnm.Print_Area" localSheetId="0">DA!$B$2:$S$22</definedName>
    <definedName name="_xlnm.Print_Area" localSheetId="9">'EN IRD 1,2,3,4'!$A$1:$AG$30</definedName>
    <definedName name="_xlnm.Print_Area" localSheetId="4">'EN SDI-Router'!$B$2:$M$26</definedName>
    <definedName name="_xlnm.Print_Area" localSheetId="5">'HM SDI - Router'!$B$2:$M$23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9" i="21" l="1"/>
  <c r="L10" i="21"/>
  <c r="L11" i="21"/>
  <c r="L15" i="21" s="1"/>
  <c r="L12" i="21"/>
  <c r="L13" i="21"/>
  <c r="L14" i="21"/>
  <c r="L8" i="21"/>
  <c r="L5" i="21"/>
  <c r="L6" i="21"/>
  <c r="L7" i="21"/>
  <c r="L4" i="21"/>
  <c r="H21" i="21"/>
  <c r="H22" i="21"/>
  <c r="H23" i="21"/>
  <c r="H20" i="21"/>
  <c r="H9" i="21"/>
  <c r="H10" i="21"/>
  <c r="H11" i="21"/>
  <c r="H12" i="21"/>
  <c r="H13" i="21"/>
  <c r="H14" i="21"/>
  <c r="H15" i="21"/>
  <c r="H16" i="21"/>
  <c r="H17" i="21"/>
  <c r="H18" i="21"/>
  <c r="H19" i="21"/>
  <c r="H8" i="21"/>
  <c r="H5" i="21"/>
  <c r="H6" i="21"/>
  <c r="H7" i="21"/>
  <c r="H4" i="21"/>
  <c r="D9" i="21"/>
  <c r="D10" i="21"/>
  <c r="D11" i="21"/>
  <c r="D12" i="21"/>
  <c r="D16" i="21" s="1"/>
  <c r="D20" i="21" s="1"/>
  <c r="D13" i="21"/>
  <c r="D14" i="21"/>
  <c r="D18" i="21" s="1"/>
  <c r="D22" i="21" s="1"/>
  <c r="D15" i="21"/>
  <c r="D17" i="21"/>
  <c r="D21" i="21" s="1"/>
  <c r="D19" i="21"/>
  <c r="D23" i="21"/>
  <c r="D8" i="21"/>
  <c r="J9" i="16" l="1"/>
  <c r="J8" i="16"/>
  <c r="J7" i="16"/>
  <c r="J6" i="16"/>
  <c r="J5" i="16"/>
  <c r="J4" i="16"/>
  <c r="J3" i="16"/>
  <c r="J10" i="16" l="1"/>
</calcChain>
</file>

<file path=xl/comments1.xml><?xml version="1.0" encoding="utf-8"?>
<comments xmlns="http://schemas.openxmlformats.org/spreadsheetml/2006/main">
  <authors>
    <author>Janardhan</author>
  </authors>
  <commentList>
    <comment ref="G8" authorId="0" shapeId="0">
      <text>
        <r>
          <rPr>
            <b/>
            <sz val="9"/>
            <color indexed="81"/>
            <rFont val="Tahoma"/>
            <family val="2"/>
          </rPr>
          <t>Unused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Unused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Unused</t>
        </r>
      </text>
    </comment>
  </commentList>
</comments>
</file>

<file path=xl/comments2.xml><?xml version="1.0" encoding="utf-8"?>
<comments xmlns="http://schemas.openxmlformats.org/spreadsheetml/2006/main">
  <authors>
    <author>Janardhan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Janardhan:
To SRF(ASiaSat 7H)</t>
        </r>
      </text>
    </comment>
  </commentList>
</comments>
</file>

<file path=xl/comments3.xml><?xml version="1.0" encoding="utf-8"?>
<comments xmlns="http://schemas.openxmlformats.org/spreadsheetml/2006/main">
  <authors>
    <author>Janardhan</author>
  </authors>
  <commentList>
    <comment ref="J3" authorId="0" shapeId="0">
      <text>
        <r>
          <rPr>
            <b/>
            <sz val="9"/>
            <color indexed="81"/>
            <rFont val="Tahoma"/>
            <family val="2"/>
          </rPr>
          <t>Janardhan:</t>
        </r>
        <r>
          <rPr>
            <sz val="9"/>
            <color indexed="81"/>
            <rFont val="Tahoma"/>
            <family val="2"/>
          </rPr>
          <t xml:space="preserve">
1:4 Splitter(A3B06L)
Connected DA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Janardhan:</t>
        </r>
        <r>
          <rPr>
            <sz val="9"/>
            <color indexed="81"/>
            <rFont val="Tahoma"/>
            <family val="2"/>
          </rPr>
          <t xml:space="preserve">
1:4 Splitter(A3B06L)
Connected DA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 xml:space="preserve">Janardhan:
</t>
        </r>
        <r>
          <rPr>
            <sz val="9"/>
            <color indexed="81"/>
            <rFont val="Tahoma"/>
            <family val="2"/>
          </rPr>
          <t>1:4 Splitter(A3B06L)
Connected DA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Janardhan:</t>
        </r>
        <r>
          <rPr>
            <sz val="9"/>
            <color indexed="81"/>
            <rFont val="Tahoma"/>
            <family val="2"/>
          </rPr>
          <t xml:space="preserve">
1:4 Splitter(A3B06L)
Connected DA</t>
        </r>
      </text>
    </comment>
  </commentList>
</comments>
</file>

<file path=xl/comments4.xml><?xml version="1.0" encoding="utf-8"?>
<comments xmlns="http://schemas.openxmlformats.org/spreadsheetml/2006/main">
  <authors>
    <author>Janardhan</author>
  </authors>
  <commentList>
    <comment ref="AD3" authorId="0" shapeId="0">
      <text>
        <r>
          <rPr>
            <b/>
            <sz val="9"/>
            <color indexed="81"/>
            <rFont val="Tahoma"/>
            <family val="2"/>
          </rPr>
          <t>Janardhan:</t>
        </r>
        <r>
          <rPr>
            <sz val="9"/>
            <color indexed="81"/>
            <rFont val="Tahoma"/>
            <family val="2"/>
          </rPr>
          <t xml:space="preserve">
Connected to SRF</t>
        </r>
      </text>
    </comment>
    <comment ref="AD6" authorId="0" shapeId="0">
      <text>
        <r>
          <rPr>
            <b/>
            <sz val="9"/>
            <color indexed="81"/>
            <rFont val="Tahoma"/>
            <family val="2"/>
          </rPr>
          <t>Janardhan:</t>
        </r>
        <r>
          <rPr>
            <sz val="9"/>
            <color indexed="81"/>
            <rFont val="Tahoma"/>
            <family val="2"/>
          </rPr>
          <t xml:space="preserve">
Not loecked to this frequency</t>
        </r>
      </text>
    </comment>
  </commentList>
</comments>
</file>

<file path=xl/sharedStrings.xml><?xml version="1.0" encoding="utf-8"?>
<sst xmlns="http://schemas.openxmlformats.org/spreadsheetml/2006/main" count="4608" uniqueCount="2132">
  <si>
    <t>Rack 7</t>
  </si>
  <si>
    <t>Rack 3</t>
  </si>
  <si>
    <t>Port</t>
  </si>
  <si>
    <t>Rack 4</t>
  </si>
  <si>
    <t>Rack 5</t>
  </si>
  <si>
    <t>INPUT</t>
  </si>
  <si>
    <t>RF9401</t>
  </si>
  <si>
    <t>RF9402</t>
  </si>
  <si>
    <t>SAT</t>
  </si>
  <si>
    <t>RF7003</t>
  </si>
  <si>
    <t>RF7004</t>
  </si>
  <si>
    <t>RF7005</t>
  </si>
  <si>
    <t>RF7006</t>
  </si>
  <si>
    <t>RF7007</t>
  </si>
  <si>
    <t>RF7008</t>
  </si>
  <si>
    <t>RF7009</t>
  </si>
  <si>
    <t>RF7010</t>
  </si>
  <si>
    <t>RF7011</t>
  </si>
  <si>
    <t>RF7012</t>
  </si>
  <si>
    <t>RF7013</t>
  </si>
  <si>
    <t>RF7014</t>
  </si>
  <si>
    <t>RF7015</t>
  </si>
  <si>
    <t>RF7016</t>
  </si>
  <si>
    <t>RF7017</t>
  </si>
  <si>
    <t>RF7018</t>
  </si>
  <si>
    <t>RF7019</t>
  </si>
  <si>
    <t>RF7020</t>
  </si>
  <si>
    <t>RF9403</t>
  </si>
  <si>
    <t>RF9404</t>
  </si>
  <si>
    <t>RF7024</t>
  </si>
  <si>
    <t>RF7025</t>
  </si>
  <si>
    <t>RF7026</t>
  </si>
  <si>
    <t>RF7027</t>
  </si>
  <si>
    <t>RF7028</t>
  </si>
  <si>
    <t>RF7029</t>
  </si>
  <si>
    <t>RF7030</t>
  </si>
  <si>
    <t>RF7031</t>
  </si>
  <si>
    <t>RF7032</t>
  </si>
  <si>
    <t>RF7033</t>
  </si>
  <si>
    <t>RF7034</t>
  </si>
  <si>
    <t>RF7035</t>
  </si>
  <si>
    <t>RF7036</t>
  </si>
  <si>
    <t>RF7037</t>
  </si>
  <si>
    <t>RF7038</t>
  </si>
  <si>
    <t>RF7039</t>
  </si>
  <si>
    <t>RF7040</t>
  </si>
  <si>
    <t>RF7041</t>
  </si>
  <si>
    <t>RF7042</t>
  </si>
  <si>
    <t>RF7043</t>
  </si>
  <si>
    <t>Cbl Name</t>
  </si>
  <si>
    <t>InSat 4H</t>
  </si>
  <si>
    <t>IS 17V</t>
  </si>
  <si>
    <t>RF9405</t>
  </si>
  <si>
    <t>RF9406</t>
  </si>
  <si>
    <t>RF7046</t>
  </si>
  <si>
    <t>RF7047</t>
  </si>
  <si>
    <t>RF7048</t>
  </si>
  <si>
    <t>RF7049</t>
  </si>
  <si>
    <t>RF7050</t>
  </si>
  <si>
    <t>RF7051</t>
  </si>
  <si>
    <t>RF7052</t>
  </si>
  <si>
    <t>RF7053</t>
  </si>
  <si>
    <t>RF7054</t>
  </si>
  <si>
    <t>RF7055</t>
  </si>
  <si>
    <t>RF7056</t>
  </si>
  <si>
    <t>RF7057</t>
  </si>
  <si>
    <t>RF8034</t>
  </si>
  <si>
    <t>RF9036</t>
  </si>
  <si>
    <t>RF9034</t>
  </si>
  <si>
    <t>RF9035</t>
  </si>
  <si>
    <t>RF8036</t>
  </si>
  <si>
    <t>RF8035</t>
  </si>
  <si>
    <t>IS20 V</t>
  </si>
  <si>
    <t>RF7058</t>
  </si>
  <si>
    <t>RF7059</t>
  </si>
  <si>
    <t>RF8033</t>
  </si>
  <si>
    <t>IS20 H</t>
  </si>
  <si>
    <t>Rack 6</t>
  </si>
  <si>
    <t xml:space="preserve"> Switch 1</t>
  </si>
  <si>
    <t xml:space="preserve"> Switch 2</t>
  </si>
  <si>
    <t xml:space="preserve"> Switch 3</t>
  </si>
  <si>
    <t xml:space="preserve"> Switch 4</t>
  </si>
  <si>
    <t>RF8001</t>
  </si>
  <si>
    <t>RF8003</t>
  </si>
  <si>
    <t>RF8004</t>
  </si>
  <si>
    <t>RF8006</t>
  </si>
  <si>
    <t>RF8007</t>
  </si>
  <si>
    <t>RF9001</t>
  </si>
  <si>
    <t>RF8005</t>
  </si>
  <si>
    <t>RF9003</t>
  </si>
  <si>
    <t>RF9004</t>
  </si>
  <si>
    <t>RF9006</t>
  </si>
  <si>
    <t>RF9007</t>
  </si>
  <si>
    <t>RF8009</t>
  </si>
  <si>
    <t>RF8010</t>
  </si>
  <si>
    <t>RF8011</t>
  </si>
  <si>
    <t>RF8012</t>
  </si>
  <si>
    <t>RF8013</t>
  </si>
  <si>
    <t>RF8014</t>
  </si>
  <si>
    <t>RF8015</t>
  </si>
  <si>
    <t>RF8016</t>
  </si>
  <si>
    <t>RF8017</t>
  </si>
  <si>
    <t>RF8018</t>
  </si>
  <si>
    <t>RF8019</t>
  </si>
  <si>
    <t>RF9009</t>
  </si>
  <si>
    <t>RF9010</t>
  </si>
  <si>
    <t>RF9011</t>
  </si>
  <si>
    <t>RF9012</t>
  </si>
  <si>
    <t>RF8002</t>
  </si>
  <si>
    <t>RF9002</t>
  </si>
  <si>
    <t>RF44</t>
  </si>
  <si>
    <t>RF45</t>
  </si>
  <si>
    <t>IS 17H</t>
  </si>
  <si>
    <t>IS 20V</t>
  </si>
  <si>
    <t>IS 20H</t>
  </si>
  <si>
    <t>RF8032</t>
  </si>
  <si>
    <t>RF8021</t>
  </si>
  <si>
    <t>RF8022</t>
  </si>
  <si>
    <t>RF8023</t>
  </si>
  <si>
    <t>RF8024</t>
  </si>
  <si>
    <t>RF8025</t>
  </si>
  <si>
    <t>RF8026</t>
  </si>
  <si>
    <t>RF8027</t>
  </si>
  <si>
    <t>RF8028</t>
  </si>
  <si>
    <t>RF8029</t>
  </si>
  <si>
    <t>RF8030</t>
  </si>
  <si>
    <t>RF8031</t>
  </si>
  <si>
    <t>RF9021</t>
  </si>
  <si>
    <t>RF9022</t>
  </si>
  <si>
    <t>RF9023</t>
  </si>
  <si>
    <t>RF9024</t>
  </si>
  <si>
    <t>RF9025</t>
  </si>
  <si>
    <t>RF9026</t>
  </si>
  <si>
    <t>RF9027</t>
  </si>
  <si>
    <t>RF9028</t>
  </si>
  <si>
    <t>RF9029</t>
  </si>
  <si>
    <t>RF9030</t>
  </si>
  <si>
    <t>RF9031</t>
  </si>
  <si>
    <t>RF9032</t>
  </si>
  <si>
    <t>RF9201</t>
  </si>
  <si>
    <t>RF9202</t>
  </si>
  <si>
    <t>RF9203</t>
  </si>
  <si>
    <t>RF9204</t>
  </si>
  <si>
    <t>RF9101</t>
  </si>
  <si>
    <t>RF9102</t>
  </si>
  <si>
    <t>RF9103</t>
  </si>
  <si>
    <t>RF8041</t>
  </si>
  <si>
    <t>RF8042</t>
  </si>
  <si>
    <t>RF8043</t>
  </si>
  <si>
    <t>RF8044</t>
  </si>
  <si>
    <t>RF8045</t>
  </si>
  <si>
    <t>RF8046</t>
  </si>
  <si>
    <t>RF8047</t>
  </si>
  <si>
    <t>RF8048</t>
  </si>
  <si>
    <t>RF8049</t>
  </si>
  <si>
    <t>RF8050</t>
  </si>
  <si>
    <t>RF8051</t>
  </si>
  <si>
    <t>RF9041</t>
  </si>
  <si>
    <t>RF9042</t>
  </si>
  <si>
    <t>RF9043</t>
  </si>
  <si>
    <t>RF9044</t>
  </si>
  <si>
    <t>RF8052</t>
  </si>
  <si>
    <t>RF8053</t>
  </si>
  <si>
    <t>RF8054</t>
  </si>
  <si>
    <t>RF8055</t>
  </si>
  <si>
    <t>RF8056</t>
  </si>
  <si>
    <t>RF9045</t>
  </si>
  <si>
    <t>RF9046</t>
  </si>
  <si>
    <t>RF9047</t>
  </si>
  <si>
    <t>RF9048</t>
  </si>
  <si>
    <t>RF9049</t>
  </si>
  <si>
    <t>RF9050</t>
  </si>
  <si>
    <t>RF9051</t>
  </si>
  <si>
    <t>RF9052</t>
  </si>
  <si>
    <t>RF9053</t>
  </si>
  <si>
    <t>RF9054</t>
  </si>
  <si>
    <t>RF9055</t>
  </si>
  <si>
    <t>RF9056</t>
  </si>
  <si>
    <t>Harmonic Rack</t>
  </si>
  <si>
    <t>RF8057</t>
  </si>
  <si>
    <t>RF8058</t>
  </si>
  <si>
    <t>RF8059</t>
  </si>
  <si>
    <t>RF8060</t>
  </si>
  <si>
    <t>RF8062</t>
  </si>
  <si>
    <t>RF9057</t>
  </si>
  <si>
    <t>RF9058</t>
  </si>
  <si>
    <t>RF9059</t>
  </si>
  <si>
    <t>RF9060</t>
  </si>
  <si>
    <t>RF9061</t>
  </si>
  <si>
    <t>RF9062</t>
  </si>
  <si>
    <t>RF9301</t>
  </si>
  <si>
    <t>ASIASAT 7V</t>
  </si>
  <si>
    <t>INSAT 4A H</t>
  </si>
  <si>
    <t>INSAT 4AH</t>
  </si>
  <si>
    <t>RF9303</t>
  </si>
  <si>
    <t>RF9304</t>
  </si>
  <si>
    <t>RF8073</t>
  </si>
  <si>
    <t>RF8074</t>
  </si>
  <si>
    <t>RF8075</t>
  </si>
  <si>
    <t>RF8076</t>
  </si>
  <si>
    <t>RF9073</t>
  </si>
  <si>
    <t>RF9074</t>
  </si>
  <si>
    <t>RF9075</t>
  </si>
  <si>
    <t>RF9076</t>
  </si>
  <si>
    <t>RF8077</t>
  </si>
  <si>
    <t>RF8078</t>
  </si>
  <si>
    <t>RF8079</t>
  </si>
  <si>
    <t>RF8080</t>
  </si>
  <si>
    <t>RF9077</t>
  </si>
  <si>
    <t>RF9078</t>
  </si>
  <si>
    <t>RF9079</t>
  </si>
  <si>
    <t>RF9080</t>
  </si>
  <si>
    <t>8 PORT SWITCH</t>
  </si>
  <si>
    <t>RF9302</t>
  </si>
  <si>
    <t>Not Connected</t>
  </si>
  <si>
    <t>Connected to IRD</t>
  </si>
  <si>
    <t>Primary</t>
  </si>
  <si>
    <t>Secondery</t>
  </si>
  <si>
    <t>RF1</t>
  </si>
  <si>
    <t>RF2</t>
  </si>
  <si>
    <t>RF3</t>
  </si>
  <si>
    <t>RF4</t>
  </si>
  <si>
    <t>IRD 1</t>
  </si>
  <si>
    <t>IRD 2</t>
  </si>
  <si>
    <t>IRD 3</t>
  </si>
  <si>
    <t>IRD 4</t>
  </si>
  <si>
    <t>IRD 5</t>
  </si>
  <si>
    <t>IRD 6</t>
  </si>
  <si>
    <t>IRD 7</t>
  </si>
  <si>
    <t>IRD 8</t>
  </si>
  <si>
    <t>IRD 9</t>
  </si>
  <si>
    <t>IRD 10</t>
  </si>
  <si>
    <t>IRD 11</t>
  </si>
  <si>
    <t>IRD 12</t>
  </si>
  <si>
    <t>IRD 13</t>
  </si>
  <si>
    <t>IRD 14</t>
  </si>
  <si>
    <t>IRD 15</t>
  </si>
  <si>
    <t>IRD 16</t>
  </si>
  <si>
    <t>IRD 17</t>
  </si>
  <si>
    <t>IRD 18</t>
  </si>
  <si>
    <t>IRD 19</t>
  </si>
  <si>
    <t>IRD 20</t>
  </si>
  <si>
    <t>Source</t>
  </si>
  <si>
    <t>RF8008</t>
  </si>
  <si>
    <t>RF8037</t>
  </si>
  <si>
    <t>RF8038</t>
  </si>
  <si>
    <t>RF8020</t>
  </si>
  <si>
    <t>RF8039</t>
  </si>
  <si>
    <t>RF8040</t>
  </si>
  <si>
    <t>RACK 7</t>
  </si>
  <si>
    <t>RACK 6</t>
  </si>
  <si>
    <t>Location</t>
  </si>
  <si>
    <t>RF9005</t>
  </si>
  <si>
    <t>RF9013</t>
  </si>
  <si>
    <t>RF9017</t>
  </si>
  <si>
    <t>RF9033</t>
  </si>
  <si>
    <t>RF9037</t>
  </si>
  <si>
    <t>RF9008</t>
  </si>
  <si>
    <t>RF9014</t>
  </si>
  <si>
    <t>RF9015</t>
  </si>
  <si>
    <t>RF9016</t>
  </si>
  <si>
    <t>RF9018</t>
  </si>
  <si>
    <t>RF9019</t>
  </si>
  <si>
    <t>RF9020</t>
  </si>
  <si>
    <t>RF9038</t>
  </si>
  <si>
    <t>RF9039</t>
  </si>
  <si>
    <t>RF9040</t>
  </si>
  <si>
    <t>RF 1</t>
  </si>
  <si>
    <t>RF 2</t>
  </si>
  <si>
    <t>RF 3</t>
  </si>
  <si>
    <t>RF 4</t>
  </si>
  <si>
    <t>Service</t>
  </si>
  <si>
    <t>ID</t>
  </si>
  <si>
    <t>Sattelite</t>
  </si>
  <si>
    <t>Cable name</t>
  </si>
  <si>
    <t>SL No</t>
  </si>
  <si>
    <t>RF IN</t>
  </si>
  <si>
    <t>Multicast</t>
  </si>
  <si>
    <t>239.6.0.1</t>
  </si>
  <si>
    <t>No Conn</t>
  </si>
  <si>
    <t>239.6.0.2</t>
  </si>
  <si>
    <t>239.6.0.3</t>
  </si>
  <si>
    <t>239.6.0.4</t>
  </si>
  <si>
    <t>239.6.0.5</t>
  </si>
  <si>
    <t>239.6.0.6</t>
  </si>
  <si>
    <t>239.6.0.7</t>
  </si>
  <si>
    <t>239.6.0.8</t>
  </si>
  <si>
    <t>239.6.0.9</t>
  </si>
  <si>
    <t>239.6.0.10</t>
  </si>
  <si>
    <t>239.6.0.11</t>
  </si>
  <si>
    <t>239.6.0.12</t>
  </si>
  <si>
    <t>239.6.0.13</t>
  </si>
  <si>
    <t>239.6.0.14</t>
  </si>
  <si>
    <t>239.6.0.15</t>
  </si>
  <si>
    <t>239.6.0.16</t>
  </si>
  <si>
    <t>Freq in MHz</t>
  </si>
  <si>
    <t>Syb Rate</t>
  </si>
  <si>
    <t>239.6.0.17</t>
  </si>
  <si>
    <t>239.6.0.18</t>
  </si>
  <si>
    <t>239.6.0.19</t>
  </si>
  <si>
    <t>239.6.0.20</t>
  </si>
  <si>
    <t>239.6.0.21</t>
  </si>
  <si>
    <t>239.6.0.22</t>
  </si>
  <si>
    <t>239.6.0.23</t>
  </si>
  <si>
    <t>239.6.0.24</t>
  </si>
  <si>
    <t>239.6.0.25</t>
  </si>
  <si>
    <t>239.6.0.26</t>
  </si>
  <si>
    <t>239.6.0.27</t>
  </si>
  <si>
    <t>239.6.0.28</t>
  </si>
  <si>
    <t>239.6.0.29</t>
  </si>
  <si>
    <t>239.6.0.30</t>
  </si>
  <si>
    <t>239.6.0.31</t>
  </si>
  <si>
    <t>239.6.0.32</t>
  </si>
  <si>
    <t>Cable Name</t>
  </si>
  <si>
    <t>Rack</t>
  </si>
  <si>
    <t>Switch</t>
  </si>
  <si>
    <t>Satellite</t>
  </si>
  <si>
    <t>IS 20 H</t>
  </si>
  <si>
    <t xml:space="preserve"> </t>
  </si>
  <si>
    <t>AsiaSat 7H</t>
  </si>
  <si>
    <t>Select Cable</t>
  </si>
  <si>
    <t>IRD : Port</t>
  </si>
  <si>
    <t>239.6.0.33</t>
  </si>
  <si>
    <t>239.6.0.34</t>
  </si>
  <si>
    <t>239.6.0.35</t>
  </si>
  <si>
    <t>239.6.0.36</t>
  </si>
  <si>
    <t>239.6.0.37</t>
  </si>
  <si>
    <t>239.6.0.38</t>
  </si>
  <si>
    <t>239.6.0.39</t>
  </si>
  <si>
    <t>239.6.0.40</t>
  </si>
  <si>
    <t>239.6.0.41</t>
  </si>
  <si>
    <t>239.6.0.42</t>
  </si>
  <si>
    <t>239.6.0.43</t>
  </si>
  <si>
    <t>239.6.0.44</t>
  </si>
  <si>
    <t>239.6.0.45</t>
  </si>
  <si>
    <t>239.6.0.46</t>
  </si>
  <si>
    <t>239.6.0.47</t>
  </si>
  <si>
    <t>239.6.0.48</t>
  </si>
  <si>
    <t>AsiaSat 7V</t>
  </si>
  <si>
    <t>Insat 4A H</t>
  </si>
  <si>
    <t>239.6.0.49</t>
  </si>
  <si>
    <t>239.6.0.50</t>
  </si>
  <si>
    <t>239.6.0.51</t>
  </si>
  <si>
    <t>239.6.0.52</t>
  </si>
  <si>
    <t>239.6.0.53</t>
  </si>
  <si>
    <t>239.6.0.54</t>
  </si>
  <si>
    <t>239.6.0.55</t>
  </si>
  <si>
    <t>239.6.0.56</t>
  </si>
  <si>
    <t>239.6.0.57</t>
  </si>
  <si>
    <t>239.6.0.58</t>
  </si>
  <si>
    <t>239.6.0.59</t>
  </si>
  <si>
    <t>239.6.0.60</t>
  </si>
  <si>
    <t>239.6.0.61</t>
  </si>
  <si>
    <t>239.6.0.62</t>
  </si>
  <si>
    <t>239.6.0.63</t>
  </si>
  <si>
    <t>239.6.0.64</t>
  </si>
  <si>
    <t>RF8061</t>
  </si>
  <si>
    <t>RF8063</t>
  </si>
  <si>
    <t>RF8064</t>
  </si>
  <si>
    <t>RF9063</t>
  </si>
  <si>
    <t>RF9094</t>
  </si>
  <si>
    <t>Asiasat 4H</t>
  </si>
  <si>
    <t>Rack No</t>
  </si>
  <si>
    <t>239.6.0.65</t>
  </si>
  <si>
    <t>239.6.0.66</t>
  </si>
  <si>
    <t>239.6.0.67</t>
  </si>
  <si>
    <t>239.6.0.68</t>
  </si>
  <si>
    <t>239.6.0.69</t>
  </si>
  <si>
    <t>239.6.0.70</t>
  </si>
  <si>
    <t>239.6.0.71</t>
  </si>
  <si>
    <t>239.6.0.72</t>
  </si>
  <si>
    <t>239.6.0.73</t>
  </si>
  <si>
    <t>239.6.0.74</t>
  </si>
  <si>
    <t>239.6.0.75</t>
  </si>
  <si>
    <t>239.6.0.76</t>
  </si>
  <si>
    <t>239.6.0.77</t>
  </si>
  <si>
    <t>239.6.0.78</t>
  </si>
  <si>
    <t>239.6.0.79</t>
  </si>
  <si>
    <t>239.6.0.80</t>
  </si>
  <si>
    <t>RF8065</t>
  </si>
  <si>
    <t>RF8066</t>
  </si>
  <si>
    <t>RF8067</t>
  </si>
  <si>
    <t>RF8068</t>
  </si>
  <si>
    <t>RF8069</t>
  </si>
  <si>
    <t>RF8070</t>
  </si>
  <si>
    <t>RF8071</t>
  </si>
  <si>
    <t>RF8072</t>
  </si>
  <si>
    <t>Kalaignar Isai Aruvi</t>
  </si>
  <si>
    <t>Kalaignar Siripolli</t>
  </si>
  <si>
    <t>Kalaignar Chaitram</t>
  </si>
  <si>
    <t>Kalaignar  Murasu</t>
  </si>
  <si>
    <t>Vendara</t>
  </si>
  <si>
    <t>News 7 Tamil</t>
  </si>
  <si>
    <t>Sairam</t>
  </si>
  <si>
    <t>NDTV 24x4</t>
  </si>
  <si>
    <t>NDTV India</t>
  </si>
  <si>
    <t>NDTV Profit</t>
  </si>
  <si>
    <t>NDTV GT</t>
  </si>
  <si>
    <t>Angel</t>
  </si>
  <si>
    <t>Captain</t>
  </si>
  <si>
    <t>Imalam</t>
  </si>
  <si>
    <t>Madha</t>
  </si>
  <si>
    <t>Makkal</t>
  </si>
  <si>
    <t>Kairali</t>
  </si>
  <si>
    <t>People</t>
  </si>
  <si>
    <t>Kairali WE</t>
  </si>
  <si>
    <t>Moon</t>
  </si>
  <si>
    <t>Puthiya Thalaimurai</t>
  </si>
  <si>
    <t>Sri Sankara</t>
  </si>
  <si>
    <t>Subhavartha</t>
  </si>
  <si>
    <t>Tamilain</t>
  </si>
  <si>
    <t>Vasanth</t>
  </si>
  <si>
    <t>Win</t>
  </si>
  <si>
    <t>Polimer</t>
  </si>
  <si>
    <t>Studio N</t>
  </si>
  <si>
    <t>Public</t>
  </si>
  <si>
    <t>Captain News</t>
  </si>
  <si>
    <t>TV 5</t>
  </si>
  <si>
    <t>Polimer News</t>
  </si>
  <si>
    <t>MK Television</t>
  </si>
  <si>
    <t>Channel UFX</t>
  </si>
  <si>
    <t>Puthuyugam</t>
  </si>
  <si>
    <t>Public Music</t>
  </si>
  <si>
    <t>kairali Arabia</t>
  </si>
  <si>
    <t>Asianet Movies</t>
  </si>
  <si>
    <t>No Lock</t>
  </si>
  <si>
    <t>Kappa</t>
  </si>
  <si>
    <t>Mathrubhumi News</t>
  </si>
  <si>
    <t>Mathrubhumi News North</t>
  </si>
  <si>
    <t>Mathrubhumi News South</t>
  </si>
  <si>
    <t>Shalom</t>
  </si>
  <si>
    <t>Salvation</t>
  </si>
  <si>
    <t>Media One</t>
  </si>
  <si>
    <t>Kaumudy</t>
  </si>
  <si>
    <t>Athmeeya Yathra</t>
  </si>
  <si>
    <t>Power Vision</t>
  </si>
  <si>
    <t>Dheeran</t>
  </si>
  <si>
    <t>Kalki</t>
  </si>
  <si>
    <t>Anandam</t>
  </si>
  <si>
    <t>Harvest</t>
  </si>
  <si>
    <t>Ashirvatham</t>
  </si>
  <si>
    <t>Safari</t>
  </si>
  <si>
    <t>Safthiyam</t>
  </si>
  <si>
    <t>Asianet</t>
  </si>
  <si>
    <t>Star Vijay</t>
  </si>
  <si>
    <t>UTV Movies</t>
  </si>
  <si>
    <t>Bindass</t>
  </si>
  <si>
    <t>UTV Action</t>
  </si>
  <si>
    <t>India news HARYANA</t>
  </si>
  <si>
    <t>India news RAJASTHAN</t>
  </si>
  <si>
    <t>India News</t>
  </si>
  <si>
    <t>LTV</t>
  </si>
  <si>
    <t>Delhi News</t>
  </si>
  <si>
    <t>India news UP/UK</t>
  </si>
  <si>
    <t>India news MP</t>
  </si>
  <si>
    <t>Insight HD</t>
  </si>
  <si>
    <t>News X HD</t>
  </si>
  <si>
    <t>News X</t>
  </si>
  <si>
    <t>Raj Tv</t>
  </si>
  <si>
    <t>Raj Digital Plus</t>
  </si>
  <si>
    <t>Raj News</t>
  </si>
  <si>
    <t>Raj Musix</t>
  </si>
  <si>
    <t>Vissa Tv</t>
  </si>
  <si>
    <t>Raj Musix Kannada</t>
  </si>
  <si>
    <t>Raj news Kannada</t>
  </si>
  <si>
    <t>Raj Musix Telugu</t>
  </si>
  <si>
    <t>Raj News Telugu</t>
  </si>
  <si>
    <t>Raj Musix Malayalam</t>
  </si>
  <si>
    <t>Raj News Malayalam</t>
  </si>
  <si>
    <t>Raj Pariwar</t>
  </si>
  <si>
    <t xml:space="preserve">Raj asia </t>
  </si>
  <si>
    <t>TV9 Telugu</t>
  </si>
  <si>
    <t>TV1</t>
  </si>
  <si>
    <t>TV9 Kannada</t>
  </si>
  <si>
    <t>NEWS9</t>
  </si>
  <si>
    <t>TV9 Mumbai</t>
  </si>
  <si>
    <t>TV9 Gujarati</t>
  </si>
  <si>
    <t>TEST</t>
  </si>
  <si>
    <t>PTC News</t>
  </si>
  <si>
    <t>PTC Punabi</t>
  </si>
  <si>
    <t>PTC Chak De</t>
  </si>
  <si>
    <t>Satya TV</t>
  </si>
  <si>
    <t>Bhaskar News</t>
  </si>
  <si>
    <t>News Nation</t>
  </si>
  <si>
    <t>Nation Today</t>
  </si>
  <si>
    <t>News State</t>
  </si>
  <si>
    <t>Oscar Movies Bhojpuri</t>
  </si>
  <si>
    <t>Sadhana National</t>
  </si>
  <si>
    <t>Super TV</t>
  </si>
  <si>
    <t>Sahana News</t>
  </si>
  <si>
    <t>Anjan TV</t>
  </si>
  <si>
    <t>Jai Maharastra</t>
  </si>
  <si>
    <t>WOW Cinema</t>
  </si>
  <si>
    <t>Sarv Dharm Sanagam</t>
  </si>
  <si>
    <t>Music_F</t>
  </si>
  <si>
    <t>Prag TV</t>
  </si>
  <si>
    <t>IBC 24</t>
  </si>
  <si>
    <t>Adhyatm</t>
  </si>
  <si>
    <t>Jinavani</t>
  </si>
  <si>
    <t>Channel Aath</t>
  </si>
  <si>
    <t>Channel WIN</t>
  </si>
  <si>
    <t>Bharath Today</t>
  </si>
  <si>
    <t>Colors HD</t>
  </si>
  <si>
    <t>CNBC Bazaar</t>
  </si>
  <si>
    <t>Times Data</t>
  </si>
  <si>
    <t>India TV Wiz</t>
  </si>
  <si>
    <t>India TV</t>
  </si>
  <si>
    <t>Green TV</t>
  </si>
  <si>
    <t>Shagun TV</t>
  </si>
  <si>
    <t>Comedy Central HD</t>
  </si>
  <si>
    <t>Colors Infinity SD</t>
  </si>
  <si>
    <t>News 30</t>
  </si>
  <si>
    <t>Tunes 6</t>
  </si>
  <si>
    <t>News World India</t>
  </si>
  <si>
    <t>Zee Cinema HD</t>
  </si>
  <si>
    <t>Zee TV HD</t>
  </si>
  <si>
    <t>Zee Q</t>
  </si>
  <si>
    <t>Zee Anmol</t>
  </si>
  <si>
    <t>Jan TV</t>
  </si>
  <si>
    <t>Khabar Fast</t>
  </si>
  <si>
    <t>Protidin Times</t>
  </si>
  <si>
    <t>PBN</t>
  </si>
  <si>
    <t>Maha Bodhi Channel</t>
  </si>
  <si>
    <t>Service 6</t>
  </si>
  <si>
    <t>GS TV</t>
  </si>
  <si>
    <t>Jan TV Plus</t>
  </si>
  <si>
    <t>Maha Movie</t>
  </si>
  <si>
    <t>Fakt marathi</t>
  </si>
  <si>
    <t>Hungama</t>
  </si>
  <si>
    <t>Star movies action</t>
  </si>
  <si>
    <t>Star Sports 1</t>
  </si>
  <si>
    <t>Star Sports 2</t>
  </si>
  <si>
    <t>Star Cricket asia</t>
  </si>
  <si>
    <t>Fox life</t>
  </si>
  <si>
    <t>Zee action new</t>
  </si>
  <si>
    <t>Zee classic new</t>
  </si>
  <si>
    <t>Zee sea new</t>
  </si>
  <si>
    <t>Zee salaam</t>
  </si>
  <si>
    <t>Living foodz</t>
  </si>
  <si>
    <t>&amp; pictures</t>
  </si>
  <si>
    <t>Zindagi</t>
  </si>
  <si>
    <t>Star Sports HD 3</t>
  </si>
  <si>
    <t>Star Sports HD 4</t>
  </si>
  <si>
    <t>Star Sports HD 2</t>
  </si>
  <si>
    <t>Star Sports HD 1</t>
  </si>
  <si>
    <t>Star Sports 3</t>
  </si>
  <si>
    <t>Star Sports 4</t>
  </si>
  <si>
    <t>9X Tashan</t>
  </si>
  <si>
    <t>Chaina Sat</t>
  </si>
  <si>
    <t>CAM</t>
  </si>
  <si>
    <t>No CAM</t>
  </si>
  <si>
    <t>Bindass Play</t>
  </si>
  <si>
    <t>Raj TV</t>
  </si>
  <si>
    <t xml:space="preserve">Sanskar </t>
  </si>
  <si>
    <t>Satkar</t>
  </si>
  <si>
    <t>CNBC awaaz</t>
  </si>
  <si>
    <t>IBN lokmat</t>
  </si>
  <si>
    <t>CNBC TV18</t>
  </si>
  <si>
    <t>Star Gold HD</t>
  </si>
  <si>
    <t>Movies OK</t>
  </si>
  <si>
    <t>Star Movies HD</t>
  </si>
  <si>
    <t>Star Gold,Wold, Plus,Movies HD</t>
  </si>
  <si>
    <t>Star Plus HD</t>
  </si>
  <si>
    <t>Star World HD</t>
  </si>
  <si>
    <t>Star Jalsa</t>
  </si>
  <si>
    <t>Star Pravah</t>
  </si>
  <si>
    <t>FX India</t>
  </si>
  <si>
    <t>Life OK HD</t>
  </si>
  <si>
    <t>Jalsha Movies</t>
  </si>
  <si>
    <t>SS 1 HD, SS2 HD</t>
  </si>
  <si>
    <t>NAT GEO</t>
  </si>
  <si>
    <t>NGC Wild</t>
  </si>
  <si>
    <t>Fox Life</t>
  </si>
  <si>
    <t>&amp; TV</t>
  </si>
  <si>
    <t>ETC</t>
  </si>
  <si>
    <t>Zee Rajastan News</t>
  </si>
  <si>
    <t>NGC HD</t>
  </si>
  <si>
    <t>ETV Telugu</t>
  </si>
  <si>
    <t>ETV Bengali</t>
  </si>
  <si>
    <t>ETV Marathi</t>
  </si>
  <si>
    <t>ETV Kannada</t>
  </si>
  <si>
    <t>ETV Urdu</t>
  </si>
  <si>
    <t>ETV Oriya</t>
  </si>
  <si>
    <t>ETV AP</t>
  </si>
  <si>
    <t>ETV Utthara Pradesh</t>
  </si>
  <si>
    <t>ETV Rajasthan</t>
  </si>
  <si>
    <t>ETV Bihar</t>
  </si>
  <si>
    <t>ETV TG</t>
  </si>
  <si>
    <t>ETV Cinema</t>
  </si>
  <si>
    <t>ETV Plus</t>
  </si>
  <si>
    <t>ETV Life</t>
  </si>
  <si>
    <t>ETV Abhiruchi</t>
  </si>
  <si>
    <t>ETV Gujarathi</t>
  </si>
  <si>
    <t>ETV Madhya Pradesh</t>
  </si>
  <si>
    <t>Channel One News</t>
  </si>
  <si>
    <t>    2</t>
  </si>
  <si>
    <t>    3</t>
  </si>
  <si>
    <t>Dillagi</t>
  </si>
  <si>
    <t>    4</t>
  </si>
  <si>
    <t>Naaptol Telugu</t>
  </si>
  <si>
    <t>    5</t>
  </si>
  <si>
    <t>Aashirwad</t>
  </si>
  <si>
    <t>    6</t>
  </si>
  <si>
    <t>    7</t>
  </si>
  <si>
    <t>Rose TV</t>
  </si>
  <si>
    <t>    8</t>
  </si>
  <si>
    <t>Shalini Plus</t>
  </si>
  <si>
    <t>    9</t>
  </si>
  <si>
    <t>9X Bajao</t>
  </si>
  <si>
    <t>   10</t>
  </si>
  <si>
    <t>Onkar Only Truth TV</t>
  </si>
  <si>
    <t>   12</t>
  </si>
  <si>
    <t>Tak Dhina Din</t>
  </si>
  <si>
    <t>   14</t>
  </si>
  <si>
    <t>Mauja Mostii</t>
  </si>
  <si>
    <t>   15</t>
  </si>
  <si>
    <t>Sudarshan News</t>
  </si>
  <si>
    <t>   16</t>
  </si>
  <si>
    <t>[test card]</t>
  </si>
  <si>
    <t>   18</t>
  </si>
  <si>
    <t>Janasri News</t>
  </si>
  <si>
    <t>  173</t>
  </si>
  <si>
    <t>Gemporia</t>
  </si>
  <si>
    <t>  174</t>
  </si>
  <si>
    <t>Ind 24</t>
  </si>
  <si>
    <t>  175</t>
  </si>
  <si>
    <t>Dhamaal</t>
  </si>
  <si>
    <t>  177</t>
  </si>
  <si>
    <t>Maiboli</t>
  </si>
  <si>
    <t>  178</t>
  </si>
  <si>
    <t>Dabangg</t>
  </si>
  <si>
    <t>  180</t>
  </si>
  <si>
    <t>9XO</t>
  </si>
  <si>
    <t>  181</t>
  </si>
  <si>
    <t>9X Jalwa</t>
  </si>
  <si>
    <t>  182</t>
  </si>
  <si>
    <t>Movie House</t>
  </si>
  <si>
    <t>  183</t>
  </si>
  <si>
    <t>ETV Gujarati News</t>
  </si>
  <si>
    <t>  184</t>
  </si>
  <si>
    <t>ETV Odia News</t>
  </si>
  <si>
    <t>  185</t>
  </si>
  <si>
    <t>Sudashan TV</t>
  </si>
  <si>
    <t>Naaptol HD</t>
  </si>
  <si>
    <t>9XM</t>
  </si>
  <si>
    <t>    1</t>
  </si>
  <si>
    <t>9X Jhakaas</t>
  </si>
  <si>
    <t>Mastiii</t>
  </si>
  <si>
    <t>Paras TV</t>
  </si>
  <si>
    <t>Channel 2</t>
  </si>
  <si>
    <t>APN News</t>
  </si>
  <si>
    <t>Prajaa TV Kannada</t>
  </si>
  <si>
    <t>Rengoni</t>
  </si>
  <si>
    <t>   11</t>
  </si>
  <si>
    <t>ETV Bengali,Kannada,Urdu,AP</t>
  </si>
  <si>
    <t>Manorama News</t>
  </si>
  <si>
    <t>Manorama News Central</t>
  </si>
  <si>
    <t>Manorama News North</t>
  </si>
  <si>
    <t>Mazhavil Manorama</t>
  </si>
  <si>
    <t>FX HD</t>
  </si>
  <si>
    <t>Tarang</t>
  </si>
  <si>
    <t>Tarang Music</t>
  </si>
  <si>
    <t>OTV</t>
  </si>
  <si>
    <t>Prathana</t>
  </si>
  <si>
    <t>Alankar</t>
  </si>
  <si>
    <t>R-Vision</t>
  </si>
  <si>
    <t>Manoranjan TV</t>
  </si>
  <si>
    <t>Enterr 10</t>
  </si>
  <si>
    <t>Dangal TV</t>
  </si>
  <si>
    <t>Channel Divya</t>
  </si>
  <si>
    <t>Kalinga TV</t>
  </si>
  <si>
    <t>TV-24</t>
  </si>
  <si>
    <t>1 Yes TV</t>
  </si>
  <si>
    <t>News Time 24x7</t>
  </si>
  <si>
    <t>A1 TV</t>
  </si>
  <si>
    <t>Sarthak TV</t>
  </si>
  <si>
    <t>Prameya News 7</t>
  </si>
  <si>
    <t>   13</t>
  </si>
  <si>
    <t>Khushboo TV</t>
  </si>
  <si>
    <t>   23</t>
  </si>
  <si>
    <t>Raftaar Media</t>
  </si>
  <si>
    <t>Mh 1 News</t>
  </si>
  <si>
    <t>Mh 1 Music</t>
  </si>
  <si>
    <t>Shraddha Mh One</t>
  </si>
  <si>
    <t>DY 365</t>
  </si>
  <si>
    <t>Zonet Zawlbuk</t>
  </si>
  <si>
    <t>News 11</t>
  </si>
  <si>
    <t>Jonack</t>
  </si>
  <si>
    <t>Bangla Time TV</t>
  </si>
  <si>
    <t>Aryan</t>
  </si>
  <si>
    <t>Swadesh</t>
  </si>
  <si>
    <t>Aaseervatham TV</t>
  </si>
  <si>
    <t>Jain TV</t>
  </si>
  <si>
    <t>Whistle TV</t>
  </si>
  <si>
    <t>Chardikla Time TV</t>
  </si>
  <si>
    <t>Day &amp; Night News</t>
  </si>
  <si>
    <t>Disha TV</t>
  </si>
  <si>
    <t>Ishwar TV</t>
  </si>
  <si>
    <t>Vaanavil TV</t>
  </si>
  <si>
    <t>MBC TV</t>
  </si>
  <si>
    <t>Kolkata TV</t>
  </si>
  <si>
    <t>Rujumargam TV</t>
  </si>
  <si>
    <t>Food Food</t>
  </si>
  <si>
    <t>Nirmana News</t>
  </si>
  <si>
    <t>Top Blockbuster</t>
  </si>
  <si>
    <t>   20</t>
  </si>
  <si>
    <t>Grace TV</t>
  </si>
  <si>
    <t>Network 10</t>
  </si>
  <si>
    <t>Sadhna News Haryana</t>
  </si>
  <si>
    <t>News World</t>
  </si>
  <si>
    <t>Maharashtra 1</t>
  </si>
  <si>
    <t>Tora TV</t>
  </si>
  <si>
    <t>Gulistan News</t>
  </si>
  <si>
    <t>K News 24x7</t>
  </si>
  <si>
    <t>Chitrapat Marathi</t>
  </si>
  <si>
    <t>Sadhna Bangla</t>
  </si>
  <si>
    <t>Sneha TV</t>
  </si>
  <si>
    <t>Divyavani TV</t>
  </si>
  <si>
    <t>ABN Network</t>
  </si>
  <si>
    <t>Test Music</t>
  </si>
  <si>
    <t>Sanatan TV</t>
  </si>
  <si>
    <t> 30005</t>
  </si>
  <si>
    <t>Zee 24 Ghanta</t>
  </si>
  <si>
    <t> 30001</t>
  </si>
  <si>
    <t>Zee Kannada</t>
  </si>
  <si>
    <t> 30002</t>
  </si>
  <si>
    <t>Zee Telugu</t>
  </si>
  <si>
    <t>Zee 24 Taas</t>
  </si>
  <si>
    <t> 30007</t>
  </si>
  <si>
    <t>Zee Kalinga</t>
  </si>
  <si>
    <t> 32031</t>
  </si>
  <si>
    <t>Zee Talkies</t>
  </si>
  <si>
    <t> 30000</t>
  </si>
  <si>
    <t>Mahuaa TV</t>
  </si>
  <si>
    <t>Mahuaa Plus</t>
  </si>
  <si>
    <t>Mahuaa News</t>
  </si>
  <si>
    <t>[Mahuaa Newsline test card]</t>
  </si>
  <si>
    <t>1st India</t>
  </si>
  <si>
    <t>Mahuaa Movie</t>
  </si>
  <si>
    <t>CNN News 18</t>
  </si>
  <si>
    <t>IBN 7</t>
  </si>
  <si>
    <t>News 18</t>
  </si>
  <si>
    <t>Times Now</t>
  </si>
  <si>
    <t>Zoom</t>
  </si>
  <si>
    <t>ET Now</t>
  </si>
  <si>
    <t>Property Now</t>
  </si>
  <si>
    <t>Romdey NOW HD</t>
  </si>
  <si>
    <t>Aaj Tak</t>
  </si>
  <si>
    <t>India Today</t>
  </si>
  <si>
    <t>Tez</t>
  </si>
  <si>
    <t>Dilli Aaj Tak</t>
  </si>
  <si>
    <t>Aaj Tak International</t>
  </si>
  <si>
    <t>India Today International</t>
  </si>
  <si>
    <t>Aaj Tak UK</t>
  </si>
  <si>
    <t>Business Today</t>
  </si>
  <si>
    <t xml:space="preserve">Aaj Tak </t>
  </si>
  <si>
    <t>  101</t>
  </si>
  <si>
    <t>Disney Channel India</t>
  </si>
  <si>
    <t>  102</t>
  </si>
  <si>
    <t>Disney XD India</t>
  </si>
  <si>
    <t>  103</t>
  </si>
  <si>
    <t>Disney Junior India</t>
  </si>
  <si>
    <t>  104</t>
  </si>
  <si>
    <t>  105</t>
  </si>
  <si>
    <t>  106</t>
  </si>
  <si>
    <t>UTV Movies International</t>
  </si>
  <si>
    <t>MTV India</t>
  </si>
  <si>
    <t>Colors</t>
  </si>
  <si>
    <t>Rishtey Asia</t>
  </si>
  <si>
    <t>   27</t>
  </si>
  <si>
    <t>Colors MENA</t>
  </si>
  <si>
    <t>   30</t>
  </si>
  <si>
    <t>Nick Jr India</t>
  </si>
  <si>
    <t>  406</t>
  </si>
  <si>
    <t>Nickelodeon India</t>
  </si>
  <si>
    <t>Disney, XD, Junior,UTV Movies</t>
  </si>
  <si>
    <t>MTV,Colors,Nick,Jr</t>
  </si>
  <si>
    <t>RF9065</t>
  </si>
  <si>
    <t>RF9066</t>
  </si>
  <si>
    <t>RF9067</t>
  </si>
  <si>
    <t>RF9069</t>
  </si>
  <si>
    <t>RF9070</t>
  </si>
  <si>
    <t>RF9071</t>
  </si>
  <si>
    <t>RF9068</t>
  </si>
  <si>
    <t>RF9072</t>
  </si>
  <si>
    <t>Sl No.</t>
  </si>
  <si>
    <t>Encoder-Muse</t>
  </si>
  <si>
    <t>Muse IP</t>
  </si>
  <si>
    <t>Muse-51</t>
  </si>
  <si>
    <t>10.4.33.51</t>
  </si>
  <si>
    <t>AXN</t>
  </si>
  <si>
    <t>224.6.0.2</t>
  </si>
  <si>
    <t>224.6.0.3</t>
  </si>
  <si>
    <t>ETV ANDHRA PRADESH</t>
  </si>
  <si>
    <t>224.6.0.4</t>
  </si>
  <si>
    <t>ETV URDU</t>
  </si>
  <si>
    <t>224.6.0.5</t>
  </si>
  <si>
    <t>CNBC Awaaz</t>
  </si>
  <si>
    <t>224.6.0.6</t>
  </si>
  <si>
    <t>MH 1 SRADDHA</t>
  </si>
  <si>
    <t>224.6.0.7</t>
  </si>
  <si>
    <t xml:space="preserve">POLIMAR </t>
  </si>
  <si>
    <t>224.6.0.8</t>
  </si>
  <si>
    <t>224.6.0.9</t>
  </si>
  <si>
    <t xml:space="preserve">TV 5 </t>
  </si>
  <si>
    <t>224.6.0.10</t>
  </si>
  <si>
    <t>224.6.0.11</t>
  </si>
  <si>
    <t>224.6.0.12</t>
  </si>
  <si>
    <t>INDIA TV</t>
  </si>
  <si>
    <t>224.6.0.13</t>
  </si>
  <si>
    <t>SADHNA</t>
  </si>
  <si>
    <t>224.6.0.14</t>
  </si>
  <si>
    <t>224.6.0.15</t>
  </si>
  <si>
    <t>AAJ TAK</t>
  </si>
  <si>
    <t>224.6.0.16</t>
  </si>
  <si>
    <t>NGC</t>
  </si>
  <si>
    <t>224.6.0.17</t>
  </si>
  <si>
    <t>STAR SPORTS 3</t>
  </si>
  <si>
    <t>224.6.0.18</t>
  </si>
  <si>
    <t>STAR MOVIES</t>
  </si>
  <si>
    <t>224.6.0.19</t>
  </si>
  <si>
    <t>STAR PLUS</t>
  </si>
  <si>
    <t>224.6.0.20</t>
  </si>
  <si>
    <t>STAR JALSHA</t>
  </si>
  <si>
    <t>224.6.0.21</t>
  </si>
  <si>
    <t>STAR GOLD</t>
  </si>
  <si>
    <t>224.6.0.22</t>
  </si>
  <si>
    <t>STAR SPORTS 1</t>
  </si>
  <si>
    <t>224.6.0.23</t>
  </si>
  <si>
    <t>STAR WORLD</t>
  </si>
  <si>
    <t>224.6.0.24</t>
  </si>
  <si>
    <t>ZEE BANGLA CINEMA</t>
  </si>
  <si>
    <t>224.6.0.26</t>
  </si>
  <si>
    <t>TEN 3</t>
  </si>
  <si>
    <t>224.6.0.27</t>
  </si>
  <si>
    <t>STAR PRAVAH</t>
  </si>
  <si>
    <t>224.6.0.28</t>
  </si>
  <si>
    <t>&amp; PICTURES</t>
  </si>
  <si>
    <t>224.6.0.29</t>
  </si>
  <si>
    <t xml:space="preserve">ZEE BANGLA </t>
  </si>
  <si>
    <t>224.6.0.30</t>
  </si>
  <si>
    <t>ZEE CAFÉ</t>
  </si>
  <si>
    <t>224.6.0.31</t>
  </si>
  <si>
    <t>224.6.0.33</t>
  </si>
  <si>
    <t>BIG MAGIC GANGA</t>
  </si>
  <si>
    <t>224.6.0.25</t>
  </si>
  <si>
    <t>224.6.0.32</t>
  </si>
  <si>
    <t>224.6.0.34</t>
  </si>
  <si>
    <t>Muse-52</t>
  </si>
  <si>
    <t>ABP ANANDA</t>
  </si>
  <si>
    <t>10.4.33.52</t>
  </si>
  <si>
    <t>224.6.0.51</t>
  </si>
  <si>
    <t>ABP MAJHA</t>
  </si>
  <si>
    <t>224.6.0.52</t>
  </si>
  <si>
    <t>ABP NEWS</t>
  </si>
  <si>
    <t>224.6.0.53</t>
  </si>
  <si>
    <t>224.6.0.54</t>
  </si>
  <si>
    <t>224.6.0.55</t>
  </si>
  <si>
    <t xml:space="preserve">ZEE TALKIES </t>
  </si>
  <si>
    <t>224.6.0.56</t>
  </si>
  <si>
    <t>ZEE TELUGU</t>
  </si>
  <si>
    <t>224.6.0.57</t>
  </si>
  <si>
    <t>ZEE KANNADA</t>
  </si>
  <si>
    <t>224.6.0.58</t>
  </si>
  <si>
    <t>UDAYA COMEDY</t>
  </si>
  <si>
    <t>224.6.0.59</t>
  </si>
  <si>
    <t xml:space="preserve">BIG MAGIC </t>
  </si>
  <si>
    <t>224.6.0.60</t>
  </si>
  <si>
    <t>224.6.0.61</t>
  </si>
  <si>
    <t>FAKT MARATI</t>
  </si>
  <si>
    <t>224.6.0.62</t>
  </si>
  <si>
    <t>ASIANET PLUS</t>
  </si>
  <si>
    <t>224.6.0.63</t>
  </si>
  <si>
    <t>ASIANET</t>
  </si>
  <si>
    <t>224.6.0.64</t>
  </si>
  <si>
    <t>224.6.0.65</t>
  </si>
  <si>
    <t>ZEE CINEMA</t>
  </si>
  <si>
    <t>224.6.0.66</t>
  </si>
  <si>
    <t>HUNGAMA</t>
  </si>
  <si>
    <t>224.6.0.67</t>
  </si>
  <si>
    <t>ASIANET MOVIES</t>
  </si>
  <si>
    <t>224.6.0.68</t>
  </si>
  <si>
    <t>224.6.0.69</t>
  </si>
  <si>
    <t>BINDASS</t>
  </si>
  <si>
    <t>224.6.0.70</t>
  </si>
  <si>
    <t>ZEE TV</t>
  </si>
  <si>
    <t>224.6.0.71</t>
  </si>
  <si>
    <t>STAR SPORTS 2</t>
  </si>
  <si>
    <t>224.6.0.72</t>
  </si>
  <si>
    <t>224.6.0.73</t>
  </si>
  <si>
    <t>ET NOW</t>
  </si>
  <si>
    <t>224.6.0.74</t>
  </si>
  <si>
    <t>ZEE MARATHI</t>
  </si>
  <si>
    <t>224.6.0.75</t>
  </si>
  <si>
    <t>ZEE NEWS</t>
  </si>
  <si>
    <t>224.6.0.76</t>
  </si>
  <si>
    <t>COLORS</t>
  </si>
  <si>
    <t>224.6.0.77</t>
  </si>
  <si>
    <t>RAJ TV</t>
  </si>
  <si>
    <t>224.6.0.78</t>
  </si>
  <si>
    <t>HISTORY TV 18 SD</t>
  </si>
  <si>
    <t>224.6.0.80</t>
  </si>
  <si>
    <t>224.6.0.81</t>
  </si>
  <si>
    <t>224.6.0.82</t>
  </si>
  <si>
    <t>9X JAKKAS</t>
  </si>
  <si>
    <t>224.6.0.83</t>
  </si>
  <si>
    <t>224.6.0.84</t>
  </si>
  <si>
    <t>224.6.0.85</t>
  </si>
  <si>
    <t>224.6.0.86</t>
  </si>
  <si>
    <t xml:space="preserve">MASTI TV </t>
  </si>
  <si>
    <t>224.6.0.89</t>
  </si>
  <si>
    <t>TARANG TV</t>
  </si>
  <si>
    <t>224.6.0.90</t>
  </si>
  <si>
    <t>Muse-53</t>
  </si>
  <si>
    <t>SARTHAK</t>
  </si>
  <si>
    <t>10.4.33.53</t>
  </si>
  <si>
    <t>224.6.0.101</t>
  </si>
  <si>
    <t>BINDASS PLAY</t>
  </si>
  <si>
    <t>224.6.0.102</t>
  </si>
  <si>
    <t>COLORS MARTI</t>
  </si>
  <si>
    <t>224.6.0.103</t>
  </si>
  <si>
    <t>UDAYA TV</t>
  </si>
  <si>
    <t>224.6.0.104</t>
  </si>
  <si>
    <t>DISCOVERY</t>
  </si>
  <si>
    <t>224.6.0.105</t>
  </si>
  <si>
    <t>224.6.0.106</t>
  </si>
  <si>
    <t>224.6.0.107</t>
  </si>
  <si>
    <t>STAR VIJAY</t>
  </si>
  <si>
    <t>224.6.0.108</t>
  </si>
  <si>
    <t>SUN MUSIC</t>
  </si>
  <si>
    <t>224.6.0.109</t>
  </si>
  <si>
    <t>DISNEY CHANNEL</t>
  </si>
  <si>
    <t>224.6.0.111</t>
  </si>
  <si>
    <t>ETV BIHAR/JHARKAHAND</t>
  </si>
  <si>
    <t>224.6.0.113</t>
  </si>
  <si>
    <t xml:space="preserve">HBO </t>
  </si>
  <si>
    <t>224.6.0.114</t>
  </si>
  <si>
    <t>COLORS BANGLA</t>
  </si>
  <si>
    <t>224.6.0.115</t>
  </si>
  <si>
    <t>UDAYA MUSIC</t>
  </si>
  <si>
    <t>224.6.0.116</t>
  </si>
  <si>
    <t>NICK</t>
  </si>
  <si>
    <t>224.6.0.117</t>
  </si>
  <si>
    <t>UDAYA MOVIES</t>
  </si>
  <si>
    <t>224.6.0.118</t>
  </si>
  <si>
    <t>KOCHU TV</t>
  </si>
  <si>
    <t>224.6.0.119</t>
  </si>
  <si>
    <t xml:space="preserve">GEMINI TV </t>
  </si>
  <si>
    <t>224.6.0.121</t>
  </si>
  <si>
    <t>24 GHANTA</t>
  </si>
  <si>
    <t>224.6.0.122</t>
  </si>
  <si>
    <t>SUN TV</t>
  </si>
  <si>
    <t>224.6.0.123</t>
  </si>
  <si>
    <t>UTV MOVIES</t>
  </si>
  <si>
    <t>224.6.0.124</t>
  </si>
  <si>
    <t>224.6.0.125</t>
  </si>
  <si>
    <t>TIMES NOW</t>
  </si>
  <si>
    <t>224.6.0.126</t>
  </si>
  <si>
    <t>K TV</t>
  </si>
  <si>
    <t>224.6.0.127</t>
  </si>
  <si>
    <t>224.6.0.128</t>
  </si>
  <si>
    <t xml:space="preserve">GEMINI MOVIES </t>
  </si>
  <si>
    <t>224.6.0.129</t>
  </si>
  <si>
    <t>MOVIES NOW SD</t>
  </si>
  <si>
    <t>224.6.0.130</t>
  </si>
  <si>
    <t>KIRAN TV</t>
  </si>
  <si>
    <t>224.6.0.132</t>
  </si>
  <si>
    <t>224.6.0.133</t>
  </si>
  <si>
    <t>PTC PUNJABI</t>
  </si>
  <si>
    <t>224.6.0.134</t>
  </si>
  <si>
    <t>IBN LOKMAT</t>
  </si>
  <si>
    <t>224.6.0.136</t>
  </si>
  <si>
    <t xml:space="preserve">MTV </t>
  </si>
  <si>
    <t>224.6.0.137</t>
  </si>
  <si>
    <t>SURYA TV</t>
  </si>
  <si>
    <t>224.6.0.138</t>
  </si>
  <si>
    <t>Muse-54</t>
  </si>
  <si>
    <t>UDAYA NEWS</t>
  </si>
  <si>
    <t>10.4.33.54</t>
  </si>
  <si>
    <t>224.6.0.151</t>
  </si>
  <si>
    <t>COLORS KANNADA</t>
  </si>
  <si>
    <t>224.6.0.152</t>
  </si>
  <si>
    <t>INDIA NEWS</t>
  </si>
  <si>
    <t>224.6.0.153</t>
  </si>
  <si>
    <t>CARTOON NETWORK</t>
  </si>
  <si>
    <t>224.6.0.154</t>
  </si>
  <si>
    <t>TEN 1</t>
  </si>
  <si>
    <t>224.6.0.155</t>
  </si>
  <si>
    <t>224.6.0.156</t>
  </si>
  <si>
    <t>224.6.0.157</t>
  </si>
  <si>
    <t>DISNEY XD</t>
  </si>
  <si>
    <t>224.6.0.158</t>
  </si>
  <si>
    <t>224.6.0.159</t>
  </si>
  <si>
    <t>SONY MIX</t>
  </si>
  <si>
    <t>224.6.0.160</t>
  </si>
  <si>
    <t>224.6.0.161</t>
  </si>
  <si>
    <t>224.6.0.162</t>
  </si>
  <si>
    <t>224.6.0.164</t>
  </si>
  <si>
    <t>224.6.0.167</t>
  </si>
  <si>
    <t>PRARTHANA TV</t>
  </si>
  <si>
    <t>224.6.0.168</t>
  </si>
  <si>
    <t>SONY PIX</t>
  </si>
  <si>
    <t>224.6.0.170</t>
  </si>
  <si>
    <t>224.6.0.171</t>
  </si>
  <si>
    <t>24 TASS</t>
  </si>
  <si>
    <t>224.6.0.172</t>
  </si>
  <si>
    <t>SONY MAX</t>
  </si>
  <si>
    <t>224.6.0.173</t>
  </si>
  <si>
    <t>SONY SIX</t>
  </si>
  <si>
    <t>224.6.0.174</t>
  </si>
  <si>
    <t>NDTV 24X7</t>
  </si>
  <si>
    <t>224.6.0.175</t>
  </si>
  <si>
    <t>O TV</t>
  </si>
  <si>
    <t>224.6.0.177</t>
  </si>
  <si>
    <t>224.6.0.179</t>
  </si>
  <si>
    <t>SONY AATH</t>
  </si>
  <si>
    <t>224.6.0.181</t>
  </si>
  <si>
    <t xml:space="preserve">MAZHAVIL MANORAMA  </t>
  </si>
  <si>
    <t>224.6.0.183</t>
  </si>
  <si>
    <t>TEN 2</t>
  </si>
  <si>
    <t>224.6.0.184</t>
  </si>
  <si>
    <t>POGO</t>
  </si>
  <si>
    <t>224.6.0.185</t>
  </si>
  <si>
    <t>MH 1</t>
  </si>
  <si>
    <t>224.6.0.186</t>
  </si>
  <si>
    <t>224.6.0.187</t>
  </si>
  <si>
    <t>224.6.0.188</t>
  </si>
  <si>
    <t>SONY SAB</t>
  </si>
  <si>
    <t>224.6.0.190</t>
  </si>
  <si>
    <t>224.6.0.191</t>
  </si>
  <si>
    <t>SET</t>
  </si>
  <si>
    <t>224.6.0.192</t>
  </si>
  <si>
    <t>Muse-56</t>
  </si>
  <si>
    <t>10.4.33.56</t>
  </si>
  <si>
    <t>224.6.0.202</t>
  </si>
  <si>
    <t>SONY PIX HD</t>
  </si>
  <si>
    <t>224.6.0.203</t>
  </si>
  <si>
    <t>SS HD 3</t>
  </si>
  <si>
    <t>224.6.0.204</t>
  </si>
  <si>
    <t>STAR WORLD PREMIER HD</t>
  </si>
  <si>
    <t>224.6.0.206</t>
  </si>
  <si>
    <t>MN+ HD</t>
  </si>
  <si>
    <t>224.6.0.207</t>
  </si>
  <si>
    <t>STAR GOLD HD</t>
  </si>
  <si>
    <t>224.6.0.208</t>
  </si>
  <si>
    <t>Muse-57</t>
  </si>
  <si>
    <t>STAR WORLD HD</t>
  </si>
  <si>
    <t>10.4.33.57</t>
  </si>
  <si>
    <t>224.6.0.211</t>
  </si>
  <si>
    <t>COLORS HD</t>
  </si>
  <si>
    <t>224.6.0.212</t>
  </si>
  <si>
    <t>STAR PLUS HD</t>
  </si>
  <si>
    <t>224.6.0.213</t>
  </si>
  <si>
    <t>SET HD</t>
  </si>
  <si>
    <t>224.6.0.214</t>
  </si>
  <si>
    <t>LIFE OK HD</t>
  </si>
  <si>
    <t>224.6.0.215</t>
  </si>
  <si>
    <t>ZEE CINEMA HD</t>
  </si>
  <si>
    <t>224.6.0.216</t>
  </si>
  <si>
    <t>224.6.0.217</t>
  </si>
  <si>
    <t>STAR MOVIES HD</t>
  </si>
  <si>
    <t>224.6.0.218</t>
  </si>
  <si>
    <t>Muse -58</t>
  </si>
  <si>
    <t>SS SPORTS 2 HD</t>
  </si>
  <si>
    <t>10.4.33.58</t>
  </si>
  <si>
    <t>224.6.0.221</t>
  </si>
  <si>
    <t>HISTORY TV 18 HD</t>
  </si>
  <si>
    <t>224.6.0.222</t>
  </si>
  <si>
    <t>SONY SIX HD</t>
  </si>
  <si>
    <t>224.6.0.225</t>
  </si>
  <si>
    <t>ZEE TV HD</t>
  </si>
  <si>
    <t>224.6.0.226</t>
  </si>
  <si>
    <t>224.6.0.229</t>
  </si>
  <si>
    <t>SS SPORTS 1 HD</t>
  </si>
  <si>
    <t>224.6.0.230</t>
  </si>
  <si>
    <t>Multicast out</t>
  </si>
  <si>
    <t>Muse 1 SDI 8</t>
  </si>
  <si>
    <t>Muse 1 SDI 9</t>
  </si>
  <si>
    <t>Muse 1 SDI 12</t>
  </si>
  <si>
    <t>Muse 1 SDI 14</t>
  </si>
  <si>
    <t>Muse 1 SDI 16</t>
  </si>
  <si>
    <t>Muse 1 SDI 13</t>
  </si>
  <si>
    <t>Muse 1 SDI 7</t>
  </si>
  <si>
    <t>Muse 1 SDI 1</t>
  </si>
  <si>
    <t>Muse 1 SDI 11</t>
  </si>
  <si>
    <t>Muse 1 SDI 15</t>
  </si>
  <si>
    <t>239.6.0.03</t>
  </si>
  <si>
    <t>Muse 1 SDI 6</t>
  </si>
  <si>
    <t>Muse 1 SDI 4</t>
  </si>
  <si>
    <t>Muse 1 SDI 3</t>
  </si>
  <si>
    <t>Muse 1 SDI 2</t>
  </si>
  <si>
    <t>Muse 1 SDI 5</t>
  </si>
  <si>
    <t>Muse 1 SDI 10</t>
  </si>
  <si>
    <t>Muse 2 SDI 13</t>
  </si>
  <si>
    <t>Muse 2 SDI 9</t>
  </si>
  <si>
    <t>Muse 2 SDI 6</t>
  </si>
  <si>
    <t>Muse 2 SDI 11</t>
  </si>
  <si>
    <t>Muse 2 SDI 12</t>
  </si>
  <si>
    <t>STAR SUVARNA PLUS</t>
  </si>
  <si>
    <t>Muse 2 SDI 15</t>
  </si>
  <si>
    <t>239.5.2.1</t>
  </si>
  <si>
    <t>Muse 2 SDI 4</t>
  </si>
  <si>
    <t>Muse 2 SDI 5</t>
  </si>
  <si>
    <t>Muse 2 SDI 3</t>
  </si>
  <si>
    <t>Muse 2 SDI 2</t>
  </si>
  <si>
    <t>239.5.2.6</t>
  </si>
  <si>
    <t>Muse 2 SDI 8</t>
  </si>
  <si>
    <t>Muse 2 SDI 14</t>
  </si>
  <si>
    <t>Muse 2 SDI 1</t>
  </si>
  <si>
    <t>Muse 2 SDI 10</t>
  </si>
  <si>
    <t>Muse 2 SDI 7</t>
  </si>
  <si>
    <t>Muse 2 SDI 16</t>
  </si>
  <si>
    <t>Muse 3 SDI 1</t>
  </si>
  <si>
    <t>Muse 3 SDI 12</t>
  </si>
  <si>
    <t>Muse 3 SDI 9</t>
  </si>
  <si>
    <t>STAR SUVARNA</t>
  </si>
  <si>
    <t>Muse 3 SDI 13</t>
  </si>
  <si>
    <t>Muse 3 SDI 8</t>
  </si>
  <si>
    <t>Muse 3 SDI 10</t>
  </si>
  <si>
    <t>Muse 3 SDI 2</t>
  </si>
  <si>
    <t>Muse 3 SDI 16</t>
  </si>
  <si>
    <t>Muse 3 SDI 3</t>
  </si>
  <si>
    <t>Muse 3 SDI 7</t>
  </si>
  <si>
    <t>Muse 3 SDI 11</t>
  </si>
  <si>
    <t>Muse 3 SDI 4</t>
  </si>
  <si>
    <t>Muse 3 SDI 15</t>
  </si>
  <si>
    <t>Muse 3 SDI 14</t>
  </si>
  <si>
    <t>Muse 3 SDI 5</t>
  </si>
  <si>
    <t>Muse 3 SDI  6</t>
  </si>
  <si>
    <t>Service Count</t>
  </si>
  <si>
    <t>Total</t>
  </si>
  <si>
    <t>Muse 4 SDI 14</t>
  </si>
  <si>
    <t>Muse 4 SDI 13</t>
  </si>
  <si>
    <t>Muse 4 SDI 12</t>
  </si>
  <si>
    <t>Muse 4 SDI 7</t>
  </si>
  <si>
    <t>Muse 4 SDI 11</t>
  </si>
  <si>
    <t>Muse 4 SDI 3</t>
  </si>
  <si>
    <t>Muse 4 SDI 10</t>
  </si>
  <si>
    <t>Muse 4 SDI 2</t>
  </si>
  <si>
    <t>Muse 4 SDI 5</t>
  </si>
  <si>
    <t>Muse 4 SDI 4</t>
  </si>
  <si>
    <t>Muse 4 SDI 9</t>
  </si>
  <si>
    <t>Muse 4 SDI 6</t>
  </si>
  <si>
    <t>Muse 4 SDI 1</t>
  </si>
  <si>
    <t>Muse 4 SDI 15</t>
  </si>
  <si>
    <t>Muse 4 SDI 8</t>
  </si>
  <si>
    <t>239.5.2.8</t>
  </si>
  <si>
    <t>239.5.2.3</t>
  </si>
  <si>
    <t>Free Multicast IP</t>
  </si>
  <si>
    <t>224.6.0.35</t>
  </si>
  <si>
    <t>224.6.0.36</t>
  </si>
  <si>
    <t>224.6.0.37</t>
  </si>
  <si>
    <t>224.6.0.38</t>
  </si>
  <si>
    <t>224.6.0.39</t>
  </si>
  <si>
    <t>224.6.0.40</t>
  </si>
  <si>
    <t>224.6.0.41</t>
  </si>
  <si>
    <t>224.6.0.42</t>
  </si>
  <si>
    <t>224.6.0.43</t>
  </si>
  <si>
    <t>224.6.0.44</t>
  </si>
  <si>
    <t>224.6.0.45</t>
  </si>
  <si>
    <t>224.6.0.46</t>
  </si>
  <si>
    <t>224.6.0.47</t>
  </si>
  <si>
    <t>224.6.0.48</t>
  </si>
  <si>
    <t>224.6.0.49</t>
  </si>
  <si>
    <t>224.6.0.50</t>
  </si>
  <si>
    <t>224.6.0.79</t>
  </si>
  <si>
    <t>224.6.0.87</t>
  </si>
  <si>
    <t>224.6.0.88</t>
  </si>
  <si>
    <t>224.6.0.91</t>
  </si>
  <si>
    <t>224.6.0.92</t>
  </si>
  <si>
    <t>224.6.0.93</t>
  </si>
  <si>
    <t>224.6.0.94</t>
  </si>
  <si>
    <t>224.6.0.95</t>
  </si>
  <si>
    <t>224.6.0.96</t>
  </si>
  <si>
    <t>224.6.0.97</t>
  </si>
  <si>
    <t>224.6.0.98</t>
  </si>
  <si>
    <t>224.6.0.99</t>
  </si>
  <si>
    <t>224.6.0.100</t>
  </si>
  <si>
    <t>224.6.0.110</t>
  </si>
  <si>
    <t>224.6.0.120</t>
  </si>
  <si>
    <t>224.6.0.131</t>
  </si>
  <si>
    <t>224.6.0.135</t>
  </si>
  <si>
    <t>224.6.0.139</t>
  </si>
  <si>
    <t>224.6.0.140</t>
  </si>
  <si>
    <t>224.6.0.141</t>
  </si>
  <si>
    <t>224.6.0.142</t>
  </si>
  <si>
    <t>224.6.0.143</t>
  </si>
  <si>
    <t>224.6.0.144</t>
  </si>
  <si>
    <t>224.6.0.145</t>
  </si>
  <si>
    <t>224.6.0.146</t>
  </si>
  <si>
    <t>224.6.0.147</t>
  </si>
  <si>
    <t>224.6.0.148</t>
  </si>
  <si>
    <t>224.6.0.149</t>
  </si>
  <si>
    <t>224.6.0.165</t>
  </si>
  <si>
    <t>224.6.0.166</t>
  </si>
  <si>
    <t>224.6.0.169</t>
  </si>
  <si>
    <t>224.6.0.176</t>
  </si>
  <si>
    <t>224.6.0.178</t>
  </si>
  <si>
    <t>224.6.0.180</t>
  </si>
  <si>
    <t>224.6.0.182</t>
  </si>
  <si>
    <t>224.6.0.189</t>
  </si>
  <si>
    <t>224.6.0.193</t>
  </si>
  <si>
    <t>224.6.0.194</t>
  </si>
  <si>
    <t>224.6.0.195</t>
  </si>
  <si>
    <t>224.6.0.196</t>
  </si>
  <si>
    <t>224.6.0.197</t>
  </si>
  <si>
    <t>224.6.0.198</t>
  </si>
  <si>
    <t>224.6.0.199</t>
  </si>
  <si>
    <t>224.6.0.200</t>
  </si>
  <si>
    <t>224.6.0.201</t>
  </si>
  <si>
    <t>224.6.0.209</t>
  </si>
  <si>
    <t>224.6.0.210</t>
  </si>
  <si>
    <t>224.6.0.219</t>
  </si>
  <si>
    <t>224.6.0.220</t>
  </si>
  <si>
    <t>224.6.0.223</t>
  </si>
  <si>
    <t>224.6.0.224</t>
  </si>
  <si>
    <t>224.6.0.227</t>
  </si>
  <si>
    <t>224.6.0.228</t>
  </si>
  <si>
    <t>Muse</t>
  </si>
  <si>
    <t>NDTV 24x7</t>
  </si>
  <si>
    <t>Comedy Central</t>
  </si>
  <si>
    <t>224.6.0.163</t>
  </si>
  <si>
    <t>239.5.2.2</t>
  </si>
  <si>
    <t>239.5.2.4</t>
  </si>
  <si>
    <t>IRD 1M 10.4.21.10</t>
  </si>
  <si>
    <t>IRD 1R 10.4.21.16</t>
  </si>
  <si>
    <t>IRD 2M 10.4.21.11</t>
  </si>
  <si>
    <t>IRD 2R 10.4.2117</t>
  </si>
  <si>
    <t>HADI TV1</t>
  </si>
  <si>
    <t>WESAL URDU</t>
  </si>
  <si>
    <t>RUSSIA TODAY</t>
  </si>
  <si>
    <t>MUSLIM</t>
  </si>
  <si>
    <t>TV5</t>
  </si>
  <si>
    <t>DW09</t>
  </si>
  <si>
    <t>RFI FRANCAIS</t>
  </si>
  <si>
    <t>RFI DIVERS</t>
  </si>
  <si>
    <t>RFI CAMBODGE</t>
  </si>
  <si>
    <t>DW</t>
  </si>
  <si>
    <t>ROMEDY NOW</t>
  </si>
  <si>
    <t>MOVIES NOW 2 HD</t>
  </si>
  <si>
    <t>MOVIES NOW HD</t>
  </si>
  <si>
    <t>MOVIES OK</t>
  </si>
  <si>
    <t>STAR MOVIES ACTION</t>
  </si>
  <si>
    <t>STAR JALSA</t>
  </si>
  <si>
    <t>FX INDIA</t>
  </si>
  <si>
    <t>FX OK HD</t>
  </si>
  <si>
    <t>JALSHA MOVIES</t>
  </si>
  <si>
    <t>CHANNEL V</t>
  </si>
  <si>
    <t>STAR GOLD INT</t>
  </si>
  <si>
    <t>LIFE OK INDIA</t>
  </si>
  <si>
    <t>STAR UTSAV</t>
  </si>
  <si>
    <t>CHANNEL V INDIA</t>
  </si>
  <si>
    <t>STAR WORLD INDIA</t>
  </si>
  <si>
    <t>LIFE OK ME</t>
  </si>
  <si>
    <t>STAR PLUS SEA</t>
  </si>
  <si>
    <t>PTC NEWS</t>
  </si>
  <si>
    <t>PTC CHAK DE</t>
  </si>
  <si>
    <t>SATYA TV</t>
  </si>
  <si>
    <t>BHASKAR NEWS</t>
  </si>
  <si>
    <t>NEWS NATION</t>
  </si>
  <si>
    <t>NATION TODAY</t>
  </si>
  <si>
    <t>NEWS STATE</t>
  </si>
  <si>
    <t>OSCAR MOVIES BHOJPURI</t>
  </si>
  <si>
    <t>I-WITNESS</t>
  </si>
  <si>
    <t>MK NEWS</t>
  </si>
  <si>
    <t>KHABREIN ABHI TAK</t>
  </si>
  <si>
    <t>Janasri TV</t>
  </si>
  <si>
    <t>INDIA CRIME</t>
  </si>
  <si>
    <t>KASTHURI</t>
  </si>
  <si>
    <t>KASTHURI NEWS24</t>
  </si>
  <si>
    <t>STAR VIJAY HD</t>
  </si>
  <si>
    <t>ASIANET HD</t>
  </si>
  <si>
    <t>MAA TV</t>
  </si>
  <si>
    <t>MAA MUSIC</t>
  </si>
  <si>
    <t>MAA MOVIES</t>
  </si>
  <si>
    <t>MAA GOLD</t>
  </si>
  <si>
    <t>STAR UTSAV MOVIES</t>
  </si>
  <si>
    <t>STAR PRAVAH HD</t>
  </si>
  <si>
    <t>STAR JALSHA HD</t>
  </si>
  <si>
    <t>STAR JALSHA MOVIES HD</t>
  </si>
  <si>
    <t>IRD 3M 10.4.21.12</t>
  </si>
  <si>
    <t>IRD 3R 10.4.21.18</t>
  </si>
  <si>
    <t>IRD 4M 10.4.21.13</t>
  </si>
  <si>
    <t>Colors Marathi</t>
  </si>
  <si>
    <t>Colors Kannada</t>
  </si>
  <si>
    <t>Colors Oriya</t>
  </si>
  <si>
    <t>SANGEET BANGLA</t>
  </si>
  <si>
    <t>99 PERCENT</t>
  </si>
  <si>
    <t>WELLNESS</t>
  </si>
  <si>
    <t>INDIA VOICE</t>
  </si>
  <si>
    <t>TV 100</t>
  </si>
  <si>
    <t>BHARAT SAMACHAR</t>
  </si>
  <si>
    <t>MUSIC INDIA</t>
  </si>
  <si>
    <t>SEVEN</t>
  </si>
  <si>
    <t>TOTAL TV</t>
  </si>
  <si>
    <t>ZEE PURVAIYA</t>
  </si>
  <si>
    <t>CARE WORLD</t>
  </si>
  <si>
    <t>B NEWS</t>
  </si>
  <si>
    <t>LOTUS NEWS</t>
  </si>
  <si>
    <t>SADHNA PLUS NEWS</t>
  </si>
  <si>
    <t>TARANG</t>
  </si>
  <si>
    <t>TARANG MUSIC</t>
  </si>
  <si>
    <t>PRATHANA</t>
  </si>
  <si>
    <t>ALANKAR</t>
  </si>
  <si>
    <t>LSTV</t>
  </si>
  <si>
    <t>BINDAAS</t>
  </si>
  <si>
    <t>UTV ACTION</t>
  </si>
  <si>
    <t>NEWS LIVE</t>
  </si>
  <si>
    <t>RANG</t>
  </si>
  <si>
    <t>RAMDHENU</t>
  </si>
  <si>
    <t>NORTH EAST LIVE</t>
  </si>
  <si>
    <t>INDRADHANU</t>
  </si>
  <si>
    <t>IRD 5M 10.4.21.14</t>
  </si>
  <si>
    <t>Shop CJ ALIVE</t>
  </si>
  <si>
    <t>VAA MOVIES</t>
  </si>
  <si>
    <t>RUPSHI BANGLA</t>
  </si>
  <si>
    <t>BANGLA TIMES</t>
  </si>
  <si>
    <t>AAKAASH BANGLA</t>
  </si>
  <si>
    <t>DHOOM</t>
  </si>
  <si>
    <t>R PLUS</t>
  </si>
  <si>
    <t>NEWS TIME ASSAM</t>
  </si>
  <si>
    <t>MANORANJAN MUSIC</t>
  </si>
  <si>
    <t>R PLUS GOLD</t>
  </si>
  <si>
    <t>MANORAJAN TV</t>
  </si>
  <si>
    <t>ENTER 10</t>
  </si>
  <si>
    <t>DANGLA</t>
  </si>
  <si>
    <t>DIVYA</t>
  </si>
  <si>
    <t>KALINGA</t>
  </si>
  <si>
    <t>TV 24</t>
  </si>
  <si>
    <t>PLANET NEWS</t>
  </si>
  <si>
    <t>NEWSTIME 24X7</t>
  </si>
  <si>
    <t>NEWS 7</t>
  </si>
  <si>
    <t>KHUSHBOO</t>
  </si>
  <si>
    <t>RAFTAAR</t>
  </si>
  <si>
    <t>IRD 6M 10.4.21.15</t>
  </si>
  <si>
    <t>IRD 6R 10.4.21.21</t>
  </si>
  <si>
    <t>ANMOL CINEMA</t>
  </si>
  <si>
    <t>ZEE CINEMALU</t>
  </si>
  <si>
    <t>ZEE YUVA</t>
  </si>
  <si>
    <t>KALAIGNAR TV</t>
  </si>
  <si>
    <t>KALAIGNAR SEITHIGAL</t>
  </si>
  <si>
    <t>AYUSH TV</t>
  </si>
  <si>
    <t>MK TUNES</t>
  </si>
  <si>
    <t>MK SIX</t>
  </si>
  <si>
    <t>AL JAZEERA ENG</t>
  </si>
  <si>
    <t>CNBC</t>
  </si>
  <si>
    <t>CCTV NEWS</t>
  </si>
  <si>
    <t>EWTN AFRICA INDIA</t>
  </si>
  <si>
    <t>AUSTRALIA PLUS</t>
  </si>
  <si>
    <t>RADIO AUS PACIFIC</t>
  </si>
  <si>
    <t>RADIO AUS ASIA</t>
  </si>
  <si>
    <t>EWTN RADIO EUROBIRD</t>
  </si>
  <si>
    <t>SIS</t>
  </si>
  <si>
    <t>BBC WORLD NEWS</t>
  </si>
  <si>
    <t>IRD 1 10.4.33.1</t>
  </si>
  <si>
    <t>IRD 2 10.4.33.2</t>
  </si>
  <si>
    <t>IRD 3 10.4.33.3</t>
  </si>
  <si>
    <t>IRD 4 10.4.33.4</t>
  </si>
  <si>
    <t>IRD 5 10.4.33.5</t>
  </si>
  <si>
    <t>IRD 6 10.4.33.6</t>
  </si>
  <si>
    <t>IRD 7 10.4.33.7</t>
  </si>
  <si>
    <t>IRD 8 10.4.33.8</t>
  </si>
  <si>
    <t>IRD 9 10.4.33.9</t>
  </si>
  <si>
    <t>IRD 10 10.4.33.10</t>
  </si>
  <si>
    <t>IRD 11 10.4.33.11</t>
  </si>
  <si>
    <t>IRD 12 10.4.33.12</t>
  </si>
  <si>
    <t>IRD 13 10.4.33.13</t>
  </si>
  <si>
    <t>IRD 14 10.4.33.14</t>
  </si>
  <si>
    <t>IRD 15 10.4.33.15</t>
  </si>
  <si>
    <t>IRD 16 10.4.33.16</t>
  </si>
  <si>
    <t>IRD 17 10.4.33.17</t>
  </si>
  <si>
    <t>IRD 18 10.4.33.18</t>
  </si>
  <si>
    <t>IRD 19 10.4.33.19</t>
  </si>
  <si>
    <t>IRD 20 10.4.33.20</t>
  </si>
  <si>
    <t>Multicast IN</t>
  </si>
  <si>
    <t>Aasta</t>
  </si>
  <si>
    <t>AASTHA</t>
  </si>
  <si>
    <t>Flowers TV</t>
  </si>
  <si>
    <t>DD oriya</t>
  </si>
  <si>
    <t>Insat 4B H</t>
  </si>
  <si>
    <t>NTV</t>
  </si>
  <si>
    <t>Bhakti tv</t>
  </si>
  <si>
    <t>Sangeet Bhojpuri</t>
  </si>
  <si>
    <t>SAAM TV</t>
  </si>
  <si>
    <t>SASNKAR</t>
  </si>
  <si>
    <t>NO CAM</t>
  </si>
  <si>
    <t>Life OK</t>
  </si>
  <si>
    <t>CNBC Bajaar</t>
  </si>
  <si>
    <t>2369.6.0.25</t>
  </si>
  <si>
    <t>Discovery World HD</t>
  </si>
  <si>
    <t>Colors Kannada HD</t>
  </si>
  <si>
    <t>Movies NOW HD</t>
  </si>
  <si>
    <t>Raj Musix kannada</t>
  </si>
  <si>
    <t>239.5.2.21:5002</t>
  </si>
  <si>
    <t>239.5.2.22:5002</t>
  </si>
  <si>
    <t>239.5.2.23:5002</t>
  </si>
  <si>
    <t>CNBC TV 18</t>
  </si>
  <si>
    <t>Available Future use</t>
  </si>
  <si>
    <t>239.5.2.24;5002</t>
  </si>
  <si>
    <t>239.5.1.1:5001</t>
  </si>
  <si>
    <t>239.5.1.2:5001</t>
  </si>
  <si>
    <t>239.5.1.3:5001</t>
  </si>
  <si>
    <t>239.5.1.4:5001</t>
  </si>
  <si>
    <t>239.5.2.1:5002</t>
  </si>
  <si>
    <t>239.5.2.2:5002</t>
  </si>
  <si>
    <t>239.5.2.3:5002</t>
  </si>
  <si>
    <t>239.5.2.4:5002</t>
  </si>
  <si>
    <t>239.5.1.5:5001</t>
  </si>
  <si>
    <t>239.5.1.6:5001</t>
  </si>
  <si>
    <t>239.5.1.7:5001</t>
  </si>
  <si>
    <t>239.5.1.8:5001</t>
  </si>
  <si>
    <t>Asianet plus</t>
  </si>
  <si>
    <t>239.5.2.5:5002</t>
  </si>
  <si>
    <t>239.5.2.6:5002</t>
  </si>
  <si>
    <t>239.5.2.7:5002</t>
  </si>
  <si>
    <t>239.5.2.8:5002</t>
  </si>
  <si>
    <t>239.5.1.9:5001</t>
  </si>
  <si>
    <t>239.5.1.10:5001</t>
  </si>
  <si>
    <t>239.5.1.11:5001</t>
  </si>
  <si>
    <t>239.5.1.12:5001</t>
  </si>
  <si>
    <t>239.5.2.9:5002</t>
  </si>
  <si>
    <t>239.5.2.10:5002</t>
  </si>
  <si>
    <t>239.5.2.11:5002</t>
  </si>
  <si>
    <t>239.5.2.12:5002</t>
  </si>
  <si>
    <t>9x tashan</t>
  </si>
  <si>
    <t>239.4.1.206:2000</t>
  </si>
  <si>
    <t>239.4.1.207:2000</t>
  </si>
  <si>
    <t>239.4.1.208:2000</t>
  </si>
  <si>
    <t>239.4.1.209:2000</t>
  </si>
  <si>
    <t>239.4.1.202:2000</t>
  </si>
  <si>
    <t>239.4.1.203:2000</t>
  </si>
  <si>
    <t>239.4.1.204:2000</t>
  </si>
  <si>
    <t>239.4.1.205:2000</t>
  </si>
  <si>
    <t xml:space="preserve">NEWS TIME </t>
  </si>
  <si>
    <t>239.5.1.21;5001</t>
  </si>
  <si>
    <t>239.5.1.22;5001</t>
  </si>
  <si>
    <t>239.5.1.23:5001</t>
  </si>
  <si>
    <t>239.5.1.24:5001</t>
  </si>
  <si>
    <t>FOX Life</t>
  </si>
  <si>
    <t>Raj Music Kannada</t>
  </si>
  <si>
    <t>Star Jalsha HD</t>
  </si>
  <si>
    <t>239.5.1.7</t>
  </si>
  <si>
    <t>Channel V</t>
  </si>
  <si>
    <t>Mahua TV</t>
  </si>
  <si>
    <t>Fox life SD</t>
  </si>
  <si>
    <t>Z Living Asia</t>
  </si>
  <si>
    <t>Aljazeera English</t>
  </si>
  <si>
    <t>NHK World TV</t>
  </si>
  <si>
    <t>Bethat TV</t>
  </si>
  <si>
    <t>Barkat TV</t>
  </si>
  <si>
    <t>TRT World</t>
  </si>
  <si>
    <t>B4U Movies India</t>
  </si>
  <si>
    <t>B4U Music India</t>
  </si>
  <si>
    <t>   17</t>
  </si>
  <si>
    <t>   19</t>
  </si>
  <si>
    <t>   26</t>
  </si>
  <si>
    <t>   28</t>
  </si>
  <si>
    <t>   29</t>
  </si>
  <si>
    <t>  100</t>
  </si>
  <si>
    <t>  500</t>
  </si>
  <si>
    <t>B4U Movies Asia</t>
  </si>
  <si>
    <t>Ahlebait TV</t>
  </si>
  <si>
    <t>Bloomberg TV</t>
  </si>
  <si>
    <t>Travel XP HD</t>
  </si>
  <si>
    <t> 1100</t>
  </si>
  <si>
    <t>Kashish News</t>
  </si>
  <si>
    <t> 1102</t>
  </si>
  <si>
    <t>Taaza TV</t>
  </si>
  <si>
    <t> 1103</t>
  </si>
  <si>
    <t>Maha Cartoon TV</t>
  </si>
  <si>
    <t> 1104</t>
  </si>
  <si>
    <t>Janta TV</t>
  </si>
  <si>
    <t> 1105</t>
  </si>
  <si>
    <t>STV Haryana News</t>
  </si>
  <si>
    <t> 1106</t>
  </si>
  <si>
    <t>Travel XP Tamil</t>
  </si>
  <si>
    <t> 1107</t>
  </si>
  <si>
    <t>Sangeet Marathi</t>
  </si>
  <si>
    <t> 1108</t>
  </si>
  <si>
    <t>VTV News</t>
  </si>
  <si>
    <t> 1109</t>
  </si>
  <si>
    <t> 1113</t>
  </si>
  <si>
    <t>Bhojpuri Cinema</t>
  </si>
  <si>
    <t> 1114</t>
  </si>
  <si>
    <t>Kalash TV Channel</t>
  </si>
  <si>
    <t>Travel XP</t>
  </si>
  <si>
    <t>Animal Planet</t>
  </si>
  <si>
    <t>Star Utsav</t>
  </si>
  <si>
    <t>PTC Chakde</t>
  </si>
  <si>
    <t>224.6.0.150</t>
  </si>
  <si>
    <t>***********</t>
  </si>
  <si>
    <t>SDI Router port configuration</t>
  </si>
  <si>
    <t>Rack 1</t>
  </si>
  <si>
    <t>Rack 2</t>
  </si>
  <si>
    <t>Sevice</t>
  </si>
  <si>
    <t>ABP Anand</t>
  </si>
  <si>
    <t>Movies NOW</t>
  </si>
  <si>
    <t>ABP Majha</t>
  </si>
  <si>
    <t>Discovery</t>
  </si>
  <si>
    <t>Star Jalsha</t>
  </si>
  <si>
    <t>ABP News</t>
  </si>
  <si>
    <t>HBO</t>
  </si>
  <si>
    <t>Star Movies</t>
  </si>
  <si>
    <t>Cartoon Network</t>
  </si>
  <si>
    <t>Star Plus</t>
  </si>
  <si>
    <t>WB</t>
  </si>
  <si>
    <t>Ten 1</t>
  </si>
  <si>
    <t>Star Sport 3</t>
  </si>
  <si>
    <t>Sony 8</t>
  </si>
  <si>
    <t>Star Gold</t>
  </si>
  <si>
    <t>Sony</t>
  </si>
  <si>
    <t>Pogo</t>
  </si>
  <si>
    <t>Star World</t>
  </si>
  <si>
    <t>Udaya Comedy</t>
  </si>
  <si>
    <t>Ten 2</t>
  </si>
  <si>
    <t>Big Magic Ganga</t>
  </si>
  <si>
    <t>Sun Music</t>
  </si>
  <si>
    <t>Sony Mix</t>
  </si>
  <si>
    <t>Sun TV</t>
  </si>
  <si>
    <t>Sony Pix</t>
  </si>
  <si>
    <t>Ten 3</t>
  </si>
  <si>
    <t>Sony Max</t>
  </si>
  <si>
    <t>Zee Bangla Cinema</t>
  </si>
  <si>
    <t>Udaya Music</t>
  </si>
  <si>
    <t>Sony Sab</t>
  </si>
  <si>
    <t>&amp; Pitcture</t>
  </si>
  <si>
    <t>Surya TV</t>
  </si>
  <si>
    <t>Sony Six</t>
  </si>
  <si>
    <t>Zee Bangla</t>
  </si>
  <si>
    <t>Gemini TV</t>
  </si>
  <si>
    <t>CNN</t>
  </si>
  <si>
    <t>Zee Café</t>
  </si>
  <si>
    <t>Udaya TV</t>
  </si>
  <si>
    <t>Zee Cinema</t>
  </si>
  <si>
    <t>Udaya Movies</t>
  </si>
  <si>
    <t>Zee Tamil</t>
  </si>
  <si>
    <t>Zee Marati</t>
  </si>
  <si>
    <t>Kochu</t>
  </si>
  <si>
    <t>Udaya News</t>
  </si>
  <si>
    <t>Zee News</t>
  </si>
  <si>
    <t>Gemini Movies</t>
  </si>
  <si>
    <t>Zee TV</t>
  </si>
  <si>
    <t>Surya Movies</t>
  </si>
  <si>
    <t>History TV 18</t>
  </si>
  <si>
    <t>Star Suvarna</t>
  </si>
  <si>
    <t>239.4.1.149:2000</t>
  </si>
  <si>
    <t>Gemini HD</t>
  </si>
  <si>
    <t>239.4.1.148:2000</t>
  </si>
  <si>
    <t>Sun HD</t>
  </si>
  <si>
    <t>239.4.1.147:2000</t>
  </si>
  <si>
    <t>239.4.1.146:2000</t>
  </si>
  <si>
    <t>ENC HD</t>
  </si>
  <si>
    <t>239.4.1.48:2000</t>
  </si>
  <si>
    <t>239.4.1.47:2000</t>
  </si>
  <si>
    <t>TV9 Gujarathi</t>
  </si>
  <si>
    <t>239.4.1.46:2000</t>
  </si>
  <si>
    <t>Puthiya Thalaimuruai</t>
  </si>
  <si>
    <t>239.4.1.45:2000</t>
  </si>
  <si>
    <t>ENC 12</t>
  </si>
  <si>
    <t>239.4.1.44:2000</t>
  </si>
  <si>
    <t>239.4.1.43:2000</t>
  </si>
  <si>
    <t>239.4.1.41:2000</t>
  </si>
  <si>
    <t>239.4.1.42:2000</t>
  </si>
  <si>
    <t>ENC 11</t>
  </si>
  <si>
    <t>Music Fatafati</t>
  </si>
  <si>
    <t>239.4.1.40:2000</t>
  </si>
  <si>
    <t>Maa Music</t>
  </si>
  <si>
    <t>239.4.1.39:2000</t>
  </si>
  <si>
    <t>Channel win</t>
  </si>
  <si>
    <t>239.4.1.38:2000</t>
  </si>
  <si>
    <t>Maa Gold</t>
  </si>
  <si>
    <t>239.4.1.37:2000</t>
  </si>
  <si>
    <t>ENC 10</t>
  </si>
  <si>
    <t>239.4.1.33:2000</t>
  </si>
  <si>
    <t>239.4.1.35:2000</t>
  </si>
  <si>
    <t>Asainet News</t>
  </si>
  <si>
    <t>239.4.1.34:2000</t>
  </si>
  <si>
    <t>239.4.1.36:2000</t>
  </si>
  <si>
    <t>ENC 9</t>
  </si>
  <si>
    <t>ETV News Gujarathi</t>
  </si>
  <si>
    <t>239.4.0.32:2000</t>
  </si>
  <si>
    <t>239.4.0.31:2000</t>
  </si>
  <si>
    <t>239.4.1.30:2000</t>
  </si>
  <si>
    <t xml:space="preserve">Prag </t>
  </si>
  <si>
    <t>239.4.1.29:2000</t>
  </si>
  <si>
    <t>ENC 8</t>
  </si>
  <si>
    <t>Kairali TV</t>
  </si>
  <si>
    <t>239.4.1.28:2000</t>
  </si>
  <si>
    <t>TV 5 Mode Asia</t>
  </si>
  <si>
    <t>239.4.1.27:2000</t>
  </si>
  <si>
    <t>239.4.1.26:2000</t>
  </si>
  <si>
    <t>DANGAL</t>
  </si>
  <si>
    <t>239.4.1.25:2000</t>
  </si>
  <si>
    <t>ENC 7</t>
  </si>
  <si>
    <t>NEWS TIME</t>
  </si>
  <si>
    <t>239.4.1.24:2000</t>
  </si>
  <si>
    <t>AKAASH AATH</t>
  </si>
  <si>
    <t>239.4.1.22:2000</t>
  </si>
  <si>
    <t>DW TV</t>
  </si>
  <si>
    <t>239.4.1.23:2000</t>
  </si>
  <si>
    <t>Zee Salam</t>
  </si>
  <si>
    <t>239.4.1.21:2000</t>
  </si>
  <si>
    <t>ENC 6</t>
  </si>
  <si>
    <t>239.4.1.20:2000</t>
  </si>
  <si>
    <t>NDTV INDIA</t>
  </si>
  <si>
    <t>239.4.1.19:2000</t>
  </si>
  <si>
    <t>239.4.1.18:1999</t>
  </si>
  <si>
    <t>Suvarna News</t>
  </si>
  <si>
    <t>239.4.1.17:2000</t>
  </si>
  <si>
    <t>ENC 5</t>
  </si>
  <si>
    <t>Rang</t>
  </si>
  <si>
    <t>239.4.1.16:2000</t>
  </si>
  <si>
    <t>Maa TV</t>
  </si>
  <si>
    <t>239.4.1.15:2000</t>
  </si>
  <si>
    <t>News Live</t>
  </si>
  <si>
    <t>239.4.1.13:2000</t>
  </si>
  <si>
    <t>Sangeet Bangla</t>
  </si>
  <si>
    <t>239.4.1.14:2000</t>
  </si>
  <si>
    <t>ENC 4</t>
  </si>
  <si>
    <t>Zee ETC Bolywood</t>
  </si>
  <si>
    <t>239.4.1.9:2000</t>
  </si>
  <si>
    <t>MAIBOLI</t>
  </si>
  <si>
    <t>239.4.1.11:2000</t>
  </si>
  <si>
    <t>Aljajeera</t>
  </si>
  <si>
    <t>239.4.1.10:2000</t>
  </si>
  <si>
    <t>Ramdhanu</t>
  </si>
  <si>
    <t>239.4.1.12:2000</t>
  </si>
  <si>
    <t>ENC 3</t>
  </si>
  <si>
    <t>Maa Movies</t>
  </si>
  <si>
    <t>239.4.1.8:2000</t>
  </si>
  <si>
    <t>Kasturi TV</t>
  </si>
  <si>
    <t>239.4.1.7:2000</t>
  </si>
  <si>
    <t>239.4.1.6:2000</t>
  </si>
  <si>
    <t>Russia Today</t>
  </si>
  <si>
    <t>239.4.1.5:2000</t>
  </si>
  <si>
    <t>ENC 2</t>
  </si>
  <si>
    <t>ETV UP</t>
  </si>
  <si>
    <t>239.4.1.4:2000</t>
  </si>
  <si>
    <t>ETV MP</t>
  </si>
  <si>
    <t>239.4.1.3:2000</t>
  </si>
  <si>
    <t>239.4.1.2:2000</t>
  </si>
  <si>
    <t>239.4.1.1:2000</t>
  </si>
  <si>
    <t>ENC 1</t>
  </si>
  <si>
    <t>Current service</t>
  </si>
  <si>
    <t>Multicast(Before)</t>
  </si>
  <si>
    <t>Encoder</t>
  </si>
  <si>
    <t>#</t>
  </si>
  <si>
    <t>NEWS X</t>
  </si>
  <si>
    <t>ZEE TAMIL</t>
  </si>
  <si>
    <t>SANDESH NEWS</t>
  </si>
  <si>
    <t>&amp; TV SD</t>
  </si>
  <si>
    <t>CNN INT</t>
  </si>
  <si>
    <t>Kalagnar TV</t>
  </si>
  <si>
    <t>Star Vijay India</t>
  </si>
  <si>
    <t> 1914</t>
  </si>
  <si>
    <t>Asianet HD</t>
  </si>
  <si>
    <t> 1922</t>
  </si>
  <si>
    <t>Star Maa</t>
  </si>
  <si>
    <t> 1926</t>
  </si>
  <si>
    <t> 1927</t>
  </si>
  <si>
    <t> 1928</t>
  </si>
  <si>
    <t> 1929</t>
  </si>
  <si>
    <t>Star Utsav Movies</t>
  </si>
  <si>
    <t> 6009</t>
  </si>
  <si>
    <t> 6082</t>
  </si>
  <si>
    <t> 6087</t>
  </si>
  <si>
    <t> 6089</t>
  </si>
  <si>
    <t> 6092</t>
  </si>
  <si>
    <t>Star World Pre HD</t>
  </si>
  <si>
    <t>Shubh TV</t>
  </si>
  <si>
    <t>Skystar</t>
  </si>
  <si>
    <t>Sandesh News</t>
  </si>
  <si>
    <t>Insync</t>
  </si>
  <si>
    <t>Colors Marathi HD</t>
  </si>
  <si>
    <t>Colors Bangla HD</t>
  </si>
  <si>
    <t>Colors Super</t>
  </si>
  <si>
    <t>Comedy Central SD</t>
  </si>
  <si>
    <t>ETV Marathi,Bihar</t>
  </si>
  <si>
    <t>ETV Telangana</t>
  </si>
  <si>
    <t>North_East_Live</t>
  </si>
  <si>
    <t>Idradradanu</t>
  </si>
  <si>
    <t>DD National</t>
  </si>
  <si>
    <t>DD News</t>
  </si>
  <si>
    <t>DD Sports</t>
  </si>
  <si>
    <t>DD Bharati</t>
  </si>
  <si>
    <t>DD Bangla</t>
  </si>
  <si>
    <t>DD Podhigai</t>
  </si>
  <si>
    <t>DD Yadagiri</t>
  </si>
  <si>
    <t>DD Malayalam</t>
  </si>
  <si>
    <t>DD Urdu</t>
  </si>
  <si>
    <t>AIR Vividh Bharati</t>
  </si>
  <si>
    <t>AIR Hindi</t>
  </si>
  <si>
    <t>AIR Tamil</t>
  </si>
  <si>
    <t>AIR Bangla</t>
  </si>
  <si>
    <t>AIR Punjabi</t>
  </si>
  <si>
    <t>DD Port Blair</t>
  </si>
  <si>
    <t>AIR Rainbow Delhi</t>
  </si>
  <si>
    <t>DD Feed</t>
  </si>
  <si>
    <t>High News</t>
  </si>
  <si>
    <t>Kaatyayani TV</t>
  </si>
  <si>
    <t>Saam TV</t>
  </si>
  <si>
    <t>A2Z News</t>
  </si>
  <si>
    <t>RT Movies</t>
  </si>
  <si>
    <t>SMBC Insight</t>
  </si>
  <si>
    <t>Colors Bangla</t>
  </si>
  <si>
    <t>ETV Andhra Pradesh</t>
  </si>
  <si>
    <t>ETV Uttar Pradesh</t>
  </si>
  <si>
    <t>ETV Bihar Jharkhand</t>
  </si>
  <si>
    <t>Colors Gujarathi</t>
  </si>
  <si>
    <t>Colors Oriya,Gujarathi</t>
  </si>
  <si>
    <t>4TV</t>
  </si>
  <si>
    <t>Epic</t>
  </si>
  <si>
    <t>Ahsas TV</t>
  </si>
  <si>
    <t>Colors Infinity</t>
  </si>
  <si>
    <t>VH1 India</t>
  </si>
  <si>
    <t>Comedy Central India</t>
  </si>
  <si>
    <t>    10</t>
  </si>
  <si>
    <t>Pratinidhi TV</t>
  </si>
  <si>
    <t>Naaptol Malayalam</t>
  </si>
  <si>
    <t>Naaptol BD</t>
  </si>
  <si>
    <t>Star Sports 1,2 HD3,HD4</t>
  </si>
  <si>
    <t>IS17 V</t>
  </si>
  <si>
    <t>Asiasat 7V</t>
  </si>
  <si>
    <t>Life OK, Channel V</t>
  </si>
  <si>
    <t>Movies OK, Star Movies Action, FX India, Life OK HD</t>
  </si>
  <si>
    <t> 1905</t>
  </si>
  <si>
    <t>Asianet Plus</t>
  </si>
  <si>
    <t> 1909</t>
  </si>
  <si>
    <t> 1913</t>
  </si>
  <si>
    <t> 1917</t>
  </si>
  <si>
    <t>Star Vijay International</t>
  </si>
  <si>
    <t> 1925</t>
  </si>
  <si>
    <t>Asianet News</t>
  </si>
  <si>
    <t>Asianet Middle East</t>
  </si>
  <si>
    <t>Amrita TV</t>
  </si>
  <si>
    <t> 1931</t>
  </si>
  <si>
    <t>Goodness TV</t>
  </si>
  <si>
    <t> 1932</t>
  </si>
  <si>
    <t>Jaihind TV</t>
  </si>
  <si>
    <t> 1933</t>
  </si>
  <si>
    <t>Jeevan TV</t>
  </si>
  <si>
    <t> 1935</t>
  </si>
  <si>
    <t>Reporter</t>
  </si>
  <si>
    <t> 1936</t>
  </si>
  <si>
    <t>Star Vijay Int</t>
  </si>
  <si>
    <t>Asianet MidEast</t>
  </si>
  <si>
    <t>24 News</t>
  </si>
  <si>
    <t>Sakhi TV</t>
  </si>
  <si>
    <t>Navgrah</t>
  </si>
  <si>
    <t> 1921</t>
  </si>
  <si>
    <t>Star Suvarna Plus</t>
  </si>
  <si>
    <t>Darshana TV</t>
  </si>
  <si>
    <t>test</t>
  </si>
  <si>
    <t>Star Vijay HD</t>
  </si>
  <si>
    <t>Star World Premier HD</t>
  </si>
  <si>
    <t>Star Pravah HD</t>
  </si>
  <si>
    <t>Star Jalsha Movies HD</t>
  </si>
  <si>
    <t>Star World Pr HD, Jalsha HD</t>
  </si>
  <si>
    <t>Asiast 7H</t>
  </si>
  <si>
    <t>9x Tashan</t>
  </si>
  <si>
    <t>Asiasat 7H</t>
  </si>
  <si>
    <t>IS17 H</t>
  </si>
  <si>
    <t>NDTV India, Profit, GT</t>
  </si>
  <si>
    <t>Asaisat 4H</t>
  </si>
  <si>
    <t>Kanaka News</t>
  </si>
  <si>
    <t>Jalsha Movies HD</t>
  </si>
  <si>
    <t>Maa</t>
  </si>
  <si>
    <t>Muse Port</t>
  </si>
  <si>
    <t>224.6.0.1</t>
  </si>
  <si>
    <t>224.6.0.112</t>
  </si>
  <si>
    <t>239.6.0.173</t>
  </si>
  <si>
    <t>239.6.0.175</t>
  </si>
  <si>
    <t>239.6.0.171</t>
  </si>
  <si>
    <t>Star Sport Select 1</t>
  </si>
  <si>
    <t>Star Sport 1 Tamil</t>
  </si>
  <si>
    <t>17V</t>
  </si>
  <si>
    <t>IN</t>
  </si>
  <si>
    <t>Out 1</t>
  </si>
  <si>
    <t>Out 2</t>
  </si>
  <si>
    <t>Out 3</t>
  </si>
  <si>
    <t>Out 4</t>
  </si>
  <si>
    <t>Out 5</t>
  </si>
  <si>
    <t>Out 6</t>
  </si>
  <si>
    <t>Out 7</t>
  </si>
  <si>
    <t>Out 8</t>
  </si>
  <si>
    <t>Out 9</t>
  </si>
  <si>
    <t>Out 10</t>
  </si>
  <si>
    <t>Out 11</t>
  </si>
  <si>
    <t>Out 12</t>
  </si>
  <si>
    <t>Out 13</t>
  </si>
  <si>
    <t>Out 14</t>
  </si>
  <si>
    <t>Out 15</t>
  </si>
  <si>
    <t>Out 16</t>
  </si>
  <si>
    <t>Cards</t>
  </si>
  <si>
    <t>DA1</t>
  </si>
  <si>
    <t>SRF14A1B</t>
  </si>
  <si>
    <t>A6M33L</t>
  </si>
  <si>
    <t>RF8082</t>
  </si>
  <si>
    <t>RF8083</t>
  </si>
  <si>
    <t>RF8081</t>
  </si>
  <si>
    <t>A6B26L</t>
  </si>
  <si>
    <t>RF8084</t>
  </si>
  <si>
    <t>A6M36L</t>
  </si>
  <si>
    <t>RF8085</t>
  </si>
  <si>
    <t>A6M28L</t>
  </si>
  <si>
    <t>A6B44L</t>
  </si>
  <si>
    <t>RF7023</t>
  </si>
  <si>
    <t>SRF03A1A</t>
  </si>
  <si>
    <t>A6M25L</t>
  </si>
  <si>
    <t>A6B25L</t>
  </si>
  <si>
    <t>A6B43L</t>
  </si>
  <si>
    <t>A6M37L</t>
  </si>
  <si>
    <t>A6M23L</t>
  </si>
  <si>
    <t>A6M41L</t>
  </si>
  <si>
    <t>A4M15L</t>
  </si>
  <si>
    <t>A4B12L</t>
  </si>
  <si>
    <t>RF7021</t>
  </si>
  <si>
    <t>A4B10L</t>
  </si>
  <si>
    <t>IS20H</t>
  </si>
  <si>
    <t>SRF04A1A</t>
  </si>
  <si>
    <t>A5M52L</t>
  </si>
  <si>
    <t>A6B32L</t>
  </si>
  <si>
    <t>A6M32L</t>
  </si>
  <si>
    <t>A5B52L</t>
  </si>
  <si>
    <t>A4M10L</t>
  </si>
  <si>
    <t>Envivio R6</t>
  </si>
  <si>
    <t>A5M50L</t>
  </si>
  <si>
    <t>A5M51L</t>
  </si>
  <si>
    <t>A6B41L</t>
  </si>
  <si>
    <t>A5B53L</t>
  </si>
  <si>
    <t>A4B15L</t>
  </si>
  <si>
    <t>A6M39L</t>
  </si>
  <si>
    <t>A6B42L</t>
  </si>
  <si>
    <t>A5B51L</t>
  </si>
  <si>
    <t>A6B38L</t>
  </si>
  <si>
    <t>A6M38L</t>
  </si>
  <si>
    <t>A6B28L</t>
  </si>
  <si>
    <t>RF7060</t>
  </si>
  <si>
    <t>RF7045</t>
  </si>
  <si>
    <t>A5M54L</t>
  </si>
  <si>
    <t>RF7044</t>
  </si>
  <si>
    <t>RF7022</t>
  </si>
  <si>
    <t>SRF05A1A</t>
  </si>
  <si>
    <t>A3B06L</t>
  </si>
  <si>
    <t>A5M56L</t>
  </si>
  <si>
    <t>A4B11L</t>
  </si>
  <si>
    <t>A6B22L</t>
  </si>
  <si>
    <t>A6M24L</t>
  </si>
  <si>
    <t>A4B13L</t>
  </si>
  <si>
    <t>A4M13L</t>
  </si>
  <si>
    <t>A4M11L</t>
  </si>
  <si>
    <t>A6B23L</t>
  </si>
  <si>
    <t>A6B21L</t>
  </si>
  <si>
    <t>A4B09L</t>
  </si>
  <si>
    <t>A3M07L</t>
  </si>
  <si>
    <t>A5M53L</t>
  </si>
  <si>
    <t>A5M55L</t>
  </si>
  <si>
    <t>RF7002</t>
  </si>
  <si>
    <t>A6M42L</t>
  </si>
  <si>
    <t>SRF13A1B</t>
  </si>
  <si>
    <t>A5B54L</t>
  </si>
  <si>
    <t>A5B56L</t>
  </si>
  <si>
    <t>A4M12L</t>
  </si>
  <si>
    <t>A6B27L</t>
  </si>
  <si>
    <t>A6B35L</t>
  </si>
  <si>
    <t>A6B36L</t>
  </si>
  <si>
    <t>A4M09L</t>
  </si>
  <si>
    <t>A6B33L</t>
  </si>
  <si>
    <t>A4M14L</t>
  </si>
  <si>
    <t>A6M44L</t>
  </si>
  <si>
    <t>A4B14L</t>
  </si>
  <si>
    <t>A5B55L</t>
  </si>
  <si>
    <t>SRF08A1A</t>
  </si>
  <si>
    <t>A6M30L</t>
  </si>
  <si>
    <t>A6M29L</t>
  </si>
  <si>
    <t>A6M31L</t>
  </si>
  <si>
    <t>A6M22L</t>
  </si>
  <si>
    <t>A6B31L</t>
  </si>
  <si>
    <t>A6M34L</t>
  </si>
  <si>
    <t>A6M26L</t>
  </si>
  <si>
    <t>A6M27L</t>
  </si>
  <si>
    <t>A6B24L</t>
  </si>
  <si>
    <t>A6B30L</t>
  </si>
  <si>
    <t>A5B50L</t>
  </si>
  <si>
    <t>INSAT 4BH</t>
  </si>
  <si>
    <t>SRF0A1A</t>
  </si>
  <si>
    <t>A3M06L</t>
  </si>
  <si>
    <t>A3M05L</t>
  </si>
  <si>
    <t>ASIASAT 7H</t>
  </si>
  <si>
    <t>A6M21L</t>
  </si>
  <si>
    <t>A6B49L</t>
  </si>
  <si>
    <t>A6M43L</t>
  </si>
  <si>
    <t>A6M40L</t>
  </si>
  <si>
    <t>A6B29L</t>
  </si>
  <si>
    <t>A6B34L</t>
  </si>
  <si>
    <t>Insat 4B V</t>
  </si>
  <si>
    <t>Rack 8</t>
  </si>
  <si>
    <t>Envivio IRD</t>
  </si>
  <si>
    <t>Harmonic IRD</t>
  </si>
  <si>
    <t>Rack 9</t>
  </si>
  <si>
    <t>RACK 8</t>
  </si>
  <si>
    <t>R7M01</t>
  </si>
  <si>
    <t>R7M02</t>
  </si>
  <si>
    <t>R7M03</t>
  </si>
  <si>
    <t>R7M04</t>
  </si>
  <si>
    <t>R7M05</t>
  </si>
  <si>
    <t>R7M09</t>
  </si>
  <si>
    <t>R7M13</t>
  </si>
  <si>
    <t>R7M17</t>
  </si>
  <si>
    <t>R7M21</t>
  </si>
  <si>
    <t>R7M25</t>
  </si>
  <si>
    <t>R7M29</t>
  </si>
  <si>
    <t>R7M33</t>
  </si>
  <si>
    <t>R7M37</t>
  </si>
  <si>
    <t>R7M41</t>
  </si>
  <si>
    <t>R7M45</t>
  </si>
  <si>
    <t>R7M49</t>
  </si>
  <si>
    <t>R7M53</t>
  </si>
  <si>
    <t>R7M57</t>
  </si>
  <si>
    <t>R7M61</t>
  </si>
  <si>
    <t>R7M65</t>
  </si>
  <si>
    <t>R7M69</t>
  </si>
  <si>
    <t>R7M73</t>
  </si>
  <si>
    <t>R7M77</t>
  </si>
  <si>
    <t>R7M06</t>
  </si>
  <si>
    <t>R7M07</t>
  </si>
  <si>
    <t>R7M08</t>
  </si>
  <si>
    <t>R7M10</t>
  </si>
  <si>
    <t>R7M11</t>
  </si>
  <si>
    <t>R7M12</t>
  </si>
  <si>
    <t>R7M14</t>
  </si>
  <si>
    <t>R7M15</t>
  </si>
  <si>
    <t>R7M16</t>
  </si>
  <si>
    <t>R7M18</t>
  </si>
  <si>
    <t>R7M19</t>
  </si>
  <si>
    <t>R7M20</t>
  </si>
  <si>
    <t>R7M22</t>
  </si>
  <si>
    <t>R7M23</t>
  </si>
  <si>
    <t>R7M24</t>
  </si>
  <si>
    <t>R7M26</t>
  </si>
  <si>
    <t>R7M27</t>
  </si>
  <si>
    <t>R7M28</t>
  </si>
  <si>
    <t>R7M30</t>
  </si>
  <si>
    <t>R7M31</t>
  </si>
  <si>
    <t>R7M32</t>
  </si>
  <si>
    <t>R7M34</t>
  </si>
  <si>
    <t>R7M35</t>
  </si>
  <si>
    <t>R7M36</t>
  </si>
  <si>
    <t>R7M38</t>
  </si>
  <si>
    <t>R7M39</t>
  </si>
  <si>
    <t>R7M40</t>
  </si>
  <si>
    <t>R7M42</t>
  </si>
  <si>
    <t>R7M43</t>
  </si>
  <si>
    <t>R7M44</t>
  </si>
  <si>
    <t>R7M46</t>
  </si>
  <si>
    <t>R7M47</t>
  </si>
  <si>
    <t>R7M48</t>
  </si>
  <si>
    <t>R7M50</t>
  </si>
  <si>
    <t>R7M51</t>
  </si>
  <si>
    <t>R7M52</t>
  </si>
  <si>
    <t>R7M54</t>
  </si>
  <si>
    <t>R7M55</t>
  </si>
  <si>
    <t>R7M56</t>
  </si>
  <si>
    <t>R7M58</t>
  </si>
  <si>
    <t>R7M59</t>
  </si>
  <si>
    <t>R7M60</t>
  </si>
  <si>
    <t>R7M62</t>
  </si>
  <si>
    <t>R7M63</t>
  </si>
  <si>
    <t>R7M64</t>
  </si>
  <si>
    <t>R7M66</t>
  </si>
  <si>
    <t>R7M67</t>
  </si>
  <si>
    <t>R7M68</t>
  </si>
  <si>
    <t>R7M70</t>
  </si>
  <si>
    <t>R7M71</t>
  </si>
  <si>
    <t>R7M72</t>
  </si>
  <si>
    <t>R7M74</t>
  </si>
  <si>
    <t>R7M75</t>
  </si>
  <si>
    <t>R7M76</t>
  </si>
  <si>
    <t>R7M78</t>
  </si>
  <si>
    <t>R7M79</t>
  </si>
  <si>
    <t>R7M80</t>
  </si>
  <si>
    <t>R7B01</t>
  </si>
  <si>
    <t>R7B02</t>
  </si>
  <si>
    <t>R7B03</t>
  </si>
  <si>
    <t>R7B04</t>
  </si>
  <si>
    <t>R7B05</t>
  </si>
  <si>
    <t>R7B06</t>
  </si>
  <si>
    <t>R7B07</t>
  </si>
  <si>
    <t>R7B08</t>
  </si>
  <si>
    <t>R7B09</t>
  </si>
  <si>
    <t>R7B10</t>
  </si>
  <si>
    <t>R7B11</t>
  </si>
  <si>
    <t>R7B12</t>
  </si>
  <si>
    <t>R7B13</t>
  </si>
  <si>
    <t>R7B14</t>
  </si>
  <si>
    <t>R7B15</t>
  </si>
  <si>
    <t>R7B16</t>
  </si>
  <si>
    <t>R7B17</t>
  </si>
  <si>
    <t>R7B18</t>
  </si>
  <si>
    <t>R7B19</t>
  </si>
  <si>
    <t>R7B20</t>
  </si>
  <si>
    <t>R7B21</t>
  </si>
  <si>
    <t>R7B22</t>
  </si>
  <si>
    <t>R7B23</t>
  </si>
  <si>
    <t>R7B24</t>
  </si>
  <si>
    <t>R7B25</t>
  </si>
  <si>
    <t>R7B26</t>
  </si>
  <si>
    <t>R7B27</t>
  </si>
  <si>
    <t>R7B28</t>
  </si>
  <si>
    <t>R7B29</t>
  </si>
  <si>
    <t>R7B30</t>
  </si>
  <si>
    <t>R7B31</t>
  </si>
  <si>
    <t>R7B32</t>
  </si>
  <si>
    <t>R7B33</t>
  </si>
  <si>
    <t>R7B34</t>
  </si>
  <si>
    <t>R7B35</t>
  </si>
  <si>
    <t>R7B36</t>
  </si>
  <si>
    <t>R7B37</t>
  </si>
  <si>
    <t>R7B38</t>
  </si>
  <si>
    <t>R7B39</t>
  </si>
  <si>
    <t>R7B40</t>
  </si>
  <si>
    <t>R7B41</t>
  </si>
  <si>
    <t>R7B42</t>
  </si>
  <si>
    <t>R7B43</t>
  </si>
  <si>
    <t>R7B44</t>
  </si>
  <si>
    <t>R7B45</t>
  </si>
  <si>
    <t>R7B46</t>
  </si>
  <si>
    <t>R7B47</t>
  </si>
  <si>
    <t>R7B48</t>
  </si>
  <si>
    <t>R7B49</t>
  </si>
  <si>
    <t>R7B50</t>
  </si>
  <si>
    <t>R7B51</t>
  </si>
  <si>
    <t>R7B52</t>
  </si>
  <si>
    <t>R7B53</t>
  </si>
  <si>
    <t>R7B54</t>
  </si>
  <si>
    <t>R7B55</t>
  </si>
  <si>
    <t>R7B56</t>
  </si>
  <si>
    <t>R7B57</t>
  </si>
  <si>
    <t>R7B58</t>
  </si>
  <si>
    <t>R7B59</t>
  </si>
  <si>
    <t>R7B60</t>
  </si>
  <si>
    <t>R7B61</t>
  </si>
  <si>
    <t>R7B62</t>
  </si>
  <si>
    <t>R7B63</t>
  </si>
  <si>
    <t>R7B64</t>
  </si>
  <si>
    <t>R7B65</t>
  </si>
  <si>
    <t>R7B66</t>
  </si>
  <si>
    <t>R7B67</t>
  </si>
  <si>
    <t>R7B68</t>
  </si>
  <si>
    <t>R7B69</t>
  </si>
  <si>
    <t>R7B70</t>
  </si>
  <si>
    <t>R7B71</t>
  </si>
  <si>
    <t>R7B72</t>
  </si>
  <si>
    <t>R7B73</t>
  </si>
  <si>
    <t>R7B74</t>
  </si>
  <si>
    <t>R7B75</t>
  </si>
  <si>
    <t>R7B76</t>
  </si>
  <si>
    <t>R7B77</t>
  </si>
  <si>
    <t>R7B78</t>
  </si>
  <si>
    <t>R7B79</t>
  </si>
  <si>
    <t>R7B80</t>
  </si>
  <si>
    <t>8K</t>
  </si>
  <si>
    <t>Colors Tamil</t>
  </si>
  <si>
    <t>Kalaignar TV</t>
  </si>
  <si>
    <t>Seithigal</t>
  </si>
  <si>
    <t>Isai Aruvi</t>
  </si>
  <si>
    <t>Sirippoli</t>
  </si>
  <si>
    <t>Chithiram</t>
  </si>
  <si>
    <t>Vendhar TV</t>
  </si>
  <si>
    <t>Sairam TV</t>
  </si>
  <si>
    <t>Ayush TV</t>
  </si>
  <si>
    <t>MK Tunes</t>
  </si>
  <si>
    <t>MK Six</t>
  </si>
  <si>
    <t>Sai TV</t>
  </si>
  <si>
    <t>Hindu Dharmam</t>
  </si>
  <si>
    <t>Cauvery News</t>
  </si>
  <si>
    <t>TV 5 Kannada</t>
  </si>
  <si>
    <t>Malai Murasu TV</t>
  </si>
  <si>
    <t>Kalaignar Murasu</t>
  </si>
  <si>
    <t>Datarate</t>
  </si>
  <si>
    <t>Star Movies India</t>
  </si>
  <si>
    <t>Star World India</t>
  </si>
  <si>
    <t>Star Plus India</t>
  </si>
  <si>
    <t>Channel V India</t>
  </si>
  <si>
    <t>Star Gold USA</t>
  </si>
  <si>
    <t>Star Gold India</t>
  </si>
  <si>
    <t>Star Bharat India</t>
  </si>
  <si>
    <t>Star Plus Middle East</t>
  </si>
  <si>
    <t>Star Bharat Middle East</t>
  </si>
  <si>
    <t>Star Plus Southeast Asia</t>
  </si>
  <si>
    <t>Star Bharat, Star Sports 3</t>
  </si>
  <si>
    <t>Manorama News International</t>
  </si>
  <si>
    <t>Hungama TV</t>
  </si>
  <si>
    <t>Disney International HD</t>
  </si>
  <si>
    <t>Discovery Channel India</t>
  </si>
  <si>
    <t>Discovery Channel Tamil Nadu</t>
  </si>
  <si>
    <t>Animal Planet India</t>
  </si>
  <si>
    <t>Discovery Jeet</t>
  </si>
  <si>
    <t>Discovery Science India</t>
  </si>
  <si>
    <t>Discovery Turbo India</t>
  </si>
  <si>
    <t>TLC India</t>
  </si>
  <si>
    <t>Discovery Kids India</t>
  </si>
  <si>
    <t>TLC HD World India</t>
  </si>
  <si>
    <t>Animal Planet HD World India</t>
  </si>
  <si>
    <t>Discovery HD World India</t>
  </si>
  <si>
    <t>Discovery Jeet HD</t>
  </si>
  <si>
    <t>Star Vijay India HD</t>
  </si>
  <si>
    <t>* World Pre HD, Jalsha HD</t>
  </si>
  <si>
    <t>Sadhana Prime News</t>
  </si>
  <si>
    <t>News 1 India</t>
  </si>
  <si>
    <t>Disha News Channel</t>
  </si>
  <si>
    <t>TOP</t>
  </si>
  <si>
    <t>Sobarrage ANM News</t>
  </si>
  <si>
    <t>CNBC TV 18 Prime HD</t>
  </si>
  <si>
    <t>News 18 Malayalam</t>
  </si>
  <si>
    <t>Sonic Nickelodeon</t>
  </si>
  <si>
    <t>FYI TV 18</t>
  </si>
  <si>
    <t>News 18 Tamil</t>
  </si>
  <si>
    <t>CNBC Bajar</t>
  </si>
  <si>
    <t>News 18 Assam &amp; North-East</t>
  </si>
  <si>
    <t>News 18 Goa promo</t>
  </si>
  <si>
    <t>News 18 Bharat promo</t>
  </si>
  <si>
    <t>News 18 J&amp;K promo</t>
  </si>
  <si>
    <t>History TV 18 HD</t>
  </si>
  <si>
    <t>FYI TV 18 HD</t>
  </si>
  <si>
    <t>Shubh Cinema</t>
  </si>
  <si>
    <t>History TV18 HD,Colors HD, Sonic</t>
  </si>
  <si>
    <t>Colors Kananda HD</t>
  </si>
  <si>
    <t>Colors  Super</t>
  </si>
  <si>
    <t>&amp; Pictures HD</t>
  </si>
  <si>
    <t>Network18 lokmat</t>
  </si>
  <si>
    <t>History TV18 Tamil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</si>
</sst>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</fills>
  <borders count="8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19">
    <xf numFmtId="0" fontId="0" fillId="0" borderId="0" xfId="0"/>
    <xf numFmtId="0" fontId="1" fillId="0" borderId="2" xfId="0" applyFont="1" applyBorder="1"/>
    <xf numFmtId="0" fontId="1" fillId="0" borderId="13" xfId="0" applyFont="1" applyBorder="1"/>
    <xf numFmtId="0" fontId="0" fillId="0" borderId="16" xfId="0" applyBorder="1"/>
    <xf numFmtId="0" fontId="0" fillId="0" borderId="17" xfId="0" applyBorder="1"/>
    <xf numFmtId="0" fontId="0" fillId="0" borderId="11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23" xfId="0" applyBorder="1"/>
    <xf numFmtId="0" fontId="0" fillId="2" borderId="4" xfId="0" applyFill="1" applyBorder="1" applyAlignment="1">
      <alignment vertical="center"/>
    </xf>
    <xf numFmtId="0" fontId="0" fillId="2" borderId="29" xfId="0" applyFill="1" applyBorder="1" applyAlignment="1">
      <alignment vertical="center"/>
    </xf>
    <xf numFmtId="0" fontId="1" fillId="0" borderId="18" xfId="0" applyFont="1" applyBorder="1"/>
    <xf numFmtId="0" fontId="0" fillId="0" borderId="12" xfId="0" applyBorder="1" applyAlignment="1">
      <alignment horizontal="center"/>
    </xf>
    <xf numFmtId="0" fontId="1" fillId="0" borderId="0" xfId="0" applyFont="1"/>
    <xf numFmtId="0" fontId="1" fillId="0" borderId="31" xfId="0" applyFont="1" applyBorder="1"/>
    <xf numFmtId="0" fontId="0" fillId="0" borderId="32" xfId="0" applyBorder="1" applyAlignment="1">
      <alignment horizontal="center"/>
    </xf>
    <xf numFmtId="0" fontId="1" fillId="0" borderId="36" xfId="0" applyFont="1" applyBorder="1"/>
    <xf numFmtId="0" fontId="0" fillId="0" borderId="38" xfId="0" applyBorder="1"/>
    <xf numFmtId="0" fontId="0" fillId="0" borderId="5" xfId="0" applyBorder="1"/>
    <xf numFmtId="0" fontId="0" fillId="0" borderId="39" xfId="0" applyBorder="1"/>
    <xf numFmtId="0" fontId="0" fillId="0" borderId="35" xfId="0" applyBorder="1"/>
    <xf numFmtId="0" fontId="1" fillId="0" borderId="9" xfId="0" applyFont="1" applyBorder="1"/>
    <xf numFmtId="0" fontId="1" fillId="0" borderId="44" xfId="0" applyFont="1" applyBorder="1"/>
    <xf numFmtId="0" fontId="0" fillId="0" borderId="33" xfId="0" applyBorder="1"/>
    <xf numFmtId="0" fontId="0" fillId="0" borderId="32" xfId="0" applyBorder="1"/>
    <xf numFmtId="0" fontId="0" fillId="0" borderId="51" xfId="0" applyBorder="1" applyAlignment="1">
      <alignment horizontal="center" vertical="center"/>
    </xf>
    <xf numFmtId="0" fontId="0" fillId="4" borderId="52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4" borderId="53" xfId="0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" xfId="0" applyBorder="1"/>
    <xf numFmtId="0" fontId="0" fillId="2" borderId="6" xfId="0" applyFill="1" applyBorder="1"/>
    <xf numFmtId="0" fontId="0" fillId="2" borderId="8" xfId="0" applyFill="1" applyBorder="1"/>
    <xf numFmtId="0" fontId="0" fillId="2" borderId="24" xfId="0" applyFill="1" applyBorder="1"/>
    <xf numFmtId="0" fontId="0" fillId="2" borderId="37" xfId="0" applyFill="1" applyBorder="1"/>
    <xf numFmtId="0" fontId="0" fillId="2" borderId="4" xfId="0" applyFill="1" applyBorder="1"/>
    <xf numFmtId="0" fontId="0" fillId="0" borderId="69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Protection="1">
      <protection hidden="1"/>
    </xf>
    <xf numFmtId="0" fontId="0" fillId="0" borderId="32" xfId="0" applyFill="1" applyBorder="1"/>
    <xf numFmtId="0" fontId="0" fillId="0" borderId="38" xfId="0" applyFill="1" applyBorder="1"/>
    <xf numFmtId="0" fontId="0" fillId="0" borderId="12" xfId="0" applyFill="1" applyBorder="1"/>
    <xf numFmtId="0" fontId="0" fillId="0" borderId="16" xfId="0" applyFill="1" applyBorder="1"/>
    <xf numFmtId="0" fontId="0" fillId="0" borderId="33" xfId="0" applyFill="1" applyBorder="1"/>
    <xf numFmtId="0" fontId="0" fillId="0" borderId="5" xfId="0" applyFill="1" applyBorder="1"/>
    <xf numFmtId="0" fontId="0" fillId="0" borderId="15" xfId="0" applyFill="1" applyBorder="1"/>
    <xf numFmtId="0" fontId="0" fillId="0" borderId="17" xfId="0" applyFill="1" applyBorder="1"/>
    <xf numFmtId="0" fontId="0" fillId="0" borderId="0" xfId="0" applyBorder="1"/>
    <xf numFmtId="0" fontId="0" fillId="5" borderId="10" xfId="0" applyFont="1" applyFill="1" applyBorder="1" applyAlignment="1">
      <alignment horizontal="center" vertical="center"/>
    </xf>
    <xf numFmtId="0" fontId="0" fillId="5" borderId="11" xfId="0" applyFont="1" applyFill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4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32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17" xfId="0" applyFont="1" applyBorder="1"/>
    <xf numFmtId="0" fontId="0" fillId="0" borderId="18" xfId="0" applyBorder="1"/>
    <xf numFmtId="0" fontId="0" fillId="0" borderId="23" xfId="0" applyFill="1" applyBorder="1"/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55" xfId="0" applyBorder="1" applyAlignment="1">
      <alignment horizontal="center" vertical="center"/>
    </xf>
    <xf numFmtId="0" fontId="0" fillId="2" borderId="44" xfId="0" applyFill="1" applyBorder="1"/>
    <xf numFmtId="0" fontId="0" fillId="0" borderId="34" xfId="0" applyBorder="1"/>
    <xf numFmtId="0" fontId="0" fillId="0" borderId="21" xfId="0" applyFill="1" applyBorder="1"/>
    <xf numFmtId="0" fontId="0" fillId="0" borderId="34" xfId="0" applyFill="1" applyBorder="1"/>
    <xf numFmtId="0" fontId="0" fillId="0" borderId="39" xfId="0" applyFill="1" applyBorder="1"/>
    <xf numFmtId="0" fontId="0" fillId="9" borderId="38" xfId="0" applyFill="1" applyBorder="1"/>
    <xf numFmtId="0" fontId="0" fillId="9" borderId="17" xfId="0" applyFill="1" applyBorder="1"/>
    <xf numFmtId="0" fontId="0" fillId="9" borderId="16" xfId="0" applyFill="1" applyBorder="1"/>
    <xf numFmtId="0" fontId="0" fillId="9" borderId="5" xfId="0" applyFill="1" applyBorder="1"/>
    <xf numFmtId="0" fontId="0" fillId="9" borderId="17" xfId="0" applyFont="1" applyFill="1" applyBorder="1"/>
    <xf numFmtId="0" fontId="0" fillId="0" borderId="49" xfId="0" applyFill="1" applyBorder="1"/>
    <xf numFmtId="0" fontId="0" fillId="0" borderId="0" xfId="0" applyAlignment="1"/>
    <xf numFmtId="0" fontId="0" fillId="2" borderId="42" xfId="0" applyFill="1" applyBorder="1"/>
    <xf numFmtId="0" fontId="0" fillId="2" borderId="43" xfId="0" applyFill="1" applyBorder="1"/>
    <xf numFmtId="0" fontId="0" fillId="0" borderId="11" xfId="0" applyBorder="1" applyAlignment="1"/>
    <xf numFmtId="0" fontId="0" fillId="0" borderId="17" xfId="0" applyBorder="1" applyAlignment="1"/>
    <xf numFmtId="0" fontId="0" fillId="0" borderId="29" xfId="0" applyBorder="1" applyAlignment="1">
      <alignment horizontal="center" vertical="center"/>
    </xf>
    <xf numFmtId="0" fontId="0" fillId="4" borderId="40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62" xfId="0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8" borderId="0" xfId="0" applyFill="1"/>
    <xf numFmtId="0" fontId="0" fillId="0" borderId="2" xfId="0" applyBorder="1"/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8" borderId="10" xfId="0" applyFill="1" applyBorder="1"/>
    <xf numFmtId="0" fontId="0" fillId="8" borderId="1" xfId="0" applyFill="1" applyBorder="1"/>
    <xf numFmtId="0" fontId="0" fillId="8" borderId="2" xfId="0" applyFill="1" applyBorder="1"/>
    <xf numFmtId="0" fontId="0" fillId="0" borderId="2" xfId="0" applyBorder="1" applyAlignment="1">
      <alignment horizontal="center" vertical="center"/>
    </xf>
    <xf numFmtId="0" fontId="0" fillId="0" borderId="13" xfId="0" applyBorder="1"/>
    <xf numFmtId="0" fontId="0" fillId="8" borderId="20" xfId="0" applyFill="1" applyBorder="1"/>
    <xf numFmtId="0" fontId="0" fillId="0" borderId="11" xfId="0" applyFill="1" applyBorder="1"/>
    <xf numFmtId="0" fontId="0" fillId="0" borderId="13" xfId="0" applyFill="1" applyBorder="1"/>
    <xf numFmtId="0" fontId="0" fillId="0" borderId="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8" borderId="17" xfId="0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8" borderId="38" xfId="0" applyFill="1" applyBorder="1"/>
    <xf numFmtId="0" fontId="0" fillId="8" borderId="17" xfId="0" applyFont="1" applyFill="1" applyBorder="1"/>
    <xf numFmtId="0" fontId="0" fillId="0" borderId="1" xfId="0" applyFill="1" applyBorder="1"/>
    <xf numFmtId="0" fontId="0" fillId="0" borderId="1" xfId="0" applyFont="1" applyBorder="1"/>
    <xf numFmtId="0" fontId="0" fillId="0" borderId="15" xfId="0" applyBorder="1" applyAlignment="1">
      <alignment horizontal="center"/>
    </xf>
    <xf numFmtId="0" fontId="0" fillId="8" borderId="63" xfId="0" applyFill="1" applyBorder="1"/>
    <xf numFmtId="0" fontId="0" fillId="0" borderId="30" xfId="0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" xfId="0" applyBorder="1" applyAlignment="1"/>
    <xf numFmtId="0" fontId="0" fillId="0" borderId="38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6" xfId="0" applyFont="1" applyBorder="1"/>
    <xf numFmtId="0" fontId="0" fillId="0" borderId="76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37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10" fillId="6" borderId="6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horizontal="center" vertical="center"/>
    </xf>
    <xf numFmtId="0" fontId="10" fillId="6" borderId="37" xfId="0" applyFont="1" applyFill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left" vertical="center"/>
    </xf>
    <xf numFmtId="0" fontId="10" fillId="0" borderId="38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1" xfId="0" applyFont="1" applyBorder="1" applyAlignment="1">
      <alignment horizontal="left" vertical="center"/>
    </xf>
    <xf numFmtId="0" fontId="10" fillId="0" borderId="5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20" xfId="0" applyFont="1" applyBorder="1" applyAlignment="1">
      <alignment horizontal="left" vertical="center"/>
    </xf>
    <xf numFmtId="0" fontId="10" fillId="0" borderId="39" xfId="0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0" fontId="0" fillId="0" borderId="20" xfId="0" applyBorder="1"/>
    <xf numFmtId="0" fontId="0" fillId="0" borderId="10" xfId="0" applyBorder="1"/>
    <xf numFmtId="0" fontId="0" fillId="0" borderId="64" xfId="0" applyFill="1" applyBorder="1"/>
    <xf numFmtId="0" fontId="0" fillId="0" borderId="62" xfId="0" applyBorder="1"/>
    <xf numFmtId="0" fontId="0" fillId="0" borderId="14" xfId="0" applyBorder="1"/>
    <xf numFmtId="0" fontId="0" fillId="0" borderId="40" xfId="0" applyBorder="1"/>
    <xf numFmtId="0" fontId="0" fillId="5" borderId="57" xfId="0" applyFill="1" applyBorder="1"/>
    <xf numFmtId="0" fontId="0" fillId="5" borderId="9" xfId="0" applyFill="1" applyBorder="1"/>
    <xf numFmtId="0" fontId="0" fillId="0" borderId="15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0" fillId="6" borderId="17" xfId="0" applyFill="1" applyBorder="1"/>
    <xf numFmtId="0" fontId="0" fillId="6" borderId="38" xfId="0" applyFill="1" applyBorder="1"/>
    <xf numFmtId="0" fontId="0" fillId="6" borderId="5" xfId="0" applyFill="1" applyBorder="1"/>
    <xf numFmtId="0" fontId="0" fillId="6" borderId="16" xfId="0" applyFill="1" applyBorder="1"/>
    <xf numFmtId="0" fontId="9" fillId="9" borderId="17" xfId="0" applyFont="1" applyFill="1" applyBorder="1"/>
    <xf numFmtId="0" fontId="8" fillId="6" borderId="17" xfId="0" applyFont="1" applyFill="1" applyBorder="1"/>
    <xf numFmtId="0" fontId="0" fillId="12" borderId="17" xfId="0" applyFill="1" applyBorder="1"/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0" fillId="6" borderId="11" xfId="0" applyFill="1" applyBorder="1"/>
    <xf numFmtId="0" fontId="0" fillId="6" borderId="17" xfId="0" applyFill="1" applyBorder="1" applyAlignment="1"/>
    <xf numFmtId="0" fontId="9" fillId="10" borderId="38" xfId="0" applyFont="1" applyFill="1" applyBorder="1"/>
    <xf numFmtId="0" fontId="9" fillId="10" borderId="5" xfId="0" applyFont="1" applyFill="1" applyBorder="1"/>
    <xf numFmtId="0" fontId="0" fillId="2" borderId="60" xfId="0" applyFill="1" applyBorder="1"/>
    <xf numFmtId="0" fontId="0" fillId="2" borderId="29" xfId="0" applyFill="1" applyBorder="1"/>
    <xf numFmtId="0" fontId="0" fillId="0" borderId="30" xfId="0" applyBorder="1"/>
    <xf numFmtId="0" fontId="0" fillId="8" borderId="5" xfId="0" applyFill="1" applyBorder="1"/>
    <xf numFmtId="0" fontId="0" fillId="9" borderId="1" xfId="0" applyFill="1" applyBorder="1"/>
    <xf numFmtId="0" fontId="0" fillId="0" borderId="20" xfId="0" applyFill="1" applyBorder="1"/>
    <xf numFmtId="0" fontId="0" fillId="0" borderId="20" xfId="0" applyFont="1" applyBorder="1"/>
    <xf numFmtId="0" fontId="0" fillId="0" borderId="17" xfId="0" applyBorder="1" applyAlignment="1">
      <alignment vertical="center"/>
    </xf>
    <xf numFmtId="0" fontId="0" fillId="2" borderId="9" xfId="0" applyFill="1" applyBorder="1"/>
    <xf numFmtId="0" fontId="0" fillId="0" borderId="11" xfId="0" applyBorder="1" applyAlignment="1">
      <alignment vertical="center"/>
    </xf>
    <xf numFmtId="0" fontId="0" fillId="9" borderId="17" xfId="0" applyFill="1" applyBorder="1" applyAlignment="1">
      <alignment vertical="center"/>
    </xf>
    <xf numFmtId="0" fontId="9" fillId="9" borderId="5" xfId="0" applyFont="1" applyFill="1" applyBorder="1"/>
    <xf numFmtId="0" fontId="0" fillId="0" borderId="5" xfId="0" applyFont="1" applyBorder="1"/>
    <xf numFmtId="0" fontId="0" fillId="8" borderId="5" xfId="0" applyFont="1" applyFill="1" applyBorder="1"/>
    <xf numFmtId="0" fontId="0" fillId="2" borderId="1" xfId="0" applyFill="1" applyBorder="1"/>
    <xf numFmtId="0" fontId="0" fillId="0" borderId="1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58" xfId="0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0" fontId="10" fillId="0" borderId="80" xfId="0" applyFont="1" applyBorder="1" applyAlignment="1">
      <alignment horizontal="center" vertical="center"/>
    </xf>
    <xf numFmtId="0" fontId="10" fillId="0" borderId="58" xfId="0" applyFont="1" applyBorder="1" applyAlignment="1">
      <alignment horizontal="center" vertical="center"/>
    </xf>
    <xf numFmtId="0" fontId="10" fillId="0" borderId="56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10" fillId="0" borderId="10" xfId="0" applyFont="1" applyBorder="1" applyAlignment="1">
      <alignment horizontal="left" vertical="center"/>
    </xf>
    <xf numFmtId="0" fontId="10" fillId="0" borderId="11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5" xfId="0" applyFont="1" applyBorder="1" applyAlignment="1">
      <alignment horizontal="center" vertical="center"/>
    </xf>
    <xf numFmtId="0" fontId="10" fillId="0" borderId="41" xfId="0" applyFon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Alignment="1">
      <alignment vertical="center"/>
    </xf>
    <xf numFmtId="0" fontId="9" fillId="13" borderId="54" xfId="0" applyFont="1" applyFill="1" applyBorder="1" applyAlignment="1">
      <alignment vertical="center"/>
    </xf>
    <xf numFmtId="0" fontId="0" fillId="2" borderId="42" xfId="0" applyFill="1" applyBorder="1" applyAlignment="1">
      <alignment vertical="center"/>
    </xf>
    <xf numFmtId="0" fontId="0" fillId="2" borderId="57" xfId="0" applyFill="1" applyBorder="1" applyAlignment="1">
      <alignment vertical="center"/>
    </xf>
    <xf numFmtId="0" fontId="0" fillId="2" borderId="44" xfId="0" applyFill="1" applyBorder="1" applyAlignment="1">
      <alignment vertical="center"/>
    </xf>
    <xf numFmtId="0" fontId="9" fillId="13" borderId="6" xfId="0" applyFont="1" applyFill="1" applyBorder="1" applyAlignment="1">
      <alignment vertical="center"/>
    </xf>
    <xf numFmtId="0" fontId="9" fillId="13" borderId="4" xfId="0" applyFont="1" applyFill="1" applyBorder="1" applyAlignment="1">
      <alignment vertical="center"/>
    </xf>
    <xf numFmtId="0" fontId="1" fillId="0" borderId="24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9" fillId="13" borderId="25" xfId="0" applyFont="1" applyFill="1" applyBorder="1" applyAlignment="1">
      <alignment vertical="center"/>
    </xf>
    <xf numFmtId="0" fontId="1" fillId="0" borderId="63" xfId="0" applyFont="1" applyBorder="1" applyAlignment="1">
      <alignment vertical="center"/>
    </xf>
    <xf numFmtId="0" fontId="1" fillId="0" borderId="49" xfId="0" applyFont="1" applyBorder="1" applyAlignment="1">
      <alignment vertical="center"/>
    </xf>
    <xf numFmtId="0" fontId="9" fillId="13" borderId="75" xfId="0" applyFont="1" applyFill="1" applyBorder="1" applyAlignment="1">
      <alignment vertical="center"/>
    </xf>
    <xf numFmtId="0" fontId="1" fillId="6" borderId="70" xfId="0" applyFont="1" applyFill="1" applyBorder="1" applyAlignment="1">
      <alignment vertical="center"/>
    </xf>
    <xf numFmtId="0" fontId="1" fillId="6" borderId="81" xfId="0" applyFont="1" applyFill="1" applyBorder="1" applyAlignment="1">
      <alignment vertical="center"/>
    </xf>
    <xf numFmtId="0" fontId="1" fillId="6" borderId="50" xfId="0" applyFont="1" applyFill="1" applyBorder="1" applyAlignment="1">
      <alignment vertical="center"/>
    </xf>
    <xf numFmtId="0" fontId="1" fillId="6" borderId="7" xfId="0" applyFont="1" applyFill="1" applyBorder="1" applyAlignment="1">
      <alignment vertical="center"/>
    </xf>
    <xf numFmtId="0" fontId="1" fillId="6" borderId="8" xfId="0" applyFont="1" applyFill="1" applyBorder="1" applyAlignment="1">
      <alignment vertical="center"/>
    </xf>
    <xf numFmtId="0" fontId="9" fillId="13" borderId="69" xfId="0" applyFont="1" applyFill="1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16" xfId="0" applyBorder="1" applyAlignment="1">
      <alignment vertical="center"/>
    </xf>
    <xf numFmtId="0" fontId="9" fillId="13" borderId="12" xfId="0" applyFont="1" applyFill="1" applyBorder="1" applyAlignment="1">
      <alignment vertical="center"/>
    </xf>
    <xf numFmtId="0" fontId="9" fillId="13" borderId="52" xfId="0" applyFont="1" applyFill="1" applyBorder="1" applyAlignment="1">
      <alignment vertical="center"/>
    </xf>
    <xf numFmtId="0" fontId="0" fillId="0" borderId="33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9" fillId="13" borderId="15" xfId="0" applyFont="1" applyFill="1" applyBorder="1" applyAlignment="1">
      <alignment vertical="center"/>
    </xf>
    <xf numFmtId="0" fontId="0" fillId="0" borderId="1" xfId="0" applyFill="1" applyBorder="1" applyAlignment="1">
      <alignment vertical="center"/>
    </xf>
    <xf numFmtId="0" fontId="0" fillId="0" borderId="33" xfId="0" applyBorder="1" applyAlignment="1">
      <alignment vertical="center"/>
    </xf>
    <xf numFmtId="0" fontId="9" fillId="13" borderId="53" xfId="0" applyFont="1" applyFill="1" applyBorder="1" applyAlignment="1">
      <alignment vertical="center"/>
    </xf>
    <xf numFmtId="0" fontId="0" fillId="0" borderId="34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vertical="center"/>
    </xf>
    <xf numFmtId="0" fontId="9" fillId="13" borderId="23" xfId="0" applyFont="1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0" borderId="33" xfId="0" applyBorder="1" applyAlignment="1">
      <alignment horizontal="center"/>
    </xf>
    <xf numFmtId="0" fontId="0" fillId="5" borderId="10" xfId="0" applyFont="1" applyFill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" fillId="3" borderId="24" xfId="0" applyFont="1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3" xfId="0" applyFill="1" applyBorder="1" applyAlignment="1">
      <alignment horizontal="center"/>
    </xf>
    <xf numFmtId="0" fontId="0" fillId="0" borderId="5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5" borderId="30" xfId="0" applyFont="1" applyFill="1" applyBorder="1" applyAlignment="1">
      <alignment horizontal="center" vertical="center"/>
    </xf>
    <xf numFmtId="0" fontId="0" fillId="5" borderId="10" xfId="0" applyFont="1" applyFill="1" applyBorder="1" applyAlignment="1">
      <alignment horizontal="center" vertical="center"/>
    </xf>
    <xf numFmtId="0" fontId="4" fillId="6" borderId="34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5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35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2" borderId="30" xfId="0" applyFill="1" applyBorder="1" applyAlignment="1">
      <alignment horizontal="center"/>
    </xf>
    <xf numFmtId="0" fontId="0" fillId="2" borderId="40" xfId="0" applyFill="1" applyBorder="1" applyAlignment="1">
      <alignment horizontal="center"/>
    </xf>
    <xf numFmtId="0" fontId="0" fillId="2" borderId="41" xfId="0" applyFill="1" applyBorder="1" applyAlignment="1">
      <alignment horizontal="center"/>
    </xf>
    <xf numFmtId="0" fontId="1" fillId="0" borderId="27" xfId="0" applyFont="1" applyBorder="1" applyAlignment="1">
      <alignment horizontal="center" vertical="center"/>
    </xf>
    <xf numFmtId="0" fontId="1" fillId="0" borderId="46" xfId="0" applyFont="1" applyBorder="1" applyAlignment="1">
      <alignment horizontal="center" vertical="center"/>
    </xf>
    <xf numFmtId="0" fontId="1" fillId="0" borderId="45" xfId="0" applyFont="1" applyBorder="1" applyAlignment="1">
      <alignment horizontal="center" vertical="center"/>
    </xf>
    <xf numFmtId="0" fontId="1" fillId="0" borderId="47" xfId="0" applyFont="1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13" xfId="0" applyBorder="1" applyAlignment="1">
      <alignment horizontal="center" vertical="center" wrapText="1"/>
    </xf>
    <xf numFmtId="0" fontId="0" fillId="0" borderId="49" xfId="0" applyBorder="1" applyAlignment="1">
      <alignment horizontal="center" vertical="center" wrapText="1"/>
    </xf>
    <xf numFmtId="0" fontId="0" fillId="0" borderId="50" xfId="0" applyBorder="1" applyAlignment="1">
      <alignment horizontal="center" vertical="center" wrapText="1"/>
    </xf>
    <xf numFmtId="0" fontId="0" fillId="2" borderId="42" xfId="0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0" fillId="0" borderId="26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/>
    </xf>
    <xf numFmtId="0" fontId="0" fillId="5" borderId="22" xfId="0" applyFont="1" applyFill="1" applyBorder="1" applyAlignment="1">
      <alignment horizontal="center" vertical="center"/>
    </xf>
    <xf numFmtId="0" fontId="4" fillId="6" borderId="23" xfId="0" applyFont="1" applyFill="1" applyBorder="1" applyAlignment="1">
      <alignment horizontal="center"/>
    </xf>
    <xf numFmtId="0" fontId="0" fillId="0" borderId="46" xfId="0" applyBorder="1" applyAlignment="1">
      <alignment horizontal="center" vertical="center" wrapText="1"/>
    </xf>
    <xf numFmtId="0" fontId="0" fillId="0" borderId="59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0" fillId="0" borderId="60" xfId="0" applyBorder="1" applyAlignment="1">
      <alignment horizontal="center"/>
    </xf>
    <xf numFmtId="0" fontId="0" fillId="2" borderId="42" xfId="0" applyFill="1" applyBorder="1" applyAlignment="1">
      <alignment horizontal="center" vertical="center"/>
    </xf>
    <xf numFmtId="0" fontId="0" fillId="2" borderId="57" xfId="0" applyFill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79" xfId="0" applyFont="1" applyBorder="1" applyAlignment="1">
      <alignment horizontal="center" vertical="center"/>
    </xf>
    <xf numFmtId="0" fontId="0" fillId="2" borderId="44" xfId="0" applyFill="1" applyBorder="1" applyAlignment="1">
      <alignment horizontal="center" vertical="center"/>
    </xf>
    <xf numFmtId="0" fontId="0" fillId="0" borderId="41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1" fillId="0" borderId="41" xfId="0" applyFont="1" applyBorder="1" applyAlignment="1">
      <alignment horizontal="center" vertical="center"/>
    </xf>
    <xf numFmtId="0" fontId="1" fillId="0" borderId="56" xfId="0" applyFont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10" fillId="2" borderId="45" xfId="0" applyFont="1" applyFill="1" applyBorder="1" applyAlignment="1">
      <alignment horizontal="center"/>
    </xf>
    <xf numFmtId="0" fontId="10" fillId="2" borderId="72" xfId="0" applyFont="1" applyFill="1" applyBorder="1" applyAlignment="1">
      <alignment horizontal="center"/>
    </xf>
    <xf numFmtId="0" fontId="10" fillId="2" borderId="47" xfId="0" applyFont="1" applyFill="1" applyBorder="1" applyAlignment="1">
      <alignment horizontal="center"/>
    </xf>
    <xf numFmtId="0" fontId="10" fillId="2" borderId="27" xfId="0" applyFont="1" applyFill="1" applyBorder="1" applyAlignment="1">
      <alignment horizontal="center"/>
    </xf>
    <xf numFmtId="0" fontId="10" fillId="2" borderId="61" xfId="0" applyFont="1" applyFill="1" applyBorder="1" applyAlignment="1">
      <alignment horizontal="center"/>
    </xf>
    <xf numFmtId="0" fontId="10" fillId="2" borderId="46" xfId="0" applyFont="1" applyFill="1" applyBorder="1" applyAlignment="1">
      <alignment horizontal="center"/>
    </xf>
    <xf numFmtId="0" fontId="10" fillId="2" borderId="29" xfId="0" applyFont="1" applyFill="1" applyBorder="1" applyAlignment="1">
      <alignment horizontal="center"/>
    </xf>
    <xf numFmtId="0" fontId="10" fillId="2" borderId="60" xfId="0" applyFont="1" applyFill="1" applyBorder="1" applyAlignment="1">
      <alignment horizontal="center"/>
    </xf>
    <xf numFmtId="0" fontId="10" fillId="2" borderId="48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9" fillId="10" borderId="74" xfId="0" applyFont="1" applyFill="1" applyBorder="1" applyAlignment="1">
      <alignment horizontal="center"/>
    </xf>
    <xf numFmtId="0" fontId="9" fillId="10" borderId="7" xfId="0" applyFont="1" applyFill="1" applyBorder="1" applyAlignment="1">
      <alignment horizontal="center"/>
    </xf>
    <xf numFmtId="0" fontId="9" fillId="10" borderId="73" xfId="0" applyFont="1" applyFill="1" applyBorder="1" applyAlignment="1">
      <alignment horizontal="center"/>
    </xf>
    <xf numFmtId="0" fontId="9" fillId="11" borderId="74" xfId="0" applyFont="1" applyFill="1" applyBorder="1" applyAlignment="1">
      <alignment horizontal="center"/>
    </xf>
    <xf numFmtId="0" fontId="9" fillId="11" borderId="7" xfId="0" applyFont="1" applyFill="1" applyBorder="1" applyAlignment="1">
      <alignment horizontal="center"/>
    </xf>
    <xf numFmtId="0" fontId="9" fillId="11" borderId="73" xfId="0" applyFont="1" applyFill="1" applyBorder="1" applyAlignment="1">
      <alignment horizontal="center"/>
    </xf>
    <xf numFmtId="0" fontId="0" fillId="5" borderId="64" xfId="0" applyFill="1" applyBorder="1" applyAlignment="1">
      <alignment horizontal="center"/>
    </xf>
    <xf numFmtId="0" fontId="0" fillId="5" borderId="63" xfId="0" applyFill="1" applyBorder="1" applyAlignment="1">
      <alignment horizontal="center"/>
    </xf>
    <xf numFmtId="0" fontId="0" fillId="5" borderId="65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44" xfId="0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8" fillId="0" borderId="22" xfId="0" applyFont="1" applyFill="1" applyBorder="1" applyAlignment="1">
      <alignment horizontal="center"/>
    </xf>
    <xf numFmtId="0" fontId="8" fillId="0" borderId="11" xfId="0" applyFont="1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30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29" xfId="0" applyFill="1" applyBorder="1" applyAlignment="1">
      <alignment horizontal="center"/>
    </xf>
    <xf numFmtId="0" fontId="0" fillId="0" borderId="60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7" borderId="52" xfId="0" applyFill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66" xfId="0" applyFill="1" applyBorder="1" applyAlignment="1">
      <alignment horizontal="center"/>
    </xf>
    <xf numFmtId="0" fontId="0" fillId="0" borderId="41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5" borderId="37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72" xfId="0" applyBorder="1" applyAlignment="1">
      <alignment horizontal="center"/>
    </xf>
    <xf numFmtId="0" fontId="8" fillId="8" borderId="23" xfId="0" applyFont="1" applyFill="1" applyBorder="1" applyAlignment="1">
      <alignment horizontal="center"/>
    </xf>
    <xf numFmtId="0" fontId="8" fillId="8" borderId="21" xfId="0" applyFont="1" applyFill="1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3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9" fillId="11" borderId="24" xfId="0" applyFont="1" applyFill="1" applyBorder="1" applyAlignment="1">
      <alignment horizontal="center"/>
    </xf>
    <xf numFmtId="0" fontId="9" fillId="11" borderId="8" xfId="0" applyFont="1" applyFill="1" applyBorder="1" applyAlignment="1">
      <alignment horizontal="center"/>
    </xf>
    <xf numFmtId="0" fontId="9" fillId="10" borderId="6" xfId="0" applyFont="1" applyFill="1" applyBorder="1" applyAlignment="1">
      <alignment horizontal="center"/>
    </xf>
    <xf numFmtId="0" fontId="9" fillId="10" borderId="8" xfId="0" applyFont="1" applyFill="1" applyBorder="1" applyAlignment="1">
      <alignment horizontal="center"/>
    </xf>
    <xf numFmtId="0" fontId="9" fillId="11" borderId="37" xfId="0" applyFont="1" applyFill="1" applyBorder="1" applyAlignment="1">
      <alignment horizontal="center"/>
    </xf>
    <xf numFmtId="0" fontId="0" fillId="7" borderId="29" xfId="0" applyFill="1" applyBorder="1" applyAlignment="1">
      <alignment horizontal="center"/>
    </xf>
    <xf numFmtId="0" fontId="0" fillId="7" borderId="48" xfId="0" applyFill="1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5" borderId="61" xfId="0" applyFill="1" applyBorder="1" applyAlignment="1">
      <alignment horizontal="center"/>
    </xf>
    <xf numFmtId="0" fontId="9" fillId="10" borderId="45" xfId="0" applyFont="1" applyFill="1" applyBorder="1" applyAlignment="1">
      <alignment horizontal="center"/>
    </xf>
    <xf numFmtId="0" fontId="9" fillId="10" borderId="72" xfId="0" applyFont="1" applyFill="1" applyBorder="1" applyAlignment="1">
      <alignment horizontal="center"/>
    </xf>
    <xf numFmtId="0" fontId="9" fillId="11" borderId="45" xfId="0" applyFont="1" applyFill="1" applyBorder="1" applyAlignment="1">
      <alignment horizontal="center"/>
    </xf>
    <xf numFmtId="0" fontId="9" fillId="11" borderId="72" xfId="0" applyFont="1" applyFill="1" applyBorder="1" applyAlignment="1">
      <alignment horizontal="center"/>
    </xf>
    <xf numFmtId="0" fontId="0" fillId="5" borderId="46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9" fillId="11" borderId="60" xfId="0" applyFont="1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61" xfId="0" applyFill="1" applyBorder="1" applyAlignment="1">
      <alignment horizontal="center"/>
    </xf>
    <xf numFmtId="0" fontId="9" fillId="11" borderId="0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3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1" fillId="0" borderId="71" xfId="0" applyFont="1" applyBorder="1" applyAlignment="1">
      <alignment horizontal="center" vertical="center"/>
    </xf>
    <xf numFmtId="0" fontId="1" fillId="0" borderId="43" xfId="0" applyFont="1" applyBorder="1" applyAlignment="1">
      <alignment horizontal="center" vertical="center" wrapText="1"/>
    </xf>
    <xf numFmtId="0" fontId="1" fillId="0" borderId="46" xfId="0" applyFont="1" applyBorder="1" applyAlignment="1">
      <alignment horizontal="center" vertical="center" wrapText="1"/>
    </xf>
    <xf numFmtId="0" fontId="1" fillId="0" borderId="71" xfId="0" applyFont="1" applyBorder="1" applyAlignment="1">
      <alignment horizontal="center" vertical="center" wrapText="1"/>
    </xf>
    <xf numFmtId="0" fontId="1" fillId="0" borderId="47" xfId="0" applyFont="1" applyBorder="1" applyAlignment="1">
      <alignment horizontal="center" vertical="center" wrapText="1"/>
    </xf>
    <xf numFmtId="0" fontId="1" fillId="0" borderId="42" xfId="0" applyFont="1" applyBorder="1" applyAlignment="1">
      <alignment horizontal="center" vertical="center"/>
    </xf>
    <xf numFmtId="0" fontId="1" fillId="0" borderId="70" xfId="0" applyFont="1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14" borderId="1" xfId="0" applyFill="1" applyBorder="1"/>
    <xf numFmtId="0" fontId="0" fillId="14" borderId="12" xfId="0" applyFill="1" applyBorder="1" applyAlignment="1">
      <alignment horizontal="center"/>
    </xf>
    <xf numFmtId="0" fontId="0" fillId="14" borderId="16" xfId="0" applyFill="1" applyBorder="1"/>
    <xf numFmtId="0" fontId="0" fillId="14" borderId="15" xfId="0" applyFill="1" applyBorder="1" applyAlignment="1">
      <alignment horizontal="center"/>
    </xf>
    <xf numFmtId="0" fontId="0" fillId="14" borderId="17" xfId="0" applyFill="1" applyBorder="1"/>
    <xf numFmtId="0" fontId="0" fillId="14" borderId="23" xfId="0" applyFill="1" applyBorder="1" applyAlignment="1">
      <alignment horizontal="center"/>
    </xf>
    <xf numFmtId="0" fontId="0" fillId="14" borderId="21" xfId="0" applyFill="1" applyBorder="1"/>
    <xf numFmtId="0" fontId="0" fillId="0" borderId="15" xfId="0" applyFill="1" applyBorder="1" applyAlignment="1">
      <alignment horizontal="center"/>
    </xf>
    <xf numFmtId="0" fontId="0" fillId="14" borderId="12" xfId="0" applyFill="1" applyBorder="1"/>
    <xf numFmtId="0" fontId="0" fillId="14" borderId="15" xfId="0" applyFill="1" applyBorder="1"/>
    <xf numFmtId="0" fontId="0" fillId="14" borderId="23" xfId="0" applyFill="1" applyBorder="1"/>
    <xf numFmtId="0" fontId="0" fillId="14" borderId="32" xfId="0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8" xfId="0" applyFill="1" applyBorder="1"/>
    <xf numFmtId="0" fontId="0" fillId="14" borderId="5" xfId="0" applyFill="1" applyBorder="1"/>
    <xf numFmtId="0" fontId="0" fillId="14" borderId="18" xfId="0" applyFill="1" applyBorder="1"/>
    <xf numFmtId="0" fontId="0" fillId="14" borderId="17" xfId="0" applyFont="1" applyFill="1" applyBorder="1"/>
  </cellXfs>
  <cellStyles count="1">
    <cellStyle name="Normal" xfId="0" builtinId="0"/>
  </cellStyles>
  <dxfs count="142"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/>
      </font>
      <fill>
        <patternFill>
          <bgColor rgb="FFFF0000"/>
        </patternFill>
      </fill>
    </dxf>
    <dxf>
      <font>
        <b val="0"/>
        <i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</font>
      <fill>
        <patternFill>
          <bgColor rgb="FFFF0000"/>
        </patternFill>
      </fill>
    </dxf>
    <dxf>
      <font>
        <b val="0"/>
        <i/>
      </font>
      <fill>
        <patternFill>
          <bgColor rgb="FFFF0000"/>
        </patternFill>
      </fill>
    </dxf>
    <dxf>
      <font>
        <b val="0"/>
        <i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0000"/>
      <color rgb="FFDC5024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Quin Sw'!N2:R18"/><Relationship Id="rId7" Type="http://schemas.openxmlformats.org/officeDocument/2006/relationships/hyperlink" Target="#'Quin Sw'!A1"/><Relationship Id="rId2" Type="http://schemas.openxmlformats.org/officeDocument/2006/relationships/hyperlink" Target="#'Quin Sw'!H2:M18"/><Relationship Id="rId1" Type="http://schemas.openxmlformats.org/officeDocument/2006/relationships/hyperlink" Target="#'Quin Sw'!B2:F18"/><Relationship Id="rId6" Type="http://schemas.openxmlformats.org/officeDocument/2006/relationships/hyperlink" Target="#'Quin Sw'!AL2:AT18"/><Relationship Id="rId5" Type="http://schemas.openxmlformats.org/officeDocument/2006/relationships/hyperlink" Target="#'Quin Sw'!AD2:AJ18"/><Relationship Id="rId4" Type="http://schemas.openxmlformats.org/officeDocument/2006/relationships/hyperlink" Target="#'Quin Sw'!T2:AB18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Quin Sw'!B2:F18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304801</xdr:colOff>
      <xdr:row>18</xdr:row>
      <xdr:rowOff>161925</xdr:rowOff>
    </xdr:from>
    <xdr:to>
      <xdr:col>3</xdr:col>
      <xdr:colOff>419101</xdr:colOff>
      <xdr:row>20</xdr:row>
      <xdr:rowOff>123825</xdr:rowOff>
    </xdr:to>
    <xdr:sp macro="" textlink="">
      <xdr:nvSpPr>
        <xdr:cNvPr id="2" name="Bevel 1">
          <a:hlinkClick xmlns:r="http://schemas.openxmlformats.org/officeDocument/2006/relationships" r:id="rId1"/>
        </xdr:cNvPr>
        <xdr:cNvSpPr/>
      </xdr:nvSpPr>
      <xdr:spPr>
        <a:xfrm>
          <a:off x="447676" y="3543300"/>
          <a:ext cx="857250" cy="34290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3</a:t>
          </a:r>
        </a:p>
      </xdr:txBody>
    </xdr:sp>
    <xdr:clientData/>
  </xdr:twoCellAnchor>
  <xdr:twoCellAnchor>
    <xdr:from>
      <xdr:col>3</xdr:col>
      <xdr:colOff>571500</xdr:colOff>
      <xdr:row>18</xdr:row>
      <xdr:rowOff>161925</xdr:rowOff>
    </xdr:from>
    <xdr:to>
      <xdr:col>5</xdr:col>
      <xdr:colOff>476250</xdr:colOff>
      <xdr:row>20</xdr:row>
      <xdr:rowOff>123825</xdr:rowOff>
    </xdr:to>
    <xdr:sp macro="" textlink="">
      <xdr:nvSpPr>
        <xdr:cNvPr id="4" name="Bevel 3">
          <a:hlinkClick xmlns:r="http://schemas.openxmlformats.org/officeDocument/2006/relationships" r:id="rId2"/>
        </xdr:cNvPr>
        <xdr:cNvSpPr/>
      </xdr:nvSpPr>
      <xdr:spPr>
        <a:xfrm>
          <a:off x="1457325" y="3543300"/>
          <a:ext cx="857250" cy="34290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4</a:t>
          </a:r>
        </a:p>
      </xdr:txBody>
    </xdr:sp>
    <xdr:clientData/>
  </xdr:twoCellAnchor>
  <xdr:twoCellAnchor>
    <xdr:from>
      <xdr:col>6</xdr:col>
      <xdr:colOff>0</xdr:colOff>
      <xdr:row>18</xdr:row>
      <xdr:rowOff>161925</xdr:rowOff>
    </xdr:from>
    <xdr:to>
      <xdr:col>8</xdr:col>
      <xdr:colOff>247650</xdr:colOff>
      <xdr:row>20</xdr:row>
      <xdr:rowOff>123825</xdr:rowOff>
    </xdr:to>
    <xdr:sp macro="" textlink="">
      <xdr:nvSpPr>
        <xdr:cNvPr id="5" name="Bevel 4">
          <a:hlinkClick xmlns:r="http://schemas.openxmlformats.org/officeDocument/2006/relationships" r:id="rId3"/>
        </xdr:cNvPr>
        <xdr:cNvSpPr/>
      </xdr:nvSpPr>
      <xdr:spPr>
        <a:xfrm>
          <a:off x="2476500" y="3543300"/>
          <a:ext cx="857250" cy="34290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 5</a:t>
          </a:r>
          <a:endParaRPr lang="en-US" sz="11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85725</xdr:colOff>
      <xdr:row>18</xdr:row>
      <xdr:rowOff>171450</xdr:rowOff>
    </xdr:from>
    <xdr:to>
      <xdr:col>10</xdr:col>
      <xdr:colOff>304800</xdr:colOff>
      <xdr:row>20</xdr:row>
      <xdr:rowOff>133350</xdr:rowOff>
    </xdr:to>
    <xdr:sp macro="" textlink="">
      <xdr:nvSpPr>
        <xdr:cNvPr id="6" name="Bevel 5">
          <a:hlinkClick xmlns:r="http://schemas.openxmlformats.org/officeDocument/2006/relationships" r:id="rId4"/>
        </xdr:cNvPr>
        <xdr:cNvSpPr/>
      </xdr:nvSpPr>
      <xdr:spPr>
        <a:xfrm>
          <a:off x="3486150" y="3552825"/>
          <a:ext cx="857250" cy="34290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6</a:t>
          </a:r>
        </a:p>
      </xdr:txBody>
    </xdr:sp>
    <xdr:clientData/>
  </xdr:twoCellAnchor>
  <xdr:twoCellAnchor>
    <xdr:from>
      <xdr:col>11</xdr:col>
      <xdr:colOff>114300</xdr:colOff>
      <xdr:row>18</xdr:row>
      <xdr:rowOff>171450</xdr:rowOff>
    </xdr:from>
    <xdr:to>
      <xdr:col>13</xdr:col>
      <xdr:colOff>190500</xdr:colOff>
      <xdr:row>20</xdr:row>
      <xdr:rowOff>133350</xdr:rowOff>
    </xdr:to>
    <xdr:sp macro="" textlink="">
      <xdr:nvSpPr>
        <xdr:cNvPr id="7" name="Bevel 6">
          <a:hlinkClick xmlns:r="http://schemas.openxmlformats.org/officeDocument/2006/relationships" r:id="rId5"/>
        </xdr:cNvPr>
        <xdr:cNvSpPr/>
      </xdr:nvSpPr>
      <xdr:spPr>
        <a:xfrm>
          <a:off x="4467225" y="3552825"/>
          <a:ext cx="857250" cy="34290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7</a:t>
          </a:r>
        </a:p>
      </xdr:txBody>
    </xdr:sp>
    <xdr:clientData/>
  </xdr:twoCellAnchor>
  <xdr:twoCellAnchor>
    <xdr:from>
      <xdr:col>13</xdr:col>
      <xdr:colOff>381000</xdr:colOff>
      <xdr:row>18</xdr:row>
      <xdr:rowOff>171450</xdr:rowOff>
    </xdr:from>
    <xdr:to>
      <xdr:col>15</xdr:col>
      <xdr:colOff>495300</xdr:colOff>
      <xdr:row>20</xdr:row>
      <xdr:rowOff>133350</xdr:rowOff>
    </xdr:to>
    <xdr:sp macro="" textlink="">
      <xdr:nvSpPr>
        <xdr:cNvPr id="8" name="Bevel 7">
          <a:hlinkClick xmlns:r="http://schemas.openxmlformats.org/officeDocument/2006/relationships" r:id="rId6"/>
        </xdr:cNvPr>
        <xdr:cNvSpPr/>
      </xdr:nvSpPr>
      <xdr:spPr>
        <a:xfrm>
          <a:off x="5514975" y="3562350"/>
          <a:ext cx="857250" cy="34290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8</a:t>
          </a:r>
        </a:p>
      </xdr:txBody>
    </xdr:sp>
    <xdr:clientData/>
  </xdr:twoCellAnchor>
  <xdr:twoCellAnchor>
    <xdr:from>
      <xdr:col>29</xdr:col>
      <xdr:colOff>15875</xdr:colOff>
      <xdr:row>18</xdr:row>
      <xdr:rowOff>187325</xdr:rowOff>
    </xdr:from>
    <xdr:to>
      <xdr:col>31</xdr:col>
      <xdr:colOff>136525</xdr:colOff>
      <xdr:row>20</xdr:row>
      <xdr:rowOff>158750</xdr:rowOff>
    </xdr:to>
    <xdr:sp macro="" textlink="">
      <xdr:nvSpPr>
        <xdr:cNvPr id="10" name="Bevel 9">
          <a:hlinkClick xmlns:r="http://schemas.openxmlformats.org/officeDocument/2006/relationships" r:id="rId7"/>
        </xdr:cNvPr>
        <xdr:cNvSpPr/>
      </xdr:nvSpPr>
      <xdr:spPr>
        <a:xfrm>
          <a:off x="13065125" y="3451225"/>
          <a:ext cx="901700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Back</a:t>
          </a:r>
          <a:endParaRPr lang="en-US" sz="11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180975</xdr:colOff>
      <xdr:row>21</xdr:row>
      <xdr:rowOff>66675</xdr:rowOff>
    </xdr:from>
    <xdr:to>
      <xdr:col>21</xdr:col>
      <xdr:colOff>127000</xdr:colOff>
      <xdr:row>22</xdr:row>
      <xdr:rowOff>88900</xdr:rowOff>
    </xdr:to>
    <xdr:sp macro="" textlink="">
      <xdr:nvSpPr>
        <xdr:cNvPr id="3" name="Up Arrow 2"/>
        <xdr:cNvSpPr/>
      </xdr:nvSpPr>
      <xdr:spPr>
        <a:xfrm>
          <a:off x="8632825" y="3908425"/>
          <a:ext cx="276225" cy="206375"/>
        </a:xfrm>
        <a:prstGeom prst="up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304801</xdr:colOff>
      <xdr:row>18</xdr:row>
      <xdr:rowOff>161925</xdr:rowOff>
    </xdr:from>
    <xdr:to>
      <xdr:col>3</xdr:col>
      <xdr:colOff>419101</xdr:colOff>
      <xdr:row>20</xdr:row>
      <xdr:rowOff>123825</xdr:rowOff>
    </xdr:to>
    <xdr:sp macro="" textlink="">
      <xdr:nvSpPr>
        <xdr:cNvPr id="2" name="Bevel 1">
          <a:hlinkClick xmlns:r="http://schemas.openxmlformats.org/officeDocument/2006/relationships" r:id="rId1"/>
        </xdr:cNvPr>
        <xdr:cNvSpPr/>
      </xdr:nvSpPr>
      <xdr:spPr>
        <a:xfrm>
          <a:off x="457201" y="3552825"/>
          <a:ext cx="819150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3</a:t>
          </a:r>
        </a:p>
      </xdr:txBody>
    </xdr:sp>
    <xdr:clientData/>
  </xdr:twoCellAnchor>
  <xdr:twoCellAnchor>
    <xdr:from>
      <xdr:col>3</xdr:col>
      <xdr:colOff>571500</xdr:colOff>
      <xdr:row>18</xdr:row>
      <xdr:rowOff>161925</xdr:rowOff>
    </xdr:from>
    <xdr:to>
      <xdr:col>5</xdr:col>
      <xdr:colOff>476250</xdr:colOff>
      <xdr:row>20</xdr:row>
      <xdr:rowOff>123825</xdr:rowOff>
    </xdr:to>
    <xdr:sp macro="" textlink="">
      <xdr:nvSpPr>
        <xdr:cNvPr id="3" name="Bevel 2"/>
        <xdr:cNvSpPr/>
      </xdr:nvSpPr>
      <xdr:spPr>
        <a:xfrm>
          <a:off x="1428750" y="3552825"/>
          <a:ext cx="781050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4</a:t>
          </a:r>
        </a:p>
      </xdr:txBody>
    </xdr:sp>
    <xdr:clientData/>
  </xdr:twoCellAnchor>
  <xdr:twoCellAnchor>
    <xdr:from>
      <xdr:col>6</xdr:col>
      <xdr:colOff>0</xdr:colOff>
      <xdr:row>18</xdr:row>
      <xdr:rowOff>161925</xdr:rowOff>
    </xdr:from>
    <xdr:to>
      <xdr:col>8</xdr:col>
      <xdr:colOff>247650</xdr:colOff>
      <xdr:row>20</xdr:row>
      <xdr:rowOff>123825</xdr:rowOff>
    </xdr:to>
    <xdr:sp macro="" textlink="">
      <xdr:nvSpPr>
        <xdr:cNvPr id="4" name="Bevel 3"/>
        <xdr:cNvSpPr/>
      </xdr:nvSpPr>
      <xdr:spPr>
        <a:xfrm>
          <a:off x="2314575" y="3552825"/>
          <a:ext cx="838200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 5</a:t>
          </a:r>
          <a:endParaRPr lang="en-US" sz="11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85725</xdr:colOff>
      <xdr:row>18</xdr:row>
      <xdr:rowOff>171450</xdr:rowOff>
    </xdr:from>
    <xdr:to>
      <xdr:col>10</xdr:col>
      <xdr:colOff>304800</xdr:colOff>
      <xdr:row>20</xdr:row>
      <xdr:rowOff>133350</xdr:rowOff>
    </xdr:to>
    <xdr:sp macro="" textlink="">
      <xdr:nvSpPr>
        <xdr:cNvPr id="5" name="Bevel 4"/>
        <xdr:cNvSpPr/>
      </xdr:nvSpPr>
      <xdr:spPr>
        <a:xfrm>
          <a:off x="3286125" y="3562350"/>
          <a:ext cx="790575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6</a:t>
          </a:r>
        </a:p>
      </xdr:txBody>
    </xdr:sp>
    <xdr:clientData/>
  </xdr:twoCellAnchor>
  <xdr:twoCellAnchor>
    <xdr:from>
      <xdr:col>11</xdr:col>
      <xdr:colOff>114300</xdr:colOff>
      <xdr:row>18</xdr:row>
      <xdr:rowOff>171450</xdr:rowOff>
    </xdr:from>
    <xdr:to>
      <xdr:col>13</xdr:col>
      <xdr:colOff>190500</xdr:colOff>
      <xdr:row>20</xdr:row>
      <xdr:rowOff>133350</xdr:rowOff>
    </xdr:to>
    <xdr:sp macro="" textlink="">
      <xdr:nvSpPr>
        <xdr:cNvPr id="6" name="Bevel 5"/>
        <xdr:cNvSpPr/>
      </xdr:nvSpPr>
      <xdr:spPr>
        <a:xfrm>
          <a:off x="4191000" y="3562350"/>
          <a:ext cx="809625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7</a:t>
          </a:r>
        </a:p>
      </xdr:txBody>
    </xdr:sp>
    <xdr:clientData/>
  </xdr:twoCellAnchor>
  <xdr:twoCellAnchor>
    <xdr:from>
      <xdr:col>13</xdr:col>
      <xdr:colOff>381000</xdr:colOff>
      <xdr:row>18</xdr:row>
      <xdr:rowOff>171450</xdr:rowOff>
    </xdr:from>
    <xdr:to>
      <xdr:col>15</xdr:col>
      <xdr:colOff>495300</xdr:colOff>
      <xdr:row>20</xdr:row>
      <xdr:rowOff>133350</xdr:rowOff>
    </xdr:to>
    <xdr:sp macro="" textlink="">
      <xdr:nvSpPr>
        <xdr:cNvPr id="7" name="Bevel 6"/>
        <xdr:cNvSpPr/>
      </xdr:nvSpPr>
      <xdr:spPr>
        <a:xfrm>
          <a:off x="5191125" y="3562350"/>
          <a:ext cx="819150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8</a:t>
          </a:r>
        </a:p>
      </xdr:txBody>
    </xdr:sp>
    <xdr:clientData/>
  </xdr:twoCellAnchor>
  <xdr:twoCellAnchor>
    <xdr:from>
      <xdr:col>29</xdr:col>
      <xdr:colOff>15875</xdr:colOff>
      <xdr:row>18</xdr:row>
      <xdr:rowOff>187325</xdr:rowOff>
    </xdr:from>
    <xdr:to>
      <xdr:col>31</xdr:col>
      <xdr:colOff>136525</xdr:colOff>
      <xdr:row>20</xdr:row>
      <xdr:rowOff>158750</xdr:rowOff>
    </xdr:to>
    <xdr:sp macro="" textlink="">
      <xdr:nvSpPr>
        <xdr:cNvPr id="8" name="Bevel 7"/>
        <xdr:cNvSpPr/>
      </xdr:nvSpPr>
      <xdr:spPr>
        <a:xfrm>
          <a:off x="11236325" y="3578225"/>
          <a:ext cx="825500" cy="36195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Back</a:t>
          </a:r>
          <a:endParaRPr lang="en-US" sz="11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180975</xdr:colOff>
      <xdr:row>21</xdr:row>
      <xdr:rowOff>66675</xdr:rowOff>
    </xdr:from>
    <xdr:to>
      <xdr:col>21</xdr:col>
      <xdr:colOff>127000</xdr:colOff>
      <xdr:row>22</xdr:row>
      <xdr:rowOff>88900</xdr:rowOff>
    </xdr:to>
    <xdr:sp macro="" textlink="">
      <xdr:nvSpPr>
        <xdr:cNvPr id="9" name="Up Arrow 8"/>
        <xdr:cNvSpPr/>
      </xdr:nvSpPr>
      <xdr:spPr>
        <a:xfrm>
          <a:off x="7724775" y="4048125"/>
          <a:ext cx="241300" cy="212725"/>
        </a:xfrm>
        <a:prstGeom prst="up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rgb="FF00B050"/>
    <pageSetUpPr fitToPage="1"/>
  </sheetPr>
  <dimension ref="B1:R21"/>
  <sheetViews>
    <sheetView showWhiteSpace="0" zoomScaleNormal="100" workbookViewId="0">
      <selection activeCell="T9" sqref="T9"/>
    </sheetView>
  </sheetViews>
  <sheetFormatPr defaultColWidth="9.85546875" defaultRowHeight="15" x14ac:dyDescent="0.25"/>
  <cols>
    <col min="1" max="1" width="5.28515625" customWidth="1"/>
    <col min="2" max="2" width="7.28515625" bestFit="1" customWidth="1"/>
    <col min="3" max="3" width="9" bestFit="1" customWidth="1"/>
    <col min="4" max="4" width="9.140625" bestFit="1" customWidth="1"/>
    <col min="5" max="5" width="9.28515625" bestFit="1" customWidth="1"/>
    <col min="6" max="6" width="7.5703125" bestFit="1" customWidth="1"/>
    <col min="7" max="8" width="10.28515625" bestFit="1" customWidth="1"/>
    <col min="9" max="9" width="9" bestFit="1" customWidth="1"/>
    <col min="10" max="10" width="7.140625" customWidth="1"/>
    <col min="11" max="11" width="7.28515625" bestFit="1" customWidth="1"/>
    <col min="12" max="12" width="9.7109375" bestFit="1" customWidth="1"/>
    <col min="13" max="13" width="9.5703125" bestFit="1" customWidth="1"/>
    <col min="14" max="14" width="10.42578125" bestFit="1" customWidth="1"/>
    <col min="15" max="19" width="6.85546875" customWidth="1"/>
  </cols>
  <sheetData>
    <row r="1" spans="2:18" ht="15.75" thickBot="1" x14ac:dyDescent="0.3"/>
    <row r="2" spans="2:18" ht="15.75" thickBot="1" x14ac:dyDescent="0.3">
      <c r="B2" s="311" t="s">
        <v>1794</v>
      </c>
      <c r="C2" s="312"/>
      <c r="D2" s="312"/>
      <c r="E2" s="312"/>
      <c r="F2" s="312"/>
      <c r="G2" s="312"/>
      <c r="H2" s="312"/>
      <c r="I2" s="313"/>
      <c r="J2" s="237"/>
      <c r="K2" s="308" t="s">
        <v>1794</v>
      </c>
      <c r="L2" s="309"/>
      <c r="M2" s="309"/>
      <c r="N2" s="309"/>
      <c r="O2" s="309"/>
      <c r="P2" s="309"/>
      <c r="Q2" s="309"/>
      <c r="R2" s="310"/>
    </row>
    <row r="3" spans="2:18" ht="15.75" thickBot="1" x14ac:dyDescent="0.3">
      <c r="B3" s="238" t="s">
        <v>1793</v>
      </c>
      <c r="C3" s="239">
        <v>7</v>
      </c>
      <c r="D3" s="240">
        <v>6</v>
      </c>
      <c r="E3" s="240">
        <v>5</v>
      </c>
      <c r="F3" s="240">
        <v>4</v>
      </c>
      <c r="G3" s="240">
        <v>3</v>
      </c>
      <c r="H3" s="240">
        <v>2</v>
      </c>
      <c r="I3" s="241">
        <v>1</v>
      </c>
      <c r="J3" s="237"/>
      <c r="K3" s="242" t="s">
        <v>1793</v>
      </c>
      <c r="L3" s="272">
        <v>7</v>
      </c>
      <c r="M3" s="272">
        <v>6</v>
      </c>
      <c r="N3" s="272">
        <v>5</v>
      </c>
      <c r="O3" s="272">
        <v>4</v>
      </c>
      <c r="P3" s="272">
        <v>3</v>
      </c>
      <c r="Q3" s="272">
        <v>2</v>
      </c>
      <c r="R3" s="273">
        <v>1</v>
      </c>
    </row>
    <row r="4" spans="2:18" ht="15.75" thickBot="1" x14ac:dyDescent="0.3">
      <c r="B4" s="243" t="s">
        <v>316</v>
      </c>
      <c r="C4" s="244" t="s">
        <v>112</v>
      </c>
      <c r="D4" s="245" t="s">
        <v>113</v>
      </c>
      <c r="E4" s="245" t="s">
        <v>1818</v>
      </c>
      <c r="F4" s="245" t="s">
        <v>1818</v>
      </c>
      <c r="G4" s="245" t="s">
        <v>191</v>
      </c>
      <c r="H4" s="245" t="s">
        <v>191</v>
      </c>
      <c r="I4" s="246" t="s">
        <v>51</v>
      </c>
      <c r="J4" s="237"/>
      <c r="K4" s="247" t="s">
        <v>316</v>
      </c>
      <c r="L4" s="248" t="s">
        <v>193</v>
      </c>
      <c r="M4" s="248" t="s">
        <v>1884</v>
      </c>
      <c r="N4" s="248" t="s">
        <v>1888</v>
      </c>
      <c r="O4" s="248"/>
      <c r="P4" s="248"/>
      <c r="Q4" s="248"/>
      <c r="R4" s="249"/>
    </row>
    <row r="5" spans="2:18" ht="15.75" thickBot="1" x14ac:dyDescent="0.3">
      <c r="B5" s="250" t="s">
        <v>1776</v>
      </c>
      <c r="C5" s="251" t="s">
        <v>1795</v>
      </c>
      <c r="D5" s="252" t="s">
        <v>1807</v>
      </c>
      <c r="E5" s="252" t="s">
        <v>1819</v>
      </c>
      <c r="F5" s="252"/>
      <c r="G5" s="252" t="s">
        <v>1842</v>
      </c>
      <c r="H5" s="252"/>
      <c r="I5" s="253" t="s">
        <v>1859</v>
      </c>
      <c r="J5" s="237"/>
      <c r="K5" s="242" t="s">
        <v>1776</v>
      </c>
      <c r="L5" s="254" t="s">
        <v>1872</v>
      </c>
      <c r="M5" s="254" t="s">
        <v>1885</v>
      </c>
      <c r="N5" s="254"/>
      <c r="O5" s="254"/>
      <c r="P5" s="254"/>
      <c r="Q5" s="254"/>
      <c r="R5" s="255"/>
    </row>
    <row r="6" spans="2:18" x14ac:dyDescent="0.25">
      <c r="B6" s="256" t="s">
        <v>1777</v>
      </c>
      <c r="C6" s="257" t="s">
        <v>1796</v>
      </c>
      <c r="D6" s="258" t="s">
        <v>1808</v>
      </c>
      <c r="E6" s="258" t="s">
        <v>1820</v>
      </c>
      <c r="F6" s="258" t="s">
        <v>1833</v>
      </c>
      <c r="G6" s="258" t="s">
        <v>1843</v>
      </c>
      <c r="H6" s="258" t="s">
        <v>143</v>
      </c>
      <c r="I6" s="259" t="s">
        <v>1860</v>
      </c>
      <c r="J6" s="237"/>
      <c r="K6" s="260" t="s">
        <v>1777</v>
      </c>
      <c r="L6" s="258" t="s">
        <v>1873</v>
      </c>
      <c r="M6" s="258" t="s">
        <v>1886</v>
      </c>
      <c r="N6" s="258" t="s">
        <v>1889</v>
      </c>
      <c r="O6" s="258"/>
      <c r="P6" s="258"/>
      <c r="Q6" s="258"/>
      <c r="R6" s="259"/>
    </row>
    <row r="7" spans="2:18" x14ac:dyDescent="0.25">
      <c r="B7" s="261" t="s">
        <v>1778</v>
      </c>
      <c r="C7" s="262" t="s">
        <v>1806</v>
      </c>
      <c r="D7" s="263" t="s">
        <v>142</v>
      </c>
      <c r="E7" s="263" t="s">
        <v>1821</v>
      </c>
      <c r="F7" s="263" t="s">
        <v>1834</v>
      </c>
      <c r="G7" s="263" t="s">
        <v>1844</v>
      </c>
      <c r="H7" s="263" t="s">
        <v>1858</v>
      </c>
      <c r="I7" s="207" t="s">
        <v>1861</v>
      </c>
      <c r="J7" s="237"/>
      <c r="K7" s="264" t="s">
        <v>1778</v>
      </c>
      <c r="L7" s="265" t="s">
        <v>1874</v>
      </c>
      <c r="M7" s="263" t="s">
        <v>1887</v>
      </c>
      <c r="N7" s="263" t="s">
        <v>1890</v>
      </c>
      <c r="O7" s="263"/>
      <c r="P7" s="263"/>
      <c r="Q7" s="263"/>
      <c r="R7" s="207"/>
    </row>
    <row r="8" spans="2:18" x14ac:dyDescent="0.25">
      <c r="B8" s="261" t="s">
        <v>1779</v>
      </c>
      <c r="C8" s="266" t="s">
        <v>1797</v>
      </c>
      <c r="D8" s="263" t="s">
        <v>1810</v>
      </c>
      <c r="E8" s="263" t="s">
        <v>1822</v>
      </c>
      <c r="F8" s="263" t="s">
        <v>1837</v>
      </c>
      <c r="G8" s="263" t="s">
        <v>1845</v>
      </c>
      <c r="H8" s="263"/>
      <c r="I8" s="207" t="s">
        <v>28</v>
      </c>
      <c r="J8" s="237"/>
      <c r="K8" s="264" t="s">
        <v>1779</v>
      </c>
      <c r="L8" s="263" t="s">
        <v>195</v>
      </c>
      <c r="M8" s="263"/>
      <c r="N8" s="263" t="s">
        <v>1836</v>
      </c>
      <c r="O8" s="263"/>
      <c r="P8" s="263"/>
      <c r="Q8" s="263"/>
      <c r="R8" s="207"/>
    </row>
    <row r="9" spans="2:18" x14ac:dyDescent="0.25">
      <c r="B9" s="261" t="s">
        <v>1780</v>
      </c>
      <c r="C9" s="266" t="s">
        <v>1798</v>
      </c>
      <c r="D9" s="263" t="s">
        <v>1811</v>
      </c>
      <c r="E9" s="263" t="s">
        <v>1823</v>
      </c>
      <c r="F9" s="263" t="s">
        <v>1838</v>
      </c>
      <c r="G9" s="263" t="s">
        <v>1846</v>
      </c>
      <c r="H9" s="263"/>
      <c r="I9" s="207" t="s">
        <v>1850</v>
      </c>
      <c r="J9" s="237"/>
      <c r="K9" s="264" t="s">
        <v>1780</v>
      </c>
      <c r="L9" s="263" t="s">
        <v>1875</v>
      </c>
      <c r="M9" s="263"/>
      <c r="N9" s="263" t="s">
        <v>1891</v>
      </c>
      <c r="O9" s="263"/>
      <c r="P9" s="263"/>
      <c r="Q9" s="263"/>
      <c r="R9" s="207"/>
    </row>
    <row r="10" spans="2:18" x14ac:dyDescent="0.25">
      <c r="B10" s="261" t="s">
        <v>1781</v>
      </c>
      <c r="C10" s="266" t="s">
        <v>1799</v>
      </c>
      <c r="D10" s="263" t="s">
        <v>1812</v>
      </c>
      <c r="E10" s="263" t="s">
        <v>1824</v>
      </c>
      <c r="F10" s="263" t="s">
        <v>1839</v>
      </c>
      <c r="G10" s="263" t="s">
        <v>1847</v>
      </c>
      <c r="H10" s="263"/>
      <c r="I10" s="207" t="s">
        <v>1862</v>
      </c>
      <c r="J10" s="237"/>
      <c r="K10" s="264" t="s">
        <v>1781</v>
      </c>
      <c r="L10" s="263" t="s">
        <v>1876</v>
      </c>
      <c r="M10" s="263"/>
      <c r="N10" s="263" t="s">
        <v>1892</v>
      </c>
      <c r="O10" s="263"/>
      <c r="P10" s="263"/>
      <c r="Q10" s="263"/>
      <c r="R10" s="207"/>
    </row>
    <row r="11" spans="2:18" x14ac:dyDescent="0.25">
      <c r="B11" s="261" t="s">
        <v>1782</v>
      </c>
      <c r="C11" s="266" t="s">
        <v>1800</v>
      </c>
      <c r="D11" s="263" t="s">
        <v>1813</v>
      </c>
      <c r="E11" s="263" t="s">
        <v>1825</v>
      </c>
      <c r="F11" s="263" t="s">
        <v>1840</v>
      </c>
      <c r="G11" s="263" t="s">
        <v>1848</v>
      </c>
      <c r="H11" s="263"/>
      <c r="I11" s="207" t="s">
        <v>1863</v>
      </c>
      <c r="J11" s="237"/>
      <c r="K11" s="264" t="s">
        <v>1782</v>
      </c>
      <c r="L11" s="263" t="s">
        <v>1877</v>
      </c>
      <c r="M11" s="263"/>
      <c r="N11" s="263" t="s">
        <v>1893</v>
      </c>
      <c r="O11" s="263"/>
      <c r="P11" s="263"/>
      <c r="Q11" s="263"/>
      <c r="R11" s="207"/>
    </row>
    <row r="12" spans="2:18" x14ac:dyDescent="0.25">
      <c r="B12" s="261" t="s">
        <v>1783</v>
      </c>
      <c r="C12" s="266" t="s">
        <v>109</v>
      </c>
      <c r="D12" s="263" t="s">
        <v>141</v>
      </c>
      <c r="E12" s="263" t="s">
        <v>1826</v>
      </c>
      <c r="F12" s="263" t="s">
        <v>1841</v>
      </c>
      <c r="G12" s="263" t="s">
        <v>1849</v>
      </c>
      <c r="H12" s="263"/>
      <c r="I12" s="207" t="s">
        <v>139</v>
      </c>
      <c r="J12" s="237"/>
      <c r="K12" s="264" t="s">
        <v>1783</v>
      </c>
      <c r="L12" s="263" t="s">
        <v>1878</v>
      </c>
      <c r="M12" s="263"/>
      <c r="N12" s="263" t="s">
        <v>101</v>
      </c>
      <c r="O12" s="263"/>
      <c r="P12" s="263"/>
      <c r="Q12" s="263"/>
      <c r="R12" s="207"/>
    </row>
    <row r="13" spans="2:18" x14ac:dyDescent="0.25">
      <c r="B13" s="261" t="s">
        <v>1784</v>
      </c>
      <c r="C13" s="266" t="s">
        <v>1801</v>
      </c>
      <c r="D13" s="263" t="s">
        <v>1814</v>
      </c>
      <c r="E13" s="263" t="s">
        <v>1827</v>
      </c>
      <c r="F13" s="263"/>
      <c r="G13" s="263" t="s">
        <v>1851</v>
      </c>
      <c r="H13" s="263"/>
      <c r="I13" s="207" t="s">
        <v>1864</v>
      </c>
      <c r="J13" s="237"/>
      <c r="K13" s="264" t="s">
        <v>1784</v>
      </c>
      <c r="L13" s="263" t="s">
        <v>1879</v>
      </c>
      <c r="M13" s="263"/>
      <c r="N13" s="263" t="s">
        <v>102</v>
      </c>
      <c r="O13" s="263"/>
      <c r="P13" s="263"/>
      <c r="Q13" s="263"/>
      <c r="R13" s="207"/>
    </row>
    <row r="14" spans="2:18" x14ac:dyDescent="0.25">
      <c r="B14" s="261" t="s">
        <v>1785</v>
      </c>
      <c r="C14" s="266" t="s">
        <v>1802</v>
      </c>
      <c r="D14" s="263" t="s">
        <v>1815</v>
      </c>
      <c r="E14" s="263" t="s">
        <v>1828</v>
      </c>
      <c r="F14" s="263"/>
      <c r="G14" s="263" t="s">
        <v>1852</v>
      </c>
      <c r="H14" s="263"/>
      <c r="I14" s="207" t="s">
        <v>1835</v>
      </c>
      <c r="J14" s="237"/>
      <c r="K14" s="264" t="s">
        <v>1785</v>
      </c>
      <c r="L14" s="263" t="s">
        <v>1880</v>
      </c>
      <c r="M14" s="263"/>
      <c r="N14" s="263" t="s">
        <v>261</v>
      </c>
      <c r="O14" s="263"/>
      <c r="P14" s="263"/>
      <c r="Q14" s="263"/>
      <c r="R14" s="207"/>
    </row>
    <row r="15" spans="2:18" x14ac:dyDescent="0.25">
      <c r="B15" s="261" t="s">
        <v>1786</v>
      </c>
      <c r="C15" s="266" t="s">
        <v>1803</v>
      </c>
      <c r="D15" s="263" t="s">
        <v>52</v>
      </c>
      <c r="E15" s="263" t="s">
        <v>1829</v>
      </c>
      <c r="F15" s="263"/>
      <c r="G15" s="263" t="s">
        <v>1853</v>
      </c>
      <c r="H15" s="263"/>
      <c r="I15" s="207" t="s">
        <v>1865</v>
      </c>
      <c r="J15" s="237"/>
      <c r="K15" s="264" t="s">
        <v>1786</v>
      </c>
      <c r="L15" s="263" t="s">
        <v>27</v>
      </c>
      <c r="M15" s="263"/>
      <c r="N15" s="263" t="s">
        <v>254</v>
      </c>
      <c r="O15" s="263"/>
      <c r="P15" s="263"/>
      <c r="Q15" s="263"/>
      <c r="R15" s="207"/>
    </row>
    <row r="16" spans="2:18" x14ac:dyDescent="0.25">
      <c r="B16" s="261" t="s">
        <v>1787</v>
      </c>
      <c r="C16" s="266" t="s">
        <v>1804</v>
      </c>
      <c r="D16" s="263" t="s">
        <v>1816</v>
      </c>
      <c r="E16" s="263" t="s">
        <v>1830</v>
      </c>
      <c r="F16" s="263"/>
      <c r="G16" s="263" t="s">
        <v>1854</v>
      </c>
      <c r="H16" s="263"/>
      <c r="I16" s="207" t="s">
        <v>1866</v>
      </c>
      <c r="J16" s="237"/>
      <c r="K16" s="264" t="s">
        <v>1787</v>
      </c>
      <c r="L16" s="263" t="s">
        <v>144</v>
      </c>
      <c r="M16" s="263"/>
      <c r="N16" s="263" t="s">
        <v>1894</v>
      </c>
      <c r="O16" s="263"/>
      <c r="P16" s="263"/>
      <c r="Q16" s="263"/>
      <c r="R16" s="207"/>
    </row>
    <row r="17" spans="2:18" x14ac:dyDescent="0.25">
      <c r="B17" s="261" t="s">
        <v>1788</v>
      </c>
      <c r="C17" s="266" t="s">
        <v>1805</v>
      </c>
      <c r="D17" s="263" t="s">
        <v>1817</v>
      </c>
      <c r="E17" s="263" t="s">
        <v>190</v>
      </c>
      <c r="F17" s="263"/>
      <c r="G17" s="263" t="s">
        <v>1855</v>
      </c>
      <c r="H17" s="263"/>
      <c r="I17" s="207" t="s">
        <v>1867</v>
      </c>
      <c r="J17" s="237"/>
      <c r="K17" s="264" t="s">
        <v>1788</v>
      </c>
      <c r="L17" s="263" t="s">
        <v>1881</v>
      </c>
      <c r="M17" s="263"/>
      <c r="N17" s="263"/>
      <c r="O17" s="263"/>
      <c r="P17" s="263"/>
      <c r="Q17" s="263"/>
      <c r="R17" s="207"/>
    </row>
    <row r="18" spans="2:18" x14ac:dyDescent="0.25">
      <c r="B18" s="261" t="s">
        <v>1789</v>
      </c>
      <c r="C18" s="266"/>
      <c r="D18" s="263"/>
      <c r="E18" s="263" t="s">
        <v>1831</v>
      </c>
      <c r="F18" s="263"/>
      <c r="G18" s="263" t="s">
        <v>1856</v>
      </c>
      <c r="H18" s="263"/>
      <c r="I18" s="207" t="s">
        <v>1868</v>
      </c>
      <c r="J18" s="237"/>
      <c r="K18" s="264" t="s">
        <v>1789</v>
      </c>
      <c r="L18" s="263" t="s">
        <v>1882</v>
      </c>
      <c r="M18" s="263"/>
      <c r="N18" s="263"/>
      <c r="O18" s="263"/>
      <c r="P18" s="263"/>
      <c r="Q18" s="263"/>
      <c r="R18" s="207"/>
    </row>
    <row r="19" spans="2:18" x14ac:dyDescent="0.25">
      <c r="B19" s="261" t="s">
        <v>1790</v>
      </c>
      <c r="C19" s="266"/>
      <c r="D19" s="263"/>
      <c r="E19" s="263" t="s">
        <v>53</v>
      </c>
      <c r="F19" s="263"/>
      <c r="G19" s="263" t="s">
        <v>1857</v>
      </c>
      <c r="H19" s="263"/>
      <c r="I19" s="207" t="s">
        <v>1869</v>
      </c>
      <c r="J19" s="237"/>
      <c r="K19" s="264" t="s">
        <v>1790</v>
      </c>
      <c r="L19" s="263" t="s">
        <v>1883</v>
      </c>
      <c r="M19" s="263"/>
      <c r="N19" s="263"/>
      <c r="O19" s="263"/>
      <c r="P19" s="263"/>
      <c r="Q19" s="263"/>
      <c r="R19" s="207"/>
    </row>
    <row r="20" spans="2:18" x14ac:dyDescent="0.25">
      <c r="B20" s="261" t="s">
        <v>1791</v>
      </c>
      <c r="C20" s="266"/>
      <c r="D20" s="263"/>
      <c r="E20" s="263" t="s">
        <v>1809</v>
      </c>
      <c r="F20" s="263"/>
      <c r="G20" s="263" t="s">
        <v>6</v>
      </c>
      <c r="H20" s="263"/>
      <c r="I20" s="207" t="s">
        <v>1870</v>
      </c>
      <c r="J20" s="237"/>
      <c r="K20" s="264" t="s">
        <v>1791</v>
      </c>
      <c r="L20" s="263" t="s">
        <v>145</v>
      </c>
      <c r="M20" s="263"/>
      <c r="N20" s="263"/>
      <c r="O20" s="263"/>
      <c r="P20" s="263"/>
      <c r="Q20" s="263"/>
      <c r="R20" s="207"/>
    </row>
    <row r="21" spans="2:18" ht="15.75" thickBot="1" x14ac:dyDescent="0.3">
      <c r="B21" s="267" t="s">
        <v>1792</v>
      </c>
      <c r="C21" s="268"/>
      <c r="D21" s="269"/>
      <c r="E21" s="269" t="s">
        <v>1832</v>
      </c>
      <c r="F21" s="269"/>
      <c r="G21" s="269" t="s">
        <v>7</v>
      </c>
      <c r="H21" s="269"/>
      <c r="I21" s="270" t="s">
        <v>1871</v>
      </c>
      <c r="J21" s="237"/>
      <c r="K21" s="271" t="s">
        <v>1792</v>
      </c>
      <c r="L21" s="269"/>
      <c r="M21" s="269"/>
      <c r="N21" s="269"/>
      <c r="O21" s="269"/>
      <c r="P21" s="269"/>
      <c r="Q21" s="269"/>
      <c r="R21" s="270"/>
    </row>
  </sheetData>
  <mergeCells count="2">
    <mergeCell ref="K2:R2"/>
    <mergeCell ref="B2:I2"/>
  </mergeCells>
  <conditionalFormatting sqref="C6:R21">
    <cfRule type="duplicateValues" dxfId="141" priority="1"/>
  </conditionalFormatting>
  <pageMargins left="0.2" right="0.1" top="0.75" bottom="0.75" header="0" footer="0"/>
  <pageSetup scale="89" fitToHeight="0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 tint="0.39997558519241921"/>
  </sheetPr>
  <dimension ref="B1:AV166"/>
  <sheetViews>
    <sheetView zoomScaleNormal="100" workbookViewId="0">
      <selection activeCell="F22" sqref="F22"/>
    </sheetView>
  </sheetViews>
  <sheetFormatPr defaultRowHeight="15" x14ac:dyDescent="0.25"/>
  <cols>
    <col min="1" max="1" width="2.28515625" customWidth="1"/>
    <col min="2" max="2" width="6.140625" bestFit="1" customWidth="1"/>
    <col min="3" max="3" width="4.42578125" bestFit="1" customWidth="1"/>
    <col min="4" max="4" width="8.7109375" bestFit="1" customWidth="1"/>
    <col min="5" max="5" width="4.42578125" bestFit="1" customWidth="1"/>
    <col min="6" max="6" width="8.7109375" bestFit="1" customWidth="1"/>
    <col min="7" max="7" width="2.7109375" customWidth="1"/>
    <col min="8" max="8" width="6.140625" bestFit="1" customWidth="1"/>
    <col min="9" max="9" width="4.42578125" bestFit="1" customWidth="1"/>
    <col min="10" max="10" width="8.7109375" bestFit="1" customWidth="1"/>
    <col min="11" max="11" width="4.42578125" bestFit="1" customWidth="1"/>
    <col min="12" max="12" width="8.7109375" bestFit="1" customWidth="1"/>
    <col min="13" max="13" width="2.28515625" customWidth="1"/>
    <col min="14" max="14" width="6.140625" bestFit="1" customWidth="1"/>
    <col min="15" max="15" width="4.42578125" bestFit="1" customWidth="1"/>
    <col min="16" max="16" width="8.7109375" bestFit="1" customWidth="1"/>
    <col min="17" max="17" width="4.42578125" bestFit="1" customWidth="1"/>
    <col min="18" max="18" width="8.7109375" bestFit="1" customWidth="1"/>
    <col min="19" max="19" width="2.42578125" customWidth="1"/>
    <col min="20" max="20" width="6.140625" bestFit="1" customWidth="1"/>
    <col min="21" max="21" width="4.42578125" bestFit="1" customWidth="1"/>
    <col min="22" max="22" width="8.7109375" bestFit="1" customWidth="1"/>
    <col min="23" max="23" width="4.42578125" bestFit="1" customWidth="1"/>
    <col min="24" max="24" width="8.7109375" bestFit="1" customWidth="1"/>
    <col min="25" max="25" width="4.42578125" bestFit="1" customWidth="1"/>
    <col min="26" max="26" width="8.7109375" bestFit="1" customWidth="1"/>
    <col min="27" max="27" width="4.42578125" bestFit="1" customWidth="1"/>
    <col min="28" max="28" width="8.7109375" bestFit="1" customWidth="1"/>
    <col min="29" max="29" width="2.5703125" customWidth="1"/>
    <col min="30" max="30" width="6.140625" bestFit="1" customWidth="1"/>
    <col min="31" max="31" width="4.42578125" bestFit="1" customWidth="1"/>
    <col min="32" max="32" width="8.7109375" bestFit="1" customWidth="1"/>
    <col min="33" max="33" width="4.42578125" bestFit="1" customWidth="1"/>
    <col min="34" max="34" width="8.7109375" bestFit="1" customWidth="1"/>
    <col min="35" max="35" width="4.42578125" bestFit="1" customWidth="1"/>
    <col min="36" max="36" width="8.7109375" bestFit="1" customWidth="1"/>
    <col min="37" max="37" width="3.7109375" customWidth="1"/>
    <col min="38" max="38" width="13.28515625" bestFit="1" customWidth="1"/>
    <col min="39" max="39" width="4.42578125" bestFit="1" customWidth="1"/>
    <col min="40" max="40" width="8.7109375" bestFit="1" customWidth="1"/>
    <col min="41" max="41" width="4.42578125" bestFit="1" customWidth="1"/>
    <col min="42" max="42" width="8.7109375" bestFit="1" customWidth="1"/>
    <col min="43" max="43" width="4.42578125" bestFit="1" customWidth="1"/>
    <col min="44" max="44" width="13.85546875" bestFit="1" customWidth="1"/>
    <col min="45" max="45" width="4.42578125" bestFit="1" customWidth="1"/>
    <col min="46" max="46" width="8.7109375" bestFit="1" customWidth="1"/>
    <col min="48" max="48" width="6.7109375" bestFit="1" customWidth="1"/>
  </cols>
  <sheetData>
    <row r="1" spans="2:48" ht="8.25" customHeight="1" thickBot="1" x14ac:dyDescent="0.3">
      <c r="AV1" t="s">
        <v>318</v>
      </c>
    </row>
    <row r="2" spans="2:48" ht="15.75" thickBot="1" x14ac:dyDescent="0.3">
      <c r="B2" s="329"/>
      <c r="C2" s="324" t="s">
        <v>78</v>
      </c>
      <c r="D2" s="325"/>
      <c r="E2" s="326" t="s">
        <v>79</v>
      </c>
      <c r="F2" s="327"/>
      <c r="H2" s="329"/>
      <c r="I2" s="324" t="s">
        <v>78</v>
      </c>
      <c r="J2" s="325"/>
      <c r="K2" s="326" t="s">
        <v>79</v>
      </c>
      <c r="L2" s="327"/>
      <c r="N2" s="331"/>
      <c r="O2" s="326" t="s">
        <v>78</v>
      </c>
      <c r="P2" s="327"/>
      <c r="Q2" s="339" t="s">
        <v>79</v>
      </c>
      <c r="R2" s="327"/>
      <c r="T2" s="331"/>
      <c r="U2" s="326" t="s">
        <v>78</v>
      </c>
      <c r="V2" s="327"/>
      <c r="W2" s="339" t="s">
        <v>79</v>
      </c>
      <c r="X2" s="325"/>
      <c r="Y2" s="326" t="s">
        <v>80</v>
      </c>
      <c r="Z2" s="327"/>
      <c r="AA2" s="339" t="s">
        <v>81</v>
      </c>
      <c r="AB2" s="327"/>
      <c r="AD2" s="331"/>
      <c r="AE2" s="326" t="s">
        <v>78</v>
      </c>
      <c r="AF2" s="327"/>
      <c r="AG2" s="339" t="s">
        <v>79</v>
      </c>
      <c r="AH2" s="325"/>
      <c r="AI2" s="326" t="s">
        <v>80</v>
      </c>
      <c r="AJ2" s="327"/>
      <c r="AL2" s="331"/>
      <c r="AM2" s="326" t="s">
        <v>78</v>
      </c>
      <c r="AN2" s="327"/>
      <c r="AO2" s="351" t="s">
        <v>79</v>
      </c>
      <c r="AP2" s="352"/>
      <c r="AQ2" s="351" t="s">
        <v>80</v>
      </c>
      <c r="AR2" s="352"/>
      <c r="AS2" s="340" t="s">
        <v>81</v>
      </c>
      <c r="AT2" s="341"/>
      <c r="AV2" s="52" t="s">
        <v>110</v>
      </c>
    </row>
    <row r="3" spans="2:48" ht="15.75" thickBot="1" x14ac:dyDescent="0.3">
      <c r="B3" s="330"/>
      <c r="C3" s="1" t="s">
        <v>2</v>
      </c>
      <c r="D3" s="17" t="s">
        <v>49</v>
      </c>
      <c r="E3" s="12" t="s">
        <v>2</v>
      </c>
      <c r="F3" s="2" t="s">
        <v>49</v>
      </c>
      <c r="H3" s="330"/>
      <c r="I3" s="1" t="s">
        <v>2</v>
      </c>
      <c r="J3" s="17" t="s">
        <v>49</v>
      </c>
      <c r="K3" s="12" t="s">
        <v>2</v>
      </c>
      <c r="L3" s="2" t="s">
        <v>49</v>
      </c>
      <c r="N3" s="332"/>
      <c r="O3" s="12" t="s">
        <v>2</v>
      </c>
      <c r="P3" s="2" t="s">
        <v>49</v>
      </c>
      <c r="Q3" s="15" t="s">
        <v>2</v>
      </c>
      <c r="R3" s="2" t="s">
        <v>49</v>
      </c>
      <c r="T3" s="332"/>
      <c r="U3" s="12" t="s">
        <v>2</v>
      </c>
      <c r="V3" s="2" t="s">
        <v>49</v>
      </c>
      <c r="W3" s="15" t="s">
        <v>2</v>
      </c>
      <c r="X3" s="17" t="s">
        <v>49</v>
      </c>
      <c r="Y3" s="12" t="s">
        <v>2</v>
      </c>
      <c r="Z3" s="2" t="s">
        <v>49</v>
      </c>
      <c r="AA3" s="15" t="s">
        <v>2</v>
      </c>
      <c r="AB3" s="2" t="s">
        <v>49</v>
      </c>
      <c r="AD3" s="332"/>
      <c r="AE3" s="12" t="s">
        <v>2</v>
      </c>
      <c r="AF3" s="2" t="s">
        <v>49</v>
      </c>
      <c r="AG3" s="15" t="s">
        <v>2</v>
      </c>
      <c r="AH3" s="17" t="s">
        <v>49</v>
      </c>
      <c r="AI3" s="12" t="s">
        <v>2</v>
      </c>
      <c r="AJ3" s="2" t="s">
        <v>49</v>
      </c>
      <c r="AL3" s="332"/>
      <c r="AM3" s="12" t="s">
        <v>2</v>
      </c>
      <c r="AN3" s="2" t="s">
        <v>49</v>
      </c>
      <c r="AO3" s="22" t="s">
        <v>2</v>
      </c>
      <c r="AP3" s="23" t="s">
        <v>49</v>
      </c>
      <c r="AQ3" s="22" t="s">
        <v>2</v>
      </c>
      <c r="AR3" s="23" t="s">
        <v>49</v>
      </c>
      <c r="AS3" s="12" t="s">
        <v>2</v>
      </c>
      <c r="AT3" s="2" t="s">
        <v>49</v>
      </c>
      <c r="AV3" s="52" t="s">
        <v>111</v>
      </c>
    </row>
    <row r="4" spans="2:48" ht="15.75" thickBot="1" x14ac:dyDescent="0.3">
      <c r="B4" s="10" t="s">
        <v>5</v>
      </c>
      <c r="C4" s="322" t="s">
        <v>6</v>
      </c>
      <c r="D4" s="328"/>
      <c r="E4" s="322" t="s">
        <v>7</v>
      </c>
      <c r="F4" s="323"/>
      <c r="H4" s="10" t="s">
        <v>5</v>
      </c>
      <c r="I4" s="346" t="s">
        <v>27</v>
      </c>
      <c r="J4" s="347"/>
      <c r="K4" s="346" t="s">
        <v>28</v>
      </c>
      <c r="L4" s="347"/>
      <c r="N4" s="11" t="s">
        <v>5</v>
      </c>
      <c r="O4" s="346" t="s">
        <v>52</v>
      </c>
      <c r="P4" s="347"/>
      <c r="Q4" s="361" t="s">
        <v>53</v>
      </c>
      <c r="R4" s="347"/>
      <c r="T4" s="11" t="s">
        <v>5</v>
      </c>
      <c r="U4" s="346" t="s">
        <v>139</v>
      </c>
      <c r="V4" s="347"/>
      <c r="W4" s="346" t="s">
        <v>140</v>
      </c>
      <c r="X4" s="347"/>
      <c r="Y4" s="346" t="s">
        <v>141</v>
      </c>
      <c r="Z4" s="347"/>
      <c r="AA4" s="346" t="s">
        <v>142</v>
      </c>
      <c r="AB4" s="347"/>
      <c r="AD4" s="11" t="s">
        <v>5</v>
      </c>
      <c r="AE4" s="346" t="s">
        <v>143</v>
      </c>
      <c r="AF4" s="347"/>
      <c r="AG4" s="346" t="s">
        <v>144</v>
      </c>
      <c r="AH4" s="347"/>
      <c r="AI4" s="346" t="s">
        <v>145</v>
      </c>
      <c r="AJ4" s="347"/>
      <c r="AL4" s="11" t="s">
        <v>5</v>
      </c>
      <c r="AM4" s="346" t="s">
        <v>190</v>
      </c>
      <c r="AN4" s="347"/>
      <c r="AO4" s="346" t="s">
        <v>213</v>
      </c>
      <c r="AP4" s="347"/>
      <c r="AQ4" s="346" t="s">
        <v>194</v>
      </c>
      <c r="AR4" s="347"/>
      <c r="AS4" s="346" t="s">
        <v>195</v>
      </c>
      <c r="AT4" s="347"/>
      <c r="AV4" s="52" t="s">
        <v>9</v>
      </c>
    </row>
    <row r="5" spans="2:48" x14ac:dyDescent="0.25">
      <c r="B5" s="335" t="s">
        <v>1</v>
      </c>
      <c r="C5" s="7">
        <v>1</v>
      </c>
      <c r="D5" s="21" t="s">
        <v>9</v>
      </c>
      <c r="E5" s="7">
        <v>1</v>
      </c>
      <c r="F5" s="5" t="s">
        <v>18</v>
      </c>
      <c r="H5" s="335" t="s">
        <v>3</v>
      </c>
      <c r="I5" s="299">
        <v>1</v>
      </c>
      <c r="J5" s="21" t="s">
        <v>29</v>
      </c>
      <c r="K5" s="299">
        <v>1</v>
      </c>
      <c r="L5" s="5" t="s">
        <v>37</v>
      </c>
      <c r="N5" s="335" t="s">
        <v>4</v>
      </c>
      <c r="O5" s="299">
        <v>1</v>
      </c>
      <c r="P5" s="5" t="s">
        <v>54</v>
      </c>
      <c r="Q5" s="300">
        <v>1</v>
      </c>
      <c r="R5" s="5" t="s">
        <v>57</v>
      </c>
      <c r="T5" s="335" t="s">
        <v>77</v>
      </c>
      <c r="U5" s="13">
        <v>1</v>
      </c>
      <c r="V5" s="3" t="s">
        <v>82</v>
      </c>
      <c r="W5" s="16">
        <v>1</v>
      </c>
      <c r="X5" s="18" t="s">
        <v>93</v>
      </c>
      <c r="Y5" s="13">
        <v>1</v>
      </c>
      <c r="Z5" s="3" t="s">
        <v>116</v>
      </c>
      <c r="AA5" s="16">
        <v>1</v>
      </c>
      <c r="AB5" s="3" t="s">
        <v>127</v>
      </c>
      <c r="AD5" s="335" t="s">
        <v>0</v>
      </c>
      <c r="AE5" s="13">
        <v>1</v>
      </c>
      <c r="AF5" s="3" t="s">
        <v>146</v>
      </c>
      <c r="AG5" s="16">
        <v>1</v>
      </c>
      <c r="AH5" s="18" t="s">
        <v>150</v>
      </c>
      <c r="AI5" s="13">
        <v>1</v>
      </c>
      <c r="AJ5" s="3" t="s">
        <v>166</v>
      </c>
      <c r="AL5" s="353" t="s">
        <v>178</v>
      </c>
      <c r="AM5" s="13">
        <v>1</v>
      </c>
      <c r="AN5" s="3" t="s">
        <v>179</v>
      </c>
      <c r="AO5" s="13">
        <v>1</v>
      </c>
      <c r="AP5" s="3"/>
      <c r="AQ5" s="13">
        <v>1</v>
      </c>
      <c r="AR5" s="3" t="s">
        <v>196</v>
      </c>
      <c r="AS5" s="13">
        <v>1</v>
      </c>
      <c r="AT5" s="3" t="s">
        <v>204</v>
      </c>
      <c r="AV5" s="52" t="s">
        <v>10</v>
      </c>
    </row>
    <row r="6" spans="2:48" x14ac:dyDescent="0.25">
      <c r="B6" s="336"/>
      <c r="C6" s="8">
        <v>2</v>
      </c>
      <c r="D6" s="19" t="s">
        <v>10</v>
      </c>
      <c r="E6" s="8">
        <v>2</v>
      </c>
      <c r="F6" s="4" t="s">
        <v>19</v>
      </c>
      <c r="H6" s="336"/>
      <c r="I6" s="295">
        <v>2</v>
      </c>
      <c r="J6" s="19" t="s">
        <v>30</v>
      </c>
      <c r="K6" s="295">
        <v>2</v>
      </c>
      <c r="L6" s="4" t="s">
        <v>38</v>
      </c>
      <c r="N6" s="336"/>
      <c r="O6" s="295">
        <v>2</v>
      </c>
      <c r="P6" s="4" t="s">
        <v>55</v>
      </c>
      <c r="Q6" s="296">
        <v>2</v>
      </c>
      <c r="R6" s="4" t="s">
        <v>58</v>
      </c>
      <c r="T6" s="336"/>
      <c r="U6" s="295">
        <v>2</v>
      </c>
      <c r="V6" s="4"/>
      <c r="W6" s="296">
        <v>2</v>
      </c>
      <c r="X6" s="19" t="s">
        <v>94</v>
      </c>
      <c r="Y6" s="295">
        <v>2</v>
      </c>
      <c r="Z6" s="4" t="s">
        <v>117</v>
      </c>
      <c r="AA6" s="296">
        <v>2</v>
      </c>
      <c r="AB6" s="4" t="s">
        <v>128</v>
      </c>
      <c r="AD6" s="336"/>
      <c r="AE6" s="295">
        <v>2</v>
      </c>
      <c r="AF6" s="4" t="s">
        <v>147</v>
      </c>
      <c r="AG6" s="296">
        <v>2</v>
      </c>
      <c r="AH6" s="19" t="s">
        <v>151</v>
      </c>
      <c r="AI6" s="295">
        <v>2</v>
      </c>
      <c r="AJ6" s="4" t="s">
        <v>167</v>
      </c>
      <c r="AL6" s="354"/>
      <c r="AM6" s="295">
        <v>2</v>
      </c>
      <c r="AN6" s="4" t="s">
        <v>180</v>
      </c>
      <c r="AO6" s="295">
        <v>2</v>
      </c>
      <c r="AP6" s="4"/>
      <c r="AQ6" s="295">
        <v>2</v>
      </c>
      <c r="AR6" s="4" t="s">
        <v>197</v>
      </c>
      <c r="AS6" s="295">
        <v>2</v>
      </c>
      <c r="AT6" s="4" t="s">
        <v>205</v>
      </c>
      <c r="AV6" s="52" t="s">
        <v>11</v>
      </c>
    </row>
    <row r="7" spans="2:48" x14ac:dyDescent="0.25">
      <c r="B7" s="336"/>
      <c r="C7" s="8">
        <v>3</v>
      </c>
      <c r="D7" s="19" t="s">
        <v>11</v>
      </c>
      <c r="E7" s="8">
        <v>3</v>
      </c>
      <c r="F7" s="4" t="s">
        <v>20</v>
      </c>
      <c r="H7" s="336"/>
      <c r="I7" s="295">
        <v>3</v>
      </c>
      <c r="J7" s="19" t="s">
        <v>31</v>
      </c>
      <c r="K7" s="295">
        <v>3</v>
      </c>
      <c r="L7" s="4" t="s">
        <v>39</v>
      </c>
      <c r="N7" s="336"/>
      <c r="O7" s="295">
        <v>3</v>
      </c>
      <c r="P7" s="4"/>
      <c r="Q7" s="296">
        <v>3</v>
      </c>
      <c r="R7" s="4" t="s">
        <v>56</v>
      </c>
      <c r="T7" s="336"/>
      <c r="U7" s="295">
        <v>3</v>
      </c>
      <c r="V7" s="4" t="s">
        <v>83</v>
      </c>
      <c r="W7" s="296">
        <v>3</v>
      </c>
      <c r="X7" s="19" t="s">
        <v>95</v>
      </c>
      <c r="Y7" s="295">
        <v>3</v>
      </c>
      <c r="Z7" s="4" t="s">
        <v>118</v>
      </c>
      <c r="AA7" s="296">
        <v>3</v>
      </c>
      <c r="AB7" s="4" t="s">
        <v>129</v>
      </c>
      <c r="AD7" s="336"/>
      <c r="AE7" s="295">
        <v>3</v>
      </c>
      <c r="AF7" s="4" t="s">
        <v>148</v>
      </c>
      <c r="AG7" s="296">
        <v>3</v>
      </c>
      <c r="AH7" s="19" t="s">
        <v>152</v>
      </c>
      <c r="AI7" s="295">
        <v>3</v>
      </c>
      <c r="AJ7" s="4" t="s">
        <v>168</v>
      </c>
      <c r="AL7" s="354"/>
      <c r="AM7" s="295">
        <v>3</v>
      </c>
      <c r="AN7" s="4" t="s">
        <v>181</v>
      </c>
      <c r="AO7" s="295">
        <v>3</v>
      </c>
      <c r="AP7" s="4"/>
      <c r="AQ7" s="295">
        <v>3</v>
      </c>
      <c r="AR7" s="4" t="s">
        <v>198</v>
      </c>
      <c r="AS7" s="295">
        <v>3</v>
      </c>
      <c r="AT7" s="4" t="s">
        <v>206</v>
      </c>
      <c r="AV7" s="52" t="s">
        <v>12</v>
      </c>
    </row>
    <row r="8" spans="2:48" x14ac:dyDescent="0.25">
      <c r="B8" s="336"/>
      <c r="C8" s="8">
        <v>4</v>
      </c>
      <c r="D8" s="19" t="s">
        <v>12</v>
      </c>
      <c r="E8" s="8">
        <v>4</v>
      </c>
      <c r="F8" s="4" t="s">
        <v>21</v>
      </c>
      <c r="H8" s="336"/>
      <c r="I8" s="295">
        <v>4</v>
      </c>
      <c r="J8" s="19" t="s">
        <v>32</v>
      </c>
      <c r="K8" s="295">
        <v>4</v>
      </c>
      <c r="L8" s="4" t="s">
        <v>40</v>
      </c>
      <c r="N8" s="336"/>
      <c r="O8" s="295">
        <v>4</v>
      </c>
      <c r="P8" s="4" t="s">
        <v>59</v>
      </c>
      <c r="Q8" s="296">
        <v>4</v>
      </c>
      <c r="R8" s="4" t="s">
        <v>60</v>
      </c>
      <c r="T8" s="336"/>
      <c r="U8" s="295">
        <v>4</v>
      </c>
      <c r="V8" s="4" t="s">
        <v>84</v>
      </c>
      <c r="W8" s="296">
        <v>4</v>
      </c>
      <c r="X8" s="19" t="s">
        <v>96</v>
      </c>
      <c r="Y8" s="295">
        <v>4</v>
      </c>
      <c r="Z8" s="4" t="s">
        <v>119</v>
      </c>
      <c r="AA8" s="296">
        <v>4</v>
      </c>
      <c r="AB8" s="4" t="s">
        <v>130</v>
      </c>
      <c r="AD8" s="336"/>
      <c r="AE8" s="295">
        <v>4</v>
      </c>
      <c r="AF8" s="4" t="s">
        <v>149</v>
      </c>
      <c r="AG8" s="296">
        <v>4</v>
      </c>
      <c r="AH8" s="19" t="s">
        <v>153</v>
      </c>
      <c r="AI8" s="295">
        <v>4</v>
      </c>
      <c r="AJ8" s="4" t="s">
        <v>169</v>
      </c>
      <c r="AL8" s="354"/>
      <c r="AM8" s="295">
        <v>4</v>
      </c>
      <c r="AN8" s="4" t="s">
        <v>182</v>
      </c>
      <c r="AO8" s="295">
        <v>4</v>
      </c>
      <c r="AP8" s="4"/>
      <c r="AQ8" s="295">
        <v>4</v>
      </c>
      <c r="AR8" s="4" t="s">
        <v>199</v>
      </c>
      <c r="AS8" s="295">
        <v>4</v>
      </c>
      <c r="AT8" s="4" t="s">
        <v>207</v>
      </c>
      <c r="AV8" s="52" t="s">
        <v>13</v>
      </c>
    </row>
    <row r="9" spans="2:48" x14ac:dyDescent="0.25">
      <c r="B9" s="336"/>
      <c r="C9" s="8">
        <v>5</v>
      </c>
      <c r="D9" s="19" t="s">
        <v>13</v>
      </c>
      <c r="E9" s="8">
        <v>5</v>
      </c>
      <c r="F9" s="4" t="s">
        <v>22</v>
      </c>
      <c r="H9" s="336"/>
      <c r="I9" s="295">
        <v>5</v>
      </c>
      <c r="J9" s="19" t="s">
        <v>33</v>
      </c>
      <c r="K9" s="295">
        <v>5</v>
      </c>
      <c r="L9" s="4" t="s">
        <v>41</v>
      </c>
      <c r="N9" s="336"/>
      <c r="O9" s="295">
        <v>5</v>
      </c>
      <c r="P9" s="4" t="s">
        <v>66</v>
      </c>
      <c r="Q9" s="296">
        <v>5</v>
      </c>
      <c r="R9" s="4" t="s">
        <v>61</v>
      </c>
      <c r="T9" s="336"/>
      <c r="U9" s="295">
        <v>5</v>
      </c>
      <c r="V9" s="4" t="s">
        <v>85</v>
      </c>
      <c r="W9" s="296">
        <v>5</v>
      </c>
      <c r="X9" s="19" t="s">
        <v>104</v>
      </c>
      <c r="Y9" s="295">
        <v>5</v>
      </c>
      <c r="Z9" s="4" t="s">
        <v>120</v>
      </c>
      <c r="AA9" s="296">
        <v>5</v>
      </c>
      <c r="AB9" s="4" t="s">
        <v>131</v>
      </c>
      <c r="AD9" s="336"/>
      <c r="AE9" s="295">
        <v>5</v>
      </c>
      <c r="AF9" s="4" t="s">
        <v>157</v>
      </c>
      <c r="AG9" s="296">
        <v>5</v>
      </c>
      <c r="AH9" s="19" t="s">
        <v>154</v>
      </c>
      <c r="AI9" s="295">
        <v>5</v>
      </c>
      <c r="AJ9" s="4" t="s">
        <v>170</v>
      </c>
      <c r="AL9" s="354"/>
      <c r="AM9" s="295">
        <v>5</v>
      </c>
      <c r="AN9" s="4"/>
      <c r="AO9" s="295">
        <v>5</v>
      </c>
      <c r="AP9" s="4"/>
      <c r="AQ9" s="295">
        <v>5</v>
      </c>
      <c r="AR9" s="4" t="s">
        <v>200</v>
      </c>
      <c r="AS9" s="295">
        <v>5</v>
      </c>
      <c r="AT9" s="4" t="s">
        <v>208</v>
      </c>
      <c r="AV9" s="52" t="s">
        <v>14</v>
      </c>
    </row>
    <row r="10" spans="2:48" x14ac:dyDescent="0.25">
      <c r="B10" s="336"/>
      <c r="C10" s="8">
        <v>6</v>
      </c>
      <c r="D10" s="19" t="s">
        <v>14</v>
      </c>
      <c r="E10" s="8">
        <v>6</v>
      </c>
      <c r="F10" s="4" t="s">
        <v>23</v>
      </c>
      <c r="H10" s="336"/>
      <c r="I10" s="295">
        <v>6</v>
      </c>
      <c r="J10" s="19" t="s">
        <v>34</v>
      </c>
      <c r="K10" s="295">
        <v>6</v>
      </c>
      <c r="L10" s="4" t="s">
        <v>42</v>
      </c>
      <c r="N10" s="336"/>
      <c r="O10" s="295">
        <v>6</v>
      </c>
      <c r="P10" s="4" t="s">
        <v>71</v>
      </c>
      <c r="Q10" s="296">
        <v>6</v>
      </c>
      <c r="R10" s="4" t="s">
        <v>62</v>
      </c>
      <c r="T10" s="336"/>
      <c r="U10" s="295">
        <v>6</v>
      </c>
      <c r="V10" s="4" t="s">
        <v>86</v>
      </c>
      <c r="W10" s="296">
        <v>6</v>
      </c>
      <c r="X10" s="19" t="s">
        <v>105</v>
      </c>
      <c r="Y10" s="295">
        <v>6</v>
      </c>
      <c r="Z10" s="4" t="s">
        <v>121</v>
      </c>
      <c r="AA10" s="296">
        <v>6</v>
      </c>
      <c r="AB10" s="4" t="s">
        <v>132</v>
      </c>
      <c r="AD10" s="336"/>
      <c r="AE10" s="295">
        <v>6</v>
      </c>
      <c r="AF10" s="4" t="s">
        <v>158</v>
      </c>
      <c r="AG10" s="296">
        <v>6</v>
      </c>
      <c r="AH10" s="19" t="s">
        <v>155</v>
      </c>
      <c r="AI10" s="295">
        <v>6</v>
      </c>
      <c r="AJ10" s="4" t="s">
        <v>171</v>
      </c>
      <c r="AL10" s="354"/>
      <c r="AM10" s="295">
        <v>6</v>
      </c>
      <c r="AN10" s="4" t="s">
        <v>183</v>
      </c>
      <c r="AO10" s="295">
        <v>6</v>
      </c>
      <c r="AP10" s="4"/>
      <c r="AQ10" s="295">
        <v>6</v>
      </c>
      <c r="AR10" s="4" t="s">
        <v>201</v>
      </c>
      <c r="AS10" s="295">
        <v>6</v>
      </c>
      <c r="AT10" s="4" t="s">
        <v>209</v>
      </c>
      <c r="AV10" s="52" t="s">
        <v>15</v>
      </c>
    </row>
    <row r="11" spans="2:48" x14ac:dyDescent="0.25">
      <c r="B11" s="336"/>
      <c r="C11" s="8">
        <v>7</v>
      </c>
      <c r="D11" s="19" t="s">
        <v>15</v>
      </c>
      <c r="E11" s="8">
        <v>7</v>
      </c>
      <c r="F11" s="4" t="s">
        <v>24</v>
      </c>
      <c r="H11" s="336"/>
      <c r="I11" s="295">
        <v>7</v>
      </c>
      <c r="J11" s="19" t="s">
        <v>35</v>
      </c>
      <c r="K11" s="295">
        <v>7</v>
      </c>
      <c r="L11" s="4" t="s">
        <v>43</v>
      </c>
      <c r="N11" s="336"/>
      <c r="O11" s="295">
        <v>7</v>
      </c>
      <c r="P11" s="4" t="s">
        <v>67</v>
      </c>
      <c r="Q11" s="296">
        <v>7</v>
      </c>
      <c r="R11" s="4" t="s">
        <v>63</v>
      </c>
      <c r="T11" s="336"/>
      <c r="U11" s="295">
        <v>7</v>
      </c>
      <c r="V11" s="4" t="s">
        <v>87</v>
      </c>
      <c r="W11" s="296">
        <v>7</v>
      </c>
      <c r="X11" s="19" t="s">
        <v>106</v>
      </c>
      <c r="Y11" s="295">
        <v>7</v>
      </c>
      <c r="Z11" s="4" t="s">
        <v>122</v>
      </c>
      <c r="AA11" s="296">
        <v>7</v>
      </c>
      <c r="AB11" s="4" t="s">
        <v>133</v>
      </c>
      <c r="AD11" s="336"/>
      <c r="AE11" s="295">
        <v>7</v>
      </c>
      <c r="AF11" s="4" t="s">
        <v>159</v>
      </c>
      <c r="AG11" s="296">
        <v>7</v>
      </c>
      <c r="AH11" s="19" t="s">
        <v>156</v>
      </c>
      <c r="AI11" s="295">
        <v>7</v>
      </c>
      <c r="AJ11" s="4" t="s">
        <v>172</v>
      </c>
      <c r="AL11" s="354"/>
      <c r="AM11" s="295">
        <v>7</v>
      </c>
      <c r="AN11" s="4" t="s">
        <v>184</v>
      </c>
      <c r="AO11" s="295">
        <v>7</v>
      </c>
      <c r="AP11" s="4"/>
      <c r="AQ11" s="295">
        <v>7</v>
      </c>
      <c r="AR11" s="4" t="s">
        <v>202</v>
      </c>
      <c r="AS11" s="295">
        <v>7</v>
      </c>
      <c r="AT11" s="4" t="s">
        <v>210</v>
      </c>
      <c r="AV11" s="52" t="s">
        <v>16</v>
      </c>
    </row>
    <row r="12" spans="2:48" x14ac:dyDescent="0.25">
      <c r="B12" s="336"/>
      <c r="C12" s="8">
        <v>8</v>
      </c>
      <c r="D12" s="19" t="s">
        <v>16</v>
      </c>
      <c r="E12" s="8">
        <v>8</v>
      </c>
      <c r="F12" s="4" t="s">
        <v>25</v>
      </c>
      <c r="H12" s="336"/>
      <c r="I12" s="295">
        <v>8</v>
      </c>
      <c r="J12" s="19" t="s">
        <v>36</v>
      </c>
      <c r="K12" s="295">
        <v>8</v>
      </c>
      <c r="L12" s="4" t="s">
        <v>44</v>
      </c>
      <c r="N12" s="336"/>
      <c r="O12" s="295">
        <v>8</v>
      </c>
      <c r="P12" s="4"/>
      <c r="Q12" s="296">
        <v>8</v>
      </c>
      <c r="R12" s="4" t="s">
        <v>64</v>
      </c>
      <c r="T12" s="336"/>
      <c r="U12" s="295">
        <v>8</v>
      </c>
      <c r="V12" s="4" t="s">
        <v>88</v>
      </c>
      <c r="W12" s="296">
        <v>8</v>
      </c>
      <c r="X12" s="19" t="s">
        <v>107</v>
      </c>
      <c r="Y12" s="295">
        <v>8</v>
      </c>
      <c r="Z12" s="4" t="s">
        <v>123</v>
      </c>
      <c r="AA12" s="296">
        <v>8</v>
      </c>
      <c r="AB12" s="4" t="s">
        <v>134</v>
      </c>
      <c r="AD12" s="336"/>
      <c r="AE12" s="295">
        <v>8</v>
      </c>
      <c r="AF12" s="4" t="s">
        <v>160</v>
      </c>
      <c r="AG12" s="296">
        <v>8</v>
      </c>
      <c r="AH12" s="19" t="s">
        <v>161</v>
      </c>
      <c r="AI12" s="295">
        <v>8</v>
      </c>
      <c r="AJ12" s="4" t="s">
        <v>173</v>
      </c>
      <c r="AL12" s="354"/>
      <c r="AM12" s="295">
        <v>8</v>
      </c>
      <c r="AN12" s="4" t="s">
        <v>185</v>
      </c>
      <c r="AO12" s="295">
        <v>8</v>
      </c>
      <c r="AP12" s="4"/>
      <c r="AQ12" s="295">
        <v>8</v>
      </c>
      <c r="AR12" s="4" t="s">
        <v>203</v>
      </c>
      <c r="AS12" s="295">
        <v>8</v>
      </c>
      <c r="AT12" s="4" t="s">
        <v>211</v>
      </c>
      <c r="AV12" s="52" t="s">
        <v>17</v>
      </c>
    </row>
    <row r="13" spans="2:48" ht="15" customHeight="1" x14ac:dyDescent="0.25">
      <c r="B13" s="336"/>
      <c r="C13" s="8">
        <v>9</v>
      </c>
      <c r="D13" s="19" t="s">
        <v>17</v>
      </c>
      <c r="E13" s="8">
        <v>9</v>
      </c>
      <c r="F13" s="4" t="s">
        <v>26</v>
      </c>
      <c r="H13" s="336"/>
      <c r="I13" s="295">
        <v>9</v>
      </c>
      <c r="J13" s="19"/>
      <c r="K13" s="295">
        <v>9</v>
      </c>
      <c r="L13" s="4" t="s">
        <v>45</v>
      </c>
      <c r="N13" s="336"/>
      <c r="O13" s="295">
        <v>9</v>
      </c>
      <c r="P13" s="4" t="s">
        <v>68</v>
      </c>
      <c r="Q13" s="296">
        <v>9</v>
      </c>
      <c r="R13" s="4" t="s">
        <v>65</v>
      </c>
      <c r="T13" s="336"/>
      <c r="U13" s="295">
        <v>9</v>
      </c>
      <c r="V13" s="4" t="s">
        <v>89</v>
      </c>
      <c r="W13" s="296">
        <v>9</v>
      </c>
      <c r="X13" s="19" t="s">
        <v>108</v>
      </c>
      <c r="Y13" s="295">
        <v>9</v>
      </c>
      <c r="Z13" s="4" t="s">
        <v>124</v>
      </c>
      <c r="AA13" s="296">
        <v>9</v>
      </c>
      <c r="AB13" s="4" t="s">
        <v>135</v>
      </c>
      <c r="AD13" s="336"/>
      <c r="AE13" s="295">
        <v>9</v>
      </c>
      <c r="AF13" s="4" t="s">
        <v>244</v>
      </c>
      <c r="AG13" s="296">
        <v>9</v>
      </c>
      <c r="AH13" s="19" t="s">
        <v>162</v>
      </c>
      <c r="AI13" s="295">
        <v>9</v>
      </c>
      <c r="AJ13" s="4" t="s">
        <v>174</v>
      </c>
      <c r="AL13" s="354"/>
      <c r="AM13" s="295">
        <v>9</v>
      </c>
      <c r="AN13" s="4" t="s">
        <v>186</v>
      </c>
      <c r="AO13" s="295">
        <v>9</v>
      </c>
      <c r="AP13" s="4"/>
      <c r="AQ13" s="295">
        <v>9</v>
      </c>
      <c r="AR13" s="348" t="s">
        <v>212</v>
      </c>
      <c r="AS13" s="295">
        <v>9</v>
      </c>
      <c r="AT13" s="4"/>
      <c r="AV13" s="52" t="s">
        <v>18</v>
      </c>
    </row>
    <row r="14" spans="2:48" x14ac:dyDescent="0.25">
      <c r="B14" s="336"/>
      <c r="C14" s="8">
        <v>10</v>
      </c>
      <c r="D14" s="19"/>
      <c r="E14" s="8">
        <v>10</v>
      </c>
      <c r="F14" s="4"/>
      <c r="H14" s="336"/>
      <c r="I14" s="295">
        <v>10</v>
      </c>
      <c r="J14" s="19"/>
      <c r="K14" s="295">
        <v>10</v>
      </c>
      <c r="L14" s="4" t="s">
        <v>46</v>
      </c>
      <c r="N14" s="336"/>
      <c r="O14" s="295">
        <v>10</v>
      </c>
      <c r="P14" s="4" t="s">
        <v>69</v>
      </c>
      <c r="Q14" s="296">
        <v>10</v>
      </c>
      <c r="R14" s="4" t="s">
        <v>73</v>
      </c>
      <c r="T14" s="336"/>
      <c r="U14" s="295">
        <v>10</v>
      </c>
      <c r="V14" s="4" t="s">
        <v>90</v>
      </c>
      <c r="W14" s="296">
        <v>10</v>
      </c>
      <c r="X14" s="19" t="s">
        <v>109</v>
      </c>
      <c r="Y14" s="295">
        <v>10</v>
      </c>
      <c r="Z14" s="4" t="s">
        <v>125</v>
      </c>
      <c r="AA14" s="296">
        <v>10</v>
      </c>
      <c r="AB14" s="4" t="s">
        <v>136</v>
      </c>
      <c r="AD14" s="336"/>
      <c r="AE14" s="295">
        <v>10</v>
      </c>
      <c r="AF14" s="4" t="s">
        <v>245</v>
      </c>
      <c r="AG14" s="296">
        <v>10</v>
      </c>
      <c r="AH14" s="19" t="s">
        <v>163</v>
      </c>
      <c r="AI14" s="295">
        <v>10</v>
      </c>
      <c r="AJ14" s="4" t="s">
        <v>175</v>
      </c>
      <c r="AL14" s="354"/>
      <c r="AM14" s="295">
        <v>10</v>
      </c>
      <c r="AN14" s="4" t="s">
        <v>187</v>
      </c>
      <c r="AO14" s="295">
        <v>10</v>
      </c>
      <c r="AP14" s="4"/>
      <c r="AQ14" s="295">
        <v>10</v>
      </c>
      <c r="AR14" s="349"/>
      <c r="AS14" s="295">
        <v>10</v>
      </c>
      <c r="AT14" s="4"/>
      <c r="AV14" s="52" t="s">
        <v>19</v>
      </c>
    </row>
    <row r="15" spans="2:48" x14ac:dyDescent="0.25">
      <c r="B15" s="336"/>
      <c r="C15" s="8">
        <v>11</v>
      </c>
      <c r="D15" s="19"/>
      <c r="E15" s="8">
        <v>11</v>
      </c>
      <c r="F15" s="4"/>
      <c r="H15" s="336"/>
      <c r="I15" s="295">
        <v>11</v>
      </c>
      <c r="J15" s="19"/>
      <c r="K15" s="295">
        <v>11</v>
      </c>
      <c r="L15" s="4" t="s">
        <v>47</v>
      </c>
      <c r="N15" s="336"/>
      <c r="O15" s="295">
        <v>11</v>
      </c>
      <c r="P15" s="4" t="s">
        <v>70</v>
      </c>
      <c r="Q15" s="296">
        <v>11</v>
      </c>
      <c r="R15" s="4" t="s">
        <v>74</v>
      </c>
      <c r="T15" s="336"/>
      <c r="U15" s="295">
        <v>11</v>
      </c>
      <c r="V15" s="4" t="s">
        <v>91</v>
      </c>
      <c r="W15" s="296">
        <v>11</v>
      </c>
      <c r="X15" s="19" t="s">
        <v>110</v>
      </c>
      <c r="Y15" s="295">
        <v>11</v>
      </c>
      <c r="Z15" s="4" t="s">
        <v>126</v>
      </c>
      <c r="AA15" s="296">
        <v>11</v>
      </c>
      <c r="AB15" s="4" t="s">
        <v>137</v>
      </c>
      <c r="AD15" s="336"/>
      <c r="AE15" s="295">
        <v>11</v>
      </c>
      <c r="AF15" s="4" t="s">
        <v>247</v>
      </c>
      <c r="AG15" s="296">
        <v>11</v>
      </c>
      <c r="AH15" s="19" t="s">
        <v>164</v>
      </c>
      <c r="AI15" s="295">
        <v>11</v>
      </c>
      <c r="AJ15" s="4" t="s">
        <v>176</v>
      </c>
      <c r="AL15" s="354"/>
      <c r="AM15" s="295">
        <v>11</v>
      </c>
      <c r="AN15" s="4" t="s">
        <v>188</v>
      </c>
      <c r="AO15" s="295">
        <v>11</v>
      </c>
      <c r="AP15" s="4"/>
      <c r="AQ15" s="295">
        <v>11</v>
      </c>
      <c r="AR15" s="349"/>
      <c r="AS15" s="295">
        <v>11</v>
      </c>
      <c r="AT15" s="4"/>
      <c r="AV15" s="52" t="s">
        <v>20</v>
      </c>
    </row>
    <row r="16" spans="2:48" ht="15.75" thickBot="1" x14ac:dyDescent="0.3">
      <c r="B16" s="336"/>
      <c r="C16" s="9">
        <v>12</v>
      </c>
      <c r="D16" s="20"/>
      <c r="E16" s="9">
        <v>12</v>
      </c>
      <c r="F16" s="6"/>
      <c r="H16" s="336"/>
      <c r="I16" s="297">
        <v>12</v>
      </c>
      <c r="J16" s="20"/>
      <c r="K16" s="297">
        <v>12</v>
      </c>
      <c r="L16" s="6" t="s">
        <v>48</v>
      </c>
      <c r="N16" s="336"/>
      <c r="O16" s="297">
        <v>12</v>
      </c>
      <c r="P16" s="6"/>
      <c r="Q16" s="298">
        <v>12</v>
      </c>
      <c r="R16" s="6" t="s">
        <v>75</v>
      </c>
      <c r="T16" s="336"/>
      <c r="U16" s="297">
        <v>12</v>
      </c>
      <c r="V16" s="6" t="s">
        <v>92</v>
      </c>
      <c r="W16" s="298">
        <v>12</v>
      </c>
      <c r="X16" s="20" t="s">
        <v>111</v>
      </c>
      <c r="Y16" s="297">
        <v>12</v>
      </c>
      <c r="Z16" s="6" t="s">
        <v>115</v>
      </c>
      <c r="AA16" s="298">
        <v>12</v>
      </c>
      <c r="AB16" s="6" t="s">
        <v>138</v>
      </c>
      <c r="AD16" s="336"/>
      <c r="AE16" s="297">
        <v>12</v>
      </c>
      <c r="AF16" s="6" t="s">
        <v>248</v>
      </c>
      <c r="AG16" s="298">
        <v>12</v>
      </c>
      <c r="AH16" s="20" t="s">
        <v>165</v>
      </c>
      <c r="AI16" s="297">
        <v>12</v>
      </c>
      <c r="AJ16" s="6" t="s">
        <v>177</v>
      </c>
      <c r="AL16" s="354"/>
      <c r="AM16" s="297">
        <v>12</v>
      </c>
      <c r="AN16" s="6" t="s">
        <v>189</v>
      </c>
      <c r="AO16" s="297">
        <v>12</v>
      </c>
      <c r="AP16" s="6"/>
      <c r="AQ16" s="297">
        <v>12</v>
      </c>
      <c r="AR16" s="350"/>
      <c r="AS16" s="297">
        <v>12</v>
      </c>
      <c r="AT16" s="6"/>
      <c r="AV16" s="52" t="s">
        <v>21</v>
      </c>
    </row>
    <row r="17" spans="2:48" ht="15" customHeight="1" x14ac:dyDescent="0.25">
      <c r="B17" s="333" t="s">
        <v>8</v>
      </c>
      <c r="C17" s="319" t="s">
        <v>338</v>
      </c>
      <c r="D17" s="319"/>
      <c r="E17" s="488" t="s">
        <v>338</v>
      </c>
      <c r="F17" s="343"/>
      <c r="H17" s="333" t="s">
        <v>8</v>
      </c>
      <c r="I17" s="488" t="s">
        <v>50</v>
      </c>
      <c r="J17" s="494"/>
      <c r="K17" s="488" t="s">
        <v>51</v>
      </c>
      <c r="L17" s="343"/>
      <c r="N17" s="333" t="s">
        <v>8</v>
      </c>
      <c r="O17" s="488" t="s">
        <v>72</v>
      </c>
      <c r="P17" s="494"/>
      <c r="Q17" s="488" t="s">
        <v>76</v>
      </c>
      <c r="R17" s="343"/>
      <c r="T17" s="333" t="s">
        <v>8</v>
      </c>
      <c r="U17" s="488" t="s">
        <v>51</v>
      </c>
      <c r="V17" s="494"/>
      <c r="W17" s="488" t="s">
        <v>112</v>
      </c>
      <c r="X17" s="343"/>
      <c r="Y17" s="488" t="s">
        <v>113</v>
      </c>
      <c r="Z17" s="494"/>
      <c r="AA17" s="488" t="s">
        <v>114</v>
      </c>
      <c r="AB17" s="343"/>
      <c r="AD17" s="333" t="s">
        <v>8</v>
      </c>
      <c r="AE17" s="488" t="s">
        <v>191</v>
      </c>
      <c r="AF17" s="494"/>
      <c r="AG17" s="488" t="s">
        <v>192</v>
      </c>
      <c r="AH17" s="343"/>
      <c r="AI17" s="488" t="s">
        <v>193</v>
      </c>
      <c r="AJ17" s="494"/>
      <c r="AL17" s="333" t="s">
        <v>8</v>
      </c>
      <c r="AM17" s="488" t="s">
        <v>114</v>
      </c>
      <c r="AN17" s="494"/>
      <c r="AO17" s="490" t="s">
        <v>215</v>
      </c>
      <c r="AP17" s="491"/>
      <c r="AQ17" s="488" t="s">
        <v>214</v>
      </c>
      <c r="AR17" s="343"/>
      <c r="AS17" s="342" t="s">
        <v>192</v>
      </c>
      <c r="AT17" s="343"/>
      <c r="AV17" s="52" t="s">
        <v>22</v>
      </c>
    </row>
    <row r="18" spans="2:48" ht="15.75" thickBot="1" x14ac:dyDescent="0.3">
      <c r="B18" s="334"/>
      <c r="C18" s="320"/>
      <c r="D18" s="320"/>
      <c r="E18" s="489"/>
      <c r="F18" s="345"/>
      <c r="H18" s="334"/>
      <c r="I18" s="489"/>
      <c r="J18" s="495"/>
      <c r="K18" s="489"/>
      <c r="L18" s="345"/>
      <c r="N18" s="334"/>
      <c r="O18" s="489"/>
      <c r="P18" s="495"/>
      <c r="Q18" s="489"/>
      <c r="R18" s="345"/>
      <c r="T18" s="334"/>
      <c r="U18" s="489"/>
      <c r="V18" s="495"/>
      <c r="W18" s="489"/>
      <c r="X18" s="345"/>
      <c r="Y18" s="489"/>
      <c r="Z18" s="495"/>
      <c r="AA18" s="489"/>
      <c r="AB18" s="345"/>
      <c r="AD18" s="334"/>
      <c r="AE18" s="489"/>
      <c r="AF18" s="495"/>
      <c r="AG18" s="489"/>
      <c r="AH18" s="345"/>
      <c r="AI18" s="489"/>
      <c r="AJ18" s="495"/>
      <c r="AL18" s="334"/>
      <c r="AM18" s="489"/>
      <c r="AN18" s="495"/>
      <c r="AO18" s="492"/>
      <c r="AP18" s="493"/>
      <c r="AQ18" s="489"/>
      <c r="AR18" s="345"/>
      <c r="AS18" s="344"/>
      <c r="AT18" s="345"/>
      <c r="AV18" s="52" t="s">
        <v>23</v>
      </c>
    </row>
    <row r="19" spans="2:48" ht="15.75" thickBot="1" x14ac:dyDescent="0.3">
      <c r="AV19" s="52" t="s">
        <v>24</v>
      </c>
    </row>
    <row r="20" spans="2:48" ht="15" customHeight="1" x14ac:dyDescent="0.25">
      <c r="H20" s="14"/>
      <c r="P20" s="61"/>
      <c r="Q20" s="321" t="s">
        <v>320</v>
      </c>
      <c r="R20" s="321"/>
      <c r="S20" s="321"/>
      <c r="T20" s="314" t="s">
        <v>313</v>
      </c>
      <c r="U20" s="315"/>
      <c r="V20" s="62" t="s">
        <v>314</v>
      </c>
      <c r="W20" s="315" t="s">
        <v>315</v>
      </c>
      <c r="X20" s="315"/>
      <c r="Y20" s="62" t="s">
        <v>2</v>
      </c>
      <c r="Z20" s="315" t="s">
        <v>316</v>
      </c>
      <c r="AA20" s="315"/>
      <c r="AB20" s="63" t="s">
        <v>321</v>
      </c>
      <c r="AV20" s="52" t="s">
        <v>25</v>
      </c>
    </row>
    <row r="21" spans="2:48" ht="15.75" customHeight="1" thickBot="1" x14ac:dyDescent="0.35">
      <c r="P21" s="61"/>
      <c r="Q21" s="321"/>
      <c r="R21" s="321"/>
      <c r="S21" s="321"/>
      <c r="T21" s="316" t="s">
        <v>31</v>
      </c>
      <c r="U21" s="317"/>
      <c r="V21" s="64" t="s">
        <v>77</v>
      </c>
      <c r="W21" s="318" t="s">
        <v>79</v>
      </c>
      <c r="X21" s="318"/>
      <c r="Y21" s="64">
        <v>9</v>
      </c>
      <c r="Z21" s="318" t="s">
        <v>112</v>
      </c>
      <c r="AA21" s="318"/>
      <c r="AB21" s="65" t="s">
        <v>1490</v>
      </c>
      <c r="AV21" s="52" t="s">
        <v>26</v>
      </c>
    </row>
    <row r="22" spans="2:48" x14ac:dyDescent="0.25">
      <c r="AV22" s="52" t="s">
        <v>29</v>
      </c>
    </row>
    <row r="23" spans="2:48" x14ac:dyDescent="0.25">
      <c r="AV23" s="52" t="s">
        <v>30</v>
      </c>
    </row>
    <row r="24" spans="2:48" x14ac:dyDescent="0.25">
      <c r="AV24" s="52" t="s">
        <v>31</v>
      </c>
    </row>
    <row r="25" spans="2:48" x14ac:dyDescent="0.25">
      <c r="AV25" s="52" t="s">
        <v>32</v>
      </c>
    </row>
    <row r="26" spans="2:48" x14ac:dyDescent="0.25">
      <c r="AV26" s="52" t="s">
        <v>33</v>
      </c>
    </row>
    <row r="27" spans="2:48" x14ac:dyDescent="0.25">
      <c r="AV27" s="52" t="s">
        <v>34</v>
      </c>
    </row>
    <row r="28" spans="2:48" x14ac:dyDescent="0.25">
      <c r="AV28" s="52" t="s">
        <v>35</v>
      </c>
    </row>
    <row r="29" spans="2:48" x14ac:dyDescent="0.25">
      <c r="AV29" s="52" t="s">
        <v>36</v>
      </c>
    </row>
    <row r="30" spans="2:48" x14ac:dyDescent="0.25">
      <c r="AV30" s="52" t="s">
        <v>37</v>
      </c>
    </row>
    <row r="31" spans="2:48" x14ac:dyDescent="0.25">
      <c r="AV31" s="52" t="s">
        <v>38</v>
      </c>
    </row>
    <row r="32" spans="2:48" x14ac:dyDescent="0.25">
      <c r="AV32" s="52" t="s">
        <v>39</v>
      </c>
    </row>
    <row r="33" spans="48:48" x14ac:dyDescent="0.25">
      <c r="AV33" s="52" t="s">
        <v>40</v>
      </c>
    </row>
    <row r="34" spans="48:48" x14ac:dyDescent="0.25">
      <c r="AV34" s="52" t="s">
        <v>41</v>
      </c>
    </row>
    <row r="35" spans="48:48" x14ac:dyDescent="0.25">
      <c r="AV35" s="52" t="s">
        <v>42</v>
      </c>
    </row>
    <row r="36" spans="48:48" x14ac:dyDescent="0.25">
      <c r="AV36" s="52" t="s">
        <v>43</v>
      </c>
    </row>
    <row r="37" spans="48:48" x14ac:dyDescent="0.25">
      <c r="AV37" s="52" t="s">
        <v>44</v>
      </c>
    </row>
    <row r="38" spans="48:48" x14ac:dyDescent="0.25">
      <c r="AV38" s="52" t="s">
        <v>45</v>
      </c>
    </row>
    <row r="39" spans="48:48" x14ac:dyDescent="0.25">
      <c r="AV39" s="52" t="s">
        <v>46</v>
      </c>
    </row>
    <row r="40" spans="48:48" x14ac:dyDescent="0.25">
      <c r="AV40" s="52" t="s">
        <v>47</v>
      </c>
    </row>
    <row r="41" spans="48:48" x14ac:dyDescent="0.25">
      <c r="AV41" s="52" t="s">
        <v>48</v>
      </c>
    </row>
    <row r="42" spans="48:48" x14ac:dyDescent="0.25">
      <c r="AV42" s="52" t="s">
        <v>54</v>
      </c>
    </row>
    <row r="43" spans="48:48" x14ac:dyDescent="0.25">
      <c r="AV43" s="52" t="s">
        <v>55</v>
      </c>
    </row>
    <row r="44" spans="48:48" x14ac:dyDescent="0.25">
      <c r="AV44" s="52" t="s">
        <v>56</v>
      </c>
    </row>
    <row r="45" spans="48:48" x14ac:dyDescent="0.25">
      <c r="AV45" s="52" t="s">
        <v>57</v>
      </c>
    </row>
    <row r="46" spans="48:48" x14ac:dyDescent="0.25">
      <c r="AV46" s="52" t="s">
        <v>58</v>
      </c>
    </row>
    <row r="47" spans="48:48" x14ac:dyDescent="0.25">
      <c r="AV47" s="52" t="s">
        <v>59</v>
      </c>
    </row>
    <row r="48" spans="48:48" x14ac:dyDescent="0.25">
      <c r="AV48" s="52" t="s">
        <v>60</v>
      </c>
    </row>
    <row r="49" spans="48:48" x14ac:dyDescent="0.25">
      <c r="AV49" s="52" t="s">
        <v>61</v>
      </c>
    </row>
    <row r="50" spans="48:48" x14ac:dyDescent="0.25">
      <c r="AV50" s="52" t="s">
        <v>62</v>
      </c>
    </row>
    <row r="51" spans="48:48" x14ac:dyDescent="0.25">
      <c r="AV51" s="52" t="s">
        <v>63</v>
      </c>
    </row>
    <row r="52" spans="48:48" x14ac:dyDescent="0.25">
      <c r="AV52" s="52" t="s">
        <v>64</v>
      </c>
    </row>
    <row r="53" spans="48:48" x14ac:dyDescent="0.25">
      <c r="AV53" s="52" t="s">
        <v>65</v>
      </c>
    </row>
    <row r="54" spans="48:48" x14ac:dyDescent="0.25">
      <c r="AV54" s="52" t="s">
        <v>73</v>
      </c>
    </row>
    <row r="55" spans="48:48" x14ac:dyDescent="0.25">
      <c r="AV55" s="52" t="s">
        <v>74</v>
      </c>
    </row>
    <row r="56" spans="48:48" x14ac:dyDescent="0.25">
      <c r="AV56" s="52" t="s">
        <v>82</v>
      </c>
    </row>
    <row r="57" spans="48:48" x14ac:dyDescent="0.25">
      <c r="AV57" s="52" t="s">
        <v>108</v>
      </c>
    </row>
    <row r="58" spans="48:48" x14ac:dyDescent="0.25">
      <c r="AV58" s="52" t="s">
        <v>83</v>
      </c>
    </row>
    <row r="59" spans="48:48" x14ac:dyDescent="0.25">
      <c r="AV59" s="52" t="s">
        <v>84</v>
      </c>
    </row>
    <row r="60" spans="48:48" x14ac:dyDescent="0.25">
      <c r="AV60" s="52" t="s">
        <v>88</v>
      </c>
    </row>
    <row r="61" spans="48:48" x14ac:dyDescent="0.25">
      <c r="AV61" s="52" t="s">
        <v>85</v>
      </c>
    </row>
    <row r="62" spans="48:48" x14ac:dyDescent="0.25">
      <c r="AV62" s="52" t="s">
        <v>86</v>
      </c>
    </row>
    <row r="63" spans="48:48" x14ac:dyDescent="0.25">
      <c r="AV63" s="52" t="s">
        <v>93</v>
      </c>
    </row>
    <row r="64" spans="48:48" x14ac:dyDescent="0.25">
      <c r="AV64" s="52" t="s">
        <v>94</v>
      </c>
    </row>
    <row r="65" spans="48:48" x14ac:dyDescent="0.25">
      <c r="AV65" s="52" t="s">
        <v>95</v>
      </c>
    </row>
    <row r="66" spans="48:48" x14ac:dyDescent="0.25">
      <c r="AV66" s="52" t="s">
        <v>96</v>
      </c>
    </row>
    <row r="67" spans="48:48" x14ac:dyDescent="0.25">
      <c r="AV67" s="52" t="s">
        <v>116</v>
      </c>
    </row>
    <row r="68" spans="48:48" x14ac:dyDescent="0.25">
      <c r="AV68" s="52" t="s">
        <v>117</v>
      </c>
    </row>
    <row r="69" spans="48:48" x14ac:dyDescent="0.25">
      <c r="AV69" s="52" t="s">
        <v>118</v>
      </c>
    </row>
    <row r="70" spans="48:48" x14ac:dyDescent="0.25">
      <c r="AV70" s="52" t="s">
        <v>119</v>
      </c>
    </row>
    <row r="71" spans="48:48" x14ac:dyDescent="0.25">
      <c r="AV71" s="52" t="s">
        <v>120</v>
      </c>
    </row>
    <row r="72" spans="48:48" x14ac:dyDescent="0.25">
      <c r="AV72" s="52" t="s">
        <v>121</v>
      </c>
    </row>
    <row r="73" spans="48:48" x14ac:dyDescent="0.25">
      <c r="AV73" s="52" t="s">
        <v>122</v>
      </c>
    </row>
    <row r="74" spans="48:48" x14ac:dyDescent="0.25">
      <c r="AV74" s="52" t="s">
        <v>123</v>
      </c>
    </row>
    <row r="75" spans="48:48" x14ac:dyDescent="0.25">
      <c r="AV75" s="52" t="s">
        <v>124</v>
      </c>
    </row>
    <row r="76" spans="48:48" x14ac:dyDescent="0.25">
      <c r="AV76" s="52" t="s">
        <v>125</v>
      </c>
    </row>
    <row r="77" spans="48:48" x14ac:dyDescent="0.25">
      <c r="AV77" s="52" t="s">
        <v>126</v>
      </c>
    </row>
    <row r="78" spans="48:48" x14ac:dyDescent="0.25">
      <c r="AV78" s="52" t="s">
        <v>115</v>
      </c>
    </row>
    <row r="79" spans="48:48" x14ac:dyDescent="0.25">
      <c r="AV79" s="52" t="s">
        <v>75</v>
      </c>
    </row>
    <row r="80" spans="48:48" x14ac:dyDescent="0.25">
      <c r="AV80" s="52" t="s">
        <v>66</v>
      </c>
    </row>
    <row r="81" spans="48:48" x14ac:dyDescent="0.25">
      <c r="AV81" s="52" t="s">
        <v>71</v>
      </c>
    </row>
    <row r="82" spans="48:48" x14ac:dyDescent="0.25">
      <c r="AV82" s="52" t="s">
        <v>70</v>
      </c>
    </row>
    <row r="83" spans="48:48" x14ac:dyDescent="0.25">
      <c r="AV83" s="52" t="s">
        <v>146</v>
      </c>
    </row>
    <row r="84" spans="48:48" x14ac:dyDescent="0.25">
      <c r="AV84" s="52" t="s">
        <v>147</v>
      </c>
    </row>
    <row r="85" spans="48:48" x14ac:dyDescent="0.25">
      <c r="AV85" s="52" t="s">
        <v>148</v>
      </c>
    </row>
    <row r="86" spans="48:48" x14ac:dyDescent="0.25">
      <c r="AV86" s="52" t="s">
        <v>149</v>
      </c>
    </row>
    <row r="87" spans="48:48" x14ac:dyDescent="0.25">
      <c r="AV87" s="52" t="s">
        <v>150</v>
      </c>
    </row>
    <row r="88" spans="48:48" x14ac:dyDescent="0.25">
      <c r="AV88" s="52" t="s">
        <v>151</v>
      </c>
    </row>
    <row r="89" spans="48:48" x14ac:dyDescent="0.25">
      <c r="AV89" s="52" t="s">
        <v>152</v>
      </c>
    </row>
    <row r="90" spans="48:48" x14ac:dyDescent="0.25">
      <c r="AV90" s="52" t="s">
        <v>153</v>
      </c>
    </row>
    <row r="91" spans="48:48" x14ac:dyDescent="0.25">
      <c r="AV91" s="52" t="s">
        <v>154</v>
      </c>
    </row>
    <row r="92" spans="48:48" x14ac:dyDescent="0.25">
      <c r="AV92" s="52" t="s">
        <v>155</v>
      </c>
    </row>
    <row r="93" spans="48:48" x14ac:dyDescent="0.25">
      <c r="AV93" s="52" t="s">
        <v>156</v>
      </c>
    </row>
    <row r="94" spans="48:48" x14ac:dyDescent="0.25">
      <c r="AV94" s="52" t="s">
        <v>161</v>
      </c>
    </row>
    <row r="95" spans="48:48" x14ac:dyDescent="0.25">
      <c r="AV95" s="52" t="s">
        <v>162</v>
      </c>
    </row>
    <row r="96" spans="48:48" x14ac:dyDescent="0.25">
      <c r="AV96" s="52" t="s">
        <v>163</v>
      </c>
    </row>
    <row r="97" spans="48:48" x14ac:dyDescent="0.25">
      <c r="AV97" s="52" t="s">
        <v>164</v>
      </c>
    </row>
    <row r="98" spans="48:48" x14ac:dyDescent="0.25">
      <c r="AV98" s="52" t="s">
        <v>165</v>
      </c>
    </row>
    <row r="99" spans="48:48" x14ac:dyDescent="0.25">
      <c r="AV99" s="52" t="s">
        <v>179</v>
      </c>
    </row>
    <row r="100" spans="48:48" x14ac:dyDescent="0.25">
      <c r="AV100" s="52" t="s">
        <v>180</v>
      </c>
    </row>
    <row r="101" spans="48:48" x14ac:dyDescent="0.25">
      <c r="AV101" s="52" t="s">
        <v>181</v>
      </c>
    </row>
    <row r="102" spans="48:48" x14ac:dyDescent="0.25">
      <c r="AV102" s="52" t="s">
        <v>182</v>
      </c>
    </row>
    <row r="103" spans="48:48" x14ac:dyDescent="0.25">
      <c r="AV103" s="52" t="s">
        <v>183</v>
      </c>
    </row>
    <row r="104" spans="48:48" x14ac:dyDescent="0.25">
      <c r="AV104" s="52" t="s">
        <v>196</v>
      </c>
    </row>
    <row r="105" spans="48:48" x14ac:dyDescent="0.25">
      <c r="AV105" s="52" t="s">
        <v>197</v>
      </c>
    </row>
    <row r="106" spans="48:48" x14ac:dyDescent="0.25">
      <c r="AV106" s="52" t="s">
        <v>198</v>
      </c>
    </row>
    <row r="107" spans="48:48" x14ac:dyDescent="0.25">
      <c r="AV107" s="52" t="s">
        <v>199</v>
      </c>
    </row>
    <row r="108" spans="48:48" x14ac:dyDescent="0.25">
      <c r="AV108" s="52" t="s">
        <v>204</v>
      </c>
    </row>
    <row r="109" spans="48:48" x14ac:dyDescent="0.25">
      <c r="AV109" s="52" t="s">
        <v>205</v>
      </c>
    </row>
    <row r="110" spans="48:48" x14ac:dyDescent="0.25">
      <c r="AV110" s="52" t="s">
        <v>206</v>
      </c>
    </row>
    <row r="111" spans="48:48" x14ac:dyDescent="0.25">
      <c r="AV111" s="52" t="s">
        <v>207</v>
      </c>
    </row>
    <row r="112" spans="48:48" x14ac:dyDescent="0.25">
      <c r="AV112" s="52" t="s">
        <v>87</v>
      </c>
    </row>
    <row r="113" spans="48:48" x14ac:dyDescent="0.25">
      <c r="AV113" s="52" t="s">
        <v>109</v>
      </c>
    </row>
    <row r="114" spans="48:48" x14ac:dyDescent="0.25">
      <c r="AV114" s="52" t="s">
        <v>89</v>
      </c>
    </row>
    <row r="115" spans="48:48" x14ac:dyDescent="0.25">
      <c r="AV115" s="52" t="s">
        <v>90</v>
      </c>
    </row>
    <row r="116" spans="48:48" x14ac:dyDescent="0.25">
      <c r="AV116" s="52" t="s">
        <v>91</v>
      </c>
    </row>
    <row r="117" spans="48:48" x14ac:dyDescent="0.25">
      <c r="AV117" s="52" t="s">
        <v>92</v>
      </c>
    </row>
    <row r="118" spans="48:48" x14ac:dyDescent="0.25">
      <c r="AV118" s="52" t="s">
        <v>104</v>
      </c>
    </row>
    <row r="119" spans="48:48" x14ac:dyDescent="0.25">
      <c r="AV119" s="52" t="s">
        <v>105</v>
      </c>
    </row>
    <row r="120" spans="48:48" x14ac:dyDescent="0.25">
      <c r="AV120" s="52" t="s">
        <v>106</v>
      </c>
    </row>
    <row r="121" spans="48:48" x14ac:dyDescent="0.25">
      <c r="AV121" s="52" t="s">
        <v>107</v>
      </c>
    </row>
    <row r="122" spans="48:48" x14ac:dyDescent="0.25">
      <c r="AV122" s="52" t="s">
        <v>127</v>
      </c>
    </row>
    <row r="123" spans="48:48" x14ac:dyDescent="0.25">
      <c r="AV123" s="52" t="s">
        <v>128</v>
      </c>
    </row>
    <row r="124" spans="48:48" x14ac:dyDescent="0.25">
      <c r="AV124" s="52" t="s">
        <v>129</v>
      </c>
    </row>
    <row r="125" spans="48:48" x14ac:dyDescent="0.25">
      <c r="AV125" s="52" t="s">
        <v>130</v>
      </c>
    </row>
    <row r="126" spans="48:48" x14ac:dyDescent="0.25">
      <c r="AV126" s="52" t="s">
        <v>131</v>
      </c>
    </row>
    <row r="127" spans="48:48" x14ac:dyDescent="0.25">
      <c r="AV127" s="52" t="s">
        <v>132</v>
      </c>
    </row>
    <row r="128" spans="48:48" x14ac:dyDescent="0.25">
      <c r="AV128" s="52" t="s">
        <v>133</v>
      </c>
    </row>
    <row r="129" spans="48:48" x14ac:dyDescent="0.25">
      <c r="AV129" s="52" t="s">
        <v>134</v>
      </c>
    </row>
    <row r="130" spans="48:48" x14ac:dyDescent="0.25">
      <c r="AV130" s="52" t="s">
        <v>135</v>
      </c>
    </row>
    <row r="131" spans="48:48" x14ac:dyDescent="0.25">
      <c r="AV131" s="52" t="s">
        <v>136</v>
      </c>
    </row>
    <row r="132" spans="48:48" x14ac:dyDescent="0.25">
      <c r="AV132" s="52" t="s">
        <v>137</v>
      </c>
    </row>
    <row r="133" spans="48:48" x14ac:dyDescent="0.25">
      <c r="AV133" s="52" t="s">
        <v>138</v>
      </c>
    </row>
    <row r="134" spans="48:48" x14ac:dyDescent="0.25">
      <c r="AV134" s="52" t="s">
        <v>68</v>
      </c>
    </row>
    <row r="135" spans="48:48" x14ac:dyDescent="0.25">
      <c r="AV135" s="52" t="s">
        <v>69</v>
      </c>
    </row>
    <row r="136" spans="48:48" x14ac:dyDescent="0.25">
      <c r="AV136" s="52" t="s">
        <v>67</v>
      </c>
    </row>
    <row r="137" spans="48:48" x14ac:dyDescent="0.25">
      <c r="AV137" s="52" t="s">
        <v>157</v>
      </c>
    </row>
    <row r="138" spans="48:48" x14ac:dyDescent="0.25">
      <c r="AV138" s="52" t="s">
        <v>158</v>
      </c>
    </row>
    <row r="139" spans="48:48" x14ac:dyDescent="0.25">
      <c r="AV139" s="52" t="s">
        <v>159</v>
      </c>
    </row>
    <row r="140" spans="48:48" x14ac:dyDescent="0.25">
      <c r="AV140" s="52" t="s">
        <v>160</v>
      </c>
    </row>
    <row r="141" spans="48:48" x14ac:dyDescent="0.25">
      <c r="AV141" s="52" t="s">
        <v>166</v>
      </c>
    </row>
    <row r="142" spans="48:48" x14ac:dyDescent="0.25">
      <c r="AV142" s="52" t="s">
        <v>167</v>
      </c>
    </row>
    <row r="143" spans="48:48" x14ac:dyDescent="0.25">
      <c r="AV143" s="52" t="s">
        <v>168</v>
      </c>
    </row>
    <row r="144" spans="48:48" x14ac:dyDescent="0.25">
      <c r="AV144" s="52" t="s">
        <v>169</v>
      </c>
    </row>
    <row r="145" spans="48:48" x14ac:dyDescent="0.25">
      <c r="AV145" s="52" t="s">
        <v>170</v>
      </c>
    </row>
    <row r="146" spans="48:48" x14ac:dyDescent="0.25">
      <c r="AV146" s="52" t="s">
        <v>171</v>
      </c>
    </row>
    <row r="147" spans="48:48" x14ac:dyDescent="0.25">
      <c r="AV147" s="52" t="s">
        <v>172</v>
      </c>
    </row>
    <row r="148" spans="48:48" x14ac:dyDescent="0.25">
      <c r="AV148" s="52" t="s">
        <v>173</v>
      </c>
    </row>
    <row r="149" spans="48:48" x14ac:dyDescent="0.25">
      <c r="AV149" s="52" t="s">
        <v>174</v>
      </c>
    </row>
    <row r="150" spans="48:48" x14ac:dyDescent="0.25">
      <c r="AV150" s="52" t="s">
        <v>175</v>
      </c>
    </row>
    <row r="151" spans="48:48" x14ac:dyDescent="0.25">
      <c r="AV151" s="52" t="s">
        <v>176</v>
      </c>
    </row>
    <row r="152" spans="48:48" x14ac:dyDescent="0.25">
      <c r="AV152" s="52" t="s">
        <v>177</v>
      </c>
    </row>
    <row r="153" spans="48:48" x14ac:dyDescent="0.25">
      <c r="AV153" s="52" t="s">
        <v>184</v>
      </c>
    </row>
    <row r="154" spans="48:48" x14ac:dyDescent="0.25">
      <c r="AV154" s="52" t="s">
        <v>185</v>
      </c>
    </row>
    <row r="155" spans="48:48" x14ac:dyDescent="0.25">
      <c r="AV155" s="52" t="s">
        <v>186</v>
      </c>
    </row>
    <row r="156" spans="48:48" x14ac:dyDescent="0.25">
      <c r="AV156" s="52" t="s">
        <v>187</v>
      </c>
    </row>
    <row r="157" spans="48:48" x14ac:dyDescent="0.25">
      <c r="AV157" s="52" t="s">
        <v>188</v>
      </c>
    </row>
    <row r="158" spans="48:48" x14ac:dyDescent="0.25">
      <c r="AV158" s="52" t="s">
        <v>189</v>
      </c>
    </row>
    <row r="159" spans="48:48" x14ac:dyDescent="0.25">
      <c r="AV159" s="52" t="s">
        <v>200</v>
      </c>
    </row>
    <row r="160" spans="48:48" x14ac:dyDescent="0.25">
      <c r="AV160" s="52" t="s">
        <v>201</v>
      </c>
    </row>
    <row r="161" spans="48:48" x14ac:dyDescent="0.25">
      <c r="AV161" s="52" t="s">
        <v>202</v>
      </c>
    </row>
    <row r="162" spans="48:48" x14ac:dyDescent="0.25">
      <c r="AV162" s="52" t="s">
        <v>203</v>
      </c>
    </row>
    <row r="163" spans="48:48" x14ac:dyDescent="0.25">
      <c r="AV163" s="52" t="s">
        <v>208</v>
      </c>
    </row>
    <row r="164" spans="48:48" x14ac:dyDescent="0.25">
      <c r="AV164" s="52" t="s">
        <v>209</v>
      </c>
    </row>
    <row r="165" spans="48:48" x14ac:dyDescent="0.25">
      <c r="AV165" s="52" t="s">
        <v>210</v>
      </c>
    </row>
    <row r="166" spans="48:48" x14ac:dyDescent="0.25">
      <c r="AV166" s="52" t="s">
        <v>211</v>
      </c>
    </row>
  </sheetData>
  <sortState ref="AV3:AV166">
    <sortCondition ref="AV2"/>
  </sortState>
  <mergeCells count="77">
    <mergeCell ref="Z20:AA20"/>
    <mergeCell ref="Z21:AA21"/>
    <mergeCell ref="AO2:AP2"/>
    <mergeCell ref="AO4:AP4"/>
    <mergeCell ref="AO17:AP18"/>
    <mergeCell ref="AL5:AL16"/>
    <mergeCell ref="AD17:AD18"/>
    <mergeCell ref="AE17:AF18"/>
    <mergeCell ref="AG17:AH18"/>
    <mergeCell ref="AI17:AJ18"/>
    <mergeCell ref="AL2:AL3"/>
    <mergeCell ref="AM2:AN2"/>
    <mergeCell ref="AL17:AL18"/>
    <mergeCell ref="AM17:AN18"/>
    <mergeCell ref="Y17:Z18"/>
    <mergeCell ref="AA17:AB18"/>
    <mergeCell ref="AS2:AT2"/>
    <mergeCell ref="AS17:AT18"/>
    <mergeCell ref="AS4:AT4"/>
    <mergeCell ref="AR13:AR16"/>
    <mergeCell ref="AQ2:AR2"/>
    <mergeCell ref="AQ4:AR4"/>
    <mergeCell ref="AQ17:AR18"/>
    <mergeCell ref="AD5:AD16"/>
    <mergeCell ref="AM4:AN4"/>
    <mergeCell ref="AA2:AB2"/>
    <mergeCell ref="AA4:AB4"/>
    <mergeCell ref="T2:T3"/>
    <mergeCell ref="U2:V2"/>
    <mergeCell ref="W2:X2"/>
    <mergeCell ref="U4:V4"/>
    <mergeCell ref="W4:X4"/>
    <mergeCell ref="AD2:AD3"/>
    <mergeCell ref="AE2:AF2"/>
    <mergeCell ref="AG2:AH2"/>
    <mergeCell ref="AI2:AJ2"/>
    <mergeCell ref="AE4:AF4"/>
    <mergeCell ref="AG4:AH4"/>
    <mergeCell ref="AI4:AJ4"/>
    <mergeCell ref="Q2:R2"/>
    <mergeCell ref="T17:T18"/>
    <mergeCell ref="U17:V18"/>
    <mergeCell ref="W17:X18"/>
    <mergeCell ref="Y2:Z2"/>
    <mergeCell ref="T5:T16"/>
    <mergeCell ref="Q17:R18"/>
    <mergeCell ref="Q4:R4"/>
    <mergeCell ref="Y4:Z4"/>
    <mergeCell ref="B2:B3"/>
    <mergeCell ref="H2:H3"/>
    <mergeCell ref="N2:N3"/>
    <mergeCell ref="B17:B18"/>
    <mergeCell ref="H17:H18"/>
    <mergeCell ref="N17:N18"/>
    <mergeCell ref="N5:N16"/>
    <mergeCell ref="C17:D18"/>
    <mergeCell ref="E17:F18"/>
    <mergeCell ref="I17:J18"/>
    <mergeCell ref="K17:L18"/>
    <mergeCell ref="B5:B16"/>
    <mergeCell ref="I4:J4"/>
    <mergeCell ref="K4:L4"/>
    <mergeCell ref="H5:H16"/>
    <mergeCell ref="O4:P4"/>
    <mergeCell ref="C2:D2"/>
    <mergeCell ref="E2:F2"/>
    <mergeCell ref="I2:J2"/>
    <mergeCell ref="K2:L2"/>
    <mergeCell ref="C4:D4"/>
    <mergeCell ref="E4:F4"/>
    <mergeCell ref="O2:P2"/>
    <mergeCell ref="T20:U20"/>
    <mergeCell ref="T21:U21"/>
    <mergeCell ref="W20:X20"/>
    <mergeCell ref="W21:X21"/>
    <mergeCell ref="O17:P18"/>
    <mergeCell ref="Q20:S21"/>
  </mergeCells>
  <conditionalFormatting sqref="T20 AR5:AR13 AN5:AN16 AJ5:AJ16 AF5:AF16 AH5:AH16 AQ4:AS4 AE4:AJ4 V5:V16 X5:X16 Z5:Z16 AB5:AB16 U4:AB4 D5:D16 F5:F16 C4:F4 J5:J16 I4:L4 L5:L16 P5:P16 O4:R4 AT5:AT16 AM4:AO4 AP5:AP16 V20 R5:R16">
    <cfRule type="duplicateValues" dxfId="140" priority="3"/>
  </conditionalFormatting>
  <conditionalFormatting sqref="AP5:AP16 AO4:AP4">
    <cfRule type="duplicateValues" dxfId="139" priority="2"/>
  </conditionalFormatting>
  <conditionalFormatting sqref="AV2:AV166">
    <cfRule type="duplicateValues" dxfId="138" priority="1"/>
  </conditionalFormatting>
  <dataValidations count="1">
    <dataValidation type="list" allowBlank="1" showInputMessage="1" showErrorMessage="1" sqref="T21">
      <formula1>$AV$4:$AV$166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7" tint="0.59999389629810485"/>
  </sheetPr>
  <dimension ref="B1:AT21"/>
  <sheetViews>
    <sheetView topLeftCell="V1" zoomScaleNormal="100" workbookViewId="0">
      <selection activeCell="AN12" sqref="AN12"/>
    </sheetView>
  </sheetViews>
  <sheetFormatPr defaultRowHeight="15" x14ac:dyDescent="0.25"/>
  <cols>
    <col min="1" max="1" width="2.28515625" customWidth="1"/>
    <col min="2" max="2" width="6.140625" bestFit="1" customWidth="1"/>
    <col min="3" max="3" width="4.42578125" bestFit="1" customWidth="1"/>
    <col min="4" max="4" width="8.7109375" bestFit="1" customWidth="1"/>
    <col min="5" max="5" width="4.42578125" bestFit="1" customWidth="1"/>
    <col min="6" max="6" width="8.7109375" bestFit="1" customWidth="1"/>
    <col min="7" max="7" width="2.7109375" customWidth="1"/>
    <col min="8" max="8" width="6.140625" bestFit="1" customWidth="1"/>
    <col min="9" max="9" width="4.42578125" bestFit="1" customWidth="1"/>
    <col min="10" max="10" width="8.7109375" bestFit="1" customWidth="1"/>
    <col min="11" max="11" width="4.42578125" bestFit="1" customWidth="1"/>
    <col min="12" max="12" width="8.7109375" bestFit="1" customWidth="1"/>
    <col min="13" max="13" width="2.28515625" customWidth="1"/>
    <col min="14" max="14" width="6.140625" bestFit="1" customWidth="1"/>
    <col min="15" max="15" width="4.42578125" bestFit="1" customWidth="1"/>
    <col min="16" max="16" width="8.7109375" bestFit="1" customWidth="1"/>
    <col min="17" max="17" width="4.42578125" bestFit="1" customWidth="1"/>
    <col min="18" max="18" width="8.7109375" bestFit="1" customWidth="1"/>
    <col min="19" max="19" width="2.42578125" customWidth="1"/>
    <col min="20" max="20" width="6.140625" bestFit="1" customWidth="1"/>
    <col min="21" max="21" width="4.42578125" bestFit="1" customWidth="1"/>
    <col min="22" max="22" width="8.7109375" bestFit="1" customWidth="1"/>
    <col min="23" max="23" width="4.42578125" bestFit="1" customWidth="1"/>
    <col min="24" max="24" width="8.7109375" bestFit="1" customWidth="1"/>
    <col min="25" max="25" width="4.42578125" bestFit="1" customWidth="1"/>
    <col min="26" max="26" width="8.7109375" bestFit="1" customWidth="1"/>
    <col min="27" max="27" width="4.42578125" bestFit="1" customWidth="1"/>
    <col min="28" max="28" width="8.7109375" bestFit="1" customWidth="1"/>
    <col min="29" max="29" width="2.5703125" customWidth="1"/>
    <col min="30" max="30" width="6.140625" bestFit="1" customWidth="1"/>
    <col min="31" max="31" width="4.42578125" bestFit="1" customWidth="1"/>
    <col min="32" max="32" width="8.7109375" bestFit="1" customWidth="1"/>
    <col min="33" max="33" width="4.42578125" bestFit="1" customWidth="1"/>
    <col min="34" max="34" width="8.7109375" bestFit="1" customWidth="1"/>
    <col min="35" max="35" width="4.42578125" bestFit="1" customWidth="1"/>
    <col min="36" max="36" width="8.7109375" bestFit="1" customWidth="1"/>
    <col min="37" max="37" width="3.7109375" customWidth="1"/>
    <col min="38" max="38" width="13.28515625" bestFit="1" customWidth="1"/>
    <col min="39" max="39" width="4.42578125" bestFit="1" customWidth="1"/>
    <col min="40" max="40" width="8.7109375" bestFit="1" customWidth="1"/>
    <col min="41" max="41" width="4.42578125" bestFit="1" customWidth="1"/>
    <col min="42" max="42" width="8.7109375" bestFit="1" customWidth="1"/>
    <col min="43" max="43" width="4.42578125" bestFit="1" customWidth="1"/>
    <col min="44" max="44" width="13.85546875" bestFit="1" customWidth="1"/>
    <col min="45" max="45" width="4.42578125" bestFit="1" customWidth="1"/>
    <col min="46" max="46" width="8.7109375" bestFit="1" customWidth="1"/>
  </cols>
  <sheetData>
    <row r="1" spans="2:46" ht="8.25" customHeight="1" thickBot="1" x14ac:dyDescent="0.3"/>
    <row r="2" spans="2:46" ht="15.75" thickBot="1" x14ac:dyDescent="0.3">
      <c r="B2" s="329"/>
      <c r="C2" s="324" t="s">
        <v>78</v>
      </c>
      <c r="D2" s="325"/>
      <c r="E2" s="326" t="s">
        <v>79</v>
      </c>
      <c r="F2" s="327"/>
      <c r="H2" s="329"/>
      <c r="I2" s="324" t="s">
        <v>78</v>
      </c>
      <c r="J2" s="325"/>
      <c r="K2" s="326" t="s">
        <v>79</v>
      </c>
      <c r="L2" s="327"/>
      <c r="N2" s="331"/>
      <c r="O2" s="326" t="s">
        <v>78</v>
      </c>
      <c r="P2" s="327"/>
      <c r="Q2" s="339" t="s">
        <v>79</v>
      </c>
      <c r="R2" s="327"/>
      <c r="T2" s="331"/>
      <c r="U2" s="326" t="s">
        <v>78</v>
      </c>
      <c r="V2" s="327"/>
      <c r="W2" s="339" t="s">
        <v>79</v>
      </c>
      <c r="X2" s="325"/>
      <c r="Y2" s="326" t="s">
        <v>80</v>
      </c>
      <c r="Z2" s="327"/>
      <c r="AA2" s="339" t="s">
        <v>81</v>
      </c>
      <c r="AB2" s="327"/>
      <c r="AD2" s="331"/>
      <c r="AE2" s="326" t="s">
        <v>78</v>
      </c>
      <c r="AF2" s="327"/>
      <c r="AG2" s="339" t="s">
        <v>79</v>
      </c>
      <c r="AH2" s="325"/>
      <c r="AI2" s="326" t="s">
        <v>80</v>
      </c>
      <c r="AJ2" s="327"/>
      <c r="AL2" s="331"/>
      <c r="AM2" s="326" t="s">
        <v>78</v>
      </c>
      <c r="AN2" s="327"/>
      <c r="AO2" s="351" t="s">
        <v>79</v>
      </c>
      <c r="AP2" s="352"/>
      <c r="AQ2" s="351" t="s">
        <v>80</v>
      </c>
      <c r="AR2" s="352"/>
      <c r="AS2" s="340" t="s">
        <v>81</v>
      </c>
      <c r="AT2" s="341"/>
    </row>
    <row r="3" spans="2:46" ht="15.75" thickBot="1" x14ac:dyDescent="0.3">
      <c r="B3" s="330"/>
      <c r="C3" s="1" t="s">
        <v>2</v>
      </c>
      <c r="D3" s="17" t="s">
        <v>49</v>
      </c>
      <c r="E3" s="12" t="s">
        <v>2</v>
      </c>
      <c r="F3" s="2" t="s">
        <v>49</v>
      </c>
      <c r="H3" s="330"/>
      <c r="I3" s="1" t="s">
        <v>2</v>
      </c>
      <c r="J3" s="17" t="s">
        <v>49</v>
      </c>
      <c r="K3" s="12" t="s">
        <v>2</v>
      </c>
      <c r="L3" s="2" t="s">
        <v>49</v>
      </c>
      <c r="N3" s="332"/>
      <c r="O3" s="12" t="s">
        <v>2</v>
      </c>
      <c r="P3" s="2" t="s">
        <v>49</v>
      </c>
      <c r="Q3" s="15" t="s">
        <v>2</v>
      </c>
      <c r="R3" s="2" t="s">
        <v>49</v>
      </c>
      <c r="T3" s="332"/>
      <c r="U3" s="12" t="s">
        <v>2</v>
      </c>
      <c r="V3" s="2" t="s">
        <v>49</v>
      </c>
      <c r="W3" s="15" t="s">
        <v>2</v>
      </c>
      <c r="X3" s="17" t="s">
        <v>49</v>
      </c>
      <c r="Y3" s="12" t="s">
        <v>2</v>
      </c>
      <c r="Z3" s="2" t="s">
        <v>49</v>
      </c>
      <c r="AA3" s="15" t="s">
        <v>2</v>
      </c>
      <c r="AB3" s="2" t="s">
        <v>49</v>
      </c>
      <c r="AD3" s="332"/>
      <c r="AE3" s="12" t="s">
        <v>2</v>
      </c>
      <c r="AF3" s="2" t="s">
        <v>49</v>
      </c>
      <c r="AG3" s="15" t="s">
        <v>2</v>
      </c>
      <c r="AH3" s="17" t="s">
        <v>49</v>
      </c>
      <c r="AI3" s="12" t="s">
        <v>2</v>
      </c>
      <c r="AJ3" s="2" t="s">
        <v>49</v>
      </c>
      <c r="AL3" s="332"/>
      <c r="AM3" s="12" t="s">
        <v>2</v>
      </c>
      <c r="AN3" s="2" t="s">
        <v>49</v>
      </c>
      <c r="AO3" s="22" t="s">
        <v>2</v>
      </c>
      <c r="AP3" s="23" t="s">
        <v>49</v>
      </c>
      <c r="AQ3" s="22" t="s">
        <v>2</v>
      </c>
      <c r="AR3" s="23" t="s">
        <v>49</v>
      </c>
      <c r="AS3" s="12" t="s">
        <v>2</v>
      </c>
      <c r="AT3" s="2" t="s">
        <v>49</v>
      </c>
    </row>
    <row r="4" spans="2:46" ht="15.75" thickBot="1" x14ac:dyDescent="0.3">
      <c r="B4" s="11" t="s">
        <v>5</v>
      </c>
      <c r="C4" s="311"/>
      <c r="D4" s="499"/>
      <c r="E4" s="311"/>
      <c r="F4" s="313"/>
      <c r="H4" s="10" t="s">
        <v>5</v>
      </c>
      <c r="I4" s="311"/>
      <c r="J4" s="499"/>
      <c r="K4" s="311"/>
      <c r="L4" s="313"/>
      <c r="N4" s="11" t="s">
        <v>5</v>
      </c>
      <c r="O4" s="311"/>
      <c r="P4" s="499"/>
      <c r="Q4" s="311"/>
      <c r="R4" s="313"/>
      <c r="T4" s="11" t="s">
        <v>5</v>
      </c>
      <c r="U4" s="311"/>
      <c r="V4" s="499"/>
      <c r="W4" s="311"/>
      <c r="X4" s="313"/>
      <c r="Y4" s="311"/>
      <c r="Z4" s="499"/>
      <c r="AA4" s="311"/>
      <c r="AB4" s="313"/>
      <c r="AD4" s="11" t="s">
        <v>5</v>
      </c>
      <c r="AE4" s="311"/>
      <c r="AF4" s="499"/>
      <c r="AG4" s="311"/>
      <c r="AH4" s="313"/>
      <c r="AI4" s="322"/>
      <c r="AJ4" s="323"/>
      <c r="AL4" s="11" t="s">
        <v>5</v>
      </c>
      <c r="AM4" s="311"/>
      <c r="AN4" s="499"/>
      <c r="AO4" s="311"/>
      <c r="AP4" s="313"/>
      <c r="AQ4" s="311"/>
      <c r="AR4" s="499"/>
      <c r="AS4" s="311"/>
      <c r="AT4" s="313"/>
    </row>
    <row r="5" spans="2:46" x14ac:dyDescent="0.25">
      <c r="B5" s="335" t="s">
        <v>3</v>
      </c>
      <c r="C5" s="304">
        <v>1</v>
      </c>
      <c r="D5" s="500"/>
      <c r="E5" s="304">
        <v>1</v>
      </c>
      <c r="F5" s="41"/>
      <c r="H5" s="335" t="s">
        <v>3</v>
      </c>
      <c r="I5" s="304">
        <v>1</v>
      </c>
      <c r="J5" s="500"/>
      <c r="K5" s="304">
        <v>1</v>
      </c>
      <c r="L5" s="41"/>
      <c r="N5" s="335" t="s">
        <v>4</v>
      </c>
      <c r="O5" s="304">
        <v>1</v>
      </c>
      <c r="P5" s="500"/>
      <c r="Q5" s="304">
        <v>1</v>
      </c>
      <c r="R5" s="41"/>
      <c r="T5" s="335" t="s">
        <v>77</v>
      </c>
      <c r="U5" s="304">
        <v>1</v>
      </c>
      <c r="V5" s="500"/>
      <c r="W5" s="304">
        <v>1</v>
      </c>
      <c r="X5" s="41"/>
      <c r="Y5" s="304">
        <v>1</v>
      </c>
      <c r="Z5" s="500"/>
      <c r="AA5" s="304">
        <v>1</v>
      </c>
      <c r="AB5" s="41"/>
      <c r="AD5" s="335" t="s">
        <v>0</v>
      </c>
      <c r="AE5" s="304">
        <v>1</v>
      </c>
      <c r="AF5" s="500"/>
      <c r="AG5" s="304">
        <v>1</v>
      </c>
      <c r="AH5" s="41"/>
      <c r="AI5" s="13"/>
      <c r="AJ5" s="3"/>
      <c r="AL5" s="353" t="s">
        <v>178</v>
      </c>
      <c r="AM5" s="304">
        <v>1</v>
      </c>
      <c r="AN5" s="500"/>
      <c r="AO5" s="304">
        <v>1</v>
      </c>
      <c r="AP5" s="41"/>
      <c r="AQ5" s="304">
        <v>1</v>
      </c>
      <c r="AR5" s="500"/>
      <c r="AS5" s="304">
        <v>1</v>
      </c>
      <c r="AT5" s="41"/>
    </row>
    <row r="6" spans="2:46" x14ac:dyDescent="0.25">
      <c r="B6" s="336"/>
      <c r="C6" s="305">
        <v>2</v>
      </c>
      <c r="D6" s="303"/>
      <c r="E6" s="305">
        <v>2</v>
      </c>
      <c r="F6" s="30"/>
      <c r="H6" s="336"/>
      <c r="I6" s="305">
        <v>2</v>
      </c>
      <c r="J6" s="303"/>
      <c r="K6" s="305">
        <v>2</v>
      </c>
      <c r="L6" s="30"/>
      <c r="N6" s="336"/>
      <c r="O6" s="305">
        <v>2</v>
      </c>
      <c r="P6" s="303"/>
      <c r="Q6" s="305">
        <v>2</v>
      </c>
      <c r="R6" s="30"/>
      <c r="T6" s="336"/>
      <c r="U6" s="305">
        <v>2</v>
      </c>
      <c r="V6" s="303"/>
      <c r="W6" s="305">
        <v>2</v>
      </c>
      <c r="X6" s="30"/>
      <c r="Y6" s="305">
        <v>2</v>
      </c>
      <c r="Z6" s="303"/>
      <c r="AA6" s="305">
        <v>2</v>
      </c>
      <c r="AB6" s="30"/>
      <c r="AD6" s="336"/>
      <c r="AE6" s="305">
        <v>2</v>
      </c>
      <c r="AF6" s="303"/>
      <c r="AG6" s="305">
        <v>2</v>
      </c>
      <c r="AH6" s="30"/>
      <c r="AI6" s="286"/>
      <c r="AJ6" s="4"/>
      <c r="AL6" s="354"/>
      <c r="AM6" s="305">
        <v>2</v>
      </c>
      <c r="AN6" s="303"/>
      <c r="AO6" s="305">
        <v>2</v>
      </c>
      <c r="AP6" s="30"/>
      <c r="AQ6" s="305">
        <v>2</v>
      </c>
      <c r="AR6" s="303"/>
      <c r="AS6" s="305">
        <v>2</v>
      </c>
      <c r="AT6" s="30"/>
    </row>
    <row r="7" spans="2:46" x14ac:dyDescent="0.25">
      <c r="B7" s="336"/>
      <c r="C7" s="305">
        <v>3</v>
      </c>
      <c r="D7" s="303"/>
      <c r="E7" s="305">
        <v>3</v>
      </c>
      <c r="F7" s="30"/>
      <c r="H7" s="336"/>
      <c r="I7" s="305">
        <v>3</v>
      </c>
      <c r="J7" s="303"/>
      <c r="K7" s="305">
        <v>3</v>
      </c>
      <c r="L7" s="30"/>
      <c r="N7" s="336"/>
      <c r="O7" s="305">
        <v>3</v>
      </c>
      <c r="P7" s="303"/>
      <c r="Q7" s="305">
        <v>3</v>
      </c>
      <c r="R7" s="30"/>
      <c r="T7" s="336"/>
      <c r="U7" s="305">
        <v>3</v>
      </c>
      <c r="V7" s="303"/>
      <c r="W7" s="305">
        <v>3</v>
      </c>
      <c r="X7" s="30"/>
      <c r="Y7" s="305">
        <v>3</v>
      </c>
      <c r="Z7" s="303"/>
      <c r="AA7" s="305">
        <v>3</v>
      </c>
      <c r="AB7" s="30"/>
      <c r="AD7" s="336"/>
      <c r="AE7" s="305">
        <v>3</v>
      </c>
      <c r="AF7" s="303"/>
      <c r="AG7" s="305">
        <v>3</v>
      </c>
      <c r="AH7" s="30"/>
      <c r="AI7" s="286"/>
      <c r="AJ7" s="4"/>
      <c r="AL7" s="354"/>
      <c r="AM7" s="305">
        <v>3</v>
      </c>
      <c r="AN7" s="303"/>
      <c r="AO7" s="305">
        <v>3</v>
      </c>
      <c r="AP7" s="30"/>
      <c r="AQ7" s="305">
        <v>3</v>
      </c>
      <c r="AR7" s="303"/>
      <c r="AS7" s="305">
        <v>3</v>
      </c>
      <c r="AT7" s="30"/>
    </row>
    <row r="8" spans="2:46" x14ac:dyDescent="0.25">
      <c r="B8" s="336"/>
      <c r="C8" s="305">
        <v>4</v>
      </c>
      <c r="D8" s="303"/>
      <c r="E8" s="305">
        <v>4</v>
      </c>
      <c r="F8" s="30"/>
      <c r="H8" s="336"/>
      <c r="I8" s="305">
        <v>4</v>
      </c>
      <c r="J8" s="303"/>
      <c r="K8" s="305">
        <v>4</v>
      </c>
      <c r="L8" s="30"/>
      <c r="N8" s="336"/>
      <c r="O8" s="305">
        <v>4</v>
      </c>
      <c r="P8" s="303"/>
      <c r="Q8" s="305">
        <v>4</v>
      </c>
      <c r="R8" s="30"/>
      <c r="T8" s="336"/>
      <c r="U8" s="305">
        <v>4</v>
      </c>
      <c r="V8" s="303"/>
      <c r="W8" s="305">
        <v>4</v>
      </c>
      <c r="X8" s="30"/>
      <c r="Y8" s="305">
        <v>4</v>
      </c>
      <c r="Z8" s="303"/>
      <c r="AA8" s="305">
        <v>4</v>
      </c>
      <c r="AB8" s="30"/>
      <c r="AD8" s="336"/>
      <c r="AE8" s="305">
        <v>4</v>
      </c>
      <c r="AF8" s="303"/>
      <c r="AG8" s="305">
        <v>4</v>
      </c>
      <c r="AH8" s="30"/>
      <c r="AI8" s="286"/>
      <c r="AJ8" s="4"/>
      <c r="AL8" s="354"/>
      <c r="AM8" s="305">
        <v>4</v>
      </c>
      <c r="AN8" s="303"/>
      <c r="AO8" s="305">
        <v>4</v>
      </c>
      <c r="AP8" s="30"/>
      <c r="AQ8" s="305">
        <v>4</v>
      </c>
      <c r="AR8" s="303"/>
      <c r="AS8" s="305">
        <v>4</v>
      </c>
      <c r="AT8" s="30"/>
    </row>
    <row r="9" spans="2:46" x14ac:dyDescent="0.25">
      <c r="B9" s="336"/>
      <c r="C9" s="305">
        <v>5</v>
      </c>
      <c r="D9" s="303"/>
      <c r="E9" s="305">
        <v>5</v>
      </c>
      <c r="F9" s="30"/>
      <c r="H9" s="336"/>
      <c r="I9" s="305">
        <v>5</v>
      </c>
      <c r="J9" s="303"/>
      <c r="K9" s="305">
        <v>5</v>
      </c>
      <c r="L9" s="30"/>
      <c r="N9" s="336"/>
      <c r="O9" s="305">
        <v>5</v>
      </c>
      <c r="P9" s="303"/>
      <c r="Q9" s="305">
        <v>5</v>
      </c>
      <c r="R9" s="30"/>
      <c r="T9" s="336"/>
      <c r="U9" s="305">
        <v>5</v>
      </c>
      <c r="V9" s="303"/>
      <c r="W9" s="305">
        <v>5</v>
      </c>
      <c r="X9" s="30"/>
      <c r="Y9" s="305">
        <v>5</v>
      </c>
      <c r="Z9" s="303"/>
      <c r="AA9" s="305">
        <v>5</v>
      </c>
      <c r="AB9" s="30"/>
      <c r="AD9" s="336"/>
      <c r="AE9" s="305">
        <v>5</v>
      </c>
      <c r="AF9" s="303"/>
      <c r="AG9" s="305">
        <v>5</v>
      </c>
      <c r="AH9" s="30"/>
      <c r="AI9" s="286"/>
      <c r="AJ9" s="4"/>
      <c r="AL9" s="354"/>
      <c r="AM9" s="305">
        <v>5</v>
      </c>
      <c r="AN9" s="303"/>
      <c r="AO9" s="305">
        <v>5</v>
      </c>
      <c r="AP9" s="30"/>
      <c r="AQ9" s="305">
        <v>5</v>
      </c>
      <c r="AR9" s="303"/>
      <c r="AS9" s="305">
        <v>5</v>
      </c>
      <c r="AT9" s="30"/>
    </row>
    <row r="10" spans="2:46" x14ac:dyDescent="0.25">
      <c r="B10" s="336"/>
      <c r="C10" s="305">
        <v>6</v>
      </c>
      <c r="D10" s="303"/>
      <c r="E10" s="305">
        <v>6</v>
      </c>
      <c r="F10" s="30"/>
      <c r="H10" s="336"/>
      <c r="I10" s="305">
        <v>6</v>
      </c>
      <c r="J10" s="303"/>
      <c r="K10" s="305">
        <v>6</v>
      </c>
      <c r="L10" s="30"/>
      <c r="N10" s="336"/>
      <c r="O10" s="305">
        <v>6</v>
      </c>
      <c r="P10" s="303"/>
      <c r="Q10" s="305">
        <v>6</v>
      </c>
      <c r="R10" s="30"/>
      <c r="T10" s="336"/>
      <c r="U10" s="305">
        <v>6</v>
      </c>
      <c r="V10" s="303"/>
      <c r="W10" s="305">
        <v>6</v>
      </c>
      <c r="X10" s="30"/>
      <c r="Y10" s="305">
        <v>6</v>
      </c>
      <c r="Z10" s="303"/>
      <c r="AA10" s="305">
        <v>6</v>
      </c>
      <c r="AB10" s="30"/>
      <c r="AD10" s="336"/>
      <c r="AE10" s="305">
        <v>6</v>
      </c>
      <c r="AF10" s="303"/>
      <c r="AG10" s="305">
        <v>6</v>
      </c>
      <c r="AH10" s="30"/>
      <c r="AI10" s="286"/>
      <c r="AJ10" s="4"/>
      <c r="AL10" s="354"/>
      <c r="AM10" s="305">
        <v>6</v>
      </c>
      <c r="AN10" s="303"/>
      <c r="AO10" s="305">
        <v>6</v>
      </c>
      <c r="AP10" s="30"/>
      <c r="AQ10" s="305">
        <v>6</v>
      </c>
      <c r="AR10" s="303"/>
      <c r="AS10" s="305">
        <v>6</v>
      </c>
      <c r="AT10" s="30"/>
    </row>
    <row r="11" spans="2:46" x14ac:dyDescent="0.25">
      <c r="B11" s="336"/>
      <c r="C11" s="305">
        <v>7</v>
      </c>
      <c r="D11" s="303"/>
      <c r="E11" s="305">
        <v>7</v>
      </c>
      <c r="F11" s="30"/>
      <c r="H11" s="336"/>
      <c r="I11" s="305">
        <v>7</v>
      </c>
      <c r="J11" s="303"/>
      <c r="K11" s="305">
        <v>7</v>
      </c>
      <c r="L11" s="30"/>
      <c r="N11" s="336"/>
      <c r="O11" s="305">
        <v>7</v>
      </c>
      <c r="P11" s="303"/>
      <c r="Q11" s="305">
        <v>7</v>
      </c>
      <c r="R11" s="30"/>
      <c r="T11" s="336"/>
      <c r="U11" s="305">
        <v>7</v>
      </c>
      <c r="V11" s="303"/>
      <c r="W11" s="305">
        <v>7</v>
      </c>
      <c r="X11" s="30"/>
      <c r="Y11" s="305">
        <v>7</v>
      </c>
      <c r="Z11" s="303"/>
      <c r="AA11" s="305">
        <v>7</v>
      </c>
      <c r="AB11" s="30"/>
      <c r="AD11" s="336"/>
      <c r="AE11" s="305">
        <v>7</v>
      </c>
      <c r="AF11" s="303"/>
      <c r="AG11" s="305">
        <v>7</v>
      </c>
      <c r="AH11" s="30"/>
      <c r="AI11" s="286"/>
      <c r="AJ11" s="4"/>
      <c r="AL11" s="354"/>
      <c r="AM11" s="305">
        <v>7</v>
      </c>
      <c r="AN11" s="303"/>
      <c r="AO11" s="305">
        <v>7</v>
      </c>
      <c r="AP11" s="30"/>
      <c r="AQ11" s="305">
        <v>7</v>
      </c>
      <c r="AR11" s="303"/>
      <c r="AS11" s="305">
        <v>7</v>
      </c>
      <c r="AT11" s="30"/>
    </row>
    <row r="12" spans="2:46" x14ac:dyDescent="0.25">
      <c r="B12" s="336"/>
      <c r="C12" s="305">
        <v>8</v>
      </c>
      <c r="D12" s="303"/>
      <c r="E12" s="305">
        <v>8</v>
      </c>
      <c r="F12" s="30"/>
      <c r="H12" s="336"/>
      <c r="I12" s="305">
        <v>8</v>
      </c>
      <c r="J12" s="303"/>
      <c r="K12" s="305">
        <v>8</v>
      </c>
      <c r="L12" s="30"/>
      <c r="N12" s="336"/>
      <c r="O12" s="305">
        <v>8</v>
      </c>
      <c r="P12" s="303"/>
      <c r="Q12" s="305">
        <v>8</v>
      </c>
      <c r="R12" s="30"/>
      <c r="T12" s="336"/>
      <c r="U12" s="305">
        <v>8</v>
      </c>
      <c r="V12" s="303"/>
      <c r="W12" s="305">
        <v>8</v>
      </c>
      <c r="X12" s="30"/>
      <c r="Y12" s="305">
        <v>8</v>
      </c>
      <c r="Z12" s="303"/>
      <c r="AA12" s="305">
        <v>8</v>
      </c>
      <c r="AB12" s="30"/>
      <c r="AD12" s="336"/>
      <c r="AE12" s="305">
        <v>8</v>
      </c>
      <c r="AF12" s="303"/>
      <c r="AG12" s="305">
        <v>8</v>
      </c>
      <c r="AH12" s="30"/>
      <c r="AI12" s="286"/>
      <c r="AJ12" s="4"/>
      <c r="AL12" s="354"/>
      <c r="AM12" s="305">
        <v>8</v>
      </c>
      <c r="AN12" s="303"/>
      <c r="AO12" s="305">
        <v>8</v>
      </c>
      <c r="AP12" s="30"/>
      <c r="AQ12" s="305">
        <v>8</v>
      </c>
      <c r="AR12" s="303"/>
      <c r="AS12" s="305">
        <v>8</v>
      </c>
      <c r="AT12" s="30"/>
    </row>
    <row r="13" spans="2:46" ht="15" customHeight="1" x14ac:dyDescent="0.25">
      <c r="B13" s="336"/>
      <c r="C13" s="305">
        <v>9</v>
      </c>
      <c r="D13" s="303"/>
      <c r="E13" s="305">
        <v>9</v>
      </c>
      <c r="F13" s="30"/>
      <c r="H13" s="336"/>
      <c r="I13" s="305">
        <v>9</v>
      </c>
      <c r="J13" s="303"/>
      <c r="K13" s="305">
        <v>9</v>
      </c>
      <c r="L13" s="30"/>
      <c r="N13" s="336"/>
      <c r="O13" s="305">
        <v>9</v>
      </c>
      <c r="P13" s="303"/>
      <c r="Q13" s="305">
        <v>9</v>
      </c>
      <c r="R13" s="30"/>
      <c r="T13" s="336"/>
      <c r="U13" s="305">
        <v>9</v>
      </c>
      <c r="V13" s="303"/>
      <c r="W13" s="305">
        <v>9</v>
      </c>
      <c r="X13" s="30"/>
      <c r="Y13" s="305">
        <v>9</v>
      </c>
      <c r="Z13" s="303"/>
      <c r="AA13" s="305">
        <v>9</v>
      </c>
      <c r="AB13" s="30"/>
      <c r="AD13" s="336"/>
      <c r="AE13" s="305">
        <v>9</v>
      </c>
      <c r="AF13" s="303"/>
      <c r="AG13" s="305">
        <v>9</v>
      </c>
      <c r="AH13" s="30"/>
      <c r="AI13" s="286"/>
      <c r="AJ13" s="4"/>
      <c r="AL13" s="354"/>
      <c r="AM13" s="305">
        <v>9</v>
      </c>
      <c r="AN13" s="303"/>
      <c r="AO13" s="305">
        <v>9</v>
      </c>
      <c r="AP13" s="30"/>
      <c r="AQ13" s="305">
        <v>9</v>
      </c>
      <c r="AR13" s="303"/>
      <c r="AS13" s="305">
        <v>9</v>
      </c>
      <c r="AT13" s="30"/>
    </row>
    <row r="14" spans="2:46" x14ac:dyDescent="0.25">
      <c r="B14" s="336"/>
      <c r="C14" s="305">
        <v>10</v>
      </c>
      <c r="D14" s="303"/>
      <c r="E14" s="305">
        <v>10</v>
      </c>
      <c r="F14" s="30"/>
      <c r="H14" s="336"/>
      <c r="I14" s="305">
        <v>10</v>
      </c>
      <c r="J14" s="303"/>
      <c r="K14" s="305">
        <v>10</v>
      </c>
      <c r="L14" s="30"/>
      <c r="N14" s="336"/>
      <c r="O14" s="305">
        <v>10</v>
      </c>
      <c r="P14" s="303"/>
      <c r="Q14" s="305">
        <v>10</v>
      </c>
      <c r="R14" s="30"/>
      <c r="T14" s="336"/>
      <c r="U14" s="305">
        <v>10</v>
      </c>
      <c r="V14" s="303"/>
      <c r="W14" s="305">
        <v>10</v>
      </c>
      <c r="X14" s="30"/>
      <c r="Y14" s="305">
        <v>10</v>
      </c>
      <c r="Z14" s="303"/>
      <c r="AA14" s="305">
        <v>10</v>
      </c>
      <c r="AB14" s="30"/>
      <c r="AD14" s="336"/>
      <c r="AE14" s="305">
        <v>10</v>
      </c>
      <c r="AF14" s="303"/>
      <c r="AG14" s="305">
        <v>10</v>
      </c>
      <c r="AH14" s="30"/>
      <c r="AI14" s="286"/>
      <c r="AJ14" s="4"/>
      <c r="AL14" s="354"/>
      <c r="AM14" s="305">
        <v>10</v>
      </c>
      <c r="AN14" s="303"/>
      <c r="AO14" s="305">
        <v>10</v>
      </c>
      <c r="AP14" s="30"/>
      <c r="AQ14" s="305">
        <v>10</v>
      </c>
      <c r="AR14" s="303"/>
      <c r="AS14" s="305">
        <v>10</v>
      </c>
      <c r="AT14" s="30"/>
    </row>
    <row r="15" spans="2:46" x14ac:dyDescent="0.25">
      <c r="B15" s="336"/>
      <c r="C15" s="305">
        <v>11</v>
      </c>
      <c r="D15" s="303"/>
      <c r="E15" s="305">
        <v>11</v>
      </c>
      <c r="F15" s="30"/>
      <c r="H15" s="336"/>
      <c r="I15" s="305">
        <v>11</v>
      </c>
      <c r="J15" s="303"/>
      <c r="K15" s="305">
        <v>11</v>
      </c>
      <c r="L15" s="30"/>
      <c r="N15" s="336"/>
      <c r="O15" s="305">
        <v>11</v>
      </c>
      <c r="P15" s="303"/>
      <c r="Q15" s="305">
        <v>11</v>
      </c>
      <c r="R15" s="30"/>
      <c r="T15" s="336"/>
      <c r="U15" s="305">
        <v>11</v>
      </c>
      <c r="V15" s="303"/>
      <c r="W15" s="305">
        <v>11</v>
      </c>
      <c r="X15" s="30"/>
      <c r="Y15" s="305">
        <v>11</v>
      </c>
      <c r="Z15" s="303"/>
      <c r="AA15" s="305">
        <v>11</v>
      </c>
      <c r="AB15" s="30"/>
      <c r="AD15" s="336"/>
      <c r="AE15" s="305">
        <v>11</v>
      </c>
      <c r="AF15" s="303"/>
      <c r="AG15" s="305">
        <v>11</v>
      </c>
      <c r="AH15" s="30"/>
      <c r="AI15" s="286"/>
      <c r="AJ15" s="4"/>
      <c r="AL15" s="354"/>
      <c r="AM15" s="305">
        <v>11</v>
      </c>
      <c r="AN15" s="303"/>
      <c r="AO15" s="305">
        <v>11</v>
      </c>
      <c r="AP15" s="30"/>
      <c r="AQ15" s="305">
        <v>11</v>
      </c>
      <c r="AR15" s="303"/>
      <c r="AS15" s="305">
        <v>11</v>
      </c>
      <c r="AT15" s="30"/>
    </row>
    <row r="16" spans="2:46" ht="15.75" thickBot="1" x14ac:dyDescent="0.3">
      <c r="B16" s="336"/>
      <c r="C16" s="306">
        <v>12</v>
      </c>
      <c r="D16" s="501"/>
      <c r="E16" s="306">
        <v>12</v>
      </c>
      <c r="F16" s="34"/>
      <c r="H16" s="336"/>
      <c r="I16" s="306">
        <v>12</v>
      </c>
      <c r="J16" s="501"/>
      <c r="K16" s="306">
        <v>12</v>
      </c>
      <c r="L16" s="34"/>
      <c r="N16" s="336"/>
      <c r="O16" s="306">
        <v>12</v>
      </c>
      <c r="P16" s="501"/>
      <c r="Q16" s="306">
        <v>12</v>
      </c>
      <c r="R16" s="34"/>
      <c r="T16" s="336"/>
      <c r="U16" s="306">
        <v>12</v>
      </c>
      <c r="V16" s="501"/>
      <c r="W16" s="306">
        <v>12</v>
      </c>
      <c r="X16" s="34"/>
      <c r="Y16" s="306">
        <v>12</v>
      </c>
      <c r="Z16" s="501"/>
      <c r="AA16" s="306">
        <v>12</v>
      </c>
      <c r="AB16" s="34"/>
      <c r="AD16" s="336"/>
      <c r="AE16" s="306">
        <v>12</v>
      </c>
      <c r="AF16" s="501"/>
      <c r="AG16" s="306">
        <v>12</v>
      </c>
      <c r="AH16" s="34"/>
      <c r="AI16" s="287"/>
      <c r="AJ16" s="6"/>
      <c r="AL16" s="354"/>
      <c r="AM16" s="306">
        <v>12</v>
      </c>
      <c r="AN16" s="501"/>
      <c r="AO16" s="306">
        <v>12</v>
      </c>
      <c r="AP16" s="34"/>
      <c r="AQ16" s="306">
        <v>12</v>
      </c>
      <c r="AR16" s="501"/>
      <c r="AS16" s="306">
        <v>12</v>
      </c>
      <c r="AT16" s="34"/>
    </row>
    <row r="17" spans="2:46" ht="15" customHeight="1" x14ac:dyDescent="0.25">
      <c r="B17" s="496" t="s">
        <v>8</v>
      </c>
      <c r="C17" s="497"/>
      <c r="D17" s="319"/>
      <c r="E17" s="319"/>
      <c r="F17" s="337"/>
      <c r="H17" s="333" t="s">
        <v>8</v>
      </c>
      <c r="I17" s="497"/>
      <c r="J17" s="319"/>
      <c r="K17" s="497"/>
      <c r="L17" s="337"/>
      <c r="N17" s="333" t="s">
        <v>8</v>
      </c>
      <c r="O17" s="497"/>
      <c r="P17" s="319"/>
      <c r="Q17" s="497"/>
      <c r="R17" s="337"/>
      <c r="T17" s="333" t="s">
        <v>8</v>
      </c>
      <c r="U17" s="497"/>
      <c r="V17" s="319"/>
      <c r="W17" s="497"/>
      <c r="X17" s="337"/>
      <c r="Y17" s="497"/>
      <c r="Z17" s="319"/>
      <c r="AA17" s="497"/>
      <c r="AB17" s="337"/>
      <c r="AD17" s="333" t="s">
        <v>8</v>
      </c>
      <c r="AE17" s="497"/>
      <c r="AF17" s="319"/>
      <c r="AG17" s="497"/>
      <c r="AH17" s="337"/>
      <c r="AI17" s="319"/>
      <c r="AJ17" s="319"/>
      <c r="AL17" s="333" t="s">
        <v>8</v>
      </c>
      <c r="AM17" s="497"/>
      <c r="AN17" s="319"/>
      <c r="AO17" s="497"/>
      <c r="AP17" s="337"/>
      <c r="AQ17" s="497"/>
      <c r="AR17" s="319"/>
      <c r="AS17" s="497"/>
      <c r="AT17" s="337"/>
    </row>
    <row r="18" spans="2:46" ht="15.75" thickBot="1" x14ac:dyDescent="0.3">
      <c r="B18" s="477"/>
      <c r="C18" s="498"/>
      <c r="D18" s="320"/>
      <c r="E18" s="320"/>
      <c r="F18" s="338"/>
      <c r="H18" s="334"/>
      <c r="I18" s="498"/>
      <c r="J18" s="320"/>
      <c r="K18" s="498"/>
      <c r="L18" s="338"/>
      <c r="N18" s="334"/>
      <c r="O18" s="498"/>
      <c r="P18" s="320"/>
      <c r="Q18" s="498"/>
      <c r="R18" s="338"/>
      <c r="T18" s="334"/>
      <c r="U18" s="498"/>
      <c r="V18" s="320"/>
      <c r="W18" s="498"/>
      <c r="X18" s="338"/>
      <c r="Y18" s="498"/>
      <c r="Z18" s="320"/>
      <c r="AA18" s="498"/>
      <c r="AB18" s="338"/>
      <c r="AD18" s="334"/>
      <c r="AE18" s="498"/>
      <c r="AF18" s="320"/>
      <c r="AG18" s="498"/>
      <c r="AH18" s="338"/>
      <c r="AI18" s="320"/>
      <c r="AJ18" s="320"/>
      <c r="AL18" s="334"/>
      <c r="AM18" s="498"/>
      <c r="AN18" s="320"/>
      <c r="AO18" s="498"/>
      <c r="AP18" s="338"/>
      <c r="AQ18" s="498"/>
      <c r="AR18" s="320"/>
      <c r="AS18" s="498"/>
      <c r="AT18" s="338"/>
    </row>
    <row r="19" spans="2:46" ht="15.75" thickBot="1" x14ac:dyDescent="0.3"/>
    <row r="20" spans="2:46" ht="15" customHeight="1" x14ac:dyDescent="0.25">
      <c r="H20" s="14"/>
      <c r="P20" s="61"/>
      <c r="Q20" s="355" t="s">
        <v>320</v>
      </c>
      <c r="R20" s="355"/>
      <c r="S20" s="355"/>
      <c r="T20" s="356" t="s">
        <v>313</v>
      </c>
      <c r="U20" s="315"/>
      <c r="V20" s="275" t="s">
        <v>314</v>
      </c>
      <c r="W20" s="315" t="s">
        <v>315</v>
      </c>
      <c r="X20" s="315"/>
      <c r="Y20" s="275" t="s">
        <v>2</v>
      </c>
      <c r="Z20" s="315" t="s">
        <v>316</v>
      </c>
      <c r="AA20" s="315"/>
      <c r="AB20" s="63" t="s">
        <v>321</v>
      </c>
    </row>
    <row r="21" spans="2:46" ht="15.75" customHeight="1" thickBot="1" x14ac:dyDescent="0.35">
      <c r="P21" s="61"/>
      <c r="Q21" s="355"/>
      <c r="R21" s="355"/>
      <c r="S21" s="355"/>
      <c r="T21" s="357" t="s">
        <v>31</v>
      </c>
      <c r="U21" s="317"/>
      <c r="V21" s="276" t="s">
        <v>77</v>
      </c>
      <c r="W21" s="318" t="s">
        <v>79</v>
      </c>
      <c r="X21" s="318"/>
      <c r="Y21" s="276">
        <v>9</v>
      </c>
      <c r="Z21" s="318" t="s">
        <v>112</v>
      </c>
      <c r="AA21" s="318"/>
      <c r="AB21" s="65" t="s">
        <v>1490</v>
      </c>
    </row>
  </sheetData>
  <mergeCells count="76">
    <mergeCell ref="AQ17:AR18"/>
    <mergeCell ref="AS17:AT18"/>
    <mergeCell ref="Q20:S21"/>
    <mergeCell ref="T20:U20"/>
    <mergeCell ref="W20:X20"/>
    <mergeCell ref="Z20:AA20"/>
    <mergeCell ref="T21:U21"/>
    <mergeCell ref="W21:X21"/>
    <mergeCell ref="Z21:AA21"/>
    <mergeCell ref="AE17:AF18"/>
    <mergeCell ref="AG17:AH18"/>
    <mergeCell ref="AI17:AJ18"/>
    <mergeCell ref="AL17:AL18"/>
    <mergeCell ref="AM17:AN18"/>
    <mergeCell ref="AO17:AP18"/>
    <mergeCell ref="T17:T18"/>
    <mergeCell ref="U17:V18"/>
    <mergeCell ref="W17:X18"/>
    <mergeCell ref="Y17:Z18"/>
    <mergeCell ref="AA17:AB18"/>
    <mergeCell ref="AD17:AD18"/>
    <mergeCell ref="B17:B18"/>
    <mergeCell ref="C17:D18"/>
    <mergeCell ref="E17:F18"/>
    <mergeCell ref="H17:H18"/>
    <mergeCell ref="I17:J18"/>
    <mergeCell ref="K17:L18"/>
    <mergeCell ref="N17:N18"/>
    <mergeCell ref="O17:P18"/>
    <mergeCell ref="Q17:R18"/>
    <mergeCell ref="B5:B16"/>
    <mergeCell ref="H5:H16"/>
    <mergeCell ref="N5:N16"/>
    <mergeCell ref="T5:T16"/>
    <mergeCell ref="AD5:AD16"/>
    <mergeCell ref="AL5:AL16"/>
    <mergeCell ref="AS4:AT4"/>
    <mergeCell ref="Q4:R4"/>
    <mergeCell ref="U4:V4"/>
    <mergeCell ref="W4:X4"/>
    <mergeCell ref="Y4:Z4"/>
    <mergeCell ref="AA4:AB4"/>
    <mergeCell ref="AE4:AF4"/>
    <mergeCell ref="AG4:AH4"/>
    <mergeCell ref="AI4:AJ4"/>
    <mergeCell ref="AM4:AN4"/>
    <mergeCell ref="AO4:AP4"/>
    <mergeCell ref="AQ4:AR4"/>
    <mergeCell ref="AL2:AL3"/>
    <mergeCell ref="AM2:AN2"/>
    <mergeCell ref="AO2:AP2"/>
    <mergeCell ref="AQ2:AR2"/>
    <mergeCell ref="AS2:AT2"/>
    <mergeCell ref="C4:D4"/>
    <mergeCell ref="E4:F4"/>
    <mergeCell ref="I4:J4"/>
    <mergeCell ref="K4:L4"/>
    <mergeCell ref="O4:P4"/>
    <mergeCell ref="AI2:AJ2"/>
    <mergeCell ref="N2:N3"/>
    <mergeCell ref="O2:P2"/>
    <mergeCell ref="Q2:R2"/>
    <mergeCell ref="T2:T3"/>
    <mergeCell ref="U2:V2"/>
    <mergeCell ref="W2:X2"/>
    <mergeCell ref="Y2:Z2"/>
    <mergeCell ref="AA2:AB2"/>
    <mergeCell ref="AD2:AD3"/>
    <mergeCell ref="AE2:AF2"/>
    <mergeCell ref="AG2:AH2"/>
    <mergeCell ref="K2:L2"/>
    <mergeCell ref="B2:B3"/>
    <mergeCell ref="C2:D2"/>
    <mergeCell ref="E2:F2"/>
    <mergeCell ref="H2:H3"/>
    <mergeCell ref="I2:J2"/>
  </mergeCells>
  <conditionalFormatting sqref="T20 AJ5:AJ16 AI4:AJ4 D5:D16 C4:D4 V20">
    <cfRule type="duplicateValues" dxfId="137" priority="18"/>
  </conditionalFormatting>
  <conditionalFormatting sqref="F5:F16 E4:F4">
    <cfRule type="duplicateValues" dxfId="136" priority="15"/>
  </conditionalFormatting>
  <conditionalFormatting sqref="J5:J16 I4:J4">
    <cfRule type="duplicateValues" dxfId="135" priority="14"/>
  </conditionalFormatting>
  <conditionalFormatting sqref="L5:L16 K4:L4">
    <cfRule type="duplicateValues" dxfId="134" priority="13"/>
  </conditionalFormatting>
  <conditionalFormatting sqref="P5:P16 O4:P4">
    <cfRule type="duplicateValues" dxfId="133" priority="12"/>
  </conditionalFormatting>
  <conditionalFormatting sqref="R5:R16 Q4:R4">
    <cfRule type="duplicateValues" dxfId="132" priority="11"/>
  </conditionalFormatting>
  <conditionalFormatting sqref="V5:V16 U4:V4">
    <cfRule type="duplicateValues" dxfId="131" priority="10"/>
  </conditionalFormatting>
  <conditionalFormatting sqref="X5:X16 W4:X4">
    <cfRule type="duplicateValues" dxfId="130" priority="9"/>
  </conditionalFormatting>
  <conditionalFormatting sqref="Z5:Z16 Y4:Z4">
    <cfRule type="duplicateValues" dxfId="129" priority="8"/>
  </conditionalFormatting>
  <conditionalFormatting sqref="AB5:AB16 AA4:AB4">
    <cfRule type="duplicateValues" dxfId="128" priority="7"/>
  </conditionalFormatting>
  <conditionalFormatting sqref="AF5:AF16 AE4:AF4">
    <cfRule type="duplicateValues" dxfId="127" priority="6"/>
  </conditionalFormatting>
  <conditionalFormatting sqref="AH5:AH16 AG4:AH4">
    <cfRule type="duplicateValues" dxfId="126" priority="5"/>
  </conditionalFormatting>
  <conditionalFormatting sqref="AN5:AN16 AM4:AN4">
    <cfRule type="duplicateValues" dxfId="125" priority="4"/>
  </conditionalFormatting>
  <conditionalFormatting sqref="AP5:AP16 AO4:AP4">
    <cfRule type="duplicateValues" dxfId="124" priority="3"/>
  </conditionalFormatting>
  <conditionalFormatting sqref="AR5:AR16 AQ4:AR4">
    <cfRule type="duplicateValues" dxfId="123" priority="2"/>
  </conditionalFormatting>
  <conditionalFormatting sqref="AT5:AT16 AS4:AT4">
    <cfRule type="duplicateValues" dxfId="122" priority="1"/>
  </conditionalFormatting>
  <dataValidations count="1">
    <dataValidation type="list" allowBlank="1" showInputMessage="1" showErrorMessage="1" sqref="T21">
      <formula1>#REF!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0.59999389629810485"/>
  </sheetPr>
  <dimension ref="A1:U23"/>
  <sheetViews>
    <sheetView topLeftCell="A10" workbookViewId="0">
      <selection activeCell="W9" sqref="W9"/>
    </sheetView>
  </sheetViews>
  <sheetFormatPr defaultColWidth="8.7109375" defaultRowHeight="15" x14ac:dyDescent="0.25"/>
  <cols>
    <col min="1" max="1" width="7" bestFit="1" customWidth="1"/>
    <col min="2" max="9" width="7.140625" bestFit="1" customWidth="1"/>
    <col min="10" max="10" width="8.42578125" bestFit="1" customWidth="1"/>
    <col min="11" max="11" width="4.42578125" customWidth="1"/>
    <col min="12" max="12" width="7" bestFit="1" customWidth="1"/>
    <col min="13" max="20" width="7.140625" bestFit="1" customWidth="1"/>
    <col min="21" max="21" width="8.42578125" bestFit="1" customWidth="1"/>
  </cols>
  <sheetData>
    <row r="1" spans="1:21" ht="15.75" thickBot="1" x14ac:dyDescent="0.3">
      <c r="A1" s="346" t="s">
        <v>1897</v>
      </c>
      <c r="B1" s="361"/>
      <c r="C1" s="361"/>
      <c r="D1" s="361"/>
      <c r="E1" s="361"/>
      <c r="F1" s="361"/>
      <c r="G1" s="361"/>
      <c r="H1" s="361"/>
      <c r="I1" s="361"/>
      <c r="J1" s="347"/>
      <c r="L1" s="346" t="s">
        <v>1898</v>
      </c>
      <c r="M1" s="361"/>
      <c r="N1" s="361"/>
      <c r="O1" s="361"/>
      <c r="P1" s="361"/>
      <c r="Q1" s="361"/>
      <c r="R1" s="361"/>
      <c r="S1" s="361"/>
      <c r="T1" s="361"/>
      <c r="U1" s="347"/>
    </row>
    <row r="2" spans="1:21" ht="15.75" thickBot="1" x14ac:dyDescent="0.3">
      <c r="A2" s="279" t="s">
        <v>242</v>
      </c>
      <c r="B2" s="362" t="s">
        <v>216</v>
      </c>
      <c r="C2" s="363"/>
      <c r="D2" s="363"/>
      <c r="E2" s="363"/>
      <c r="F2" s="363" t="s">
        <v>217</v>
      </c>
      <c r="G2" s="363"/>
      <c r="H2" s="363"/>
      <c r="I2" s="366"/>
      <c r="J2" s="370" t="s">
        <v>251</v>
      </c>
      <c r="L2" s="280" t="s">
        <v>242</v>
      </c>
      <c r="M2" s="362" t="s">
        <v>216</v>
      </c>
      <c r="N2" s="363"/>
      <c r="O2" s="363"/>
      <c r="P2" s="363"/>
      <c r="Q2" s="363" t="s">
        <v>217</v>
      </c>
      <c r="R2" s="363"/>
      <c r="S2" s="363"/>
      <c r="T2" s="363"/>
      <c r="U2" s="364" t="s">
        <v>251</v>
      </c>
    </row>
    <row r="3" spans="1:21" ht="15.75" thickBot="1" x14ac:dyDescent="0.3">
      <c r="A3" s="36" t="s">
        <v>2</v>
      </c>
      <c r="B3" s="36" t="s">
        <v>218</v>
      </c>
      <c r="C3" s="37" t="s">
        <v>219</v>
      </c>
      <c r="D3" s="37" t="s">
        <v>220</v>
      </c>
      <c r="E3" s="38" t="s">
        <v>221</v>
      </c>
      <c r="F3" s="292" t="s">
        <v>218</v>
      </c>
      <c r="G3" s="37" t="s">
        <v>219</v>
      </c>
      <c r="H3" s="37" t="s">
        <v>220</v>
      </c>
      <c r="I3" s="38" t="s">
        <v>221</v>
      </c>
      <c r="J3" s="371"/>
      <c r="L3" s="291" t="s">
        <v>2</v>
      </c>
      <c r="M3" s="289" t="s">
        <v>218</v>
      </c>
      <c r="N3" s="289" t="s">
        <v>219</v>
      </c>
      <c r="O3" s="289" t="s">
        <v>220</v>
      </c>
      <c r="P3" s="289" t="s">
        <v>221</v>
      </c>
      <c r="Q3" s="289" t="s">
        <v>218</v>
      </c>
      <c r="R3" s="289" t="s">
        <v>219</v>
      </c>
      <c r="S3" s="289" t="s">
        <v>220</v>
      </c>
      <c r="T3" s="289" t="s">
        <v>221</v>
      </c>
      <c r="U3" s="365"/>
    </row>
    <row r="4" spans="1:21" x14ac:dyDescent="0.25">
      <c r="A4" s="39" t="s">
        <v>222</v>
      </c>
      <c r="B4" s="283" t="s">
        <v>82</v>
      </c>
      <c r="C4" s="40" t="s">
        <v>108</v>
      </c>
      <c r="D4" s="40" t="s">
        <v>83</v>
      </c>
      <c r="E4" s="41" t="s">
        <v>84</v>
      </c>
      <c r="F4" s="139" t="s">
        <v>87</v>
      </c>
      <c r="G4" s="40" t="s">
        <v>109</v>
      </c>
      <c r="H4" s="40" t="s">
        <v>89</v>
      </c>
      <c r="I4" s="41" t="s">
        <v>90</v>
      </c>
      <c r="J4" s="367" t="s">
        <v>250</v>
      </c>
      <c r="L4" s="108" t="s">
        <v>222</v>
      </c>
      <c r="M4" s="283" t="s">
        <v>1901</v>
      </c>
      <c r="N4" s="40" t="s">
        <v>1902</v>
      </c>
      <c r="O4" s="40" t="s">
        <v>1903</v>
      </c>
      <c r="P4" s="40" t="s">
        <v>1904</v>
      </c>
      <c r="Q4" s="40" t="s">
        <v>1981</v>
      </c>
      <c r="R4" s="40" t="s">
        <v>1982</v>
      </c>
      <c r="S4" s="40" t="s">
        <v>1983</v>
      </c>
      <c r="T4" s="41" t="s">
        <v>1984</v>
      </c>
      <c r="U4" s="358" t="s">
        <v>249</v>
      </c>
    </row>
    <row r="5" spans="1:21" x14ac:dyDescent="0.25">
      <c r="A5" s="27" t="s">
        <v>223</v>
      </c>
      <c r="B5" s="284" t="s">
        <v>88</v>
      </c>
      <c r="C5" s="29" t="s">
        <v>85</v>
      </c>
      <c r="D5" s="29" t="s">
        <v>86</v>
      </c>
      <c r="E5" s="30" t="s">
        <v>243</v>
      </c>
      <c r="F5" s="76" t="s">
        <v>252</v>
      </c>
      <c r="G5" s="29" t="s">
        <v>91</v>
      </c>
      <c r="H5" s="29" t="s">
        <v>92</v>
      </c>
      <c r="I5" s="30" t="s">
        <v>257</v>
      </c>
      <c r="J5" s="368"/>
      <c r="L5" s="109" t="s">
        <v>223</v>
      </c>
      <c r="M5" s="284" t="s">
        <v>1905</v>
      </c>
      <c r="N5" s="29" t="s">
        <v>1924</v>
      </c>
      <c r="O5" s="29" t="s">
        <v>1925</v>
      </c>
      <c r="P5" s="29" t="s">
        <v>1926</v>
      </c>
      <c r="Q5" s="29" t="s">
        <v>1985</v>
      </c>
      <c r="R5" s="29" t="s">
        <v>1986</v>
      </c>
      <c r="S5" s="29" t="s">
        <v>1987</v>
      </c>
      <c r="T5" s="30" t="s">
        <v>1988</v>
      </c>
      <c r="U5" s="359"/>
    </row>
    <row r="6" spans="1:21" x14ac:dyDescent="0.25">
      <c r="A6" s="27" t="s">
        <v>224</v>
      </c>
      <c r="B6" s="284" t="s">
        <v>93</v>
      </c>
      <c r="C6" s="29" t="s">
        <v>94</v>
      </c>
      <c r="D6" s="29" t="s">
        <v>95</v>
      </c>
      <c r="E6" s="30" t="s">
        <v>96</v>
      </c>
      <c r="F6" s="76" t="s">
        <v>104</v>
      </c>
      <c r="G6" s="29" t="s">
        <v>105</v>
      </c>
      <c r="H6" s="29" t="s">
        <v>106</v>
      </c>
      <c r="I6" s="30" t="s">
        <v>107</v>
      </c>
      <c r="J6" s="368"/>
      <c r="L6" s="109" t="s">
        <v>224</v>
      </c>
      <c r="M6" s="284" t="s">
        <v>1906</v>
      </c>
      <c r="N6" s="29" t="s">
        <v>1927</v>
      </c>
      <c r="O6" s="29" t="s">
        <v>1928</v>
      </c>
      <c r="P6" s="29" t="s">
        <v>1929</v>
      </c>
      <c r="Q6" s="29" t="s">
        <v>1989</v>
      </c>
      <c r="R6" s="29" t="s">
        <v>1990</v>
      </c>
      <c r="S6" s="29" t="s">
        <v>1991</v>
      </c>
      <c r="T6" s="30" t="s">
        <v>1992</v>
      </c>
      <c r="U6" s="359"/>
    </row>
    <row r="7" spans="1:21" x14ac:dyDescent="0.25">
      <c r="A7" s="27" t="s">
        <v>225</v>
      </c>
      <c r="B7" s="284" t="s">
        <v>97</v>
      </c>
      <c r="C7" s="29" t="s">
        <v>98</v>
      </c>
      <c r="D7" s="29" t="s">
        <v>99</v>
      </c>
      <c r="E7" s="30" t="s">
        <v>100</v>
      </c>
      <c r="F7" s="76" t="s">
        <v>253</v>
      </c>
      <c r="G7" s="29" t="s">
        <v>258</v>
      </c>
      <c r="H7" s="29" t="s">
        <v>259</v>
      </c>
      <c r="I7" s="30" t="s">
        <v>260</v>
      </c>
      <c r="J7" s="368"/>
      <c r="L7" s="109" t="s">
        <v>225</v>
      </c>
      <c r="M7" s="284" t="s">
        <v>1907</v>
      </c>
      <c r="N7" s="29" t="s">
        <v>1930</v>
      </c>
      <c r="O7" s="29" t="s">
        <v>1931</v>
      </c>
      <c r="P7" s="29" t="s">
        <v>1932</v>
      </c>
      <c r="Q7" s="29" t="s">
        <v>1993</v>
      </c>
      <c r="R7" s="29" t="s">
        <v>1994</v>
      </c>
      <c r="S7" s="29" t="s">
        <v>1995</v>
      </c>
      <c r="T7" s="30" t="s">
        <v>1996</v>
      </c>
      <c r="U7" s="359"/>
    </row>
    <row r="8" spans="1:21" x14ac:dyDescent="0.25">
      <c r="A8" s="27" t="s">
        <v>226</v>
      </c>
      <c r="B8" s="284" t="s">
        <v>101</v>
      </c>
      <c r="C8" s="29" t="s">
        <v>102</v>
      </c>
      <c r="D8" s="29" t="s">
        <v>103</v>
      </c>
      <c r="E8" s="30" t="s">
        <v>246</v>
      </c>
      <c r="F8" s="76" t="s">
        <v>254</v>
      </c>
      <c r="G8" s="29" t="s">
        <v>261</v>
      </c>
      <c r="H8" s="29" t="s">
        <v>262</v>
      </c>
      <c r="I8" s="30" t="s">
        <v>263</v>
      </c>
      <c r="J8" s="368"/>
      <c r="L8" s="109" t="s">
        <v>226</v>
      </c>
      <c r="M8" s="284" t="s">
        <v>1908</v>
      </c>
      <c r="N8" s="29" t="s">
        <v>1933</v>
      </c>
      <c r="O8" s="29" t="s">
        <v>1934</v>
      </c>
      <c r="P8" s="29" t="s">
        <v>1935</v>
      </c>
      <c r="Q8" s="29" t="s">
        <v>1997</v>
      </c>
      <c r="R8" s="29" t="s">
        <v>1998</v>
      </c>
      <c r="S8" s="29" t="s">
        <v>1999</v>
      </c>
      <c r="T8" s="30" t="s">
        <v>2000</v>
      </c>
      <c r="U8" s="359"/>
    </row>
    <row r="9" spans="1:21" ht="15.75" thickBot="1" x14ac:dyDescent="0.3">
      <c r="A9" s="27" t="s">
        <v>227</v>
      </c>
      <c r="B9" s="284" t="s">
        <v>116</v>
      </c>
      <c r="C9" s="29" t="s">
        <v>117</v>
      </c>
      <c r="D9" s="29" t="s">
        <v>118</v>
      </c>
      <c r="E9" s="30" t="s">
        <v>119</v>
      </c>
      <c r="F9" s="76" t="s">
        <v>127</v>
      </c>
      <c r="G9" s="29" t="s">
        <v>128</v>
      </c>
      <c r="H9" s="29" t="s">
        <v>129</v>
      </c>
      <c r="I9" s="30" t="s">
        <v>130</v>
      </c>
      <c r="J9" s="368"/>
      <c r="L9" s="110" t="s">
        <v>227</v>
      </c>
      <c r="M9" s="285" t="s">
        <v>1909</v>
      </c>
      <c r="N9" s="33" t="s">
        <v>1936</v>
      </c>
      <c r="O9" s="33" t="s">
        <v>1937</v>
      </c>
      <c r="P9" s="33" t="s">
        <v>1938</v>
      </c>
      <c r="Q9" s="33" t="s">
        <v>2001</v>
      </c>
      <c r="R9" s="33" t="s">
        <v>2002</v>
      </c>
      <c r="S9" s="33" t="s">
        <v>2003</v>
      </c>
      <c r="T9" s="34" t="s">
        <v>2004</v>
      </c>
      <c r="U9" s="360"/>
    </row>
    <row r="10" spans="1:21" x14ac:dyDescent="0.25">
      <c r="A10" s="27" t="s">
        <v>228</v>
      </c>
      <c r="B10" s="284" t="s">
        <v>120</v>
      </c>
      <c r="C10" s="29" t="s">
        <v>121</v>
      </c>
      <c r="D10" s="29" t="s">
        <v>122</v>
      </c>
      <c r="E10" s="30" t="s">
        <v>123</v>
      </c>
      <c r="F10" s="76" t="s">
        <v>131</v>
      </c>
      <c r="G10" s="29" t="s">
        <v>132</v>
      </c>
      <c r="H10" s="29" t="s">
        <v>133</v>
      </c>
      <c r="I10" s="30" t="s">
        <v>134</v>
      </c>
      <c r="J10" s="368"/>
      <c r="L10" s="108" t="s">
        <v>228</v>
      </c>
      <c r="M10" s="283" t="s">
        <v>1910</v>
      </c>
      <c r="N10" s="40" t="s">
        <v>1939</v>
      </c>
      <c r="O10" s="40" t="s">
        <v>1940</v>
      </c>
      <c r="P10" s="40" t="s">
        <v>1941</v>
      </c>
      <c r="Q10" s="40" t="s">
        <v>2005</v>
      </c>
      <c r="R10" s="40" t="s">
        <v>2006</v>
      </c>
      <c r="S10" s="40" t="s">
        <v>2007</v>
      </c>
      <c r="T10" s="41" t="s">
        <v>2008</v>
      </c>
      <c r="U10" s="358" t="s">
        <v>1900</v>
      </c>
    </row>
    <row r="11" spans="1:21" x14ac:dyDescent="0.25">
      <c r="A11" s="27" t="s">
        <v>229</v>
      </c>
      <c r="B11" s="284" t="s">
        <v>124</v>
      </c>
      <c r="C11" s="29" t="s">
        <v>125</v>
      </c>
      <c r="D11" s="29" t="s">
        <v>126</v>
      </c>
      <c r="E11" s="30" t="s">
        <v>115</v>
      </c>
      <c r="F11" s="76" t="s">
        <v>135</v>
      </c>
      <c r="G11" s="29" t="s">
        <v>136</v>
      </c>
      <c r="H11" s="29" t="s">
        <v>137</v>
      </c>
      <c r="I11" s="30" t="s">
        <v>138</v>
      </c>
      <c r="J11" s="368"/>
      <c r="L11" s="109" t="s">
        <v>229</v>
      </c>
      <c r="M11" s="284" t="s">
        <v>1911</v>
      </c>
      <c r="N11" s="29" t="s">
        <v>1942</v>
      </c>
      <c r="O11" s="29" t="s">
        <v>1943</v>
      </c>
      <c r="P11" s="29" t="s">
        <v>1944</v>
      </c>
      <c r="Q11" s="29" t="s">
        <v>2009</v>
      </c>
      <c r="R11" s="29" t="s">
        <v>2010</v>
      </c>
      <c r="S11" s="29" t="s">
        <v>2011</v>
      </c>
      <c r="T11" s="30" t="s">
        <v>2012</v>
      </c>
      <c r="U11" s="359"/>
    </row>
    <row r="12" spans="1:21" x14ac:dyDescent="0.25">
      <c r="A12" s="27" t="s">
        <v>230</v>
      </c>
      <c r="B12" s="284" t="s">
        <v>75</v>
      </c>
      <c r="C12" s="29" t="s">
        <v>66</v>
      </c>
      <c r="D12" s="29" t="s">
        <v>71</v>
      </c>
      <c r="E12" s="30" t="s">
        <v>70</v>
      </c>
      <c r="F12" s="76" t="s">
        <v>255</v>
      </c>
      <c r="G12" s="29" t="s">
        <v>68</v>
      </c>
      <c r="H12" s="29" t="s">
        <v>69</v>
      </c>
      <c r="I12" s="30" t="s">
        <v>67</v>
      </c>
      <c r="J12" s="368"/>
      <c r="L12" s="109" t="s">
        <v>230</v>
      </c>
      <c r="M12" s="284" t="s">
        <v>1912</v>
      </c>
      <c r="N12" s="29" t="s">
        <v>1945</v>
      </c>
      <c r="O12" s="29" t="s">
        <v>1946</v>
      </c>
      <c r="P12" s="29" t="s">
        <v>1947</v>
      </c>
      <c r="Q12" s="29" t="s">
        <v>2013</v>
      </c>
      <c r="R12" s="29" t="s">
        <v>2014</v>
      </c>
      <c r="S12" s="29" t="s">
        <v>2015</v>
      </c>
      <c r="T12" s="30" t="s">
        <v>2016</v>
      </c>
      <c r="U12" s="359"/>
    </row>
    <row r="13" spans="1:21" ht="15.75" thickBot="1" x14ac:dyDescent="0.3">
      <c r="A13" s="31" t="s">
        <v>231</v>
      </c>
      <c r="B13" s="285" t="s">
        <v>244</v>
      </c>
      <c r="C13" s="33" t="s">
        <v>245</v>
      </c>
      <c r="D13" s="33" t="s">
        <v>247</v>
      </c>
      <c r="E13" s="34" t="s">
        <v>248</v>
      </c>
      <c r="F13" s="288" t="s">
        <v>256</v>
      </c>
      <c r="G13" s="33" t="s">
        <v>264</v>
      </c>
      <c r="H13" s="33" t="s">
        <v>265</v>
      </c>
      <c r="I13" s="34" t="s">
        <v>266</v>
      </c>
      <c r="J13" s="369"/>
      <c r="L13" s="109" t="s">
        <v>231</v>
      </c>
      <c r="M13" s="284" t="s">
        <v>1913</v>
      </c>
      <c r="N13" s="29" t="s">
        <v>1948</v>
      </c>
      <c r="O13" s="29" t="s">
        <v>1949</v>
      </c>
      <c r="P13" s="29" t="s">
        <v>1950</v>
      </c>
      <c r="Q13" s="29" t="s">
        <v>2017</v>
      </c>
      <c r="R13" s="29" t="s">
        <v>2018</v>
      </c>
      <c r="S13" s="29" t="s">
        <v>2019</v>
      </c>
      <c r="T13" s="30" t="s">
        <v>2020</v>
      </c>
      <c r="U13" s="359"/>
    </row>
    <row r="14" spans="1:21" x14ac:dyDescent="0.25">
      <c r="A14" s="39" t="s">
        <v>232</v>
      </c>
      <c r="B14" s="283" t="s">
        <v>146</v>
      </c>
      <c r="C14" s="40" t="s">
        <v>147</v>
      </c>
      <c r="D14" s="40" t="s">
        <v>148</v>
      </c>
      <c r="E14" s="41" t="s">
        <v>149</v>
      </c>
      <c r="F14" s="139" t="s">
        <v>157</v>
      </c>
      <c r="G14" s="40" t="s">
        <v>158</v>
      </c>
      <c r="H14" s="40" t="s">
        <v>159</v>
      </c>
      <c r="I14" s="41" t="s">
        <v>160</v>
      </c>
      <c r="J14" s="367" t="s">
        <v>249</v>
      </c>
      <c r="L14" s="109" t="s">
        <v>232</v>
      </c>
      <c r="M14" s="284" t="s">
        <v>1914</v>
      </c>
      <c r="N14" s="29" t="s">
        <v>1951</v>
      </c>
      <c r="O14" s="29" t="s">
        <v>1952</v>
      </c>
      <c r="P14" s="29" t="s">
        <v>1953</v>
      </c>
      <c r="Q14" s="29" t="s">
        <v>2021</v>
      </c>
      <c r="R14" s="29" t="s">
        <v>2022</v>
      </c>
      <c r="S14" s="29" t="s">
        <v>2023</v>
      </c>
      <c r="T14" s="30" t="s">
        <v>2024</v>
      </c>
      <c r="U14" s="359"/>
    </row>
    <row r="15" spans="1:21" ht="15.75" thickBot="1" x14ac:dyDescent="0.3">
      <c r="A15" s="27" t="s">
        <v>233</v>
      </c>
      <c r="B15" s="284" t="s">
        <v>150</v>
      </c>
      <c r="C15" s="29" t="s">
        <v>151</v>
      </c>
      <c r="D15" s="29" t="s">
        <v>152</v>
      </c>
      <c r="E15" s="30" t="s">
        <v>153</v>
      </c>
      <c r="F15" s="76" t="s">
        <v>166</v>
      </c>
      <c r="G15" s="29" t="s">
        <v>167</v>
      </c>
      <c r="H15" s="29" t="s">
        <v>168</v>
      </c>
      <c r="I15" s="30" t="s">
        <v>169</v>
      </c>
      <c r="J15" s="368"/>
      <c r="L15" s="110" t="s">
        <v>233</v>
      </c>
      <c r="M15" s="285" t="s">
        <v>1915</v>
      </c>
      <c r="N15" s="33" t="s">
        <v>1954</v>
      </c>
      <c r="O15" s="33" t="s">
        <v>1955</v>
      </c>
      <c r="P15" s="33" t="s">
        <v>1956</v>
      </c>
      <c r="Q15" s="33" t="s">
        <v>2025</v>
      </c>
      <c r="R15" s="33" t="s">
        <v>2026</v>
      </c>
      <c r="S15" s="33" t="s">
        <v>2027</v>
      </c>
      <c r="T15" s="34" t="s">
        <v>2028</v>
      </c>
      <c r="U15" s="360"/>
    </row>
    <row r="16" spans="1:21" x14ac:dyDescent="0.25">
      <c r="A16" s="27" t="s">
        <v>234</v>
      </c>
      <c r="B16" s="284" t="s">
        <v>154</v>
      </c>
      <c r="C16" s="29" t="s">
        <v>155</v>
      </c>
      <c r="D16" s="29" t="s">
        <v>156</v>
      </c>
      <c r="E16" s="30" t="s">
        <v>161</v>
      </c>
      <c r="F16" s="76" t="s">
        <v>170</v>
      </c>
      <c r="G16" s="29" t="s">
        <v>171</v>
      </c>
      <c r="H16" s="29" t="s">
        <v>172</v>
      </c>
      <c r="I16" s="30" t="s">
        <v>173</v>
      </c>
      <c r="J16" s="368"/>
      <c r="L16" s="293" t="s">
        <v>234</v>
      </c>
      <c r="M16" s="147" t="s">
        <v>1916</v>
      </c>
      <c r="N16" s="290" t="s">
        <v>1957</v>
      </c>
      <c r="O16" s="290" t="s">
        <v>1958</v>
      </c>
      <c r="P16" s="290" t="s">
        <v>1959</v>
      </c>
      <c r="Q16" s="290" t="s">
        <v>2029</v>
      </c>
      <c r="R16" s="290" t="s">
        <v>2030</v>
      </c>
      <c r="S16" s="290" t="s">
        <v>2031</v>
      </c>
      <c r="T16" s="294" t="s">
        <v>2032</v>
      </c>
      <c r="U16" s="359" t="s">
        <v>1899</v>
      </c>
    </row>
    <row r="17" spans="1:21" ht="15.75" thickBot="1" x14ac:dyDescent="0.3">
      <c r="A17" s="31" t="s">
        <v>235</v>
      </c>
      <c r="B17" s="285" t="s">
        <v>162</v>
      </c>
      <c r="C17" s="33" t="s">
        <v>163</v>
      </c>
      <c r="D17" s="33" t="s">
        <v>164</v>
      </c>
      <c r="E17" s="34" t="s">
        <v>165</v>
      </c>
      <c r="F17" s="288" t="s">
        <v>174</v>
      </c>
      <c r="G17" s="33" t="s">
        <v>175</v>
      </c>
      <c r="H17" s="33" t="s">
        <v>176</v>
      </c>
      <c r="I17" s="34" t="s">
        <v>177</v>
      </c>
      <c r="J17" s="369"/>
      <c r="L17" s="109" t="s">
        <v>235</v>
      </c>
      <c r="M17" s="284" t="s">
        <v>1917</v>
      </c>
      <c r="N17" s="29" t="s">
        <v>1960</v>
      </c>
      <c r="O17" s="29" t="s">
        <v>1961</v>
      </c>
      <c r="P17" s="29" t="s">
        <v>1962</v>
      </c>
      <c r="Q17" s="29" t="s">
        <v>2033</v>
      </c>
      <c r="R17" s="29" t="s">
        <v>2034</v>
      </c>
      <c r="S17" s="29" t="s">
        <v>2035</v>
      </c>
      <c r="T17" s="30" t="s">
        <v>2036</v>
      </c>
      <c r="U17" s="359"/>
    </row>
    <row r="18" spans="1:21" ht="15" customHeight="1" x14ac:dyDescent="0.25">
      <c r="A18" s="108" t="s">
        <v>236</v>
      </c>
      <c r="B18" s="283" t="s">
        <v>179</v>
      </c>
      <c r="C18" s="40" t="s">
        <v>180</v>
      </c>
      <c r="D18" s="40" t="s">
        <v>181</v>
      </c>
      <c r="E18" s="41" t="s">
        <v>182</v>
      </c>
      <c r="F18" s="139" t="s">
        <v>184</v>
      </c>
      <c r="G18" s="40" t="s">
        <v>185</v>
      </c>
      <c r="H18" s="40" t="s">
        <v>186</v>
      </c>
      <c r="I18" s="41" t="s">
        <v>187</v>
      </c>
      <c r="J18" s="359" t="s">
        <v>1896</v>
      </c>
      <c r="L18" s="109" t="s">
        <v>236</v>
      </c>
      <c r="M18" s="284" t="s">
        <v>1918</v>
      </c>
      <c r="N18" s="29" t="s">
        <v>1963</v>
      </c>
      <c r="O18" s="29" t="s">
        <v>1964</v>
      </c>
      <c r="P18" s="29" t="s">
        <v>1965</v>
      </c>
      <c r="Q18" s="29" t="s">
        <v>2037</v>
      </c>
      <c r="R18" s="29" t="s">
        <v>2038</v>
      </c>
      <c r="S18" s="29" t="s">
        <v>2039</v>
      </c>
      <c r="T18" s="30" t="s">
        <v>2040</v>
      </c>
      <c r="U18" s="359"/>
    </row>
    <row r="19" spans="1:21" x14ac:dyDescent="0.25">
      <c r="A19" s="109" t="s">
        <v>237</v>
      </c>
      <c r="B19" s="284" t="s">
        <v>356</v>
      </c>
      <c r="C19" s="29" t="s">
        <v>183</v>
      </c>
      <c r="D19" s="29" t="s">
        <v>357</v>
      </c>
      <c r="E19" s="30" t="s">
        <v>358</v>
      </c>
      <c r="F19" s="76" t="s">
        <v>188</v>
      </c>
      <c r="G19" s="29" t="s">
        <v>189</v>
      </c>
      <c r="H19" s="29" t="s">
        <v>359</v>
      </c>
      <c r="I19" s="30" t="s">
        <v>360</v>
      </c>
      <c r="J19" s="359"/>
      <c r="L19" s="109" t="s">
        <v>237</v>
      </c>
      <c r="M19" s="284" t="s">
        <v>1919</v>
      </c>
      <c r="N19" s="29" t="s">
        <v>1966</v>
      </c>
      <c r="O19" s="29" t="s">
        <v>1967</v>
      </c>
      <c r="P19" s="29" t="s">
        <v>1968</v>
      </c>
      <c r="Q19" s="29" t="s">
        <v>2041</v>
      </c>
      <c r="R19" s="29" t="s">
        <v>2042</v>
      </c>
      <c r="S19" s="29" t="s">
        <v>2043</v>
      </c>
      <c r="T19" s="30" t="s">
        <v>2044</v>
      </c>
      <c r="U19" s="359"/>
    </row>
    <row r="20" spans="1:21" x14ac:dyDescent="0.25">
      <c r="A20" s="109" t="s">
        <v>238</v>
      </c>
      <c r="B20" s="284" t="s">
        <v>379</v>
      </c>
      <c r="C20" s="29" t="s">
        <v>380</v>
      </c>
      <c r="D20" s="29" t="s">
        <v>381</v>
      </c>
      <c r="E20" s="30" t="s">
        <v>382</v>
      </c>
      <c r="F20" s="76" t="s">
        <v>777</v>
      </c>
      <c r="G20" s="29" t="s">
        <v>778</v>
      </c>
      <c r="H20" s="29" t="s">
        <v>779</v>
      </c>
      <c r="I20" s="30" t="s">
        <v>783</v>
      </c>
      <c r="J20" s="359"/>
      <c r="L20" s="109" t="s">
        <v>238</v>
      </c>
      <c r="M20" s="284" t="s">
        <v>1920</v>
      </c>
      <c r="N20" s="29" t="s">
        <v>1969</v>
      </c>
      <c r="O20" s="29" t="s">
        <v>1970</v>
      </c>
      <c r="P20" s="29" t="s">
        <v>1971</v>
      </c>
      <c r="Q20" s="29" t="s">
        <v>2045</v>
      </c>
      <c r="R20" s="29" t="s">
        <v>2046</v>
      </c>
      <c r="S20" s="29" t="s">
        <v>2047</v>
      </c>
      <c r="T20" s="30" t="s">
        <v>2048</v>
      </c>
      <c r="U20" s="359"/>
    </row>
    <row r="21" spans="1:21" x14ac:dyDescent="0.25">
      <c r="A21" s="109" t="s">
        <v>239</v>
      </c>
      <c r="B21" s="284" t="s">
        <v>383</v>
      </c>
      <c r="C21" s="29" t="s">
        <v>384</v>
      </c>
      <c r="D21" s="29" t="s">
        <v>385</v>
      </c>
      <c r="E21" s="30" t="s">
        <v>386</v>
      </c>
      <c r="F21" s="76" t="s">
        <v>780</v>
      </c>
      <c r="G21" s="29" t="s">
        <v>781</v>
      </c>
      <c r="H21" s="29" t="s">
        <v>782</v>
      </c>
      <c r="I21" s="30" t="s">
        <v>784</v>
      </c>
      <c r="J21" s="359"/>
      <c r="L21" s="109" t="s">
        <v>239</v>
      </c>
      <c r="M21" s="284" t="s">
        <v>1921</v>
      </c>
      <c r="N21" s="29" t="s">
        <v>1972</v>
      </c>
      <c r="O21" s="29" t="s">
        <v>1973</v>
      </c>
      <c r="P21" s="29" t="s">
        <v>1974</v>
      </c>
      <c r="Q21" s="29" t="s">
        <v>2049</v>
      </c>
      <c r="R21" s="29" t="s">
        <v>2050</v>
      </c>
      <c r="S21" s="29" t="s">
        <v>2051</v>
      </c>
      <c r="T21" s="30" t="s">
        <v>2052</v>
      </c>
      <c r="U21" s="359"/>
    </row>
    <row r="22" spans="1:21" x14ac:dyDescent="0.25">
      <c r="A22" s="109" t="s">
        <v>240</v>
      </c>
      <c r="B22" s="284" t="s">
        <v>196</v>
      </c>
      <c r="C22" s="29" t="s">
        <v>197</v>
      </c>
      <c r="D22" s="29" t="s">
        <v>198</v>
      </c>
      <c r="E22" s="30" t="s">
        <v>199</v>
      </c>
      <c r="F22" s="76" t="s">
        <v>200</v>
      </c>
      <c r="G22" s="29" t="s">
        <v>201</v>
      </c>
      <c r="H22" s="29" t="s">
        <v>202</v>
      </c>
      <c r="I22" s="30" t="s">
        <v>203</v>
      </c>
      <c r="J22" s="359"/>
      <c r="L22" s="109" t="s">
        <v>240</v>
      </c>
      <c r="M22" s="284" t="s">
        <v>1922</v>
      </c>
      <c r="N22" s="29" t="s">
        <v>1975</v>
      </c>
      <c r="O22" s="29" t="s">
        <v>1976</v>
      </c>
      <c r="P22" s="29" t="s">
        <v>1977</v>
      </c>
      <c r="Q22" s="29" t="s">
        <v>2053</v>
      </c>
      <c r="R22" s="29" t="s">
        <v>2054</v>
      </c>
      <c r="S22" s="29" t="s">
        <v>2055</v>
      </c>
      <c r="T22" s="30" t="s">
        <v>2056</v>
      </c>
      <c r="U22" s="359"/>
    </row>
    <row r="23" spans="1:21" ht="15.75" thickBot="1" x14ac:dyDescent="0.3">
      <c r="A23" s="110" t="s">
        <v>241</v>
      </c>
      <c r="B23" s="285" t="s">
        <v>204</v>
      </c>
      <c r="C23" s="33" t="s">
        <v>205</v>
      </c>
      <c r="D23" s="33" t="s">
        <v>206</v>
      </c>
      <c r="E23" s="34" t="s">
        <v>207</v>
      </c>
      <c r="F23" s="288" t="s">
        <v>208</v>
      </c>
      <c r="G23" s="33" t="s">
        <v>209</v>
      </c>
      <c r="H23" s="33" t="s">
        <v>210</v>
      </c>
      <c r="I23" s="34" t="s">
        <v>211</v>
      </c>
      <c r="J23" s="360"/>
      <c r="L23" s="110" t="s">
        <v>241</v>
      </c>
      <c r="M23" s="285" t="s">
        <v>1923</v>
      </c>
      <c r="N23" s="33" t="s">
        <v>1978</v>
      </c>
      <c r="O23" s="33" t="s">
        <v>1979</v>
      </c>
      <c r="P23" s="33" t="s">
        <v>1980</v>
      </c>
      <c r="Q23" s="33" t="s">
        <v>2057</v>
      </c>
      <c r="R23" s="33" t="s">
        <v>2058</v>
      </c>
      <c r="S23" s="33" t="s">
        <v>2059</v>
      </c>
      <c r="T23" s="34" t="s">
        <v>2060</v>
      </c>
      <c r="U23" s="360"/>
    </row>
  </sheetData>
  <mergeCells count="14">
    <mergeCell ref="U4:U9"/>
    <mergeCell ref="U10:U15"/>
    <mergeCell ref="U16:U23"/>
    <mergeCell ref="A1:J1"/>
    <mergeCell ref="L1:U1"/>
    <mergeCell ref="M2:P2"/>
    <mergeCell ref="Q2:T2"/>
    <mergeCell ref="U2:U3"/>
    <mergeCell ref="J18:J23"/>
    <mergeCell ref="B2:E2"/>
    <mergeCell ref="F2:I2"/>
    <mergeCell ref="J4:J13"/>
    <mergeCell ref="J14:J17"/>
    <mergeCell ref="J2:J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DC5024"/>
  </sheetPr>
  <dimension ref="B1:M26"/>
  <sheetViews>
    <sheetView topLeftCell="A8" workbookViewId="0">
      <selection activeCell="O7" sqref="O7"/>
    </sheetView>
  </sheetViews>
  <sheetFormatPr defaultRowHeight="15" x14ac:dyDescent="0.25"/>
  <cols>
    <col min="1" max="1" width="5.28515625" customWidth="1"/>
    <col min="2" max="2" width="5.28515625" bestFit="1" customWidth="1"/>
    <col min="3" max="3" width="20.5703125" bestFit="1" customWidth="1"/>
    <col min="4" max="4" width="6.7109375" bestFit="1" customWidth="1"/>
    <col min="5" max="5" width="11.7109375" bestFit="1" customWidth="1"/>
    <col min="6" max="6" width="5.28515625" bestFit="1" customWidth="1"/>
    <col min="7" max="7" width="16.7109375" bestFit="1" customWidth="1"/>
    <col min="8" max="8" width="6.7109375" bestFit="1" customWidth="1"/>
    <col min="9" max="9" width="11.7109375" bestFit="1" customWidth="1"/>
    <col min="10" max="10" width="5.28515625" bestFit="1" customWidth="1"/>
    <col min="11" max="11" width="19.140625" bestFit="1" customWidth="1"/>
    <col min="12" max="13" width="6.7109375" bestFit="1" customWidth="1"/>
  </cols>
  <sheetData>
    <row r="1" spans="2:13" ht="15.75" thickBot="1" x14ac:dyDescent="0.3">
      <c r="B1" s="322" t="s">
        <v>1491</v>
      </c>
      <c r="C1" s="372"/>
      <c r="D1" s="372"/>
      <c r="E1" s="372"/>
      <c r="F1" s="372"/>
      <c r="G1" s="372"/>
      <c r="H1" s="372"/>
      <c r="I1" s="372"/>
      <c r="J1" s="372"/>
      <c r="K1" s="372"/>
      <c r="L1" s="328"/>
      <c r="M1" s="323"/>
    </row>
    <row r="2" spans="2:13" ht="19.5" thickBot="1" x14ac:dyDescent="0.35">
      <c r="B2" s="376" t="s">
        <v>1492</v>
      </c>
      <c r="C2" s="377"/>
      <c r="D2" s="377"/>
      <c r="E2" s="378"/>
      <c r="F2" s="379" t="s">
        <v>1493</v>
      </c>
      <c r="G2" s="380"/>
      <c r="H2" s="380"/>
      <c r="I2" s="381"/>
      <c r="J2" s="373" t="s">
        <v>1</v>
      </c>
      <c r="K2" s="374"/>
      <c r="L2" s="374"/>
      <c r="M2" s="375"/>
    </row>
    <row r="3" spans="2:13" ht="19.5" thickBot="1" x14ac:dyDescent="0.3">
      <c r="B3" s="155" t="s">
        <v>2</v>
      </c>
      <c r="C3" s="156" t="s">
        <v>1494</v>
      </c>
      <c r="D3" s="156" t="s">
        <v>1218</v>
      </c>
      <c r="E3" s="157" t="s">
        <v>1767</v>
      </c>
      <c r="F3" s="155" t="s">
        <v>2</v>
      </c>
      <c r="G3" s="156" t="s">
        <v>1494</v>
      </c>
      <c r="H3" s="158" t="s">
        <v>1218</v>
      </c>
      <c r="I3" s="157" t="s">
        <v>1767</v>
      </c>
      <c r="J3" s="155" t="s">
        <v>2</v>
      </c>
      <c r="K3" s="156" t="s">
        <v>271</v>
      </c>
      <c r="L3" s="157" t="s">
        <v>1218</v>
      </c>
      <c r="M3" s="157" t="s">
        <v>1218</v>
      </c>
    </row>
    <row r="4" spans="2:13" ht="18.75" x14ac:dyDescent="0.25">
      <c r="B4" s="159">
        <v>1</v>
      </c>
      <c r="C4" s="160" t="s">
        <v>790</v>
      </c>
      <c r="D4" s="227">
        <v>1</v>
      </c>
      <c r="E4" s="162">
        <v>1</v>
      </c>
      <c r="F4" s="224">
        <v>24</v>
      </c>
      <c r="G4" s="225" t="s">
        <v>1495</v>
      </c>
      <c r="H4" s="228">
        <v>2</v>
      </c>
      <c r="I4" s="229">
        <v>8</v>
      </c>
      <c r="J4" s="224">
        <v>46</v>
      </c>
      <c r="K4" s="225" t="s">
        <v>1496</v>
      </c>
      <c r="L4" s="226">
        <v>3</v>
      </c>
      <c r="M4" s="226">
        <v>14</v>
      </c>
    </row>
    <row r="5" spans="2:13" ht="18.75" x14ac:dyDescent="0.25">
      <c r="B5" s="163">
        <v>2</v>
      </c>
      <c r="C5" s="164" t="s">
        <v>815</v>
      </c>
      <c r="D5" s="219">
        <v>1</v>
      </c>
      <c r="E5" s="166">
        <v>2</v>
      </c>
      <c r="F5" s="163">
        <v>25</v>
      </c>
      <c r="G5" s="164" t="s">
        <v>1497</v>
      </c>
      <c r="H5" s="165">
        <v>2</v>
      </c>
      <c r="I5" s="222">
        <v>9</v>
      </c>
      <c r="J5" s="163">
        <v>47</v>
      </c>
      <c r="K5" s="164" t="s">
        <v>1498</v>
      </c>
      <c r="L5" s="166">
        <v>3</v>
      </c>
      <c r="M5" s="166">
        <v>15</v>
      </c>
    </row>
    <row r="6" spans="2:13" ht="19.5" thickBot="1" x14ac:dyDescent="0.3">
      <c r="B6" s="163">
        <v>3</v>
      </c>
      <c r="C6" s="164" t="s">
        <v>1499</v>
      </c>
      <c r="D6" s="219">
        <v>1</v>
      </c>
      <c r="E6" s="166">
        <v>3</v>
      </c>
      <c r="F6" s="163">
        <v>26</v>
      </c>
      <c r="G6" s="164" t="s">
        <v>1500</v>
      </c>
      <c r="H6" s="165">
        <v>2</v>
      </c>
      <c r="I6" s="222">
        <v>10</v>
      </c>
      <c r="J6" s="167">
        <v>48</v>
      </c>
      <c r="K6" s="168" t="s">
        <v>1501</v>
      </c>
      <c r="L6" s="170">
        <v>3</v>
      </c>
      <c r="M6" s="170">
        <v>16</v>
      </c>
    </row>
    <row r="7" spans="2:13" ht="18.75" x14ac:dyDescent="0.25">
      <c r="B7" s="163">
        <v>4</v>
      </c>
      <c r="C7" s="164" t="s">
        <v>1502</v>
      </c>
      <c r="D7" s="219">
        <v>1</v>
      </c>
      <c r="E7" s="166">
        <v>4</v>
      </c>
      <c r="F7" s="163">
        <v>27</v>
      </c>
      <c r="G7" s="164" t="s">
        <v>1486</v>
      </c>
      <c r="H7" s="165">
        <v>2</v>
      </c>
      <c r="I7" s="222">
        <v>11</v>
      </c>
      <c r="J7" s="159">
        <v>49</v>
      </c>
      <c r="K7" s="160" t="s">
        <v>1503</v>
      </c>
      <c r="L7" s="162">
        <v>4</v>
      </c>
      <c r="M7" s="162">
        <v>1</v>
      </c>
    </row>
    <row r="8" spans="2:13" ht="18.75" x14ac:dyDescent="0.25">
      <c r="B8" s="163">
        <v>5</v>
      </c>
      <c r="C8" s="164" t="s">
        <v>1504</v>
      </c>
      <c r="D8" s="219">
        <v>1</v>
      </c>
      <c r="E8" s="166">
        <v>5</v>
      </c>
      <c r="F8" s="163">
        <v>28</v>
      </c>
      <c r="G8" s="164" t="s">
        <v>1505</v>
      </c>
      <c r="H8" s="165">
        <v>2</v>
      </c>
      <c r="I8" s="222">
        <v>12</v>
      </c>
      <c r="J8" s="163">
        <v>50</v>
      </c>
      <c r="K8" s="164" t="s">
        <v>1506</v>
      </c>
      <c r="L8" s="166">
        <v>4</v>
      </c>
      <c r="M8" s="166">
        <v>2</v>
      </c>
    </row>
    <row r="9" spans="2:13" ht="18.75" x14ac:dyDescent="0.25">
      <c r="B9" s="163">
        <v>6</v>
      </c>
      <c r="C9" s="164" t="s">
        <v>1507</v>
      </c>
      <c r="D9" s="219">
        <v>1</v>
      </c>
      <c r="E9" s="166">
        <v>6</v>
      </c>
      <c r="F9" s="163">
        <v>29</v>
      </c>
      <c r="G9" s="164" t="s">
        <v>731</v>
      </c>
      <c r="H9" s="165">
        <v>2</v>
      </c>
      <c r="I9" s="222">
        <v>13</v>
      </c>
      <c r="J9" s="163">
        <v>51</v>
      </c>
      <c r="K9" s="164" t="s">
        <v>1508</v>
      </c>
      <c r="L9" s="166">
        <v>4</v>
      </c>
      <c r="M9" s="166">
        <v>3</v>
      </c>
    </row>
    <row r="10" spans="2:13" ht="18.75" x14ac:dyDescent="0.25">
      <c r="B10" s="163">
        <v>7</v>
      </c>
      <c r="C10" s="164" t="s">
        <v>1509</v>
      </c>
      <c r="D10" s="219">
        <v>1</v>
      </c>
      <c r="E10" s="166">
        <v>7</v>
      </c>
      <c r="F10" s="163">
        <v>30</v>
      </c>
      <c r="G10" s="164" t="s">
        <v>726</v>
      </c>
      <c r="H10" s="165">
        <v>2</v>
      </c>
      <c r="I10" s="222">
        <v>14</v>
      </c>
      <c r="J10" s="163">
        <v>52</v>
      </c>
      <c r="K10" s="164" t="s">
        <v>1510</v>
      </c>
      <c r="L10" s="166">
        <v>4</v>
      </c>
      <c r="M10" s="166">
        <v>4</v>
      </c>
    </row>
    <row r="11" spans="2:13" ht="18.75" x14ac:dyDescent="0.25">
      <c r="B11" s="163">
        <v>8</v>
      </c>
      <c r="C11" s="164" t="s">
        <v>530</v>
      </c>
      <c r="D11" s="219">
        <v>1</v>
      </c>
      <c r="E11" s="166">
        <v>8</v>
      </c>
      <c r="F11" s="163">
        <v>31</v>
      </c>
      <c r="G11" s="164" t="s">
        <v>724</v>
      </c>
      <c r="H11" s="165">
        <v>2</v>
      </c>
      <c r="I11" s="222">
        <v>15</v>
      </c>
      <c r="J11" s="163">
        <v>53</v>
      </c>
      <c r="K11" s="164" t="s">
        <v>1511</v>
      </c>
      <c r="L11" s="166">
        <v>4</v>
      </c>
      <c r="M11" s="166">
        <v>5</v>
      </c>
    </row>
    <row r="12" spans="2:13" ht="19.5" thickBot="1" x14ac:dyDescent="0.3">
      <c r="B12" s="163">
        <v>9</v>
      </c>
      <c r="C12" s="164" t="s">
        <v>1512</v>
      </c>
      <c r="D12" s="219">
        <v>1</v>
      </c>
      <c r="E12" s="166">
        <v>9</v>
      </c>
      <c r="F12" s="167">
        <v>32</v>
      </c>
      <c r="G12" s="168" t="s">
        <v>1513</v>
      </c>
      <c r="H12" s="169">
        <v>2</v>
      </c>
      <c r="I12" s="223">
        <v>16</v>
      </c>
      <c r="J12" s="163">
        <v>54</v>
      </c>
      <c r="K12" s="164" t="s">
        <v>1514</v>
      </c>
      <c r="L12" s="166">
        <v>4</v>
      </c>
      <c r="M12" s="166">
        <v>6</v>
      </c>
    </row>
    <row r="13" spans="2:13" ht="18.75" x14ac:dyDescent="0.25">
      <c r="B13" s="163">
        <v>10</v>
      </c>
      <c r="C13" s="164" t="s">
        <v>1515</v>
      </c>
      <c r="D13" s="219">
        <v>1</v>
      </c>
      <c r="E13" s="166">
        <v>10</v>
      </c>
      <c r="F13" s="159">
        <v>33</v>
      </c>
      <c r="G13" s="160" t="s">
        <v>1516</v>
      </c>
      <c r="H13" s="161">
        <v>3</v>
      </c>
      <c r="I13" s="221">
        <v>1</v>
      </c>
      <c r="J13" s="163">
        <v>55</v>
      </c>
      <c r="K13" s="164" t="s">
        <v>1517</v>
      </c>
      <c r="L13" s="166">
        <v>4</v>
      </c>
      <c r="M13" s="166">
        <v>7</v>
      </c>
    </row>
    <row r="14" spans="2:13" ht="18.75" x14ac:dyDescent="0.25">
      <c r="B14" s="163">
        <v>11</v>
      </c>
      <c r="C14" s="164" t="s">
        <v>565</v>
      </c>
      <c r="D14" s="219">
        <v>1</v>
      </c>
      <c r="E14" s="166">
        <v>11</v>
      </c>
      <c r="F14" s="163">
        <v>34</v>
      </c>
      <c r="G14" s="164" t="s">
        <v>1518</v>
      </c>
      <c r="H14" s="165">
        <v>3</v>
      </c>
      <c r="I14" s="222">
        <v>2</v>
      </c>
      <c r="J14" s="163">
        <v>56</v>
      </c>
      <c r="K14" s="164" t="s">
        <v>1519</v>
      </c>
      <c r="L14" s="166">
        <v>4</v>
      </c>
      <c r="M14" s="166">
        <v>8</v>
      </c>
    </row>
    <row r="15" spans="2:13" ht="18.75" x14ac:dyDescent="0.25">
      <c r="B15" s="163">
        <v>12</v>
      </c>
      <c r="C15" s="164" t="s">
        <v>1520</v>
      </c>
      <c r="D15" s="219">
        <v>1</v>
      </c>
      <c r="E15" s="166">
        <v>12</v>
      </c>
      <c r="F15" s="163">
        <v>35</v>
      </c>
      <c r="G15" s="164" t="s">
        <v>958</v>
      </c>
      <c r="H15" s="165">
        <v>3</v>
      </c>
      <c r="I15" s="222">
        <v>3</v>
      </c>
      <c r="J15" s="163">
        <v>57</v>
      </c>
      <c r="K15" s="164" t="s">
        <v>1521</v>
      </c>
      <c r="L15" s="166">
        <v>4</v>
      </c>
      <c r="M15" s="166">
        <v>9</v>
      </c>
    </row>
    <row r="16" spans="2:13" ht="18.75" x14ac:dyDescent="0.25">
      <c r="B16" s="163">
        <v>13</v>
      </c>
      <c r="C16" s="164" t="s">
        <v>1522</v>
      </c>
      <c r="D16" s="219">
        <v>1</v>
      </c>
      <c r="E16" s="166">
        <v>13</v>
      </c>
      <c r="F16" s="163">
        <v>36</v>
      </c>
      <c r="G16" s="164" t="s">
        <v>1523</v>
      </c>
      <c r="H16" s="165">
        <v>3</v>
      </c>
      <c r="I16" s="222">
        <v>4</v>
      </c>
      <c r="J16" s="163">
        <v>58</v>
      </c>
      <c r="K16" s="164" t="s">
        <v>1524</v>
      </c>
      <c r="L16" s="166">
        <v>4</v>
      </c>
      <c r="M16" s="166">
        <v>10</v>
      </c>
    </row>
    <row r="17" spans="2:13" ht="18.75" x14ac:dyDescent="0.25">
      <c r="B17" s="163">
        <v>14</v>
      </c>
      <c r="C17" s="164" t="s">
        <v>1525</v>
      </c>
      <c r="D17" s="219">
        <v>1</v>
      </c>
      <c r="E17" s="166">
        <v>14</v>
      </c>
      <c r="F17" s="163">
        <v>37</v>
      </c>
      <c r="G17" s="164" t="s">
        <v>1526</v>
      </c>
      <c r="H17" s="165">
        <v>3</v>
      </c>
      <c r="I17" s="222">
        <v>5</v>
      </c>
      <c r="J17" s="163">
        <v>59</v>
      </c>
      <c r="K17" s="164" t="s">
        <v>1527</v>
      </c>
      <c r="L17" s="166">
        <v>4</v>
      </c>
      <c r="M17" s="166">
        <v>11</v>
      </c>
    </row>
    <row r="18" spans="2:13" ht="18.75" x14ac:dyDescent="0.25">
      <c r="B18" s="163">
        <v>15</v>
      </c>
      <c r="C18" s="164" t="s">
        <v>1528</v>
      </c>
      <c r="D18" s="219">
        <v>1</v>
      </c>
      <c r="E18" s="166">
        <v>15</v>
      </c>
      <c r="F18" s="163">
        <v>38</v>
      </c>
      <c r="G18" s="164" t="s">
        <v>1529</v>
      </c>
      <c r="H18" s="165">
        <v>3</v>
      </c>
      <c r="I18" s="222">
        <v>6</v>
      </c>
      <c r="J18" s="163">
        <v>60</v>
      </c>
      <c r="K18" s="164" t="s">
        <v>1530</v>
      </c>
      <c r="L18" s="166">
        <v>4</v>
      </c>
      <c r="M18" s="166">
        <v>12</v>
      </c>
    </row>
    <row r="19" spans="2:13" ht="19.5" thickBot="1" x14ac:dyDescent="0.3">
      <c r="B19" s="167">
        <v>16</v>
      </c>
      <c r="C19" s="168" t="s">
        <v>1531</v>
      </c>
      <c r="D19" s="220">
        <v>1</v>
      </c>
      <c r="E19" s="170">
        <v>16</v>
      </c>
      <c r="F19" s="163">
        <v>39</v>
      </c>
      <c r="G19" s="164" t="s">
        <v>1532</v>
      </c>
      <c r="H19" s="165">
        <v>3</v>
      </c>
      <c r="I19" s="222">
        <v>7</v>
      </c>
      <c r="J19" s="163">
        <v>61</v>
      </c>
      <c r="K19" s="164" t="s">
        <v>573</v>
      </c>
      <c r="L19" s="166">
        <v>4</v>
      </c>
      <c r="M19" s="166">
        <v>13</v>
      </c>
    </row>
    <row r="20" spans="2:13" ht="18.75" x14ac:dyDescent="0.25">
      <c r="B20" s="159">
        <v>17</v>
      </c>
      <c r="C20" s="160" t="s">
        <v>1533</v>
      </c>
      <c r="D20" s="227">
        <v>2</v>
      </c>
      <c r="E20" s="162">
        <v>1</v>
      </c>
      <c r="F20" s="163">
        <v>40</v>
      </c>
      <c r="G20" s="164" t="s">
        <v>1534</v>
      </c>
      <c r="H20" s="165">
        <v>3</v>
      </c>
      <c r="I20" s="222">
        <v>8</v>
      </c>
      <c r="J20" s="163">
        <v>62</v>
      </c>
      <c r="K20" s="164" t="s">
        <v>1535</v>
      </c>
      <c r="L20" s="166">
        <v>4</v>
      </c>
      <c r="M20" s="166">
        <v>14</v>
      </c>
    </row>
    <row r="21" spans="2:13" ht="18.75" x14ac:dyDescent="0.25">
      <c r="B21" s="163">
        <v>18</v>
      </c>
      <c r="C21" s="164" t="s">
        <v>1536</v>
      </c>
      <c r="D21" s="219">
        <v>2</v>
      </c>
      <c r="E21" s="166">
        <v>2</v>
      </c>
      <c r="F21" s="163">
        <v>41</v>
      </c>
      <c r="G21" s="164" t="s">
        <v>1537</v>
      </c>
      <c r="H21" s="165">
        <v>3</v>
      </c>
      <c r="I21" s="222">
        <v>9</v>
      </c>
      <c r="J21" s="163">
        <v>63</v>
      </c>
      <c r="K21" s="164" t="s">
        <v>1538</v>
      </c>
      <c r="L21" s="166">
        <v>4</v>
      </c>
      <c r="M21" s="166">
        <v>15</v>
      </c>
    </row>
    <row r="22" spans="2:13" ht="18.75" x14ac:dyDescent="0.25">
      <c r="B22" s="163">
        <v>19</v>
      </c>
      <c r="C22" s="164" t="s">
        <v>1539</v>
      </c>
      <c r="D22" s="219">
        <v>2</v>
      </c>
      <c r="E22" s="166">
        <v>3</v>
      </c>
      <c r="F22" s="163">
        <v>42</v>
      </c>
      <c r="G22" s="164" t="s">
        <v>1540</v>
      </c>
      <c r="H22" s="165">
        <v>3</v>
      </c>
      <c r="I22" s="222">
        <v>10</v>
      </c>
      <c r="J22" s="163">
        <v>64</v>
      </c>
      <c r="K22" s="164"/>
      <c r="L22" s="166">
        <v>4</v>
      </c>
      <c r="M22" s="166">
        <v>16</v>
      </c>
    </row>
    <row r="23" spans="2:13" ht="18.75" x14ac:dyDescent="0.25">
      <c r="B23" s="163">
        <v>20</v>
      </c>
      <c r="C23" s="164" t="s">
        <v>1541</v>
      </c>
      <c r="D23" s="219">
        <v>2</v>
      </c>
      <c r="E23" s="166">
        <v>4</v>
      </c>
      <c r="F23" s="163">
        <v>43</v>
      </c>
      <c r="G23" s="164" t="s">
        <v>1542</v>
      </c>
      <c r="H23" s="165">
        <v>3</v>
      </c>
      <c r="I23" s="222">
        <v>11</v>
      </c>
      <c r="J23" s="163"/>
      <c r="K23" s="164"/>
      <c r="L23" s="166"/>
      <c r="M23" s="166"/>
    </row>
    <row r="24" spans="2:13" ht="18.75" x14ac:dyDescent="0.25">
      <c r="B24" s="163">
        <v>21</v>
      </c>
      <c r="C24" s="164" t="s">
        <v>1543</v>
      </c>
      <c r="D24" s="219">
        <v>2</v>
      </c>
      <c r="E24" s="166">
        <v>5</v>
      </c>
      <c r="F24" s="163">
        <v>44</v>
      </c>
      <c r="G24" s="164" t="s">
        <v>444</v>
      </c>
      <c r="H24" s="165">
        <v>3</v>
      </c>
      <c r="I24" s="222">
        <v>12</v>
      </c>
      <c r="J24" s="163"/>
      <c r="K24" s="164"/>
      <c r="L24" s="166"/>
      <c r="M24" s="166"/>
    </row>
    <row r="25" spans="2:13" ht="18.75" x14ac:dyDescent="0.25">
      <c r="B25" s="163">
        <v>22</v>
      </c>
      <c r="C25" s="164" t="s">
        <v>1515</v>
      </c>
      <c r="D25" s="219">
        <v>2</v>
      </c>
      <c r="E25" s="166">
        <v>6</v>
      </c>
      <c r="F25" s="163">
        <v>45</v>
      </c>
      <c r="G25" s="164" t="s">
        <v>1544</v>
      </c>
      <c r="H25" s="165">
        <v>3</v>
      </c>
      <c r="I25" s="222">
        <v>13</v>
      </c>
      <c r="J25" s="163"/>
      <c r="K25" s="164"/>
      <c r="L25" s="166"/>
      <c r="M25" s="166"/>
    </row>
    <row r="26" spans="2:13" ht="19.5" thickBot="1" x14ac:dyDescent="0.3">
      <c r="B26" s="167">
        <v>23</v>
      </c>
      <c r="C26" s="168" t="s">
        <v>443</v>
      </c>
      <c r="D26" s="220">
        <v>2</v>
      </c>
      <c r="E26" s="170">
        <v>7</v>
      </c>
      <c r="F26" s="167"/>
      <c r="G26" s="168"/>
      <c r="H26" s="169"/>
      <c r="I26" s="223"/>
      <c r="J26" s="167"/>
      <c r="K26" s="168"/>
      <c r="L26" s="170"/>
      <c r="M26" s="170"/>
    </row>
  </sheetData>
  <mergeCells count="4">
    <mergeCell ref="B1:M1"/>
    <mergeCell ref="J2:M2"/>
    <mergeCell ref="B2:E2"/>
    <mergeCell ref="F2:I2"/>
  </mergeCells>
  <pageMargins left="0.5" right="0.25" top="2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DC5024"/>
  </sheetPr>
  <dimension ref="B1:M23"/>
  <sheetViews>
    <sheetView topLeftCell="B1" workbookViewId="0">
      <selection activeCell="R8" sqref="R8"/>
    </sheetView>
  </sheetViews>
  <sheetFormatPr defaultRowHeight="15" x14ac:dyDescent="0.25"/>
  <cols>
    <col min="1" max="1" width="5.28515625" customWidth="1"/>
    <col min="2" max="2" width="6" bestFit="1" customWidth="1"/>
    <col min="3" max="3" width="8.140625" bestFit="1" customWidth="1"/>
    <col min="4" max="4" width="4.140625" bestFit="1" customWidth="1"/>
    <col min="5" max="5" width="12.7109375" bestFit="1" customWidth="1"/>
    <col min="6" max="6" width="6" bestFit="1" customWidth="1"/>
    <col min="7" max="7" width="8.140625" bestFit="1" customWidth="1"/>
    <col min="8" max="8" width="7.42578125" bestFit="1" customWidth="1"/>
    <col min="9" max="9" width="12.7109375" bestFit="1" customWidth="1"/>
    <col min="10" max="10" width="6" bestFit="1" customWidth="1"/>
    <col min="11" max="11" width="9.140625" bestFit="1" customWidth="1"/>
    <col min="12" max="13" width="7.42578125" bestFit="1" customWidth="1"/>
  </cols>
  <sheetData>
    <row r="1" spans="2:13" x14ac:dyDescent="0.25">
      <c r="B1" s="382" t="s">
        <v>1491</v>
      </c>
      <c r="C1" s="382"/>
      <c r="D1" s="382"/>
      <c r="E1" s="382"/>
      <c r="F1" s="382"/>
      <c r="G1" s="382"/>
      <c r="H1" s="382"/>
      <c r="I1" s="382"/>
      <c r="J1" s="382"/>
      <c r="K1" s="382"/>
      <c r="L1" s="382"/>
      <c r="M1" s="382"/>
    </row>
    <row r="2" spans="2:13" ht="18.75" x14ac:dyDescent="0.3">
      <c r="B2" s="383" t="s">
        <v>1492</v>
      </c>
      <c r="C2" s="383"/>
      <c r="D2" s="383"/>
      <c r="E2" s="383"/>
      <c r="F2" s="383" t="s">
        <v>1493</v>
      </c>
      <c r="G2" s="383"/>
      <c r="H2" s="383"/>
      <c r="I2" s="383"/>
      <c r="J2" s="383" t="s">
        <v>1</v>
      </c>
      <c r="K2" s="383"/>
      <c r="L2" s="383"/>
      <c r="M2" s="383"/>
    </row>
    <row r="3" spans="2:13" ht="18.75" x14ac:dyDescent="0.25">
      <c r="B3" s="307" t="s">
        <v>2</v>
      </c>
      <c r="C3" s="307" t="s">
        <v>1494</v>
      </c>
      <c r="D3" s="307" t="s">
        <v>2061</v>
      </c>
      <c r="E3" s="307" t="s">
        <v>1767</v>
      </c>
      <c r="F3" s="307" t="s">
        <v>2</v>
      </c>
      <c r="G3" s="307" t="s">
        <v>1494</v>
      </c>
      <c r="H3" s="307" t="s">
        <v>1218</v>
      </c>
      <c r="I3" s="307" t="s">
        <v>1767</v>
      </c>
      <c r="J3" s="307" t="s">
        <v>2</v>
      </c>
      <c r="K3" s="307" t="s">
        <v>271</v>
      </c>
      <c r="L3" s="307" t="s">
        <v>1218</v>
      </c>
      <c r="M3" s="307" t="s">
        <v>1218</v>
      </c>
    </row>
    <row r="4" spans="2:13" ht="18.75" x14ac:dyDescent="0.25">
      <c r="B4" s="219">
        <v>1</v>
      </c>
      <c r="C4" s="164"/>
      <c r="D4" s="219">
        <v>1</v>
      </c>
      <c r="E4" s="219">
        <v>1</v>
      </c>
      <c r="F4" s="219">
        <v>21</v>
      </c>
      <c r="G4" s="164"/>
      <c r="H4" s="219">
        <f>D20+1</f>
        <v>6</v>
      </c>
      <c r="I4" s="219">
        <v>1</v>
      </c>
      <c r="J4" s="219">
        <v>46</v>
      </c>
      <c r="K4" s="164"/>
      <c r="L4" s="219">
        <f>H20+1</f>
        <v>12</v>
      </c>
      <c r="M4" s="219">
        <v>1</v>
      </c>
    </row>
    <row r="5" spans="2:13" ht="18.75" x14ac:dyDescent="0.25">
      <c r="B5" s="219">
        <v>2</v>
      </c>
      <c r="C5" s="164"/>
      <c r="D5" s="219">
        <v>1</v>
      </c>
      <c r="E5" s="219">
        <v>2</v>
      </c>
      <c r="F5" s="219">
        <v>22</v>
      </c>
      <c r="G5" s="164"/>
      <c r="H5" s="219">
        <f t="shared" ref="H5:H7" si="0">D21+1</f>
        <v>6</v>
      </c>
      <c r="I5" s="219">
        <v>2</v>
      </c>
      <c r="J5" s="219">
        <v>47</v>
      </c>
      <c r="K5" s="164"/>
      <c r="L5" s="219">
        <f t="shared" ref="L5:L7" si="1">H21+1</f>
        <v>12</v>
      </c>
      <c r="M5" s="219">
        <v>2</v>
      </c>
    </row>
    <row r="6" spans="2:13" ht="18.75" x14ac:dyDescent="0.25">
      <c r="B6" s="219">
        <v>3</v>
      </c>
      <c r="C6" s="164"/>
      <c r="D6" s="219">
        <v>1</v>
      </c>
      <c r="E6" s="219">
        <v>3</v>
      </c>
      <c r="F6" s="219">
        <v>23</v>
      </c>
      <c r="G6" s="164"/>
      <c r="H6" s="219">
        <f t="shared" si="0"/>
        <v>6</v>
      </c>
      <c r="I6" s="219">
        <v>3</v>
      </c>
      <c r="J6" s="219">
        <v>48</v>
      </c>
      <c r="K6" s="164"/>
      <c r="L6" s="219">
        <f t="shared" si="1"/>
        <v>12</v>
      </c>
      <c r="M6" s="219">
        <v>3</v>
      </c>
    </row>
    <row r="7" spans="2:13" ht="18.75" x14ac:dyDescent="0.25">
      <c r="B7" s="219">
        <v>4</v>
      </c>
      <c r="C7" s="164"/>
      <c r="D7" s="219">
        <v>1</v>
      </c>
      <c r="E7" s="219">
        <v>4</v>
      </c>
      <c r="F7" s="219">
        <v>24</v>
      </c>
      <c r="G7" s="164"/>
      <c r="H7" s="219">
        <f t="shared" si="0"/>
        <v>6</v>
      </c>
      <c r="I7" s="219">
        <v>4</v>
      </c>
      <c r="J7" s="219">
        <v>49</v>
      </c>
      <c r="K7" s="164"/>
      <c r="L7" s="219">
        <f t="shared" si="1"/>
        <v>12</v>
      </c>
      <c r="M7" s="219">
        <v>4</v>
      </c>
    </row>
    <row r="8" spans="2:13" ht="18.75" x14ac:dyDescent="0.25">
      <c r="B8" s="219">
        <v>5</v>
      </c>
      <c r="C8" s="164"/>
      <c r="D8" s="219">
        <f>D4+1</f>
        <v>2</v>
      </c>
      <c r="E8" s="219">
        <v>1</v>
      </c>
      <c r="F8" s="219">
        <v>25</v>
      </c>
      <c r="G8" s="164"/>
      <c r="H8" s="219">
        <f>H4+1</f>
        <v>7</v>
      </c>
      <c r="I8" s="219">
        <v>1</v>
      </c>
      <c r="J8" s="219">
        <v>50</v>
      </c>
      <c r="K8" s="164"/>
      <c r="L8" s="219">
        <f>L4+1</f>
        <v>13</v>
      </c>
      <c r="M8" s="219">
        <v>1</v>
      </c>
    </row>
    <row r="9" spans="2:13" ht="18.75" x14ac:dyDescent="0.25">
      <c r="B9" s="219">
        <v>6</v>
      </c>
      <c r="C9" s="164"/>
      <c r="D9" s="219">
        <f t="shared" ref="D9:D23" si="2">D5+1</f>
        <v>2</v>
      </c>
      <c r="E9" s="219">
        <v>2</v>
      </c>
      <c r="F9" s="219">
        <v>26</v>
      </c>
      <c r="G9" s="164"/>
      <c r="H9" s="219">
        <f t="shared" ref="H9:H19" si="3">H5+1</f>
        <v>7</v>
      </c>
      <c r="I9" s="219">
        <v>2</v>
      </c>
      <c r="J9" s="219">
        <v>51</v>
      </c>
      <c r="K9" s="164"/>
      <c r="L9" s="219">
        <f t="shared" ref="L9:L15" si="4">L5+1</f>
        <v>13</v>
      </c>
      <c r="M9" s="219">
        <v>2</v>
      </c>
    </row>
    <row r="10" spans="2:13" ht="18.75" x14ac:dyDescent="0.25">
      <c r="B10" s="219">
        <v>7</v>
      </c>
      <c r="C10" s="164"/>
      <c r="D10" s="219">
        <f t="shared" si="2"/>
        <v>2</v>
      </c>
      <c r="E10" s="219">
        <v>3</v>
      </c>
      <c r="F10" s="219">
        <v>27</v>
      </c>
      <c r="G10" s="164"/>
      <c r="H10" s="219">
        <f t="shared" si="3"/>
        <v>7</v>
      </c>
      <c r="I10" s="219">
        <v>3</v>
      </c>
      <c r="J10" s="219">
        <v>52</v>
      </c>
      <c r="K10" s="164"/>
      <c r="L10" s="219">
        <f t="shared" si="4"/>
        <v>13</v>
      </c>
      <c r="M10" s="219">
        <v>3</v>
      </c>
    </row>
    <row r="11" spans="2:13" ht="18.75" x14ac:dyDescent="0.25">
      <c r="B11" s="219">
        <v>8</v>
      </c>
      <c r="C11" s="164"/>
      <c r="D11" s="219">
        <f t="shared" si="2"/>
        <v>2</v>
      </c>
      <c r="E11" s="219">
        <v>4</v>
      </c>
      <c r="F11" s="219">
        <v>28</v>
      </c>
      <c r="G11" s="164"/>
      <c r="H11" s="219">
        <f t="shared" si="3"/>
        <v>7</v>
      </c>
      <c r="I11" s="219">
        <v>4</v>
      </c>
      <c r="J11" s="219">
        <v>53</v>
      </c>
      <c r="K11" s="164"/>
      <c r="L11" s="219">
        <f t="shared" si="4"/>
        <v>13</v>
      </c>
      <c r="M11" s="219">
        <v>4</v>
      </c>
    </row>
    <row r="12" spans="2:13" ht="18.75" x14ac:dyDescent="0.25">
      <c r="B12" s="219">
        <v>9</v>
      </c>
      <c r="C12" s="164"/>
      <c r="D12" s="219">
        <f t="shared" si="2"/>
        <v>3</v>
      </c>
      <c r="E12" s="219">
        <v>1</v>
      </c>
      <c r="F12" s="219">
        <v>29</v>
      </c>
      <c r="G12" s="164"/>
      <c r="H12" s="219">
        <f t="shared" si="3"/>
        <v>8</v>
      </c>
      <c r="I12" s="219">
        <v>1</v>
      </c>
      <c r="J12" s="219">
        <v>54</v>
      </c>
      <c r="K12" s="164"/>
      <c r="L12" s="219">
        <f t="shared" si="4"/>
        <v>14</v>
      </c>
      <c r="M12" s="219">
        <v>1</v>
      </c>
    </row>
    <row r="13" spans="2:13" ht="18.75" x14ac:dyDescent="0.25">
      <c r="B13" s="219">
        <v>10</v>
      </c>
      <c r="C13" s="164"/>
      <c r="D13" s="219">
        <f t="shared" si="2"/>
        <v>3</v>
      </c>
      <c r="E13" s="219">
        <v>2</v>
      </c>
      <c r="F13" s="219">
        <v>30</v>
      </c>
      <c r="G13" s="164"/>
      <c r="H13" s="219">
        <f t="shared" si="3"/>
        <v>8</v>
      </c>
      <c r="I13" s="219">
        <v>2</v>
      </c>
      <c r="J13" s="219">
        <v>55</v>
      </c>
      <c r="K13" s="164"/>
      <c r="L13" s="219">
        <f t="shared" si="4"/>
        <v>14</v>
      </c>
      <c r="M13" s="219">
        <v>2</v>
      </c>
    </row>
    <row r="14" spans="2:13" ht="18.75" x14ac:dyDescent="0.25">
      <c r="B14" s="219">
        <v>11</v>
      </c>
      <c r="C14" s="164"/>
      <c r="D14" s="219">
        <f t="shared" si="2"/>
        <v>3</v>
      </c>
      <c r="E14" s="219">
        <v>3</v>
      </c>
      <c r="F14" s="219">
        <v>31</v>
      </c>
      <c r="G14" s="164"/>
      <c r="H14" s="219">
        <f t="shared" si="3"/>
        <v>8</v>
      </c>
      <c r="I14" s="219">
        <v>3</v>
      </c>
      <c r="J14" s="219">
        <v>56</v>
      </c>
      <c r="K14" s="164"/>
      <c r="L14" s="219">
        <f t="shared" si="4"/>
        <v>14</v>
      </c>
      <c r="M14" s="219">
        <v>3</v>
      </c>
    </row>
    <row r="15" spans="2:13" ht="18.75" x14ac:dyDescent="0.25">
      <c r="B15" s="219">
        <v>12</v>
      </c>
      <c r="C15" s="164"/>
      <c r="D15" s="219">
        <f t="shared" si="2"/>
        <v>3</v>
      </c>
      <c r="E15" s="219">
        <v>4</v>
      </c>
      <c r="F15" s="219">
        <v>32</v>
      </c>
      <c r="G15" s="164"/>
      <c r="H15" s="219">
        <f t="shared" si="3"/>
        <v>8</v>
      </c>
      <c r="I15" s="219">
        <v>4</v>
      </c>
      <c r="J15" s="219">
        <v>57</v>
      </c>
      <c r="K15" s="164"/>
      <c r="L15" s="219">
        <f t="shared" si="4"/>
        <v>14</v>
      </c>
      <c r="M15" s="219">
        <v>4</v>
      </c>
    </row>
    <row r="16" spans="2:13" ht="18.75" x14ac:dyDescent="0.25">
      <c r="B16" s="219">
        <v>13</v>
      </c>
      <c r="C16" s="164"/>
      <c r="D16" s="219">
        <f t="shared" si="2"/>
        <v>4</v>
      </c>
      <c r="E16" s="219">
        <v>1</v>
      </c>
      <c r="F16" s="219">
        <v>33</v>
      </c>
      <c r="G16" s="164"/>
      <c r="H16" s="219">
        <f t="shared" si="3"/>
        <v>9</v>
      </c>
      <c r="I16" s="219">
        <v>1</v>
      </c>
      <c r="J16" s="219">
        <v>58</v>
      </c>
      <c r="K16" s="164"/>
      <c r="L16" s="219"/>
      <c r="M16" s="219"/>
    </row>
    <row r="17" spans="2:13" ht="18.75" x14ac:dyDescent="0.25">
      <c r="B17" s="219">
        <v>14</v>
      </c>
      <c r="C17" s="164"/>
      <c r="D17" s="219">
        <f t="shared" si="2"/>
        <v>4</v>
      </c>
      <c r="E17" s="219">
        <v>2</v>
      </c>
      <c r="F17" s="219">
        <v>34</v>
      </c>
      <c r="G17" s="164"/>
      <c r="H17" s="219">
        <f t="shared" si="3"/>
        <v>9</v>
      </c>
      <c r="I17" s="219">
        <v>2</v>
      </c>
      <c r="J17" s="219">
        <v>59</v>
      </c>
      <c r="K17" s="164"/>
      <c r="L17" s="219"/>
      <c r="M17" s="219"/>
    </row>
    <row r="18" spans="2:13" ht="18.75" x14ac:dyDescent="0.25">
      <c r="B18" s="219">
        <v>15</v>
      </c>
      <c r="C18" s="164"/>
      <c r="D18" s="219">
        <f t="shared" si="2"/>
        <v>4</v>
      </c>
      <c r="E18" s="219">
        <v>3</v>
      </c>
      <c r="F18" s="219">
        <v>35</v>
      </c>
      <c r="G18" s="164"/>
      <c r="H18" s="219">
        <f t="shared" si="3"/>
        <v>9</v>
      </c>
      <c r="I18" s="219">
        <v>3</v>
      </c>
      <c r="J18" s="219">
        <v>60</v>
      </c>
      <c r="K18" s="164"/>
      <c r="L18" s="219"/>
      <c r="M18" s="219"/>
    </row>
    <row r="19" spans="2:13" ht="18.75" x14ac:dyDescent="0.25">
      <c r="B19" s="219">
        <v>16</v>
      </c>
      <c r="C19" s="164"/>
      <c r="D19" s="219">
        <f t="shared" si="2"/>
        <v>4</v>
      </c>
      <c r="E19" s="219">
        <v>4</v>
      </c>
      <c r="F19" s="219">
        <v>36</v>
      </c>
      <c r="G19" s="164"/>
      <c r="H19" s="219">
        <f t="shared" si="3"/>
        <v>9</v>
      </c>
      <c r="I19" s="219">
        <v>4</v>
      </c>
      <c r="J19" s="219">
        <v>61</v>
      </c>
      <c r="K19" s="164"/>
      <c r="L19" s="219"/>
      <c r="M19" s="219"/>
    </row>
    <row r="20" spans="2:13" ht="18.75" x14ac:dyDescent="0.25">
      <c r="B20" s="219">
        <v>17</v>
      </c>
      <c r="C20" s="164"/>
      <c r="D20" s="219">
        <f t="shared" si="2"/>
        <v>5</v>
      </c>
      <c r="E20" s="219">
        <v>1</v>
      </c>
      <c r="F20" s="219">
        <v>37</v>
      </c>
      <c r="G20" s="164"/>
      <c r="H20" s="219">
        <f>H16+2</f>
        <v>11</v>
      </c>
      <c r="I20" s="219">
        <v>1</v>
      </c>
      <c r="J20" s="219">
        <v>62</v>
      </c>
      <c r="K20" s="164"/>
      <c r="L20" s="219"/>
      <c r="M20" s="219"/>
    </row>
    <row r="21" spans="2:13" ht="18.75" x14ac:dyDescent="0.25">
      <c r="B21" s="219">
        <v>18</v>
      </c>
      <c r="C21" s="164"/>
      <c r="D21" s="219">
        <f t="shared" si="2"/>
        <v>5</v>
      </c>
      <c r="E21" s="219">
        <v>2</v>
      </c>
      <c r="F21" s="219">
        <v>38</v>
      </c>
      <c r="G21" s="164"/>
      <c r="H21" s="219">
        <f t="shared" ref="H21:H23" si="5">H17+2</f>
        <v>11</v>
      </c>
      <c r="I21" s="219">
        <v>2</v>
      </c>
      <c r="J21" s="219">
        <v>63</v>
      </c>
      <c r="K21" s="164"/>
      <c r="L21" s="219"/>
      <c r="M21" s="219"/>
    </row>
    <row r="22" spans="2:13" ht="18.75" x14ac:dyDescent="0.25">
      <c r="B22" s="219">
        <v>19</v>
      </c>
      <c r="C22" s="164"/>
      <c r="D22" s="219">
        <f t="shared" si="2"/>
        <v>5</v>
      </c>
      <c r="E22" s="219">
        <v>3</v>
      </c>
      <c r="F22" s="219">
        <v>39</v>
      </c>
      <c r="G22" s="164"/>
      <c r="H22" s="219">
        <f t="shared" si="5"/>
        <v>11</v>
      </c>
      <c r="I22" s="219">
        <v>3</v>
      </c>
      <c r="J22" s="219">
        <v>64</v>
      </c>
      <c r="K22" s="164"/>
      <c r="L22" s="219"/>
      <c r="M22" s="219"/>
    </row>
    <row r="23" spans="2:13" ht="18.75" x14ac:dyDescent="0.25">
      <c r="B23" s="219">
        <v>20</v>
      </c>
      <c r="C23" s="164"/>
      <c r="D23" s="219">
        <f t="shared" si="2"/>
        <v>5</v>
      </c>
      <c r="E23" s="219">
        <v>4</v>
      </c>
      <c r="F23" s="219">
        <v>40</v>
      </c>
      <c r="G23" s="164"/>
      <c r="H23" s="219">
        <f t="shared" si="5"/>
        <v>11</v>
      </c>
      <c r="I23" s="219">
        <v>4</v>
      </c>
      <c r="J23" s="219"/>
      <c r="K23" s="164"/>
      <c r="L23" s="219"/>
      <c r="M23" s="219"/>
    </row>
  </sheetData>
  <mergeCells count="4">
    <mergeCell ref="B1:M1"/>
    <mergeCell ref="B2:E2"/>
    <mergeCell ref="F2:I2"/>
    <mergeCell ref="J2:M2"/>
  </mergeCells>
  <pageMargins left="0.5" right="0.25" top="2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DC5024"/>
  </sheetPr>
  <dimension ref="A1:E65"/>
  <sheetViews>
    <sheetView workbookViewId="0">
      <selection activeCell="L23" sqref="L23"/>
    </sheetView>
  </sheetViews>
  <sheetFormatPr defaultRowHeight="15" x14ac:dyDescent="0.25"/>
  <cols>
    <col min="1" max="1" width="5.7109375" bestFit="1" customWidth="1"/>
    <col min="2" max="2" width="8" bestFit="1" customWidth="1"/>
    <col min="3" max="3" width="11.7109375" bestFit="1" customWidth="1"/>
    <col min="4" max="4" width="7.42578125" bestFit="1" customWidth="1"/>
    <col min="5" max="5" width="8.42578125" bestFit="1" customWidth="1"/>
  </cols>
  <sheetData>
    <row r="1" spans="1:5" x14ac:dyDescent="0.25">
      <c r="A1" s="66" t="s">
        <v>275</v>
      </c>
      <c r="B1" s="67" t="s">
        <v>362</v>
      </c>
      <c r="C1" s="67" t="s">
        <v>313</v>
      </c>
      <c r="D1" s="67" t="s">
        <v>271</v>
      </c>
      <c r="E1" s="68" t="s">
        <v>316</v>
      </c>
    </row>
    <row r="2" spans="1:5" x14ac:dyDescent="0.25">
      <c r="A2" s="28">
        <v>1</v>
      </c>
      <c r="B2" s="29"/>
      <c r="C2" s="29"/>
      <c r="D2" s="29"/>
      <c r="E2" s="30"/>
    </row>
    <row r="3" spans="1:5" x14ac:dyDescent="0.25">
      <c r="A3" s="28">
        <v>2</v>
      </c>
      <c r="B3" s="29"/>
      <c r="C3" s="29"/>
      <c r="D3" s="29"/>
      <c r="E3" s="30"/>
    </row>
    <row r="4" spans="1:5" x14ac:dyDescent="0.25">
      <c r="A4" s="28">
        <v>3</v>
      </c>
      <c r="B4" s="29"/>
      <c r="C4" s="29"/>
      <c r="D4" s="29"/>
      <c r="E4" s="30"/>
    </row>
    <row r="5" spans="1:5" x14ac:dyDescent="0.25">
      <c r="A5" s="28">
        <v>4</v>
      </c>
      <c r="B5" s="29"/>
      <c r="C5" s="29"/>
      <c r="D5" s="29"/>
      <c r="E5" s="30"/>
    </row>
    <row r="6" spans="1:5" x14ac:dyDescent="0.25">
      <c r="A6" s="28">
        <v>5</v>
      </c>
      <c r="B6" s="29"/>
      <c r="C6" s="29"/>
      <c r="D6" s="29"/>
      <c r="E6" s="30"/>
    </row>
    <row r="7" spans="1:5" x14ac:dyDescent="0.25">
      <c r="A7" s="28">
        <v>6</v>
      </c>
      <c r="B7" s="29"/>
      <c r="C7" s="29"/>
      <c r="D7" s="29"/>
      <c r="E7" s="30"/>
    </row>
    <row r="8" spans="1:5" x14ac:dyDescent="0.25">
      <c r="A8" s="28">
        <v>7</v>
      </c>
      <c r="B8" s="29"/>
      <c r="C8" s="29"/>
      <c r="D8" s="29"/>
      <c r="E8" s="30"/>
    </row>
    <row r="9" spans="1:5" x14ac:dyDescent="0.25">
      <c r="A9" s="28">
        <v>8</v>
      </c>
      <c r="B9" s="29"/>
      <c r="C9" s="29"/>
      <c r="D9" s="29"/>
      <c r="E9" s="30"/>
    </row>
    <row r="10" spans="1:5" x14ac:dyDescent="0.25">
      <c r="A10" s="28">
        <v>9</v>
      </c>
      <c r="B10" s="29"/>
      <c r="C10" s="29"/>
      <c r="D10" s="29"/>
      <c r="E10" s="30"/>
    </row>
    <row r="11" spans="1:5" x14ac:dyDescent="0.25">
      <c r="A11" s="28">
        <v>10</v>
      </c>
      <c r="B11" s="29"/>
      <c r="C11" s="29"/>
      <c r="D11" s="29"/>
      <c r="E11" s="30"/>
    </row>
    <row r="12" spans="1:5" x14ac:dyDescent="0.25">
      <c r="A12" s="28">
        <v>11</v>
      </c>
      <c r="B12" s="29"/>
      <c r="C12" s="29"/>
      <c r="D12" s="29"/>
      <c r="E12" s="30"/>
    </row>
    <row r="13" spans="1:5" x14ac:dyDescent="0.25">
      <c r="A13" s="28">
        <v>12</v>
      </c>
      <c r="B13" s="29"/>
      <c r="C13" s="29"/>
      <c r="D13" s="29"/>
      <c r="E13" s="30"/>
    </row>
    <row r="14" spans="1:5" x14ac:dyDescent="0.25">
      <c r="A14" s="28">
        <v>13</v>
      </c>
      <c r="B14" s="29"/>
      <c r="C14" s="29"/>
      <c r="D14" s="29"/>
      <c r="E14" s="30"/>
    </row>
    <row r="15" spans="1:5" x14ac:dyDescent="0.25">
      <c r="A15" s="28">
        <v>14</v>
      </c>
      <c r="B15" s="29"/>
      <c r="C15" s="29"/>
      <c r="D15" s="29"/>
      <c r="E15" s="30"/>
    </row>
    <row r="16" spans="1:5" x14ac:dyDescent="0.25">
      <c r="A16" s="28">
        <v>15</v>
      </c>
      <c r="B16" s="29"/>
      <c r="C16" s="29"/>
      <c r="D16" s="29"/>
      <c r="E16" s="30"/>
    </row>
    <row r="17" spans="1:5" x14ac:dyDescent="0.25">
      <c r="A17" s="28">
        <v>16</v>
      </c>
      <c r="B17" s="29"/>
      <c r="C17" s="29"/>
      <c r="D17" s="29"/>
      <c r="E17" s="30"/>
    </row>
    <row r="18" spans="1:5" x14ac:dyDescent="0.25">
      <c r="A18" s="28">
        <v>17</v>
      </c>
      <c r="B18" s="29"/>
      <c r="C18" s="29"/>
      <c r="D18" s="29"/>
      <c r="E18" s="30"/>
    </row>
    <row r="19" spans="1:5" x14ac:dyDescent="0.25">
      <c r="A19" s="28">
        <v>18</v>
      </c>
      <c r="B19" s="29"/>
      <c r="C19" s="29"/>
      <c r="D19" s="29"/>
      <c r="E19" s="30"/>
    </row>
    <row r="20" spans="1:5" x14ac:dyDescent="0.25">
      <c r="A20" s="28">
        <v>19</v>
      </c>
      <c r="B20" s="29"/>
      <c r="C20" s="29"/>
      <c r="D20" s="29"/>
      <c r="E20" s="30"/>
    </row>
    <row r="21" spans="1:5" x14ac:dyDescent="0.25">
      <c r="A21" s="28">
        <v>20</v>
      </c>
      <c r="B21" s="29"/>
      <c r="C21" s="29"/>
      <c r="D21" s="29"/>
      <c r="E21" s="30"/>
    </row>
    <row r="22" spans="1:5" x14ac:dyDescent="0.25">
      <c r="A22" s="28">
        <v>21</v>
      </c>
      <c r="B22" s="29"/>
      <c r="C22" s="29"/>
      <c r="D22" s="29"/>
      <c r="E22" s="30"/>
    </row>
    <row r="23" spans="1:5" x14ac:dyDescent="0.25">
      <c r="A23" s="28">
        <v>22</v>
      </c>
      <c r="B23" s="29"/>
      <c r="C23" s="29"/>
      <c r="D23" s="29"/>
      <c r="E23" s="30"/>
    </row>
    <row r="24" spans="1:5" x14ac:dyDescent="0.25">
      <c r="A24" s="28">
        <v>23</v>
      </c>
      <c r="B24" s="29"/>
      <c r="C24" s="29"/>
      <c r="D24" s="29"/>
      <c r="E24" s="30"/>
    </row>
    <row r="25" spans="1:5" x14ac:dyDescent="0.25">
      <c r="A25" s="28">
        <v>24</v>
      </c>
      <c r="B25" s="29"/>
      <c r="C25" s="29"/>
      <c r="D25" s="29"/>
      <c r="E25" s="30"/>
    </row>
    <row r="26" spans="1:5" x14ac:dyDescent="0.25">
      <c r="A26" s="28">
        <v>25</v>
      </c>
      <c r="B26" s="29"/>
      <c r="C26" s="29"/>
      <c r="D26" s="29"/>
      <c r="E26" s="30"/>
    </row>
    <row r="27" spans="1:5" x14ac:dyDescent="0.25">
      <c r="A27" s="28">
        <v>26</v>
      </c>
      <c r="B27" s="29"/>
      <c r="C27" s="29"/>
      <c r="D27" s="29"/>
      <c r="E27" s="30"/>
    </row>
    <row r="28" spans="1:5" x14ac:dyDescent="0.25">
      <c r="A28" s="28">
        <v>27</v>
      </c>
      <c r="B28" s="29"/>
      <c r="C28" s="29"/>
      <c r="D28" s="29"/>
      <c r="E28" s="30"/>
    </row>
    <row r="29" spans="1:5" x14ac:dyDescent="0.25">
      <c r="A29" s="28">
        <v>28</v>
      </c>
      <c r="B29" s="29"/>
      <c r="C29" s="29"/>
      <c r="D29" s="29"/>
      <c r="E29" s="30"/>
    </row>
    <row r="30" spans="1:5" x14ac:dyDescent="0.25">
      <c r="A30" s="28">
        <v>29</v>
      </c>
      <c r="B30" s="29"/>
      <c r="C30" s="29"/>
      <c r="D30" s="29"/>
      <c r="E30" s="30"/>
    </row>
    <row r="31" spans="1:5" x14ac:dyDescent="0.25">
      <c r="A31" s="28">
        <v>30</v>
      </c>
      <c r="B31" s="29"/>
      <c r="C31" s="29"/>
      <c r="D31" s="29"/>
      <c r="E31" s="30"/>
    </row>
    <row r="32" spans="1:5" x14ac:dyDescent="0.25">
      <c r="A32" s="28">
        <v>31</v>
      </c>
      <c r="B32" s="29"/>
      <c r="C32" s="29"/>
      <c r="D32" s="29"/>
      <c r="E32" s="30"/>
    </row>
    <row r="33" spans="1:5" x14ac:dyDescent="0.25">
      <c r="A33" s="28">
        <v>32</v>
      </c>
      <c r="B33" s="29"/>
      <c r="C33" s="29"/>
      <c r="D33" s="29"/>
      <c r="E33" s="30"/>
    </row>
    <row r="34" spans="1:5" x14ac:dyDescent="0.25">
      <c r="A34" s="28">
        <v>33</v>
      </c>
      <c r="B34" s="29"/>
      <c r="C34" s="29"/>
      <c r="D34" s="29"/>
      <c r="E34" s="30"/>
    </row>
    <row r="35" spans="1:5" x14ac:dyDescent="0.25">
      <c r="A35" s="28">
        <v>34</v>
      </c>
      <c r="B35" s="29"/>
      <c r="C35" s="29"/>
      <c r="D35" s="29"/>
      <c r="E35" s="30"/>
    </row>
    <row r="36" spans="1:5" x14ac:dyDescent="0.25">
      <c r="A36" s="28">
        <v>35</v>
      </c>
      <c r="B36" s="29"/>
      <c r="C36" s="29"/>
      <c r="D36" s="29"/>
      <c r="E36" s="30"/>
    </row>
    <row r="37" spans="1:5" x14ac:dyDescent="0.25">
      <c r="A37" s="28">
        <v>36</v>
      </c>
      <c r="B37" s="29"/>
      <c r="C37" s="29"/>
      <c r="D37" s="29"/>
      <c r="E37" s="30"/>
    </row>
    <row r="38" spans="1:5" x14ac:dyDescent="0.25">
      <c r="A38" s="28">
        <v>37</v>
      </c>
      <c r="B38" s="29"/>
      <c r="C38" s="29"/>
      <c r="D38" s="29"/>
      <c r="E38" s="30"/>
    </row>
    <row r="39" spans="1:5" x14ac:dyDescent="0.25">
      <c r="A39" s="28">
        <v>38</v>
      </c>
      <c r="B39" s="29"/>
      <c r="C39" s="29"/>
      <c r="D39" s="29"/>
      <c r="E39" s="30"/>
    </row>
    <row r="40" spans="1:5" x14ac:dyDescent="0.25">
      <c r="A40" s="28">
        <v>39</v>
      </c>
      <c r="B40" s="29"/>
      <c r="C40" s="29"/>
      <c r="D40" s="29"/>
      <c r="E40" s="30"/>
    </row>
    <row r="41" spans="1:5" x14ac:dyDescent="0.25">
      <c r="A41" s="28">
        <v>40</v>
      </c>
      <c r="B41" s="29"/>
      <c r="C41" s="29"/>
      <c r="D41" s="29"/>
      <c r="E41" s="30"/>
    </row>
    <row r="42" spans="1:5" x14ac:dyDescent="0.25">
      <c r="A42" s="28">
        <v>41</v>
      </c>
      <c r="B42" s="29"/>
      <c r="C42" s="29"/>
      <c r="D42" s="29"/>
      <c r="E42" s="30"/>
    </row>
    <row r="43" spans="1:5" x14ac:dyDescent="0.25">
      <c r="A43" s="28">
        <v>42</v>
      </c>
      <c r="B43" s="29"/>
      <c r="C43" s="29"/>
      <c r="D43" s="29"/>
      <c r="E43" s="30"/>
    </row>
    <row r="44" spans="1:5" x14ac:dyDescent="0.25">
      <c r="A44" s="28">
        <v>43</v>
      </c>
      <c r="B44" s="29"/>
      <c r="C44" s="29"/>
      <c r="D44" s="29"/>
      <c r="E44" s="30"/>
    </row>
    <row r="45" spans="1:5" x14ac:dyDescent="0.25">
      <c r="A45" s="28">
        <v>44</v>
      </c>
      <c r="B45" s="29"/>
      <c r="C45" s="29"/>
      <c r="D45" s="29"/>
      <c r="E45" s="30"/>
    </row>
    <row r="46" spans="1:5" x14ac:dyDescent="0.25">
      <c r="A46" s="28">
        <v>45</v>
      </c>
      <c r="B46" s="29"/>
      <c r="C46" s="29"/>
      <c r="D46" s="29"/>
      <c r="E46" s="30"/>
    </row>
    <row r="47" spans="1:5" x14ac:dyDescent="0.25">
      <c r="A47" s="28">
        <v>46</v>
      </c>
      <c r="B47" s="29"/>
      <c r="C47" s="29"/>
      <c r="D47" s="29"/>
      <c r="E47" s="30"/>
    </row>
    <row r="48" spans="1:5" x14ac:dyDescent="0.25">
      <c r="A48" s="28">
        <v>47</v>
      </c>
      <c r="B48" s="29"/>
      <c r="C48" s="29"/>
      <c r="D48" s="29"/>
      <c r="E48" s="30"/>
    </row>
    <row r="49" spans="1:5" x14ac:dyDescent="0.25">
      <c r="A49" s="28">
        <v>48</v>
      </c>
      <c r="B49" s="29"/>
      <c r="C49" s="29"/>
      <c r="D49" s="29"/>
      <c r="E49" s="30"/>
    </row>
    <row r="50" spans="1:5" x14ac:dyDescent="0.25">
      <c r="A50" s="28">
        <v>49</v>
      </c>
      <c r="B50" s="29"/>
      <c r="C50" s="29"/>
      <c r="D50" s="29"/>
      <c r="E50" s="30"/>
    </row>
    <row r="51" spans="1:5" x14ac:dyDescent="0.25">
      <c r="A51" s="28">
        <v>50</v>
      </c>
      <c r="B51" s="29"/>
      <c r="C51" s="29"/>
      <c r="D51" s="29"/>
      <c r="E51" s="30"/>
    </row>
    <row r="52" spans="1:5" x14ac:dyDescent="0.25">
      <c r="A52" s="28">
        <v>51</v>
      </c>
      <c r="B52" s="29"/>
      <c r="C52" s="29"/>
      <c r="D52" s="29"/>
      <c r="E52" s="30"/>
    </row>
    <row r="53" spans="1:5" x14ac:dyDescent="0.25">
      <c r="A53" s="28">
        <v>52</v>
      </c>
      <c r="B53" s="29"/>
      <c r="C53" s="29"/>
      <c r="D53" s="29"/>
      <c r="E53" s="30"/>
    </row>
    <row r="54" spans="1:5" x14ac:dyDescent="0.25">
      <c r="A54" s="28">
        <v>53</v>
      </c>
      <c r="B54" s="29"/>
      <c r="C54" s="29"/>
      <c r="D54" s="29"/>
      <c r="E54" s="30"/>
    </row>
    <row r="55" spans="1:5" x14ac:dyDescent="0.25">
      <c r="A55" s="28">
        <v>54</v>
      </c>
      <c r="B55" s="29"/>
      <c r="C55" s="29"/>
      <c r="D55" s="29"/>
      <c r="E55" s="30"/>
    </row>
    <row r="56" spans="1:5" x14ac:dyDescent="0.25">
      <c r="A56" s="28">
        <v>55</v>
      </c>
      <c r="B56" s="29"/>
      <c r="C56" s="29"/>
      <c r="D56" s="29"/>
      <c r="E56" s="30"/>
    </row>
    <row r="57" spans="1:5" x14ac:dyDescent="0.25">
      <c r="A57" s="28">
        <v>56</v>
      </c>
      <c r="B57" s="29"/>
      <c r="C57" s="29"/>
      <c r="D57" s="29"/>
      <c r="E57" s="30"/>
    </row>
    <row r="58" spans="1:5" x14ac:dyDescent="0.25">
      <c r="A58" s="28">
        <v>57</v>
      </c>
      <c r="B58" s="29"/>
      <c r="C58" s="29"/>
      <c r="D58" s="29"/>
      <c r="E58" s="30"/>
    </row>
    <row r="59" spans="1:5" x14ac:dyDescent="0.25">
      <c r="A59" s="28">
        <v>58</v>
      </c>
      <c r="B59" s="29"/>
      <c r="C59" s="29"/>
      <c r="D59" s="29"/>
      <c r="E59" s="30"/>
    </row>
    <row r="60" spans="1:5" x14ac:dyDescent="0.25">
      <c r="A60" s="28">
        <v>59</v>
      </c>
      <c r="B60" s="29"/>
      <c r="C60" s="29"/>
      <c r="D60" s="29"/>
      <c r="E60" s="30"/>
    </row>
    <row r="61" spans="1:5" x14ac:dyDescent="0.25">
      <c r="A61" s="28">
        <v>60</v>
      </c>
      <c r="B61" s="29"/>
      <c r="C61" s="29"/>
      <c r="D61" s="29"/>
      <c r="E61" s="30"/>
    </row>
    <row r="62" spans="1:5" x14ac:dyDescent="0.25">
      <c r="A62" s="28">
        <v>61</v>
      </c>
      <c r="B62" s="29"/>
      <c r="C62" s="29"/>
      <c r="D62" s="29"/>
      <c r="E62" s="30"/>
    </row>
    <row r="63" spans="1:5" x14ac:dyDescent="0.25">
      <c r="A63" s="28">
        <v>62</v>
      </c>
      <c r="B63" s="29"/>
      <c r="C63" s="29"/>
      <c r="D63" s="29"/>
      <c r="E63" s="30"/>
    </row>
    <row r="64" spans="1:5" x14ac:dyDescent="0.25">
      <c r="A64" s="28">
        <v>63</v>
      </c>
      <c r="B64" s="29"/>
      <c r="C64" s="29"/>
      <c r="D64" s="29"/>
      <c r="E64" s="30"/>
    </row>
    <row r="65" spans="1:5" ht="15.75" thickBot="1" x14ac:dyDescent="0.3">
      <c r="A65" s="32">
        <v>64</v>
      </c>
      <c r="B65" s="33"/>
      <c r="C65" s="33"/>
      <c r="D65" s="33"/>
      <c r="E65" s="3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DC5024"/>
  </sheetPr>
  <dimension ref="A1:E65"/>
  <sheetViews>
    <sheetView workbookViewId="0">
      <selection activeCell="H21" sqref="H21"/>
    </sheetView>
  </sheetViews>
  <sheetFormatPr defaultRowHeight="15" x14ac:dyDescent="0.25"/>
  <cols>
    <col min="1" max="1" width="5.7109375" bestFit="1" customWidth="1"/>
    <col min="2" max="2" width="8" bestFit="1" customWidth="1"/>
    <col min="3" max="3" width="11.7109375" bestFit="1" customWidth="1"/>
    <col min="4" max="4" width="7.42578125" bestFit="1" customWidth="1"/>
    <col min="5" max="5" width="8.42578125" bestFit="1" customWidth="1"/>
  </cols>
  <sheetData>
    <row r="1" spans="1:5" x14ac:dyDescent="0.25">
      <c r="A1" s="66" t="s">
        <v>275</v>
      </c>
      <c r="B1" s="67" t="s">
        <v>362</v>
      </c>
      <c r="C1" s="67" t="s">
        <v>313</v>
      </c>
      <c r="D1" s="67" t="s">
        <v>271</v>
      </c>
      <c r="E1" s="68" t="s">
        <v>316</v>
      </c>
    </row>
    <row r="2" spans="1:5" x14ac:dyDescent="0.25">
      <c r="A2" s="284">
        <v>1</v>
      </c>
      <c r="B2" s="29"/>
      <c r="C2" s="29"/>
      <c r="D2" s="29"/>
      <c r="E2" s="30"/>
    </row>
    <row r="3" spans="1:5" x14ac:dyDescent="0.25">
      <c r="A3" s="284">
        <v>2</v>
      </c>
      <c r="B3" s="29"/>
      <c r="C3" s="29"/>
      <c r="D3" s="29"/>
      <c r="E3" s="30"/>
    </row>
    <row r="4" spans="1:5" x14ac:dyDescent="0.25">
      <c r="A4" s="284">
        <v>3</v>
      </c>
      <c r="B4" s="29"/>
      <c r="C4" s="29"/>
      <c r="D4" s="29"/>
      <c r="E4" s="30"/>
    </row>
    <row r="5" spans="1:5" x14ac:dyDescent="0.25">
      <c r="A5" s="284">
        <v>4</v>
      </c>
      <c r="B5" s="29"/>
      <c r="C5" s="29"/>
      <c r="D5" s="29"/>
      <c r="E5" s="30"/>
    </row>
    <row r="6" spans="1:5" x14ac:dyDescent="0.25">
      <c r="A6" s="284">
        <v>5</v>
      </c>
      <c r="B6" s="29"/>
      <c r="C6" s="29"/>
      <c r="D6" s="29"/>
      <c r="E6" s="30"/>
    </row>
    <row r="7" spans="1:5" x14ac:dyDescent="0.25">
      <c r="A7" s="284">
        <v>6</v>
      </c>
      <c r="B7" s="29"/>
      <c r="C7" s="29"/>
      <c r="D7" s="29"/>
      <c r="E7" s="30"/>
    </row>
    <row r="8" spans="1:5" x14ac:dyDescent="0.25">
      <c r="A8" s="284">
        <v>7</v>
      </c>
      <c r="B8" s="29"/>
      <c r="C8" s="29"/>
      <c r="D8" s="29"/>
      <c r="E8" s="30"/>
    </row>
    <row r="9" spans="1:5" x14ac:dyDescent="0.25">
      <c r="A9" s="284">
        <v>8</v>
      </c>
      <c r="B9" s="29"/>
      <c r="C9" s="29"/>
      <c r="D9" s="29"/>
      <c r="E9" s="30"/>
    </row>
    <row r="10" spans="1:5" x14ac:dyDescent="0.25">
      <c r="A10" s="284">
        <v>9</v>
      </c>
      <c r="B10" s="29"/>
      <c r="C10" s="29"/>
      <c r="D10" s="29"/>
      <c r="E10" s="30"/>
    </row>
    <row r="11" spans="1:5" x14ac:dyDescent="0.25">
      <c r="A11" s="284">
        <v>10</v>
      </c>
      <c r="B11" s="29"/>
      <c r="C11" s="29"/>
      <c r="D11" s="29"/>
      <c r="E11" s="30"/>
    </row>
    <row r="12" spans="1:5" x14ac:dyDescent="0.25">
      <c r="A12" s="284">
        <v>11</v>
      </c>
      <c r="B12" s="29"/>
      <c r="C12" s="29"/>
      <c r="D12" s="29"/>
      <c r="E12" s="30"/>
    </row>
    <row r="13" spans="1:5" x14ac:dyDescent="0.25">
      <c r="A13" s="284">
        <v>12</v>
      </c>
      <c r="B13" s="29"/>
      <c r="C13" s="29"/>
      <c r="D13" s="29"/>
      <c r="E13" s="30"/>
    </row>
    <row r="14" spans="1:5" x14ac:dyDescent="0.25">
      <c r="A14" s="284">
        <v>13</v>
      </c>
      <c r="B14" s="29"/>
      <c r="C14" s="29"/>
      <c r="D14" s="29"/>
      <c r="E14" s="30"/>
    </row>
    <row r="15" spans="1:5" x14ac:dyDescent="0.25">
      <c r="A15" s="284">
        <v>14</v>
      </c>
      <c r="B15" s="29"/>
      <c r="C15" s="29"/>
      <c r="D15" s="29"/>
      <c r="E15" s="30"/>
    </row>
    <row r="16" spans="1:5" x14ac:dyDescent="0.25">
      <c r="A16" s="284">
        <v>15</v>
      </c>
      <c r="B16" s="29"/>
      <c r="C16" s="29"/>
      <c r="D16" s="29"/>
      <c r="E16" s="30"/>
    </row>
    <row r="17" spans="1:5" x14ac:dyDescent="0.25">
      <c r="A17" s="284">
        <v>16</v>
      </c>
      <c r="B17" s="29"/>
      <c r="C17" s="29"/>
      <c r="D17" s="29"/>
      <c r="E17" s="30"/>
    </row>
    <row r="18" spans="1:5" x14ac:dyDescent="0.25">
      <c r="A18" s="284">
        <v>17</v>
      </c>
      <c r="B18" s="29"/>
      <c r="C18" s="29"/>
      <c r="D18" s="29"/>
      <c r="E18" s="30"/>
    </row>
    <row r="19" spans="1:5" x14ac:dyDescent="0.25">
      <c r="A19" s="284">
        <v>18</v>
      </c>
      <c r="B19" s="29"/>
      <c r="C19" s="29"/>
      <c r="D19" s="29"/>
      <c r="E19" s="30"/>
    </row>
    <row r="20" spans="1:5" x14ac:dyDescent="0.25">
      <c r="A20" s="284">
        <v>19</v>
      </c>
      <c r="B20" s="29"/>
      <c r="C20" s="29"/>
      <c r="D20" s="29"/>
      <c r="E20" s="30"/>
    </row>
    <row r="21" spans="1:5" x14ac:dyDescent="0.25">
      <c r="A21" s="284">
        <v>20</v>
      </c>
      <c r="B21" s="29"/>
      <c r="C21" s="29"/>
      <c r="D21" s="29"/>
      <c r="E21" s="30"/>
    </row>
    <row r="22" spans="1:5" x14ac:dyDescent="0.25">
      <c r="A22" s="284">
        <v>21</v>
      </c>
      <c r="B22" s="29"/>
      <c r="C22" s="29"/>
      <c r="D22" s="29"/>
      <c r="E22" s="30"/>
    </row>
    <row r="23" spans="1:5" x14ac:dyDescent="0.25">
      <c r="A23" s="284">
        <v>22</v>
      </c>
      <c r="B23" s="29"/>
      <c r="C23" s="29"/>
      <c r="D23" s="29"/>
      <c r="E23" s="30"/>
    </row>
    <row r="24" spans="1:5" x14ac:dyDescent="0.25">
      <c r="A24" s="284">
        <v>23</v>
      </c>
      <c r="B24" s="29"/>
      <c r="C24" s="29"/>
      <c r="D24" s="29"/>
      <c r="E24" s="30"/>
    </row>
    <row r="25" spans="1:5" x14ac:dyDescent="0.25">
      <c r="A25" s="284">
        <v>24</v>
      </c>
      <c r="B25" s="29"/>
      <c r="C25" s="29"/>
      <c r="D25" s="29"/>
      <c r="E25" s="30"/>
    </row>
    <row r="26" spans="1:5" x14ac:dyDescent="0.25">
      <c r="A26" s="284">
        <v>25</v>
      </c>
      <c r="B26" s="29"/>
      <c r="C26" s="29"/>
      <c r="D26" s="29"/>
      <c r="E26" s="30"/>
    </row>
    <row r="27" spans="1:5" x14ac:dyDescent="0.25">
      <c r="A27" s="284">
        <v>26</v>
      </c>
      <c r="B27" s="29"/>
      <c r="C27" s="29"/>
      <c r="D27" s="29"/>
      <c r="E27" s="30"/>
    </row>
    <row r="28" spans="1:5" x14ac:dyDescent="0.25">
      <c r="A28" s="284">
        <v>27</v>
      </c>
      <c r="B28" s="29"/>
      <c r="C28" s="29"/>
      <c r="D28" s="29"/>
      <c r="E28" s="30"/>
    </row>
    <row r="29" spans="1:5" x14ac:dyDescent="0.25">
      <c r="A29" s="284">
        <v>28</v>
      </c>
      <c r="B29" s="29"/>
      <c r="C29" s="29"/>
      <c r="D29" s="29"/>
      <c r="E29" s="30"/>
    </row>
    <row r="30" spans="1:5" x14ac:dyDescent="0.25">
      <c r="A30" s="284">
        <v>29</v>
      </c>
      <c r="B30" s="29"/>
      <c r="C30" s="29"/>
      <c r="D30" s="29"/>
      <c r="E30" s="30"/>
    </row>
    <row r="31" spans="1:5" x14ac:dyDescent="0.25">
      <c r="A31" s="284">
        <v>30</v>
      </c>
      <c r="B31" s="29"/>
      <c r="C31" s="29"/>
      <c r="D31" s="29"/>
      <c r="E31" s="30"/>
    </row>
    <row r="32" spans="1:5" x14ac:dyDescent="0.25">
      <c r="A32" s="284">
        <v>31</v>
      </c>
      <c r="B32" s="29"/>
      <c r="C32" s="29"/>
      <c r="D32" s="29"/>
      <c r="E32" s="30"/>
    </row>
    <row r="33" spans="1:5" x14ac:dyDescent="0.25">
      <c r="A33" s="284">
        <v>32</v>
      </c>
      <c r="B33" s="29"/>
      <c r="C33" s="29"/>
      <c r="D33" s="29"/>
      <c r="E33" s="30"/>
    </row>
    <row r="34" spans="1:5" x14ac:dyDescent="0.25">
      <c r="A34" s="284">
        <v>33</v>
      </c>
      <c r="B34" s="29"/>
      <c r="C34" s="29"/>
      <c r="D34" s="29"/>
      <c r="E34" s="30"/>
    </row>
    <row r="35" spans="1:5" x14ac:dyDescent="0.25">
      <c r="A35" s="284">
        <v>34</v>
      </c>
      <c r="B35" s="29"/>
      <c r="C35" s="29"/>
      <c r="D35" s="29"/>
      <c r="E35" s="30"/>
    </row>
    <row r="36" spans="1:5" x14ac:dyDescent="0.25">
      <c r="A36" s="284">
        <v>35</v>
      </c>
      <c r="B36" s="29"/>
      <c r="C36" s="29"/>
      <c r="D36" s="29"/>
      <c r="E36" s="30"/>
    </row>
    <row r="37" spans="1:5" x14ac:dyDescent="0.25">
      <c r="A37" s="284">
        <v>36</v>
      </c>
      <c r="B37" s="29"/>
      <c r="C37" s="29"/>
      <c r="D37" s="29"/>
      <c r="E37" s="30"/>
    </row>
    <row r="38" spans="1:5" x14ac:dyDescent="0.25">
      <c r="A38" s="284">
        <v>37</v>
      </c>
      <c r="B38" s="29"/>
      <c r="C38" s="29"/>
      <c r="D38" s="29"/>
      <c r="E38" s="30"/>
    </row>
    <row r="39" spans="1:5" x14ac:dyDescent="0.25">
      <c r="A39" s="284">
        <v>38</v>
      </c>
      <c r="B39" s="29"/>
      <c r="C39" s="29"/>
      <c r="D39" s="29"/>
      <c r="E39" s="30"/>
    </row>
    <row r="40" spans="1:5" x14ac:dyDescent="0.25">
      <c r="A40" s="284">
        <v>39</v>
      </c>
      <c r="B40" s="29"/>
      <c r="C40" s="29"/>
      <c r="D40" s="29"/>
      <c r="E40" s="30"/>
    </row>
    <row r="41" spans="1:5" x14ac:dyDescent="0.25">
      <c r="A41" s="284">
        <v>40</v>
      </c>
      <c r="B41" s="29"/>
      <c r="C41" s="29"/>
      <c r="D41" s="29"/>
      <c r="E41" s="30"/>
    </row>
    <row r="42" spans="1:5" x14ac:dyDescent="0.25">
      <c r="A42" s="284">
        <v>41</v>
      </c>
      <c r="B42" s="29"/>
      <c r="C42" s="29"/>
      <c r="D42" s="29"/>
      <c r="E42" s="30"/>
    </row>
    <row r="43" spans="1:5" x14ac:dyDescent="0.25">
      <c r="A43" s="284">
        <v>42</v>
      </c>
      <c r="B43" s="29"/>
      <c r="C43" s="29"/>
      <c r="D43" s="29"/>
      <c r="E43" s="30"/>
    </row>
    <row r="44" spans="1:5" x14ac:dyDescent="0.25">
      <c r="A44" s="284">
        <v>43</v>
      </c>
      <c r="B44" s="29"/>
      <c r="C44" s="29"/>
      <c r="D44" s="29"/>
      <c r="E44" s="30"/>
    </row>
    <row r="45" spans="1:5" x14ac:dyDescent="0.25">
      <c r="A45" s="284">
        <v>44</v>
      </c>
      <c r="B45" s="29"/>
      <c r="C45" s="29"/>
      <c r="D45" s="29"/>
      <c r="E45" s="30"/>
    </row>
    <row r="46" spans="1:5" x14ac:dyDescent="0.25">
      <c r="A46" s="284">
        <v>45</v>
      </c>
      <c r="B46" s="29"/>
      <c r="C46" s="29"/>
      <c r="D46" s="29"/>
      <c r="E46" s="30"/>
    </row>
    <row r="47" spans="1:5" x14ac:dyDescent="0.25">
      <c r="A47" s="284">
        <v>46</v>
      </c>
      <c r="B47" s="29"/>
      <c r="C47" s="29"/>
      <c r="D47" s="29"/>
      <c r="E47" s="30"/>
    </row>
    <row r="48" spans="1:5" x14ac:dyDescent="0.25">
      <c r="A48" s="284">
        <v>47</v>
      </c>
      <c r="B48" s="29"/>
      <c r="C48" s="29"/>
      <c r="D48" s="29"/>
      <c r="E48" s="30"/>
    </row>
    <row r="49" spans="1:5" x14ac:dyDescent="0.25">
      <c r="A49" s="284">
        <v>48</v>
      </c>
      <c r="B49" s="29"/>
      <c r="C49" s="29"/>
      <c r="D49" s="29"/>
      <c r="E49" s="30"/>
    </row>
    <row r="50" spans="1:5" x14ac:dyDescent="0.25">
      <c r="A50" s="284">
        <v>49</v>
      </c>
      <c r="B50" s="29"/>
      <c r="C50" s="29"/>
      <c r="D50" s="29"/>
      <c r="E50" s="30"/>
    </row>
    <row r="51" spans="1:5" x14ac:dyDescent="0.25">
      <c r="A51" s="284">
        <v>50</v>
      </c>
      <c r="B51" s="29"/>
      <c r="C51" s="29"/>
      <c r="D51" s="29"/>
      <c r="E51" s="30"/>
    </row>
    <row r="52" spans="1:5" x14ac:dyDescent="0.25">
      <c r="A52" s="284">
        <v>51</v>
      </c>
      <c r="B52" s="29"/>
      <c r="C52" s="29"/>
      <c r="D52" s="29"/>
      <c r="E52" s="30"/>
    </row>
    <row r="53" spans="1:5" x14ac:dyDescent="0.25">
      <c r="A53" s="284">
        <v>52</v>
      </c>
      <c r="B53" s="29"/>
      <c r="C53" s="29"/>
      <c r="D53" s="29"/>
      <c r="E53" s="30"/>
    </row>
    <row r="54" spans="1:5" x14ac:dyDescent="0.25">
      <c r="A54" s="284">
        <v>53</v>
      </c>
      <c r="B54" s="29"/>
      <c r="C54" s="29"/>
      <c r="D54" s="29"/>
      <c r="E54" s="30"/>
    </row>
    <row r="55" spans="1:5" x14ac:dyDescent="0.25">
      <c r="A55" s="284">
        <v>54</v>
      </c>
      <c r="B55" s="29"/>
      <c r="C55" s="29"/>
      <c r="D55" s="29"/>
      <c r="E55" s="30"/>
    </row>
    <row r="56" spans="1:5" x14ac:dyDescent="0.25">
      <c r="A56" s="284">
        <v>55</v>
      </c>
      <c r="B56" s="29"/>
      <c r="C56" s="29"/>
      <c r="D56" s="29"/>
      <c r="E56" s="30"/>
    </row>
    <row r="57" spans="1:5" x14ac:dyDescent="0.25">
      <c r="A57" s="284">
        <v>56</v>
      </c>
      <c r="B57" s="29"/>
      <c r="C57" s="29"/>
      <c r="D57" s="29"/>
      <c r="E57" s="30"/>
    </row>
    <row r="58" spans="1:5" x14ac:dyDescent="0.25">
      <c r="A58" s="284">
        <v>57</v>
      </c>
      <c r="B58" s="29"/>
      <c r="C58" s="29"/>
      <c r="D58" s="29"/>
      <c r="E58" s="30"/>
    </row>
    <row r="59" spans="1:5" x14ac:dyDescent="0.25">
      <c r="A59" s="284">
        <v>58</v>
      </c>
      <c r="B59" s="29"/>
      <c r="C59" s="29"/>
      <c r="D59" s="29"/>
      <c r="E59" s="30"/>
    </row>
    <row r="60" spans="1:5" x14ac:dyDescent="0.25">
      <c r="A60" s="284">
        <v>59</v>
      </c>
      <c r="B60" s="29"/>
      <c r="C60" s="29"/>
      <c r="D60" s="29"/>
      <c r="E60" s="30"/>
    </row>
    <row r="61" spans="1:5" x14ac:dyDescent="0.25">
      <c r="A61" s="284">
        <v>60</v>
      </c>
      <c r="B61" s="29"/>
      <c r="C61" s="29"/>
      <c r="D61" s="29"/>
      <c r="E61" s="30"/>
    </row>
    <row r="62" spans="1:5" x14ac:dyDescent="0.25">
      <c r="A62" s="284">
        <v>61</v>
      </c>
      <c r="B62" s="29"/>
      <c r="C62" s="29"/>
      <c r="D62" s="29"/>
      <c r="E62" s="30"/>
    </row>
    <row r="63" spans="1:5" x14ac:dyDescent="0.25">
      <c r="A63" s="284">
        <v>62</v>
      </c>
      <c r="B63" s="29"/>
      <c r="C63" s="29"/>
      <c r="D63" s="29"/>
      <c r="E63" s="30"/>
    </row>
    <row r="64" spans="1:5" x14ac:dyDescent="0.25">
      <c r="A64" s="284">
        <v>63</v>
      </c>
      <c r="B64" s="29"/>
      <c r="C64" s="29"/>
      <c r="D64" s="29"/>
      <c r="E64" s="30"/>
    </row>
    <row r="65" spans="1:5" ht="15.75" thickBot="1" x14ac:dyDescent="0.3">
      <c r="A65" s="285">
        <v>64</v>
      </c>
      <c r="B65" s="33"/>
      <c r="C65" s="33"/>
      <c r="D65" s="33"/>
      <c r="E65" s="3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  <pageSetUpPr fitToPage="1"/>
  </sheetPr>
  <dimension ref="A1:AK36"/>
  <sheetViews>
    <sheetView topLeftCell="M1" zoomScaleNormal="100" workbookViewId="0">
      <pane ySplit="10" topLeftCell="A14" activePane="bottomLeft" state="frozen"/>
      <selection pane="bottomLeft" activeCell="AF5" sqref="B5:AG5"/>
    </sheetView>
  </sheetViews>
  <sheetFormatPr defaultRowHeight="15" x14ac:dyDescent="0.25"/>
  <cols>
    <col min="1" max="1" width="11.42578125" bestFit="1" customWidth="1"/>
    <col min="2" max="2" width="3" bestFit="1" customWidth="1"/>
    <col min="3" max="3" width="16.28515625" bestFit="1" customWidth="1"/>
    <col min="4" max="4" width="2.85546875" bestFit="1" customWidth="1"/>
    <col min="5" max="5" width="11.42578125" bestFit="1" customWidth="1"/>
    <col min="6" max="6" width="3" bestFit="1" customWidth="1"/>
    <col min="7" max="7" width="18.85546875" bestFit="1" customWidth="1"/>
    <col min="8" max="8" width="5.42578125" bestFit="1" customWidth="1"/>
    <col min="9" max="9" width="16.140625" bestFit="1" customWidth="1"/>
    <col min="10" max="10" width="5.42578125" bestFit="1" customWidth="1"/>
    <col min="11" max="11" width="16.140625" bestFit="1" customWidth="1"/>
    <col min="12" max="12" width="3" bestFit="1" customWidth="1"/>
    <col min="13" max="13" width="18.85546875" bestFit="1" customWidth="1"/>
    <col min="14" max="14" width="3" bestFit="1" customWidth="1"/>
    <col min="15" max="15" width="18.85546875" bestFit="1" customWidth="1"/>
    <col min="16" max="16" width="2.85546875" bestFit="1" customWidth="1"/>
    <col min="17" max="17" width="7.42578125" bestFit="1" customWidth="1"/>
    <col min="18" max="18" width="5" bestFit="1" customWidth="1"/>
    <col min="19" max="19" width="22.42578125" bestFit="1" customWidth="1"/>
    <col min="20" max="20" width="5" bestFit="1" customWidth="1"/>
    <col min="21" max="21" width="28.42578125" bestFit="1" customWidth="1"/>
    <col min="22" max="22" width="3" bestFit="1" customWidth="1"/>
    <col min="23" max="23" width="24.5703125" bestFit="1" customWidth="1"/>
    <col min="24" max="24" width="5" bestFit="1" customWidth="1"/>
    <col min="25" max="25" width="28.42578125" bestFit="1" customWidth="1"/>
    <col min="26" max="26" width="4" bestFit="1" customWidth="1"/>
    <col min="27" max="27" width="23.85546875" bestFit="1" customWidth="1"/>
    <col min="28" max="28" width="4" bestFit="1" customWidth="1"/>
    <col min="29" max="29" width="28.28515625" bestFit="1" customWidth="1"/>
    <col min="30" max="30" width="5.42578125" bestFit="1" customWidth="1"/>
    <col min="31" max="31" width="17.5703125" bestFit="1" customWidth="1"/>
    <col min="32" max="32" width="5.42578125" bestFit="1" customWidth="1"/>
    <col min="33" max="33" width="17.5703125" bestFit="1" customWidth="1"/>
  </cols>
  <sheetData>
    <row r="1" spans="1:37" ht="15.75" thickBot="1" x14ac:dyDescent="0.3">
      <c r="A1" s="107" t="s">
        <v>242</v>
      </c>
      <c r="B1" s="384" t="s">
        <v>1354</v>
      </c>
      <c r="C1" s="385"/>
      <c r="D1" s="385"/>
      <c r="E1" s="385"/>
      <c r="F1" s="385"/>
      <c r="G1" s="385"/>
      <c r="H1" s="385"/>
      <c r="I1" s="386"/>
      <c r="J1" s="387" t="s">
        <v>1355</v>
      </c>
      <c r="K1" s="388"/>
      <c r="L1" s="388"/>
      <c r="M1" s="388"/>
      <c r="N1" s="388"/>
      <c r="O1" s="388"/>
      <c r="P1" s="388"/>
      <c r="Q1" s="389"/>
      <c r="R1" s="384" t="s">
        <v>1356</v>
      </c>
      <c r="S1" s="385"/>
      <c r="T1" s="385"/>
      <c r="U1" s="385"/>
      <c r="V1" s="385"/>
      <c r="W1" s="385"/>
      <c r="X1" s="385"/>
      <c r="Y1" s="386"/>
      <c r="Z1" s="387" t="s">
        <v>1357</v>
      </c>
      <c r="AA1" s="388"/>
      <c r="AB1" s="388"/>
      <c r="AC1" s="388"/>
      <c r="AD1" s="388"/>
      <c r="AE1" s="388"/>
      <c r="AF1" s="388"/>
      <c r="AG1" s="389"/>
    </row>
    <row r="2" spans="1:37" ht="15.75" thickBot="1" x14ac:dyDescent="0.3">
      <c r="A2" s="42" t="s">
        <v>276</v>
      </c>
      <c r="B2" s="393" t="s">
        <v>267</v>
      </c>
      <c r="C2" s="394"/>
      <c r="D2" s="390" t="s">
        <v>268</v>
      </c>
      <c r="E2" s="391"/>
      <c r="F2" s="391" t="s">
        <v>269</v>
      </c>
      <c r="G2" s="391"/>
      <c r="H2" s="391" t="s">
        <v>270</v>
      </c>
      <c r="I2" s="409"/>
      <c r="J2" s="390" t="s">
        <v>267</v>
      </c>
      <c r="K2" s="391"/>
      <c r="L2" s="391" t="s">
        <v>268</v>
      </c>
      <c r="M2" s="391"/>
      <c r="N2" s="391" t="s">
        <v>269</v>
      </c>
      <c r="O2" s="391"/>
      <c r="P2" s="391" t="s">
        <v>270</v>
      </c>
      <c r="Q2" s="392"/>
      <c r="R2" s="414" t="s">
        <v>267</v>
      </c>
      <c r="S2" s="391"/>
      <c r="T2" s="391" t="s">
        <v>268</v>
      </c>
      <c r="U2" s="391"/>
      <c r="V2" s="391" t="s">
        <v>269</v>
      </c>
      <c r="W2" s="391"/>
      <c r="X2" s="391" t="s">
        <v>270</v>
      </c>
      <c r="Y2" s="409"/>
      <c r="Z2" s="390" t="s">
        <v>267</v>
      </c>
      <c r="AA2" s="391"/>
      <c r="AB2" s="391" t="s">
        <v>268</v>
      </c>
      <c r="AC2" s="391"/>
      <c r="AD2" s="391" t="s">
        <v>269</v>
      </c>
      <c r="AE2" s="391"/>
      <c r="AF2" s="391" t="s">
        <v>270</v>
      </c>
      <c r="AG2" s="409"/>
    </row>
    <row r="3" spans="1:37" x14ac:dyDescent="0.25">
      <c r="A3" s="42" t="s">
        <v>273</v>
      </c>
      <c r="B3" s="399" t="s">
        <v>51</v>
      </c>
      <c r="C3" s="400"/>
      <c r="D3" s="405" t="s">
        <v>112</v>
      </c>
      <c r="E3" s="406"/>
      <c r="F3" s="399" t="s">
        <v>51</v>
      </c>
      <c r="G3" s="400"/>
      <c r="H3" s="407" t="s">
        <v>51</v>
      </c>
      <c r="I3" s="408"/>
      <c r="J3" s="405" t="s">
        <v>51</v>
      </c>
      <c r="K3" s="406"/>
      <c r="L3" s="399" t="s">
        <v>51</v>
      </c>
      <c r="M3" s="400"/>
      <c r="N3" s="405" t="s">
        <v>1775</v>
      </c>
      <c r="O3" s="406"/>
      <c r="P3" s="410" t="s">
        <v>279</v>
      </c>
      <c r="Q3" s="411"/>
      <c r="R3" s="399" t="s">
        <v>112</v>
      </c>
      <c r="S3" s="400"/>
      <c r="T3" s="399" t="s">
        <v>112</v>
      </c>
      <c r="U3" s="400"/>
      <c r="V3" s="405" t="s">
        <v>112</v>
      </c>
      <c r="W3" s="406"/>
      <c r="X3" s="399" t="s">
        <v>112</v>
      </c>
      <c r="Y3" s="400"/>
      <c r="Z3" s="417" t="s">
        <v>317</v>
      </c>
      <c r="AA3" s="418"/>
      <c r="AB3" s="415" t="s">
        <v>317</v>
      </c>
      <c r="AC3" s="416"/>
      <c r="AD3" s="417" t="s">
        <v>317</v>
      </c>
      <c r="AE3" s="418"/>
      <c r="AF3" s="415" t="s">
        <v>317</v>
      </c>
      <c r="AG3" s="416"/>
    </row>
    <row r="4" spans="1:37" x14ac:dyDescent="0.25">
      <c r="A4" s="42" t="s">
        <v>277</v>
      </c>
      <c r="B4" s="401" t="s">
        <v>278</v>
      </c>
      <c r="C4" s="402"/>
      <c r="D4" s="403" t="s">
        <v>280</v>
      </c>
      <c r="E4" s="404"/>
      <c r="F4" s="401" t="s">
        <v>281</v>
      </c>
      <c r="G4" s="402"/>
      <c r="H4" s="403" t="s">
        <v>282</v>
      </c>
      <c r="I4" s="402"/>
      <c r="J4" s="403" t="s">
        <v>283</v>
      </c>
      <c r="K4" s="404"/>
      <c r="L4" s="401" t="s">
        <v>284</v>
      </c>
      <c r="M4" s="402"/>
      <c r="N4" s="403" t="s">
        <v>285</v>
      </c>
      <c r="O4" s="404"/>
      <c r="P4" s="401" t="s">
        <v>286</v>
      </c>
      <c r="Q4" s="402"/>
      <c r="R4" s="401" t="s">
        <v>287</v>
      </c>
      <c r="S4" s="402"/>
      <c r="T4" s="401" t="s">
        <v>288</v>
      </c>
      <c r="U4" s="402"/>
      <c r="V4" s="403" t="s">
        <v>289</v>
      </c>
      <c r="W4" s="404"/>
      <c r="X4" s="401" t="s">
        <v>290</v>
      </c>
      <c r="Y4" s="402"/>
      <c r="Z4" s="403" t="s">
        <v>291</v>
      </c>
      <c r="AA4" s="404"/>
      <c r="AB4" s="401" t="s">
        <v>292</v>
      </c>
      <c r="AC4" s="402"/>
      <c r="AD4" s="403" t="s">
        <v>293</v>
      </c>
      <c r="AE4" s="404"/>
      <c r="AF4" s="401" t="s">
        <v>294</v>
      </c>
      <c r="AG4" s="402"/>
    </row>
    <row r="5" spans="1:37" x14ac:dyDescent="0.25">
      <c r="A5" s="302" t="s">
        <v>2079</v>
      </c>
      <c r="B5" s="421">
        <v>0</v>
      </c>
      <c r="C5" s="422"/>
      <c r="D5" s="421">
        <v>5</v>
      </c>
      <c r="E5" s="422"/>
      <c r="F5" s="421">
        <v>10</v>
      </c>
      <c r="G5" s="422"/>
      <c r="H5" s="421">
        <v>7</v>
      </c>
      <c r="I5" s="422"/>
      <c r="J5" s="421">
        <v>0</v>
      </c>
      <c r="K5" s="422"/>
      <c r="L5" s="421">
        <v>0</v>
      </c>
      <c r="M5" s="422"/>
      <c r="N5" s="421">
        <v>0</v>
      </c>
      <c r="O5" s="422"/>
      <c r="P5" s="421">
        <v>0</v>
      </c>
      <c r="Q5" s="422"/>
      <c r="R5" s="421">
        <v>15</v>
      </c>
      <c r="S5" s="422"/>
      <c r="T5" s="421">
        <v>0</v>
      </c>
      <c r="U5" s="422"/>
      <c r="V5" s="421">
        <v>10</v>
      </c>
      <c r="W5" s="422"/>
      <c r="X5" s="421">
        <v>0</v>
      </c>
      <c r="Y5" s="422"/>
      <c r="Z5" s="421">
        <v>4</v>
      </c>
      <c r="AA5" s="422"/>
      <c r="AB5" s="421">
        <v>0</v>
      </c>
      <c r="AC5" s="422"/>
      <c r="AD5" s="421">
        <v>0</v>
      </c>
      <c r="AE5" s="422"/>
      <c r="AF5" s="421">
        <v>10</v>
      </c>
      <c r="AG5" s="422"/>
    </row>
    <row r="6" spans="1:37" x14ac:dyDescent="0.25">
      <c r="A6" s="42" t="s">
        <v>274</v>
      </c>
      <c r="B6" s="401" t="s">
        <v>82</v>
      </c>
      <c r="C6" s="402"/>
      <c r="D6" s="403" t="s">
        <v>108</v>
      </c>
      <c r="E6" s="404"/>
      <c r="F6" s="401" t="s">
        <v>83</v>
      </c>
      <c r="G6" s="402"/>
      <c r="H6" s="403" t="s">
        <v>84</v>
      </c>
      <c r="I6" s="402"/>
      <c r="J6" s="403" t="s">
        <v>88</v>
      </c>
      <c r="K6" s="404"/>
      <c r="L6" s="401" t="s">
        <v>85</v>
      </c>
      <c r="M6" s="402"/>
      <c r="N6" s="403" t="s">
        <v>86</v>
      </c>
      <c r="O6" s="404"/>
      <c r="P6" s="401" t="s">
        <v>243</v>
      </c>
      <c r="Q6" s="402"/>
      <c r="R6" s="401" t="s">
        <v>93</v>
      </c>
      <c r="S6" s="402"/>
      <c r="T6" s="401" t="s">
        <v>94</v>
      </c>
      <c r="U6" s="402"/>
      <c r="V6" s="403" t="s">
        <v>95</v>
      </c>
      <c r="W6" s="404"/>
      <c r="X6" s="401" t="s">
        <v>96</v>
      </c>
      <c r="Y6" s="402"/>
      <c r="Z6" s="403" t="s">
        <v>97</v>
      </c>
      <c r="AA6" s="404"/>
      <c r="AB6" s="401" t="s">
        <v>98</v>
      </c>
      <c r="AC6" s="402"/>
      <c r="AD6" s="403" t="s">
        <v>99</v>
      </c>
      <c r="AE6" s="404"/>
      <c r="AF6" s="401" t="s">
        <v>100</v>
      </c>
      <c r="AG6" s="402"/>
    </row>
    <row r="7" spans="1:37" ht="15.75" thickBot="1" x14ac:dyDescent="0.3">
      <c r="A7" s="42" t="s">
        <v>295</v>
      </c>
      <c r="B7" s="395">
        <v>3845</v>
      </c>
      <c r="C7" s="396"/>
      <c r="D7" s="397">
        <v>3914</v>
      </c>
      <c r="E7" s="398"/>
      <c r="F7" s="395">
        <v>4015</v>
      </c>
      <c r="G7" s="396"/>
      <c r="H7" s="397">
        <v>3968</v>
      </c>
      <c r="I7" s="396"/>
      <c r="J7" s="397">
        <v>3968</v>
      </c>
      <c r="K7" s="398"/>
      <c r="L7" s="395">
        <v>4015</v>
      </c>
      <c r="M7" s="396"/>
      <c r="N7" s="397">
        <v>3968</v>
      </c>
      <c r="O7" s="398"/>
      <c r="P7" s="412" t="s">
        <v>425</v>
      </c>
      <c r="Q7" s="413"/>
      <c r="R7" s="397">
        <v>3980</v>
      </c>
      <c r="S7" s="398"/>
      <c r="T7" s="395">
        <v>4024</v>
      </c>
      <c r="U7" s="396"/>
      <c r="V7" s="397">
        <v>4006</v>
      </c>
      <c r="W7" s="398"/>
      <c r="X7" s="395">
        <v>4024</v>
      </c>
      <c r="Y7" s="396"/>
      <c r="Z7" s="397">
        <v>4126</v>
      </c>
      <c r="AA7" s="398"/>
      <c r="AB7" s="395">
        <v>3740</v>
      </c>
      <c r="AC7" s="396"/>
      <c r="AD7" s="397">
        <v>4090</v>
      </c>
      <c r="AE7" s="398"/>
      <c r="AF7" s="395">
        <v>4090</v>
      </c>
      <c r="AG7" s="396"/>
    </row>
    <row r="8" spans="1:37" ht="15.75" thickBot="1" x14ac:dyDescent="0.3">
      <c r="A8" s="42" t="s">
        <v>296</v>
      </c>
      <c r="B8" s="395">
        <v>27692</v>
      </c>
      <c r="C8" s="396"/>
      <c r="D8" s="397">
        <v>11200</v>
      </c>
      <c r="E8" s="398"/>
      <c r="F8" s="395">
        <v>30000</v>
      </c>
      <c r="G8" s="396"/>
      <c r="H8" s="397">
        <v>8800</v>
      </c>
      <c r="I8" s="396"/>
      <c r="J8" s="397">
        <v>8800</v>
      </c>
      <c r="K8" s="398"/>
      <c r="L8" s="395">
        <v>8800</v>
      </c>
      <c r="M8" s="396"/>
      <c r="N8" s="397">
        <v>8800</v>
      </c>
      <c r="O8" s="398"/>
      <c r="P8" s="412" t="s">
        <v>425</v>
      </c>
      <c r="Q8" s="413"/>
      <c r="R8" s="397">
        <v>28100</v>
      </c>
      <c r="S8" s="398"/>
      <c r="T8" s="395">
        <v>14400</v>
      </c>
      <c r="U8" s="396"/>
      <c r="V8" s="397">
        <v>14400</v>
      </c>
      <c r="W8" s="398"/>
      <c r="X8" s="395">
        <v>14400</v>
      </c>
      <c r="Y8" s="396"/>
      <c r="Z8" s="397">
        <v>17500</v>
      </c>
      <c r="AA8" s="398"/>
      <c r="AB8" s="395">
        <v>30000</v>
      </c>
      <c r="AC8" s="396"/>
      <c r="AD8" s="397">
        <v>14368</v>
      </c>
      <c r="AE8" s="398"/>
      <c r="AF8" s="395">
        <v>14368</v>
      </c>
      <c r="AG8" s="396"/>
    </row>
    <row r="9" spans="1:37" ht="15.75" thickBot="1" x14ac:dyDescent="0.3">
      <c r="A9" s="90" t="s">
        <v>549</v>
      </c>
      <c r="B9" s="346" t="s">
        <v>550</v>
      </c>
      <c r="C9" s="347"/>
      <c r="D9" s="346" t="s">
        <v>394</v>
      </c>
      <c r="E9" s="347"/>
      <c r="F9" s="346" t="s">
        <v>550</v>
      </c>
      <c r="G9" s="347"/>
      <c r="H9" s="419" t="s">
        <v>550</v>
      </c>
      <c r="I9" s="420"/>
      <c r="J9" s="346" t="s">
        <v>550</v>
      </c>
      <c r="K9" s="347"/>
      <c r="L9" s="346" t="s">
        <v>550</v>
      </c>
      <c r="M9" s="347"/>
      <c r="N9" s="346" t="s">
        <v>550</v>
      </c>
      <c r="O9" s="347"/>
      <c r="P9" s="346" t="s">
        <v>550</v>
      </c>
      <c r="Q9" s="347"/>
      <c r="R9" s="346" t="s">
        <v>2090</v>
      </c>
      <c r="S9" s="347"/>
      <c r="T9" s="346" t="s">
        <v>550</v>
      </c>
      <c r="U9" s="347"/>
      <c r="V9" s="346" t="s">
        <v>550</v>
      </c>
      <c r="W9" s="347"/>
      <c r="X9" s="346" t="s">
        <v>550</v>
      </c>
      <c r="Y9" s="347"/>
      <c r="Z9" s="346" t="s">
        <v>446</v>
      </c>
      <c r="AA9" s="347"/>
      <c r="AB9" s="346" t="s">
        <v>550</v>
      </c>
      <c r="AC9" s="347"/>
      <c r="AD9" s="346" t="s">
        <v>550</v>
      </c>
      <c r="AE9" s="347"/>
      <c r="AF9" s="346" t="s">
        <v>1463</v>
      </c>
      <c r="AG9" s="347"/>
    </row>
    <row r="10" spans="1:37" ht="15.75" thickBot="1" x14ac:dyDescent="0.3">
      <c r="A10" s="49" t="s">
        <v>275</v>
      </c>
      <c r="B10" s="45" t="s">
        <v>272</v>
      </c>
      <c r="C10" s="46" t="s">
        <v>271</v>
      </c>
      <c r="D10" s="47" t="s">
        <v>272</v>
      </c>
      <c r="E10" s="48" t="s">
        <v>271</v>
      </c>
      <c r="F10" s="45" t="s">
        <v>272</v>
      </c>
      <c r="G10" s="46" t="s">
        <v>271</v>
      </c>
      <c r="H10" s="47" t="s">
        <v>272</v>
      </c>
      <c r="I10" s="46" t="s">
        <v>271</v>
      </c>
      <c r="J10" s="47" t="s">
        <v>272</v>
      </c>
      <c r="K10" s="48" t="s">
        <v>271</v>
      </c>
      <c r="L10" s="45" t="s">
        <v>272</v>
      </c>
      <c r="M10" s="46" t="s">
        <v>271</v>
      </c>
      <c r="N10" s="47" t="s">
        <v>272</v>
      </c>
      <c r="O10" s="48" t="s">
        <v>271</v>
      </c>
      <c r="P10" s="45" t="s">
        <v>272</v>
      </c>
      <c r="Q10" s="46" t="s">
        <v>271</v>
      </c>
      <c r="R10" s="45" t="s">
        <v>272</v>
      </c>
      <c r="S10" s="46" t="s">
        <v>271</v>
      </c>
      <c r="T10" s="45" t="s">
        <v>272</v>
      </c>
      <c r="U10" s="46" t="s">
        <v>271</v>
      </c>
      <c r="V10" s="47" t="s">
        <v>272</v>
      </c>
      <c r="W10" s="48" t="s">
        <v>271</v>
      </c>
      <c r="X10" s="45" t="s">
        <v>272</v>
      </c>
      <c r="Y10" s="46" t="s">
        <v>271</v>
      </c>
      <c r="Z10" s="47" t="s">
        <v>272</v>
      </c>
      <c r="AA10" s="48" t="s">
        <v>271</v>
      </c>
      <c r="AB10" s="45" t="s">
        <v>272</v>
      </c>
      <c r="AC10" s="46" t="s">
        <v>271</v>
      </c>
      <c r="AD10" s="47" t="s">
        <v>272</v>
      </c>
      <c r="AE10" s="48" t="s">
        <v>271</v>
      </c>
      <c r="AF10" s="45" t="s">
        <v>272</v>
      </c>
      <c r="AG10" s="46" t="s">
        <v>271</v>
      </c>
    </row>
    <row r="11" spans="1:37" x14ac:dyDescent="0.25">
      <c r="A11" s="26">
        <v>1</v>
      </c>
      <c r="B11" s="502">
        <v>1</v>
      </c>
      <c r="C11" s="502" t="s">
        <v>2063</v>
      </c>
      <c r="D11" s="16">
        <v>1</v>
      </c>
      <c r="E11" s="96" t="s">
        <v>1219</v>
      </c>
      <c r="F11" s="13">
        <v>1</v>
      </c>
      <c r="G11" s="3" t="s">
        <v>398</v>
      </c>
      <c r="H11" s="3" t="s">
        <v>645</v>
      </c>
      <c r="I11" s="3" t="s">
        <v>1746</v>
      </c>
      <c r="J11" s="504" t="s">
        <v>645</v>
      </c>
      <c r="K11" s="504" t="s">
        <v>1746</v>
      </c>
      <c r="L11" s="503">
        <v>1</v>
      </c>
      <c r="M11" s="504" t="s">
        <v>398</v>
      </c>
      <c r="N11" s="503">
        <v>1</v>
      </c>
      <c r="O11" s="504" t="s">
        <v>398</v>
      </c>
      <c r="P11" s="510"/>
      <c r="Q11" s="504"/>
      <c r="R11" s="44">
        <v>11</v>
      </c>
      <c r="S11" s="3" t="s">
        <v>2080</v>
      </c>
      <c r="T11" s="510">
        <v>1901</v>
      </c>
      <c r="U11" s="504" t="s">
        <v>443</v>
      </c>
      <c r="V11" s="25">
        <v>1</v>
      </c>
      <c r="W11" s="185" t="s">
        <v>426</v>
      </c>
      <c r="X11" s="510">
        <v>1901</v>
      </c>
      <c r="Y11" s="504" t="s">
        <v>443</v>
      </c>
      <c r="Z11" s="53">
        <v>101</v>
      </c>
      <c r="AA11" s="54" t="s">
        <v>757</v>
      </c>
      <c r="AB11" s="510">
        <v>40</v>
      </c>
      <c r="AC11" s="506" t="s">
        <v>2094</v>
      </c>
      <c r="AD11" s="510" t="s">
        <v>1464</v>
      </c>
      <c r="AE11" s="506" t="s">
        <v>1463</v>
      </c>
      <c r="AF11" s="55" t="s">
        <v>1464</v>
      </c>
      <c r="AG11" s="99" t="s">
        <v>1463</v>
      </c>
    </row>
    <row r="12" spans="1:37" ht="15.75" thickBot="1" x14ac:dyDescent="0.3">
      <c r="A12" s="42">
        <v>2</v>
      </c>
      <c r="B12" s="502">
        <v>2</v>
      </c>
      <c r="C12" s="502" t="s">
        <v>2064</v>
      </c>
      <c r="D12" s="88">
        <v>2</v>
      </c>
      <c r="E12" s="19" t="s">
        <v>395</v>
      </c>
      <c r="F12" s="87">
        <v>2</v>
      </c>
      <c r="G12" s="4" t="s">
        <v>399</v>
      </c>
      <c r="H12" s="4" t="s">
        <v>595</v>
      </c>
      <c r="I12" s="4" t="s">
        <v>1747</v>
      </c>
      <c r="J12" s="506" t="s">
        <v>595</v>
      </c>
      <c r="K12" s="506" t="s">
        <v>1747</v>
      </c>
      <c r="L12" s="505">
        <v>2</v>
      </c>
      <c r="M12" s="506" t="s">
        <v>399</v>
      </c>
      <c r="N12" s="505">
        <v>2</v>
      </c>
      <c r="O12" s="506" t="s">
        <v>399</v>
      </c>
      <c r="P12" s="511"/>
      <c r="Q12" s="506"/>
      <c r="R12" s="8">
        <v>12</v>
      </c>
      <c r="S12" s="4" t="s">
        <v>2081</v>
      </c>
      <c r="T12" s="511">
        <v>1905</v>
      </c>
      <c r="U12" s="506" t="s">
        <v>1726</v>
      </c>
      <c r="V12" s="24">
        <v>2</v>
      </c>
      <c r="W12" s="19" t="s">
        <v>427</v>
      </c>
      <c r="X12" s="511">
        <v>1905</v>
      </c>
      <c r="Y12" s="506" t="s">
        <v>1726</v>
      </c>
      <c r="Z12" s="57">
        <v>102</v>
      </c>
      <c r="AA12" s="58" t="s">
        <v>759</v>
      </c>
      <c r="AB12" s="511">
        <v>42</v>
      </c>
      <c r="AC12" s="506" t="s">
        <v>2095</v>
      </c>
      <c r="AD12" s="511" t="s">
        <v>1466</v>
      </c>
      <c r="AE12" s="506" t="s">
        <v>1465</v>
      </c>
      <c r="AF12" s="59" t="s">
        <v>1466</v>
      </c>
      <c r="AG12" s="60" t="s">
        <v>1465</v>
      </c>
    </row>
    <row r="13" spans="1:37" ht="15.75" thickBot="1" x14ac:dyDescent="0.3">
      <c r="A13" s="42">
        <v>3</v>
      </c>
      <c r="B13" s="502">
        <v>3</v>
      </c>
      <c r="C13" s="502" t="s">
        <v>2065</v>
      </c>
      <c r="D13" s="88">
        <v>3</v>
      </c>
      <c r="E13" s="19" t="s">
        <v>396</v>
      </c>
      <c r="F13" s="87">
        <v>4</v>
      </c>
      <c r="G13" s="4" t="s">
        <v>400</v>
      </c>
      <c r="H13" s="4" t="s">
        <v>596</v>
      </c>
      <c r="I13" s="184" t="s">
        <v>1377</v>
      </c>
      <c r="J13" s="506" t="s">
        <v>596</v>
      </c>
      <c r="K13" s="506" t="s">
        <v>1377</v>
      </c>
      <c r="L13" s="505">
        <v>4</v>
      </c>
      <c r="M13" s="506" t="s">
        <v>400</v>
      </c>
      <c r="N13" s="505">
        <v>4</v>
      </c>
      <c r="O13" s="506" t="s">
        <v>400</v>
      </c>
      <c r="P13" s="511"/>
      <c r="Q13" s="506"/>
      <c r="R13" s="8">
        <v>13</v>
      </c>
      <c r="S13" s="4" t="s">
        <v>2082</v>
      </c>
      <c r="T13" s="511">
        <v>1909</v>
      </c>
      <c r="U13" s="506" t="s">
        <v>1544</v>
      </c>
      <c r="V13" s="24">
        <v>3</v>
      </c>
      <c r="W13" s="19" t="s">
        <v>428</v>
      </c>
      <c r="X13" s="511">
        <v>1909</v>
      </c>
      <c r="Y13" s="506" t="s">
        <v>1544</v>
      </c>
      <c r="Z13" s="57">
        <v>103</v>
      </c>
      <c r="AA13" s="58" t="s">
        <v>761</v>
      </c>
      <c r="AB13" s="511">
        <v>60</v>
      </c>
      <c r="AC13" s="506" t="s">
        <v>2096</v>
      </c>
      <c r="AD13" s="511" t="s">
        <v>1468</v>
      </c>
      <c r="AE13" s="506" t="s">
        <v>1467</v>
      </c>
      <c r="AF13" s="59" t="s">
        <v>1468</v>
      </c>
      <c r="AG13" s="60" t="s">
        <v>1467</v>
      </c>
      <c r="AJ13" s="346"/>
      <c r="AK13" s="347"/>
    </row>
    <row r="14" spans="1:37" x14ac:dyDescent="0.25">
      <c r="A14" s="42">
        <v>4</v>
      </c>
      <c r="B14" s="502">
        <v>4</v>
      </c>
      <c r="C14" s="502" t="s">
        <v>2066</v>
      </c>
      <c r="D14" s="88">
        <v>4</v>
      </c>
      <c r="E14" s="19" t="s">
        <v>397</v>
      </c>
      <c r="F14" s="87">
        <v>5</v>
      </c>
      <c r="G14" s="4" t="s">
        <v>401</v>
      </c>
      <c r="H14" s="4" t="s">
        <v>598</v>
      </c>
      <c r="I14" s="4" t="s">
        <v>1752</v>
      </c>
      <c r="J14" s="506" t="s">
        <v>598</v>
      </c>
      <c r="K14" s="506" t="s">
        <v>1752</v>
      </c>
      <c r="L14" s="505">
        <v>5</v>
      </c>
      <c r="M14" s="506" t="s">
        <v>401</v>
      </c>
      <c r="N14" s="505">
        <v>5</v>
      </c>
      <c r="O14" s="506" t="s">
        <v>401</v>
      </c>
      <c r="P14" s="511"/>
      <c r="Q14" s="506"/>
      <c r="R14" s="8">
        <v>17</v>
      </c>
      <c r="S14" s="4" t="s">
        <v>2083</v>
      </c>
      <c r="T14" s="511">
        <v>1913</v>
      </c>
      <c r="U14" s="506" t="s">
        <v>1653</v>
      </c>
      <c r="V14" s="24">
        <v>4</v>
      </c>
      <c r="W14" s="19" t="s">
        <v>429</v>
      </c>
      <c r="X14" s="511">
        <v>1913</v>
      </c>
      <c r="Y14" s="506" t="s">
        <v>1653</v>
      </c>
      <c r="Z14" s="57">
        <v>105</v>
      </c>
      <c r="AA14" s="58" t="s">
        <v>445</v>
      </c>
      <c r="AB14" s="511">
        <v>81</v>
      </c>
      <c r="AC14" s="506" t="s">
        <v>2097</v>
      </c>
      <c r="AD14" s="511" t="s">
        <v>1470</v>
      </c>
      <c r="AE14" s="506" t="s">
        <v>1469</v>
      </c>
      <c r="AF14" s="59" t="s">
        <v>1470</v>
      </c>
      <c r="AG14" s="60" t="s">
        <v>1469</v>
      </c>
    </row>
    <row r="15" spans="1:37" x14ac:dyDescent="0.25">
      <c r="A15" s="42">
        <v>5</v>
      </c>
      <c r="B15" s="502">
        <v>5</v>
      </c>
      <c r="C15" s="502" t="s">
        <v>2067</v>
      </c>
      <c r="D15" s="88"/>
      <c r="E15" s="19"/>
      <c r="F15" s="87">
        <v>6</v>
      </c>
      <c r="G15" s="4" t="s">
        <v>402</v>
      </c>
      <c r="H15" s="4" t="s">
        <v>600</v>
      </c>
      <c r="I15" s="4" t="s">
        <v>1751</v>
      </c>
      <c r="J15" s="506" t="s">
        <v>600</v>
      </c>
      <c r="K15" s="506" t="s">
        <v>1751</v>
      </c>
      <c r="L15" s="505">
        <v>6</v>
      </c>
      <c r="M15" s="506" t="s">
        <v>402</v>
      </c>
      <c r="N15" s="505">
        <v>6</v>
      </c>
      <c r="O15" s="506" t="s">
        <v>402</v>
      </c>
      <c r="P15" s="511"/>
      <c r="Q15" s="506"/>
      <c r="R15" s="8">
        <v>26</v>
      </c>
      <c r="S15" s="4" t="s">
        <v>2084</v>
      </c>
      <c r="T15" s="511">
        <v>1917</v>
      </c>
      <c r="U15" s="506" t="s">
        <v>1730</v>
      </c>
      <c r="V15" s="24">
        <v>5</v>
      </c>
      <c r="W15" s="19" t="s">
        <v>430</v>
      </c>
      <c r="X15" s="511">
        <v>1917</v>
      </c>
      <c r="Y15" s="506" t="s">
        <v>1730</v>
      </c>
      <c r="Z15" s="57">
        <v>106</v>
      </c>
      <c r="AA15" s="58" t="s">
        <v>765</v>
      </c>
      <c r="AB15" s="511">
        <v>82</v>
      </c>
      <c r="AC15" s="506" t="s">
        <v>2105</v>
      </c>
      <c r="AD15" s="511" t="s">
        <v>1472</v>
      </c>
      <c r="AE15" s="506" t="s">
        <v>1471</v>
      </c>
      <c r="AF15" s="59" t="s">
        <v>1472</v>
      </c>
      <c r="AG15" s="60" t="s">
        <v>1471</v>
      </c>
    </row>
    <row r="16" spans="1:37" x14ac:dyDescent="0.25">
      <c r="A16" s="42">
        <v>6</v>
      </c>
      <c r="B16" s="502">
        <v>6</v>
      </c>
      <c r="C16" s="502" t="s">
        <v>2078</v>
      </c>
      <c r="D16" s="88"/>
      <c r="E16" s="19"/>
      <c r="F16" s="87">
        <v>7</v>
      </c>
      <c r="G16" s="4" t="s">
        <v>403</v>
      </c>
      <c r="H16" s="4" t="s">
        <v>602</v>
      </c>
      <c r="I16" s="4" t="s">
        <v>1748</v>
      </c>
      <c r="J16" s="506" t="s">
        <v>602</v>
      </c>
      <c r="K16" s="506" t="s">
        <v>1748</v>
      </c>
      <c r="L16" s="505">
        <v>7</v>
      </c>
      <c r="M16" s="506" t="s">
        <v>403</v>
      </c>
      <c r="N16" s="505">
        <v>7</v>
      </c>
      <c r="O16" s="506" t="s">
        <v>403</v>
      </c>
      <c r="P16" s="511"/>
      <c r="Q16" s="506"/>
      <c r="R16" s="8">
        <v>27</v>
      </c>
      <c r="S16" s="4" t="s">
        <v>2085</v>
      </c>
      <c r="T16" s="511">
        <v>1925</v>
      </c>
      <c r="U16" s="506" t="s">
        <v>1732</v>
      </c>
      <c r="V16" s="24">
        <v>6</v>
      </c>
      <c r="W16" s="19" t="s">
        <v>431</v>
      </c>
      <c r="X16" s="511">
        <v>1925</v>
      </c>
      <c r="Y16" s="506" t="s">
        <v>1732</v>
      </c>
      <c r="Z16" s="57">
        <v>107</v>
      </c>
      <c r="AA16" s="98" t="s">
        <v>446</v>
      </c>
      <c r="AB16" s="511">
        <v>90</v>
      </c>
      <c r="AC16" s="506" t="s">
        <v>2098</v>
      </c>
      <c r="AD16" s="511" t="s">
        <v>1474</v>
      </c>
      <c r="AE16" s="506" t="s">
        <v>1473</v>
      </c>
      <c r="AF16" s="59" t="s">
        <v>1474</v>
      </c>
      <c r="AG16" s="60" t="s">
        <v>1473</v>
      </c>
    </row>
    <row r="17" spans="1:33" x14ac:dyDescent="0.25">
      <c r="A17" s="42">
        <v>7</v>
      </c>
      <c r="B17" s="502">
        <v>11</v>
      </c>
      <c r="C17" s="502" t="s">
        <v>2068</v>
      </c>
      <c r="D17" s="88"/>
      <c r="E17" s="19"/>
      <c r="F17" s="87">
        <v>8</v>
      </c>
      <c r="G17" s="4" t="s">
        <v>404</v>
      </c>
      <c r="H17" s="4" t="s">
        <v>603</v>
      </c>
      <c r="I17" s="4" t="s">
        <v>432</v>
      </c>
      <c r="J17" s="506" t="s">
        <v>603</v>
      </c>
      <c r="K17" s="506" t="s">
        <v>432</v>
      </c>
      <c r="L17" s="505">
        <v>8</v>
      </c>
      <c r="M17" s="506" t="s">
        <v>404</v>
      </c>
      <c r="N17" s="505">
        <v>8</v>
      </c>
      <c r="O17" s="506" t="s">
        <v>404</v>
      </c>
      <c r="P17" s="511"/>
      <c r="Q17" s="506"/>
      <c r="R17" s="8">
        <v>37</v>
      </c>
      <c r="S17" s="99" t="s">
        <v>2086</v>
      </c>
      <c r="T17" s="511">
        <v>1926</v>
      </c>
      <c r="U17" s="506" t="s">
        <v>1733</v>
      </c>
      <c r="V17" s="24">
        <v>7</v>
      </c>
      <c r="W17" s="186" t="s">
        <v>432</v>
      </c>
      <c r="X17" s="511">
        <v>1926</v>
      </c>
      <c r="Y17" s="506" t="s">
        <v>1733</v>
      </c>
      <c r="Z17" s="57">
        <v>108</v>
      </c>
      <c r="AA17" s="58" t="s">
        <v>447</v>
      </c>
      <c r="AB17" s="511">
        <v>100</v>
      </c>
      <c r="AC17" s="506" t="s">
        <v>2099</v>
      </c>
      <c r="AD17" s="511" t="s">
        <v>1476</v>
      </c>
      <c r="AE17" s="506" t="s">
        <v>1475</v>
      </c>
      <c r="AF17" s="59" t="s">
        <v>1476</v>
      </c>
      <c r="AG17" s="60" t="s">
        <v>1475</v>
      </c>
    </row>
    <row r="18" spans="1:33" x14ac:dyDescent="0.25">
      <c r="A18" s="42">
        <v>8</v>
      </c>
      <c r="B18" s="502">
        <v>12</v>
      </c>
      <c r="C18" s="502" t="s">
        <v>2069</v>
      </c>
      <c r="D18" s="88"/>
      <c r="E18" s="19"/>
      <c r="F18" s="87">
        <v>9</v>
      </c>
      <c r="G18" s="4" t="s">
        <v>405</v>
      </c>
      <c r="H18" s="4" t="s">
        <v>1749</v>
      </c>
      <c r="I18" s="4" t="s">
        <v>1750</v>
      </c>
      <c r="J18" s="506" t="s">
        <v>1749</v>
      </c>
      <c r="K18" s="506" t="s">
        <v>1750</v>
      </c>
      <c r="L18" s="505">
        <v>9</v>
      </c>
      <c r="M18" s="506" t="s">
        <v>405</v>
      </c>
      <c r="N18" s="505">
        <v>9</v>
      </c>
      <c r="O18" s="506" t="s">
        <v>405</v>
      </c>
      <c r="P18" s="511"/>
      <c r="Q18" s="506"/>
      <c r="R18" s="8">
        <v>51</v>
      </c>
      <c r="S18" s="4" t="s">
        <v>2087</v>
      </c>
      <c r="T18" s="511">
        <v>1927</v>
      </c>
      <c r="U18" s="506" t="s">
        <v>1607</v>
      </c>
      <c r="V18" s="24">
        <v>8</v>
      </c>
      <c r="W18" s="19" t="s">
        <v>433</v>
      </c>
      <c r="X18" s="511">
        <v>1927</v>
      </c>
      <c r="Y18" s="506" t="s">
        <v>1607</v>
      </c>
      <c r="Z18" s="57">
        <v>109</v>
      </c>
      <c r="AA18" s="58" t="s">
        <v>2092</v>
      </c>
      <c r="AB18" s="511">
        <v>120</v>
      </c>
      <c r="AC18" s="506" t="s">
        <v>2100</v>
      </c>
      <c r="AD18" s="511" t="s">
        <v>1478</v>
      </c>
      <c r="AE18" s="506" t="s">
        <v>1477</v>
      </c>
      <c r="AF18" s="59" t="s">
        <v>1478</v>
      </c>
      <c r="AG18" s="60" t="s">
        <v>1477</v>
      </c>
    </row>
    <row r="19" spans="1:33" x14ac:dyDescent="0.25">
      <c r="A19" s="42">
        <v>9</v>
      </c>
      <c r="B19" s="502">
        <v>13</v>
      </c>
      <c r="C19" s="502" t="s">
        <v>392</v>
      </c>
      <c r="D19" s="88"/>
      <c r="E19" s="19"/>
      <c r="F19" s="87">
        <v>15</v>
      </c>
      <c r="G19" s="4" t="s">
        <v>406</v>
      </c>
      <c r="H19" s="4" t="s">
        <v>1731</v>
      </c>
      <c r="I19" s="4" t="s">
        <v>424</v>
      </c>
      <c r="J19" s="506" t="s">
        <v>1731</v>
      </c>
      <c r="K19" s="506" t="s">
        <v>424</v>
      </c>
      <c r="L19" s="505">
        <v>15</v>
      </c>
      <c r="M19" s="506" t="s">
        <v>406</v>
      </c>
      <c r="N19" s="505">
        <v>15</v>
      </c>
      <c r="O19" s="506" t="s">
        <v>406</v>
      </c>
      <c r="P19" s="511"/>
      <c r="Q19" s="506"/>
      <c r="R19" s="8">
        <v>516</v>
      </c>
      <c r="S19" s="186" t="s">
        <v>1487</v>
      </c>
      <c r="T19" s="511">
        <v>1928</v>
      </c>
      <c r="U19" s="506" t="s">
        <v>1734</v>
      </c>
      <c r="V19" s="24">
        <v>9</v>
      </c>
      <c r="W19" s="19" t="s">
        <v>434</v>
      </c>
      <c r="X19" s="511">
        <v>1928</v>
      </c>
      <c r="Y19" s="506" t="s">
        <v>1734</v>
      </c>
      <c r="Z19" s="57">
        <v>110</v>
      </c>
      <c r="AA19" s="58" t="s">
        <v>2093</v>
      </c>
      <c r="AB19" s="511">
        <v>140</v>
      </c>
      <c r="AC19" s="506" t="s">
        <v>2101</v>
      </c>
      <c r="AD19" s="511" t="s">
        <v>1480</v>
      </c>
      <c r="AE19" s="506" t="s">
        <v>1479</v>
      </c>
      <c r="AF19" s="59" t="s">
        <v>1480</v>
      </c>
      <c r="AG19" s="60" t="s">
        <v>1479</v>
      </c>
    </row>
    <row r="20" spans="1:33" x14ac:dyDescent="0.25">
      <c r="A20" s="42">
        <v>10</v>
      </c>
      <c r="B20" s="502">
        <v>14</v>
      </c>
      <c r="C20" s="502" t="s">
        <v>2070</v>
      </c>
      <c r="D20" s="88"/>
      <c r="E20" s="19"/>
      <c r="F20" s="87">
        <v>16</v>
      </c>
      <c r="G20" s="4" t="s">
        <v>407</v>
      </c>
      <c r="H20" s="88"/>
      <c r="I20" s="4"/>
      <c r="J20" s="509"/>
      <c r="K20" s="60"/>
      <c r="L20" s="505">
        <v>16</v>
      </c>
      <c r="M20" s="506" t="s">
        <v>407</v>
      </c>
      <c r="N20" s="505">
        <v>16</v>
      </c>
      <c r="O20" s="506" t="s">
        <v>407</v>
      </c>
      <c r="P20" s="511"/>
      <c r="Q20" s="506"/>
      <c r="R20" s="8">
        <v>1814</v>
      </c>
      <c r="S20" s="4" t="s">
        <v>2088</v>
      </c>
      <c r="T20" s="511">
        <v>1931</v>
      </c>
      <c r="U20" s="506" t="s">
        <v>1736</v>
      </c>
      <c r="V20" s="24">
        <v>10</v>
      </c>
      <c r="W20" s="19" t="s">
        <v>435</v>
      </c>
      <c r="X20" s="511">
        <v>1931</v>
      </c>
      <c r="Y20" s="506" t="s">
        <v>1736</v>
      </c>
      <c r="Z20" s="57"/>
      <c r="AA20" s="58"/>
      <c r="AB20" s="511">
        <v>150</v>
      </c>
      <c r="AC20" s="506" t="s">
        <v>2104</v>
      </c>
      <c r="AD20" s="511" t="s">
        <v>1481</v>
      </c>
      <c r="AE20" s="506" t="s">
        <v>1484</v>
      </c>
      <c r="AF20" s="59" t="s">
        <v>1481</v>
      </c>
      <c r="AG20" s="60" t="s">
        <v>1484</v>
      </c>
    </row>
    <row r="21" spans="1:33" x14ac:dyDescent="0.25">
      <c r="A21" s="42">
        <v>11</v>
      </c>
      <c r="B21" s="502">
        <v>15</v>
      </c>
      <c r="C21" s="502" t="s">
        <v>2071</v>
      </c>
      <c r="D21" s="88"/>
      <c r="E21" s="19"/>
      <c r="F21" s="87">
        <v>17</v>
      </c>
      <c r="G21" s="4" t="s">
        <v>408</v>
      </c>
      <c r="H21" s="24"/>
      <c r="I21" s="4"/>
      <c r="J21" s="509"/>
      <c r="K21" s="60"/>
      <c r="L21" s="505">
        <v>17</v>
      </c>
      <c r="M21" s="506" t="s">
        <v>408</v>
      </c>
      <c r="N21" s="505">
        <v>17</v>
      </c>
      <c r="O21" s="506" t="s">
        <v>408</v>
      </c>
      <c r="P21" s="511"/>
      <c r="Q21" s="506"/>
      <c r="R21" s="8">
        <v>1886</v>
      </c>
      <c r="S21" s="4" t="s">
        <v>2089</v>
      </c>
      <c r="T21" s="511">
        <v>1932</v>
      </c>
      <c r="U21" s="506" t="s">
        <v>1738</v>
      </c>
      <c r="V21" s="24">
        <v>11</v>
      </c>
      <c r="W21" s="19" t="s">
        <v>436</v>
      </c>
      <c r="X21" s="511">
        <v>1932</v>
      </c>
      <c r="Y21" s="506" t="s">
        <v>1738</v>
      </c>
      <c r="Z21" s="57"/>
      <c r="AA21" s="58"/>
      <c r="AB21" s="511">
        <v>151</v>
      </c>
      <c r="AC21" s="506" t="s">
        <v>2102</v>
      </c>
      <c r="AD21" s="511" t="s">
        <v>1483</v>
      </c>
      <c r="AE21" s="506" t="s">
        <v>1482</v>
      </c>
      <c r="AF21" s="59" t="s">
        <v>1483</v>
      </c>
      <c r="AG21" s="60" t="s">
        <v>1482</v>
      </c>
    </row>
    <row r="22" spans="1:33" x14ac:dyDescent="0.25">
      <c r="A22" s="42">
        <v>12</v>
      </c>
      <c r="B22" s="502">
        <v>16</v>
      </c>
      <c r="C22" s="502" t="s">
        <v>2072</v>
      </c>
      <c r="D22" s="88"/>
      <c r="E22" s="19"/>
      <c r="F22" s="87">
        <v>19</v>
      </c>
      <c r="G22" s="4" t="s">
        <v>409</v>
      </c>
      <c r="H22" s="24"/>
      <c r="I22" s="4"/>
      <c r="J22" s="509"/>
      <c r="K22" s="60"/>
      <c r="L22" s="505">
        <v>19</v>
      </c>
      <c r="M22" s="506" t="s">
        <v>409</v>
      </c>
      <c r="N22" s="505">
        <v>19</v>
      </c>
      <c r="O22" s="506" t="s">
        <v>409</v>
      </c>
      <c r="P22" s="511"/>
      <c r="Q22" s="506"/>
      <c r="R22" s="8">
        <v>1511</v>
      </c>
      <c r="S22" s="97" t="s">
        <v>1507</v>
      </c>
      <c r="T22" s="511">
        <v>1933</v>
      </c>
      <c r="U22" s="506" t="s">
        <v>1740</v>
      </c>
      <c r="V22" s="24">
        <v>12</v>
      </c>
      <c r="W22" s="19" t="s">
        <v>437</v>
      </c>
      <c r="X22" s="511">
        <v>1933</v>
      </c>
      <c r="Y22" s="506" t="s">
        <v>1740</v>
      </c>
      <c r="Z22" s="57"/>
      <c r="AA22" s="58"/>
      <c r="AB22" s="511">
        <v>152</v>
      </c>
      <c r="AC22" s="506" t="s">
        <v>2103</v>
      </c>
      <c r="AD22" s="57"/>
      <c r="AE22" s="58"/>
      <c r="AF22" s="59"/>
      <c r="AG22" s="60"/>
    </row>
    <row r="23" spans="1:33" x14ac:dyDescent="0.25">
      <c r="A23" s="42">
        <v>13</v>
      </c>
      <c r="B23" s="502">
        <v>17</v>
      </c>
      <c r="C23" s="502" t="s">
        <v>2073</v>
      </c>
      <c r="D23" s="88"/>
      <c r="E23" s="19"/>
      <c r="F23" s="87">
        <v>21</v>
      </c>
      <c r="G23" s="4" t="s">
        <v>410</v>
      </c>
      <c r="H23" s="24"/>
      <c r="I23" s="4"/>
      <c r="J23" s="509"/>
      <c r="K23" s="60"/>
      <c r="L23" s="505">
        <v>21</v>
      </c>
      <c r="M23" s="506" t="s">
        <v>410</v>
      </c>
      <c r="N23" s="505">
        <v>21</v>
      </c>
      <c r="O23" s="506" t="s">
        <v>410</v>
      </c>
      <c r="P23" s="511"/>
      <c r="Q23" s="506"/>
      <c r="R23" s="8"/>
      <c r="S23" s="4"/>
      <c r="T23" s="511">
        <v>1935</v>
      </c>
      <c r="U23" s="506" t="s">
        <v>1742</v>
      </c>
      <c r="V23" s="24">
        <v>13</v>
      </c>
      <c r="W23" s="19" t="s">
        <v>438</v>
      </c>
      <c r="X23" s="511">
        <v>1935</v>
      </c>
      <c r="Y23" s="506" t="s">
        <v>1742</v>
      </c>
      <c r="Z23" s="57"/>
      <c r="AA23" s="58"/>
      <c r="AB23" s="59"/>
      <c r="AC23" s="60"/>
      <c r="AD23" s="57"/>
      <c r="AE23" s="58"/>
      <c r="AF23" s="59"/>
      <c r="AG23" s="60"/>
    </row>
    <row r="24" spans="1:33" x14ac:dyDescent="0.25">
      <c r="A24" s="42">
        <v>14</v>
      </c>
      <c r="B24" s="502">
        <v>18</v>
      </c>
      <c r="C24" s="502" t="s">
        <v>2074</v>
      </c>
      <c r="D24" s="88"/>
      <c r="E24" s="19"/>
      <c r="F24" s="87">
        <v>23</v>
      </c>
      <c r="G24" s="4" t="s">
        <v>411</v>
      </c>
      <c r="H24" s="24"/>
      <c r="I24" s="4"/>
      <c r="J24" s="509"/>
      <c r="K24" s="60"/>
      <c r="L24" s="505">
        <v>23</v>
      </c>
      <c r="M24" s="506" t="s">
        <v>411</v>
      </c>
      <c r="N24" s="505">
        <v>23</v>
      </c>
      <c r="O24" s="506" t="s">
        <v>411</v>
      </c>
      <c r="P24" s="511"/>
      <c r="Q24" s="506"/>
      <c r="R24" s="8"/>
      <c r="S24" s="4"/>
      <c r="T24" s="511">
        <v>1936</v>
      </c>
      <c r="U24" s="506" t="s">
        <v>2091</v>
      </c>
      <c r="V24" s="24">
        <v>14</v>
      </c>
      <c r="W24" s="19" t="s">
        <v>439</v>
      </c>
      <c r="X24" s="511">
        <v>1936</v>
      </c>
      <c r="Y24" s="506" t="s">
        <v>2091</v>
      </c>
      <c r="Z24" s="57"/>
      <c r="AA24" s="58"/>
      <c r="AB24" s="59"/>
      <c r="AC24" s="60"/>
      <c r="AD24" s="57"/>
      <c r="AE24" s="58"/>
      <c r="AF24" s="59"/>
      <c r="AG24" s="60"/>
    </row>
    <row r="25" spans="1:33" x14ac:dyDescent="0.25">
      <c r="A25" s="42">
        <v>15</v>
      </c>
      <c r="B25" s="502">
        <v>19</v>
      </c>
      <c r="C25" s="502" t="s">
        <v>2075</v>
      </c>
      <c r="D25" s="88"/>
      <c r="E25" s="19"/>
      <c r="F25" s="87">
        <v>24</v>
      </c>
      <c r="G25" s="4" t="s">
        <v>412</v>
      </c>
      <c r="H25" s="24"/>
      <c r="I25" s="4"/>
      <c r="J25" s="509"/>
      <c r="K25" s="60"/>
      <c r="L25" s="505">
        <v>24</v>
      </c>
      <c r="M25" s="506" t="s">
        <v>412</v>
      </c>
      <c r="N25" s="505">
        <v>24</v>
      </c>
      <c r="O25" s="506" t="s">
        <v>412</v>
      </c>
      <c r="P25" s="511"/>
      <c r="Q25" s="506"/>
      <c r="R25" s="8"/>
      <c r="S25" s="4"/>
      <c r="T25" s="8"/>
      <c r="U25" s="4"/>
      <c r="V25" s="24">
        <v>15</v>
      </c>
      <c r="W25" s="19" t="s">
        <v>440</v>
      </c>
      <c r="X25" s="8"/>
      <c r="Y25" s="4"/>
      <c r="Z25" s="57"/>
      <c r="AA25" s="58"/>
      <c r="AB25" s="59"/>
      <c r="AC25" s="60"/>
      <c r="AD25" s="57"/>
      <c r="AE25" s="58"/>
      <c r="AF25" s="59"/>
      <c r="AG25" s="60"/>
    </row>
    <row r="26" spans="1:33" x14ac:dyDescent="0.25">
      <c r="A26" s="42">
        <v>16</v>
      </c>
      <c r="B26" s="502">
        <v>20</v>
      </c>
      <c r="C26" s="502" t="s">
        <v>2076</v>
      </c>
      <c r="D26" s="88"/>
      <c r="E26" s="19"/>
      <c r="F26" s="87">
        <v>26</v>
      </c>
      <c r="G26" s="184" t="s">
        <v>413</v>
      </c>
      <c r="H26" s="24"/>
      <c r="I26" s="4"/>
      <c r="J26" s="509"/>
      <c r="K26" s="60"/>
      <c r="L26" s="505">
        <v>26</v>
      </c>
      <c r="M26" s="506" t="s">
        <v>413</v>
      </c>
      <c r="N26" s="505">
        <v>26</v>
      </c>
      <c r="O26" s="506" t="s">
        <v>413</v>
      </c>
      <c r="P26" s="511"/>
      <c r="Q26" s="506"/>
      <c r="R26" s="8"/>
      <c r="S26" s="4"/>
      <c r="T26" s="8"/>
      <c r="U26" s="4"/>
      <c r="V26" s="24">
        <v>19</v>
      </c>
      <c r="W26" s="19" t="s">
        <v>441</v>
      </c>
      <c r="X26" s="8"/>
      <c r="Y26" s="4"/>
      <c r="Z26" s="57"/>
      <c r="AA26" s="58"/>
      <c r="AB26" s="59"/>
      <c r="AC26" s="60"/>
      <c r="AD26" s="57"/>
      <c r="AE26" s="58"/>
      <c r="AF26" s="59"/>
      <c r="AG26" s="60"/>
    </row>
    <row r="27" spans="1:33" x14ac:dyDescent="0.25">
      <c r="A27" s="42">
        <v>17</v>
      </c>
      <c r="B27" s="502">
        <v>21</v>
      </c>
      <c r="C27" s="502" t="s">
        <v>2077</v>
      </c>
      <c r="D27" s="88"/>
      <c r="E27" s="19"/>
      <c r="F27" s="87">
        <v>27</v>
      </c>
      <c r="G27" s="4" t="s">
        <v>414</v>
      </c>
      <c r="H27" s="24"/>
      <c r="I27" s="4"/>
      <c r="J27" s="509"/>
      <c r="K27" s="60"/>
      <c r="L27" s="505">
        <v>27</v>
      </c>
      <c r="M27" s="506" t="s">
        <v>414</v>
      </c>
      <c r="N27" s="505">
        <v>27</v>
      </c>
      <c r="O27" s="506" t="s">
        <v>414</v>
      </c>
      <c r="P27" s="511"/>
      <c r="Q27" s="506"/>
      <c r="R27" s="8"/>
      <c r="S27" s="4"/>
      <c r="T27" s="8"/>
      <c r="U27" s="4"/>
      <c r="V27" s="24">
        <v>20</v>
      </c>
      <c r="W27" s="19" t="s">
        <v>442</v>
      </c>
      <c r="X27" s="8"/>
      <c r="Y27" s="4"/>
      <c r="Z27" s="57"/>
      <c r="AA27" s="58"/>
      <c r="AB27" s="59"/>
      <c r="AC27" s="60"/>
      <c r="AD27" s="57"/>
      <c r="AE27" s="58"/>
      <c r="AF27" s="59"/>
      <c r="AG27" s="60"/>
    </row>
    <row r="28" spans="1:33" x14ac:dyDescent="0.25">
      <c r="A28" s="42">
        <v>18</v>
      </c>
      <c r="B28" s="8"/>
      <c r="C28" s="4"/>
      <c r="D28" s="88"/>
      <c r="E28" s="19"/>
      <c r="F28" s="87">
        <v>29</v>
      </c>
      <c r="G28" s="4" t="s">
        <v>415</v>
      </c>
      <c r="H28" s="24"/>
      <c r="I28" s="4"/>
      <c r="J28" s="509"/>
      <c r="K28" s="60"/>
      <c r="L28" s="505">
        <v>29</v>
      </c>
      <c r="M28" s="506" t="s">
        <v>415</v>
      </c>
      <c r="N28" s="505">
        <v>29</v>
      </c>
      <c r="O28" s="506" t="s">
        <v>415</v>
      </c>
      <c r="P28" s="511"/>
      <c r="Q28" s="506"/>
      <c r="R28" s="8"/>
      <c r="S28" s="4"/>
      <c r="T28" s="8"/>
      <c r="U28" s="4"/>
      <c r="V28" s="24"/>
      <c r="W28" s="19"/>
      <c r="X28" s="8"/>
      <c r="Y28" s="4"/>
      <c r="Z28" s="57"/>
      <c r="AA28" s="58"/>
      <c r="AB28" s="59"/>
      <c r="AC28" s="60"/>
      <c r="AD28" s="57"/>
      <c r="AE28" s="58"/>
      <c r="AF28" s="59"/>
      <c r="AG28" s="60"/>
    </row>
    <row r="29" spans="1:33" x14ac:dyDescent="0.25">
      <c r="A29" s="42">
        <v>19</v>
      </c>
      <c r="B29" s="8"/>
      <c r="C29" s="4"/>
      <c r="D29" s="88"/>
      <c r="E29" s="19"/>
      <c r="F29" s="87">
        <v>31</v>
      </c>
      <c r="G29" s="4" t="s">
        <v>416</v>
      </c>
      <c r="H29" s="24"/>
      <c r="I29" s="4"/>
      <c r="J29" s="509"/>
      <c r="K29" s="60"/>
      <c r="L29" s="505">
        <v>31</v>
      </c>
      <c r="M29" s="506" t="s">
        <v>416</v>
      </c>
      <c r="N29" s="505">
        <v>31</v>
      </c>
      <c r="O29" s="506" t="s">
        <v>416</v>
      </c>
      <c r="P29" s="511"/>
      <c r="Q29" s="506"/>
      <c r="R29" s="8"/>
      <c r="S29" s="4"/>
      <c r="T29" s="8"/>
      <c r="U29" s="4"/>
      <c r="V29" s="24"/>
      <c r="W29" s="19"/>
      <c r="X29" s="8"/>
      <c r="Y29" s="4"/>
      <c r="Z29" s="57"/>
      <c r="AA29" s="58"/>
      <c r="AB29" s="59"/>
      <c r="AC29" s="60"/>
      <c r="AD29" s="57"/>
      <c r="AE29" s="58"/>
      <c r="AF29" s="59"/>
      <c r="AG29" s="60"/>
    </row>
    <row r="30" spans="1:33" x14ac:dyDescent="0.25">
      <c r="A30" s="42">
        <v>20</v>
      </c>
      <c r="B30" s="8"/>
      <c r="C30" s="4"/>
      <c r="D30" s="88"/>
      <c r="E30" s="19"/>
      <c r="F30" s="87">
        <v>32</v>
      </c>
      <c r="G30" s="184" t="s">
        <v>417</v>
      </c>
      <c r="H30" s="24"/>
      <c r="I30" s="4"/>
      <c r="J30" s="509"/>
      <c r="K30" s="60"/>
      <c r="L30" s="505">
        <v>32</v>
      </c>
      <c r="M30" s="506" t="s">
        <v>417</v>
      </c>
      <c r="N30" s="505">
        <v>32</v>
      </c>
      <c r="O30" s="506" t="s">
        <v>417</v>
      </c>
      <c r="P30" s="511"/>
      <c r="Q30" s="506"/>
      <c r="R30" s="8"/>
      <c r="S30" s="4"/>
      <c r="T30" s="8"/>
      <c r="U30" s="4"/>
      <c r="V30" s="24"/>
      <c r="W30" s="19"/>
      <c r="X30" s="8"/>
      <c r="Y30" s="4"/>
      <c r="Z30" s="57"/>
      <c r="AA30" s="58"/>
      <c r="AB30" s="59"/>
      <c r="AC30" s="60"/>
      <c r="AD30" s="57"/>
      <c r="AE30" s="58"/>
      <c r="AF30" s="59"/>
      <c r="AG30" s="60"/>
    </row>
    <row r="31" spans="1:33" x14ac:dyDescent="0.25">
      <c r="A31" s="42">
        <v>21</v>
      </c>
      <c r="B31" s="8"/>
      <c r="C31" s="4"/>
      <c r="D31" s="88"/>
      <c r="E31" s="19"/>
      <c r="F31" s="87">
        <v>34</v>
      </c>
      <c r="G31" s="4" t="s">
        <v>418</v>
      </c>
      <c r="H31" s="24"/>
      <c r="I31" s="4"/>
      <c r="J31" s="509"/>
      <c r="K31" s="60"/>
      <c r="L31" s="505">
        <v>34</v>
      </c>
      <c r="M31" s="506" t="s">
        <v>418</v>
      </c>
      <c r="N31" s="505">
        <v>34</v>
      </c>
      <c r="O31" s="506" t="s">
        <v>418</v>
      </c>
      <c r="P31" s="511"/>
      <c r="Q31" s="506"/>
      <c r="R31" s="8"/>
      <c r="S31" s="4"/>
      <c r="T31" s="8"/>
      <c r="U31" s="4"/>
      <c r="V31" s="24"/>
      <c r="W31" s="19"/>
      <c r="X31" s="8"/>
      <c r="Y31" s="4"/>
      <c r="Z31" s="57"/>
      <c r="AA31" s="58"/>
      <c r="AB31" s="59"/>
      <c r="AC31" s="60"/>
      <c r="AD31" s="57"/>
      <c r="AE31" s="58"/>
      <c r="AF31" s="59"/>
      <c r="AG31" s="60"/>
    </row>
    <row r="32" spans="1:33" x14ac:dyDescent="0.25">
      <c r="A32" s="42">
        <v>22</v>
      </c>
      <c r="B32" s="8"/>
      <c r="C32" s="4"/>
      <c r="D32" s="88"/>
      <c r="E32" s="19"/>
      <c r="F32" s="87">
        <v>35</v>
      </c>
      <c r="G32" s="4" t="s">
        <v>419</v>
      </c>
      <c r="H32" s="24"/>
      <c r="I32" s="4"/>
      <c r="J32" s="509"/>
      <c r="K32" s="60"/>
      <c r="L32" s="505">
        <v>35</v>
      </c>
      <c r="M32" s="506" t="s">
        <v>419</v>
      </c>
      <c r="N32" s="505">
        <v>35</v>
      </c>
      <c r="O32" s="506" t="s">
        <v>419</v>
      </c>
      <c r="P32" s="511"/>
      <c r="Q32" s="506"/>
      <c r="R32" s="8"/>
      <c r="S32" s="4"/>
      <c r="T32" s="8"/>
      <c r="U32" s="4"/>
      <c r="V32" s="24"/>
      <c r="W32" s="19"/>
      <c r="X32" s="8"/>
      <c r="Y32" s="4"/>
      <c r="Z32" s="57"/>
      <c r="AA32" s="58"/>
      <c r="AB32" s="59"/>
      <c r="AC32" s="60"/>
      <c r="AD32" s="57"/>
      <c r="AE32" s="58"/>
      <c r="AF32" s="59"/>
      <c r="AG32" s="60"/>
    </row>
    <row r="33" spans="1:33" x14ac:dyDescent="0.25">
      <c r="A33" s="42">
        <v>23</v>
      </c>
      <c r="B33" s="8"/>
      <c r="C33" s="4"/>
      <c r="D33" s="88"/>
      <c r="E33" s="19"/>
      <c r="F33" s="87">
        <v>36</v>
      </c>
      <c r="G33" s="4" t="s">
        <v>420</v>
      </c>
      <c r="H33" s="24"/>
      <c r="I33" s="4"/>
      <c r="J33" s="509"/>
      <c r="K33" s="60"/>
      <c r="L33" s="505">
        <v>36</v>
      </c>
      <c r="M33" s="506" t="s">
        <v>420</v>
      </c>
      <c r="N33" s="505">
        <v>36</v>
      </c>
      <c r="O33" s="506" t="s">
        <v>420</v>
      </c>
      <c r="P33" s="511"/>
      <c r="Q33" s="506"/>
      <c r="R33" s="8"/>
      <c r="S33" s="4"/>
      <c r="T33" s="8"/>
      <c r="U33" s="4"/>
      <c r="V33" s="24"/>
      <c r="W33" s="19"/>
      <c r="X33" s="8"/>
      <c r="Y33" s="4"/>
      <c r="Z33" s="57"/>
      <c r="AA33" s="58"/>
      <c r="AB33" s="59"/>
      <c r="AC33" s="60"/>
      <c r="AD33" s="57"/>
      <c r="AE33" s="58"/>
      <c r="AF33" s="59"/>
      <c r="AG33" s="60"/>
    </row>
    <row r="34" spans="1:33" x14ac:dyDescent="0.25">
      <c r="A34" s="42">
        <v>24</v>
      </c>
      <c r="B34" s="8"/>
      <c r="C34" s="4"/>
      <c r="D34" s="88"/>
      <c r="E34" s="19"/>
      <c r="F34" s="87">
        <v>39</v>
      </c>
      <c r="G34" s="4" t="s">
        <v>421</v>
      </c>
      <c r="H34" s="24"/>
      <c r="I34" s="4"/>
      <c r="J34" s="509"/>
      <c r="K34" s="60"/>
      <c r="L34" s="505">
        <v>39</v>
      </c>
      <c r="M34" s="506" t="s">
        <v>421</v>
      </c>
      <c r="N34" s="505">
        <v>39</v>
      </c>
      <c r="O34" s="506" t="s">
        <v>421</v>
      </c>
      <c r="P34" s="511"/>
      <c r="Q34" s="506"/>
      <c r="R34" s="8"/>
      <c r="S34" s="4"/>
      <c r="T34" s="8"/>
      <c r="U34" s="4"/>
      <c r="V34" s="24"/>
      <c r="W34" s="19"/>
      <c r="X34" s="8"/>
      <c r="Y34" s="4"/>
      <c r="Z34" s="57"/>
      <c r="AA34" s="58"/>
      <c r="AB34" s="59"/>
      <c r="AC34" s="60"/>
      <c r="AD34" s="57"/>
      <c r="AE34" s="58"/>
      <c r="AF34" s="59"/>
      <c r="AG34" s="60"/>
    </row>
    <row r="35" spans="1:33" x14ac:dyDescent="0.25">
      <c r="A35" s="42">
        <v>25</v>
      </c>
      <c r="B35" s="8"/>
      <c r="C35" s="4"/>
      <c r="D35" s="88"/>
      <c r="E35" s="19"/>
      <c r="F35" s="87">
        <v>40</v>
      </c>
      <c r="G35" s="4" t="s">
        <v>422</v>
      </c>
      <c r="H35" s="24"/>
      <c r="I35" s="4"/>
      <c r="J35" s="509"/>
      <c r="K35" s="60"/>
      <c r="L35" s="505">
        <v>40</v>
      </c>
      <c r="M35" s="506" t="s">
        <v>422</v>
      </c>
      <c r="N35" s="505">
        <v>40</v>
      </c>
      <c r="O35" s="506" t="s">
        <v>422</v>
      </c>
      <c r="P35" s="511"/>
      <c r="Q35" s="506"/>
      <c r="R35" s="8"/>
      <c r="S35" s="4"/>
      <c r="T35" s="8"/>
      <c r="U35" s="4"/>
      <c r="V35" s="24"/>
      <c r="W35" s="19"/>
      <c r="X35" s="8"/>
      <c r="Y35" s="4"/>
      <c r="Z35" s="57"/>
      <c r="AA35" s="58"/>
      <c r="AB35" s="59"/>
      <c r="AC35" s="60"/>
      <c r="AD35" s="57"/>
      <c r="AE35" s="58"/>
      <c r="AF35" s="59"/>
      <c r="AG35" s="60"/>
    </row>
    <row r="36" spans="1:33" ht="15.75" thickBot="1" x14ac:dyDescent="0.3">
      <c r="A36" s="42">
        <v>26</v>
      </c>
      <c r="B36" s="9"/>
      <c r="C36" s="6"/>
      <c r="D36" s="86"/>
      <c r="E36" s="20"/>
      <c r="F36" s="85">
        <v>41</v>
      </c>
      <c r="G36" s="6" t="s">
        <v>423</v>
      </c>
      <c r="H36" s="92"/>
      <c r="I36" s="6"/>
      <c r="J36" s="301"/>
      <c r="K36" s="93"/>
      <c r="L36" s="507">
        <v>41</v>
      </c>
      <c r="M36" s="508" t="s">
        <v>423</v>
      </c>
      <c r="N36" s="507">
        <v>41</v>
      </c>
      <c r="O36" s="508" t="s">
        <v>423</v>
      </c>
      <c r="P36" s="512"/>
      <c r="Q36" s="508"/>
      <c r="R36" s="9"/>
      <c r="S36" s="6"/>
      <c r="T36" s="9"/>
      <c r="U36" s="6"/>
      <c r="V36" s="92"/>
      <c r="W36" s="20"/>
      <c r="X36" s="9"/>
      <c r="Y36" s="6"/>
      <c r="Z36" s="94"/>
      <c r="AA36" s="95"/>
      <c r="AB36" s="84"/>
      <c r="AC36" s="93"/>
      <c r="AD36" s="94"/>
      <c r="AE36" s="95"/>
      <c r="AF36" s="84"/>
      <c r="AG36" s="93"/>
    </row>
  </sheetData>
  <mergeCells count="133">
    <mergeCell ref="T5:U5"/>
    <mergeCell ref="V5:W5"/>
    <mergeCell ref="X5:Y5"/>
    <mergeCell ref="Z5:AA5"/>
    <mergeCell ref="AB5:AC5"/>
    <mergeCell ref="AD5:AE5"/>
    <mergeCell ref="AF5:AG5"/>
    <mergeCell ref="B5:C5"/>
    <mergeCell ref="D5:E5"/>
    <mergeCell ref="F5:G5"/>
    <mergeCell ref="H5:I5"/>
    <mergeCell ref="J5:K5"/>
    <mergeCell ref="L5:M5"/>
    <mergeCell ref="N5:O5"/>
    <mergeCell ref="P5:Q5"/>
    <mergeCell ref="R5:S5"/>
    <mergeCell ref="AJ13:AK13"/>
    <mergeCell ref="B9:C9"/>
    <mergeCell ref="D9:E9"/>
    <mergeCell ref="F9:G9"/>
    <mergeCell ref="H9:I9"/>
    <mergeCell ref="J9:K9"/>
    <mergeCell ref="L9:M9"/>
    <mergeCell ref="X9:Y9"/>
    <mergeCell ref="Z9:AA9"/>
    <mergeCell ref="AB9:AC9"/>
    <mergeCell ref="AD9:AE9"/>
    <mergeCell ref="AF9:AG9"/>
    <mergeCell ref="N9:O9"/>
    <mergeCell ref="P9:Q9"/>
    <mergeCell ref="R9:S9"/>
    <mergeCell ref="T9:U9"/>
    <mergeCell ref="V9:W9"/>
    <mergeCell ref="F6:G6"/>
    <mergeCell ref="H6:I6"/>
    <mergeCell ref="J6:K6"/>
    <mergeCell ref="B7:C7"/>
    <mergeCell ref="D7:E7"/>
    <mergeCell ref="F7:G7"/>
    <mergeCell ref="H7:I7"/>
    <mergeCell ref="J7:K7"/>
    <mergeCell ref="AD8:AE8"/>
    <mergeCell ref="R8:S8"/>
    <mergeCell ref="T8:U8"/>
    <mergeCell ref="V8:W8"/>
    <mergeCell ref="X8:Y8"/>
    <mergeCell ref="R6:S6"/>
    <mergeCell ref="X7:Y7"/>
    <mergeCell ref="X6:Y6"/>
    <mergeCell ref="R7:S7"/>
    <mergeCell ref="Z7:AA7"/>
    <mergeCell ref="T7:U7"/>
    <mergeCell ref="V7:W7"/>
    <mergeCell ref="T6:U6"/>
    <mergeCell ref="V6:W6"/>
    <mergeCell ref="B6:C6"/>
    <mergeCell ref="D6:E6"/>
    <mergeCell ref="AF8:AG8"/>
    <mergeCell ref="Z1:AG1"/>
    <mergeCell ref="AB8:AC8"/>
    <mergeCell ref="AB6:AC6"/>
    <mergeCell ref="AD6:AE6"/>
    <mergeCell ref="AF6:AG6"/>
    <mergeCell ref="Z6:AA6"/>
    <mergeCell ref="AB4:AC4"/>
    <mergeCell ref="AD4:AE4"/>
    <mergeCell ref="AF4:AG4"/>
    <mergeCell ref="Z2:AA2"/>
    <mergeCell ref="AF2:AG2"/>
    <mergeCell ref="AF3:AG3"/>
    <mergeCell ref="Z8:AA8"/>
    <mergeCell ref="AB7:AC7"/>
    <mergeCell ref="AD7:AE7"/>
    <mergeCell ref="AF7:AG7"/>
    <mergeCell ref="Z4:AA4"/>
    <mergeCell ref="AB3:AC3"/>
    <mergeCell ref="AD3:AE3"/>
    <mergeCell ref="AB2:AC2"/>
    <mergeCell ref="AD2:AE2"/>
    <mergeCell ref="Z3:AA3"/>
    <mergeCell ref="R4:S4"/>
    <mergeCell ref="R1:Y1"/>
    <mergeCell ref="R2:S2"/>
    <mergeCell ref="T2:U2"/>
    <mergeCell ref="V2:W2"/>
    <mergeCell ref="X2:Y2"/>
    <mergeCell ref="T4:U4"/>
    <mergeCell ref="V4:W4"/>
    <mergeCell ref="X4:Y4"/>
    <mergeCell ref="T3:U3"/>
    <mergeCell ref="V3:W3"/>
    <mergeCell ref="X3:Y3"/>
    <mergeCell ref="R3:S3"/>
    <mergeCell ref="N3:O3"/>
    <mergeCell ref="P3:Q3"/>
    <mergeCell ref="J8:K8"/>
    <mergeCell ref="L8:M8"/>
    <mergeCell ref="N8:O8"/>
    <mergeCell ref="P8:Q8"/>
    <mergeCell ref="L4:M4"/>
    <mergeCell ref="N4:O4"/>
    <mergeCell ref="P6:Q6"/>
    <mergeCell ref="J4:K4"/>
    <mergeCell ref="L7:M7"/>
    <mergeCell ref="N7:O7"/>
    <mergeCell ref="P7:Q7"/>
    <mergeCell ref="L6:M6"/>
    <mergeCell ref="N6:O6"/>
    <mergeCell ref="P4:Q4"/>
    <mergeCell ref="B1:I1"/>
    <mergeCell ref="J1:Q1"/>
    <mergeCell ref="J2:K2"/>
    <mergeCell ref="L2:M2"/>
    <mergeCell ref="N2:O2"/>
    <mergeCell ref="P2:Q2"/>
    <mergeCell ref="B2:C2"/>
    <mergeCell ref="D2:E2"/>
    <mergeCell ref="B8:C8"/>
    <mergeCell ref="D8:E8"/>
    <mergeCell ref="F8:G8"/>
    <mergeCell ref="H8:I8"/>
    <mergeCell ref="B3:C3"/>
    <mergeCell ref="B4:C4"/>
    <mergeCell ref="D4:E4"/>
    <mergeCell ref="F4:G4"/>
    <mergeCell ref="H4:I4"/>
    <mergeCell ref="D3:E3"/>
    <mergeCell ref="F3:G3"/>
    <mergeCell ref="H3:I3"/>
    <mergeCell ref="H2:I2"/>
    <mergeCell ref="J3:K3"/>
    <mergeCell ref="F2:G2"/>
    <mergeCell ref="L3:M3"/>
  </mergeCells>
  <conditionalFormatting sqref="U11:U29">
    <cfRule type="duplicateValues" dxfId="121" priority="18"/>
  </conditionalFormatting>
  <conditionalFormatting sqref="AG14:AG32">
    <cfRule type="duplicateValues" dxfId="120" priority="15"/>
  </conditionalFormatting>
  <conditionalFormatting sqref="AG13">
    <cfRule type="duplicateValues" dxfId="119" priority="14"/>
  </conditionalFormatting>
  <conditionalFormatting sqref="AG12">
    <cfRule type="duplicateValues" dxfId="118" priority="13"/>
  </conditionalFormatting>
  <conditionalFormatting sqref="AG11">
    <cfRule type="duplicateValues" dxfId="117" priority="12"/>
  </conditionalFormatting>
  <conditionalFormatting sqref="H11:I19">
    <cfRule type="duplicateValues" dxfId="116" priority="11"/>
  </conditionalFormatting>
  <conditionalFormatting sqref="K20:K36">
    <cfRule type="duplicateValues" dxfId="115" priority="10"/>
  </conditionalFormatting>
  <conditionalFormatting sqref="M11:M36">
    <cfRule type="duplicateValues" dxfId="114" priority="9"/>
  </conditionalFormatting>
  <conditionalFormatting sqref="O11:O36">
    <cfRule type="duplicateValues" dxfId="113" priority="8"/>
  </conditionalFormatting>
  <conditionalFormatting sqref="J11:K19">
    <cfRule type="duplicateValues" dxfId="112" priority="7"/>
  </conditionalFormatting>
  <conditionalFormatting sqref="C11:C36 E11:E36 G11:G36 I20:I36 U30:U36 W11:W36 AE22:AE36 AG33:AG36 Y25:Y36 S11:S36 AA11:AA36 AC11:AC36">
    <cfRule type="duplicateValues" dxfId="111" priority="779"/>
  </conditionalFormatting>
  <conditionalFormatting sqref="Y11:Y24">
    <cfRule type="duplicateValues" dxfId="110" priority="6"/>
  </conditionalFormatting>
  <conditionalFormatting sqref="AE14:AE21">
    <cfRule type="duplicateValues" dxfId="109" priority="5"/>
  </conditionalFormatting>
  <conditionalFormatting sqref="AE13">
    <cfRule type="duplicateValues" dxfId="108" priority="4"/>
  </conditionalFormatting>
  <conditionalFormatting sqref="AE12">
    <cfRule type="duplicateValues" dxfId="107" priority="3"/>
  </conditionalFormatting>
  <conditionalFormatting sqref="AE11">
    <cfRule type="duplicateValues" dxfId="106" priority="1"/>
  </conditionalFormatting>
  <pageMargins left="0.1" right="0.1" top="0.75" bottom="0.25" header="0" footer="0"/>
  <pageSetup paperSize="9" scale="47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1"/>
  </sheetPr>
  <dimension ref="A1:AG26"/>
  <sheetViews>
    <sheetView workbookViewId="0">
      <pane ySplit="10" topLeftCell="A11" activePane="bottomLeft" state="frozen"/>
      <selection pane="bottomLeft" activeCell="B11" sqref="B11"/>
    </sheetView>
  </sheetViews>
  <sheetFormatPr defaultRowHeight="15" x14ac:dyDescent="0.25"/>
  <cols>
    <col min="1" max="1" width="11.7109375" bestFit="1" customWidth="1"/>
    <col min="2" max="2" width="5.42578125" style="79" bestFit="1" customWidth="1"/>
    <col min="3" max="3" width="17.42578125" bestFit="1" customWidth="1"/>
    <col min="4" max="4" width="5.42578125" bestFit="1" customWidth="1"/>
    <col min="5" max="5" width="17.42578125" bestFit="1" customWidth="1"/>
    <col min="6" max="6" width="2.85546875" bestFit="1" customWidth="1"/>
    <col min="7" max="7" width="7.42578125" bestFit="1" customWidth="1"/>
    <col min="8" max="8" width="3" style="77" bestFit="1" customWidth="1"/>
    <col min="9" max="9" width="19.7109375" bestFit="1" customWidth="1"/>
    <col min="10" max="10" width="2.85546875" style="77" bestFit="1" customWidth="1"/>
    <col min="11" max="11" width="12.28515625" bestFit="1" customWidth="1"/>
    <col min="12" max="12" width="2.85546875" style="79" bestFit="1" customWidth="1"/>
    <col min="13" max="13" width="21" bestFit="1" customWidth="1"/>
    <col min="14" max="14" width="3" bestFit="1" customWidth="1"/>
    <col min="15" max="15" width="20.42578125" bestFit="1" customWidth="1"/>
    <col min="16" max="16" width="3" bestFit="1" customWidth="1"/>
    <col min="17" max="17" width="17.85546875" bestFit="1" customWidth="1"/>
    <col min="18" max="18" width="5" bestFit="1" customWidth="1"/>
    <col min="19" max="19" width="26.85546875" bestFit="1" customWidth="1"/>
    <col min="20" max="20" width="5" bestFit="1" customWidth="1"/>
    <col min="21" max="21" width="14" bestFit="1" customWidth="1"/>
    <col min="22" max="22" width="3" style="79" bestFit="1" customWidth="1"/>
    <col min="23" max="23" width="17.85546875" bestFit="1" customWidth="1"/>
    <col min="24" max="24" width="2.85546875" style="79" bestFit="1" customWidth="1"/>
    <col min="25" max="25" width="11.85546875" bestFit="1" customWidth="1"/>
    <col min="26" max="26" width="3" style="79" bestFit="1" customWidth="1"/>
    <col min="27" max="27" width="18.42578125" bestFit="1" customWidth="1"/>
    <col min="28" max="28" width="3" bestFit="1" customWidth="1"/>
    <col min="29" max="29" width="14.5703125" bestFit="1" customWidth="1"/>
    <col min="30" max="30" width="2.85546875" bestFit="1" customWidth="1"/>
    <col min="31" max="31" width="8.140625" bestFit="1" customWidth="1"/>
    <col min="32" max="32" width="5" bestFit="1" customWidth="1"/>
    <col min="33" max="33" width="19.42578125" bestFit="1" customWidth="1"/>
  </cols>
  <sheetData>
    <row r="1" spans="1:33" ht="15.75" thickBot="1" x14ac:dyDescent="0.3">
      <c r="A1" s="107" t="s">
        <v>242</v>
      </c>
      <c r="B1" s="384" t="s">
        <v>1358</v>
      </c>
      <c r="C1" s="385"/>
      <c r="D1" s="385"/>
      <c r="E1" s="385"/>
      <c r="F1" s="385"/>
      <c r="G1" s="385"/>
      <c r="H1" s="385"/>
      <c r="I1" s="386"/>
      <c r="J1" s="387" t="s">
        <v>1359</v>
      </c>
      <c r="K1" s="388"/>
      <c r="L1" s="388"/>
      <c r="M1" s="388"/>
      <c r="N1" s="388"/>
      <c r="O1" s="388"/>
      <c r="P1" s="388"/>
      <c r="Q1" s="389"/>
      <c r="R1" s="384" t="s">
        <v>1360</v>
      </c>
      <c r="S1" s="385"/>
      <c r="T1" s="385"/>
      <c r="U1" s="385"/>
      <c r="V1" s="385"/>
      <c r="W1" s="385"/>
      <c r="X1" s="385"/>
      <c r="Y1" s="386"/>
      <c r="Z1" s="387" t="s">
        <v>1361</v>
      </c>
      <c r="AA1" s="388"/>
      <c r="AB1" s="388"/>
      <c r="AC1" s="388"/>
      <c r="AD1" s="388"/>
      <c r="AE1" s="388"/>
      <c r="AF1" s="388"/>
      <c r="AG1" s="389"/>
    </row>
    <row r="2" spans="1:33" ht="15.75" thickBot="1" x14ac:dyDescent="0.3">
      <c r="A2" s="50" t="s">
        <v>276</v>
      </c>
      <c r="B2" s="393" t="s">
        <v>267</v>
      </c>
      <c r="C2" s="394"/>
      <c r="D2" s="390" t="s">
        <v>268</v>
      </c>
      <c r="E2" s="391"/>
      <c r="F2" s="391" t="s">
        <v>269</v>
      </c>
      <c r="G2" s="391"/>
      <c r="H2" s="391" t="s">
        <v>270</v>
      </c>
      <c r="I2" s="409"/>
      <c r="J2" s="390" t="s">
        <v>267</v>
      </c>
      <c r="K2" s="391"/>
      <c r="L2" s="391" t="s">
        <v>268</v>
      </c>
      <c r="M2" s="391"/>
      <c r="N2" s="391" t="s">
        <v>269</v>
      </c>
      <c r="O2" s="391"/>
      <c r="P2" s="391" t="s">
        <v>270</v>
      </c>
      <c r="Q2" s="392"/>
      <c r="R2" s="414" t="s">
        <v>267</v>
      </c>
      <c r="S2" s="391"/>
      <c r="T2" s="391" t="s">
        <v>268</v>
      </c>
      <c r="U2" s="391"/>
      <c r="V2" s="391" t="s">
        <v>269</v>
      </c>
      <c r="W2" s="391"/>
      <c r="X2" s="391" t="s">
        <v>270</v>
      </c>
      <c r="Y2" s="409"/>
      <c r="Z2" s="390" t="s">
        <v>267</v>
      </c>
      <c r="AA2" s="391"/>
      <c r="AB2" s="435" t="s">
        <v>268</v>
      </c>
      <c r="AC2" s="436"/>
      <c r="AD2" s="391" t="s">
        <v>269</v>
      </c>
      <c r="AE2" s="391"/>
      <c r="AF2" s="391" t="s">
        <v>270</v>
      </c>
      <c r="AG2" s="409"/>
    </row>
    <row r="3" spans="1:33" x14ac:dyDescent="0.25">
      <c r="A3" s="42" t="s">
        <v>273</v>
      </c>
      <c r="B3" s="399" t="s">
        <v>319</v>
      </c>
      <c r="C3" s="400"/>
      <c r="D3" s="399" t="s">
        <v>319</v>
      </c>
      <c r="E3" s="400"/>
      <c r="F3" s="415"/>
      <c r="G3" s="416"/>
      <c r="H3" s="427" t="s">
        <v>548</v>
      </c>
      <c r="I3" s="428"/>
      <c r="J3" s="405" t="s">
        <v>113</v>
      </c>
      <c r="K3" s="406"/>
      <c r="L3" s="399" t="s">
        <v>113</v>
      </c>
      <c r="M3" s="400"/>
      <c r="N3" s="405" t="s">
        <v>113</v>
      </c>
      <c r="O3" s="406"/>
      <c r="P3" s="399" t="s">
        <v>113</v>
      </c>
      <c r="Q3" s="400"/>
      <c r="R3" s="399" t="s">
        <v>113</v>
      </c>
      <c r="S3" s="400"/>
      <c r="T3" s="399" t="s">
        <v>113</v>
      </c>
      <c r="U3" s="400"/>
      <c r="V3" s="405" t="s">
        <v>113</v>
      </c>
      <c r="W3" s="406"/>
      <c r="X3" s="399" t="s">
        <v>113</v>
      </c>
      <c r="Y3" s="400"/>
      <c r="Z3" s="426" t="s">
        <v>113</v>
      </c>
      <c r="AA3" s="408"/>
      <c r="AB3" s="426" t="s">
        <v>113</v>
      </c>
      <c r="AC3" s="408"/>
      <c r="AD3" s="407" t="s">
        <v>113</v>
      </c>
      <c r="AE3" s="407"/>
      <c r="AF3" s="426" t="s">
        <v>113</v>
      </c>
      <c r="AG3" s="408"/>
    </row>
    <row r="4" spans="1:33" x14ac:dyDescent="0.25">
      <c r="A4" s="42" t="s">
        <v>277</v>
      </c>
      <c r="B4" s="401" t="s">
        <v>297</v>
      </c>
      <c r="C4" s="402"/>
      <c r="D4" s="403" t="s">
        <v>298</v>
      </c>
      <c r="E4" s="404"/>
      <c r="F4" s="401" t="s">
        <v>299</v>
      </c>
      <c r="G4" s="402"/>
      <c r="H4" s="403" t="s">
        <v>300</v>
      </c>
      <c r="I4" s="402"/>
      <c r="J4" s="403" t="s">
        <v>301</v>
      </c>
      <c r="K4" s="404"/>
      <c r="L4" s="401" t="s">
        <v>302</v>
      </c>
      <c r="M4" s="402"/>
      <c r="N4" s="403" t="s">
        <v>303</v>
      </c>
      <c r="O4" s="404"/>
      <c r="P4" s="401" t="s">
        <v>304</v>
      </c>
      <c r="Q4" s="402"/>
      <c r="R4" s="401" t="s">
        <v>305</v>
      </c>
      <c r="S4" s="402"/>
      <c r="T4" s="401" t="s">
        <v>306</v>
      </c>
      <c r="U4" s="402"/>
      <c r="V4" s="403" t="s">
        <v>307</v>
      </c>
      <c r="W4" s="404"/>
      <c r="X4" s="401" t="s">
        <v>308</v>
      </c>
      <c r="Y4" s="402"/>
      <c r="Z4" s="421" t="s">
        <v>309</v>
      </c>
      <c r="AA4" s="422"/>
      <c r="AB4" s="421" t="s">
        <v>310</v>
      </c>
      <c r="AC4" s="422"/>
      <c r="AD4" s="423" t="s">
        <v>311</v>
      </c>
      <c r="AE4" s="423"/>
      <c r="AF4" s="421" t="s">
        <v>312</v>
      </c>
      <c r="AG4" s="422"/>
    </row>
    <row r="5" spans="1:33" x14ac:dyDescent="0.25">
      <c r="A5" s="302" t="s">
        <v>2079</v>
      </c>
      <c r="B5" s="421">
        <v>15</v>
      </c>
      <c r="C5" s="422"/>
      <c r="D5" s="421">
        <v>10</v>
      </c>
      <c r="E5" s="422"/>
      <c r="F5" s="421">
        <v>0</v>
      </c>
      <c r="G5" s="422"/>
      <c r="H5" s="421">
        <v>10</v>
      </c>
      <c r="I5" s="422"/>
      <c r="J5" s="421">
        <v>7</v>
      </c>
      <c r="K5" s="422"/>
      <c r="L5" s="421">
        <v>6</v>
      </c>
      <c r="M5" s="422"/>
      <c r="N5" s="421">
        <v>3</v>
      </c>
      <c r="O5" s="422"/>
      <c r="P5" s="421">
        <v>10</v>
      </c>
      <c r="Q5" s="422"/>
      <c r="R5" s="421">
        <v>25</v>
      </c>
      <c r="S5" s="422"/>
      <c r="T5" s="421">
        <v>5</v>
      </c>
      <c r="U5" s="422"/>
      <c r="V5" s="421">
        <v>12</v>
      </c>
      <c r="W5" s="422"/>
      <c r="X5" s="421">
        <v>8</v>
      </c>
      <c r="Y5" s="422"/>
      <c r="Z5" s="421">
        <v>5</v>
      </c>
      <c r="AA5" s="422"/>
      <c r="AB5" s="421">
        <v>20</v>
      </c>
      <c r="AC5" s="422"/>
      <c r="AD5" s="421">
        <v>5</v>
      </c>
      <c r="AE5" s="422"/>
      <c r="AF5" s="421">
        <v>5</v>
      </c>
      <c r="AG5" s="422"/>
    </row>
    <row r="6" spans="1:33" x14ac:dyDescent="0.25">
      <c r="A6" s="42" t="s">
        <v>313</v>
      </c>
      <c r="B6" s="401" t="s">
        <v>101</v>
      </c>
      <c r="C6" s="402"/>
      <c r="D6" s="403" t="s">
        <v>102</v>
      </c>
      <c r="E6" s="404"/>
      <c r="F6" s="401" t="s">
        <v>103</v>
      </c>
      <c r="G6" s="402"/>
      <c r="H6" s="403" t="s">
        <v>246</v>
      </c>
      <c r="I6" s="402"/>
      <c r="J6" s="403" t="s">
        <v>116</v>
      </c>
      <c r="K6" s="404"/>
      <c r="L6" s="401" t="s">
        <v>117</v>
      </c>
      <c r="M6" s="402"/>
      <c r="N6" s="403" t="s">
        <v>118</v>
      </c>
      <c r="O6" s="404"/>
      <c r="P6" s="401" t="s">
        <v>119</v>
      </c>
      <c r="Q6" s="402"/>
      <c r="R6" s="401" t="s">
        <v>120</v>
      </c>
      <c r="S6" s="402"/>
      <c r="T6" s="401" t="s">
        <v>121</v>
      </c>
      <c r="U6" s="402"/>
      <c r="V6" s="403" t="s">
        <v>122</v>
      </c>
      <c r="W6" s="404"/>
      <c r="X6" s="401" t="s">
        <v>123</v>
      </c>
      <c r="Y6" s="402"/>
      <c r="Z6" s="421" t="s">
        <v>124</v>
      </c>
      <c r="AA6" s="422"/>
      <c r="AB6" s="421" t="s">
        <v>125</v>
      </c>
      <c r="AC6" s="422"/>
      <c r="AD6" s="423" t="s">
        <v>126</v>
      </c>
      <c r="AE6" s="423"/>
      <c r="AF6" s="421" t="s">
        <v>115</v>
      </c>
      <c r="AG6" s="422"/>
    </row>
    <row r="7" spans="1:33" x14ac:dyDescent="0.25">
      <c r="A7" s="42" t="s">
        <v>295</v>
      </c>
      <c r="B7" s="424">
        <v>3800</v>
      </c>
      <c r="C7" s="424"/>
      <c r="D7" s="421">
        <v>3800</v>
      </c>
      <c r="E7" s="422"/>
      <c r="F7" s="425" t="s">
        <v>425</v>
      </c>
      <c r="G7" s="425"/>
      <c r="H7" s="424">
        <v>4140</v>
      </c>
      <c r="I7" s="424"/>
      <c r="J7" s="424">
        <v>3723</v>
      </c>
      <c r="K7" s="424"/>
      <c r="L7" s="424">
        <v>4118</v>
      </c>
      <c r="M7" s="424"/>
      <c r="N7" s="424">
        <v>3742</v>
      </c>
      <c r="O7" s="424"/>
      <c r="P7" s="424">
        <v>3936</v>
      </c>
      <c r="Q7" s="424"/>
      <c r="R7" s="424">
        <v>4036</v>
      </c>
      <c r="S7" s="424"/>
      <c r="T7" s="424">
        <v>4003</v>
      </c>
      <c r="U7" s="424"/>
      <c r="V7" s="424">
        <v>3936</v>
      </c>
      <c r="W7" s="424"/>
      <c r="X7" s="424">
        <v>3922</v>
      </c>
      <c r="Y7" s="424"/>
      <c r="Z7" s="424">
        <v>3850</v>
      </c>
      <c r="AA7" s="424"/>
      <c r="AB7" s="424">
        <v>4154</v>
      </c>
      <c r="AC7" s="424"/>
      <c r="AD7" s="424">
        <v>4064</v>
      </c>
      <c r="AE7" s="424"/>
      <c r="AF7" s="424">
        <v>3828</v>
      </c>
      <c r="AG7" s="424"/>
    </row>
    <row r="8" spans="1:33" ht="15.75" thickBot="1" x14ac:dyDescent="0.3">
      <c r="A8" s="43" t="s">
        <v>296</v>
      </c>
      <c r="B8" s="429">
        <v>28100</v>
      </c>
      <c r="C8" s="430"/>
      <c r="D8" s="431">
        <v>28100</v>
      </c>
      <c r="E8" s="432"/>
      <c r="F8" s="425" t="s">
        <v>425</v>
      </c>
      <c r="G8" s="425"/>
      <c r="H8" s="433">
        <v>28800</v>
      </c>
      <c r="I8" s="430"/>
      <c r="J8" s="433">
        <v>9600</v>
      </c>
      <c r="K8" s="434"/>
      <c r="L8" s="429">
        <v>8800</v>
      </c>
      <c r="M8" s="430"/>
      <c r="N8" s="433">
        <v>7000</v>
      </c>
      <c r="O8" s="434"/>
      <c r="P8" s="429">
        <v>14400</v>
      </c>
      <c r="Q8" s="430"/>
      <c r="R8" s="429">
        <v>21600</v>
      </c>
      <c r="S8" s="430"/>
      <c r="T8" s="429">
        <v>7200</v>
      </c>
      <c r="U8" s="430"/>
      <c r="V8" s="433">
        <v>14400</v>
      </c>
      <c r="W8" s="434"/>
      <c r="X8" s="429">
        <v>7000</v>
      </c>
      <c r="Y8" s="430"/>
      <c r="Z8" s="437">
        <v>22222</v>
      </c>
      <c r="AA8" s="438"/>
      <c r="AB8" s="437">
        <v>22500</v>
      </c>
      <c r="AC8" s="438"/>
      <c r="AD8" s="439">
        <v>4400</v>
      </c>
      <c r="AE8" s="439"/>
      <c r="AF8" s="437">
        <v>7200</v>
      </c>
      <c r="AG8" s="438"/>
    </row>
    <row r="9" spans="1:33" ht="15.75" thickBot="1" x14ac:dyDescent="0.3">
      <c r="A9" s="90" t="s">
        <v>549</v>
      </c>
      <c r="B9" s="346" t="s">
        <v>2107</v>
      </c>
      <c r="C9" s="347"/>
      <c r="D9" s="346" t="s">
        <v>1655</v>
      </c>
      <c r="E9" s="347"/>
      <c r="F9" s="346" t="s">
        <v>1392</v>
      </c>
      <c r="G9" s="347"/>
      <c r="H9" s="346" t="s">
        <v>552</v>
      </c>
      <c r="I9" s="347"/>
      <c r="J9" s="346" t="s">
        <v>550</v>
      </c>
      <c r="K9" s="347"/>
      <c r="L9" s="346" t="s">
        <v>550</v>
      </c>
      <c r="M9" s="347"/>
      <c r="N9" s="346" t="s">
        <v>487</v>
      </c>
      <c r="O9" s="347"/>
      <c r="P9" s="346" t="s">
        <v>1240</v>
      </c>
      <c r="Q9" s="347"/>
      <c r="R9" s="346" t="s">
        <v>2126</v>
      </c>
      <c r="S9" s="347"/>
      <c r="T9" s="346" t="s">
        <v>503</v>
      </c>
      <c r="U9" s="347"/>
      <c r="V9" s="346" t="s">
        <v>1041</v>
      </c>
      <c r="W9" s="347"/>
      <c r="X9" s="346" t="s">
        <v>506</v>
      </c>
      <c r="Y9" s="347"/>
      <c r="Z9" s="346" t="s">
        <v>509</v>
      </c>
      <c r="AA9" s="347"/>
      <c r="AB9" s="346" t="s">
        <v>515</v>
      </c>
      <c r="AC9" s="347"/>
      <c r="AD9" s="346" t="s">
        <v>550</v>
      </c>
      <c r="AE9" s="347"/>
      <c r="AF9" s="346" t="s">
        <v>514</v>
      </c>
      <c r="AG9" s="347"/>
    </row>
    <row r="10" spans="1:33" ht="15.75" thickBot="1" x14ac:dyDescent="0.3">
      <c r="A10" s="81" t="s">
        <v>275</v>
      </c>
      <c r="B10" s="78" t="s">
        <v>272</v>
      </c>
      <c r="C10" s="46" t="s">
        <v>271</v>
      </c>
      <c r="D10" s="47" t="s">
        <v>272</v>
      </c>
      <c r="E10" s="48" t="s">
        <v>271</v>
      </c>
      <c r="F10" s="45" t="s">
        <v>272</v>
      </c>
      <c r="G10" s="46" t="s">
        <v>271</v>
      </c>
      <c r="H10" s="74" t="s">
        <v>272</v>
      </c>
      <c r="I10" s="46" t="s">
        <v>271</v>
      </c>
      <c r="J10" s="74" t="s">
        <v>272</v>
      </c>
      <c r="K10" s="48" t="s">
        <v>271</v>
      </c>
      <c r="L10" s="78" t="s">
        <v>272</v>
      </c>
      <c r="M10" s="46" t="s">
        <v>271</v>
      </c>
      <c r="N10" s="47" t="s">
        <v>272</v>
      </c>
      <c r="O10" s="48" t="s">
        <v>271</v>
      </c>
      <c r="P10" s="45" t="s">
        <v>272</v>
      </c>
      <c r="Q10" s="46" t="s">
        <v>271</v>
      </c>
      <c r="R10" s="45" t="s">
        <v>272</v>
      </c>
      <c r="S10" s="46" t="s">
        <v>271</v>
      </c>
      <c r="T10" s="45" t="s">
        <v>272</v>
      </c>
      <c r="U10" s="46" t="s">
        <v>271</v>
      </c>
      <c r="V10" s="73" t="s">
        <v>272</v>
      </c>
      <c r="W10" s="48" t="s">
        <v>271</v>
      </c>
      <c r="X10" s="78" t="s">
        <v>272</v>
      </c>
      <c r="Y10" s="46" t="s">
        <v>271</v>
      </c>
      <c r="Z10" s="78" t="s">
        <v>272</v>
      </c>
      <c r="AA10" s="46" t="s">
        <v>271</v>
      </c>
      <c r="AB10" s="45" t="s">
        <v>272</v>
      </c>
      <c r="AC10" s="46" t="s">
        <v>271</v>
      </c>
      <c r="AD10" s="47" t="s">
        <v>272</v>
      </c>
      <c r="AE10" s="48" t="s">
        <v>271</v>
      </c>
      <c r="AF10" s="45" t="s">
        <v>272</v>
      </c>
      <c r="AG10" s="46" t="s">
        <v>271</v>
      </c>
    </row>
    <row r="11" spans="1:33" x14ac:dyDescent="0.25">
      <c r="A11" s="26">
        <v>1</v>
      </c>
      <c r="B11" s="16" t="s">
        <v>1654</v>
      </c>
      <c r="C11" s="3" t="s">
        <v>2106</v>
      </c>
      <c r="D11" s="513" t="s">
        <v>1654</v>
      </c>
      <c r="E11" s="504" t="s">
        <v>2106</v>
      </c>
      <c r="F11" s="8"/>
      <c r="G11" s="4"/>
      <c r="H11" s="75">
        <v>1</v>
      </c>
      <c r="I11" s="98" t="s">
        <v>458</v>
      </c>
      <c r="J11" s="80">
        <v>1</v>
      </c>
      <c r="K11" s="185" t="s">
        <v>471</v>
      </c>
      <c r="L11" s="13">
        <v>1</v>
      </c>
      <c r="M11" s="4" t="s">
        <v>478</v>
      </c>
      <c r="N11" s="25">
        <v>1</v>
      </c>
      <c r="O11" s="98" t="s">
        <v>487</v>
      </c>
      <c r="P11" s="44">
        <v>14</v>
      </c>
      <c r="Q11" s="3" t="s">
        <v>963</v>
      </c>
      <c r="R11" s="44">
        <v>901</v>
      </c>
      <c r="S11" s="4" t="s">
        <v>1543</v>
      </c>
      <c r="T11" s="175">
        <v>200</v>
      </c>
      <c r="U11" s="4" t="s">
        <v>1669</v>
      </c>
      <c r="V11" s="44">
        <v>14</v>
      </c>
      <c r="W11" s="3" t="s">
        <v>963</v>
      </c>
      <c r="X11" s="13">
        <v>1</v>
      </c>
      <c r="Y11" s="3" t="s">
        <v>505</v>
      </c>
      <c r="Z11" s="295">
        <v>1</v>
      </c>
      <c r="AA11" s="4" t="s">
        <v>1673</v>
      </c>
      <c r="AB11" s="44">
        <v>52</v>
      </c>
      <c r="AC11" s="98" t="s">
        <v>514</v>
      </c>
      <c r="AD11" s="25">
        <v>1</v>
      </c>
      <c r="AE11" s="185" t="s">
        <v>553</v>
      </c>
      <c r="AF11" s="44">
        <v>1300</v>
      </c>
      <c r="AG11" s="3" t="s">
        <v>518</v>
      </c>
    </row>
    <row r="12" spans="1:33" x14ac:dyDescent="0.25">
      <c r="A12" s="42">
        <v>2</v>
      </c>
      <c r="B12" s="296" t="s">
        <v>1656</v>
      </c>
      <c r="C12" s="98" t="s">
        <v>1655</v>
      </c>
      <c r="D12" s="514" t="s">
        <v>1656</v>
      </c>
      <c r="E12" s="504" t="s">
        <v>1655</v>
      </c>
      <c r="F12" s="8"/>
      <c r="G12" s="4"/>
      <c r="H12" s="75">
        <v>2</v>
      </c>
      <c r="I12" s="4" t="s">
        <v>459</v>
      </c>
      <c r="J12" s="76">
        <v>2</v>
      </c>
      <c r="K12" s="19" t="s">
        <v>472</v>
      </c>
      <c r="L12" s="13">
        <v>2</v>
      </c>
      <c r="M12" s="184" t="s">
        <v>479</v>
      </c>
      <c r="N12" s="24">
        <v>2</v>
      </c>
      <c r="O12" s="19" t="s">
        <v>2108</v>
      </c>
      <c r="P12" s="8">
        <v>15</v>
      </c>
      <c r="Q12" s="4" t="s">
        <v>1041</v>
      </c>
      <c r="R12" s="8">
        <v>911</v>
      </c>
      <c r="S12" s="97" t="s">
        <v>502</v>
      </c>
      <c r="T12" s="175">
        <v>300</v>
      </c>
      <c r="U12" s="4" t="s">
        <v>1670</v>
      </c>
      <c r="V12" s="8">
        <v>15</v>
      </c>
      <c r="W12" s="97" t="s">
        <v>1041</v>
      </c>
      <c r="X12" s="69">
        <v>2</v>
      </c>
      <c r="Y12" s="97" t="s">
        <v>506</v>
      </c>
      <c r="Z12" s="295">
        <v>2</v>
      </c>
      <c r="AA12" s="4" t="s">
        <v>1674</v>
      </c>
      <c r="AB12" s="8">
        <v>53</v>
      </c>
      <c r="AC12" s="97" t="s">
        <v>515</v>
      </c>
      <c r="AD12" s="24">
        <v>3</v>
      </c>
      <c r="AE12" s="19" t="s">
        <v>554</v>
      </c>
      <c r="AF12" s="44">
        <v>1301</v>
      </c>
      <c r="AG12" s="4" t="s">
        <v>519</v>
      </c>
    </row>
    <row r="13" spans="1:33" x14ac:dyDescent="0.25">
      <c r="A13" s="42">
        <v>3</v>
      </c>
      <c r="B13" s="296" t="s">
        <v>1658</v>
      </c>
      <c r="C13" s="4" t="s">
        <v>1657</v>
      </c>
      <c r="D13" s="514" t="s">
        <v>1658</v>
      </c>
      <c r="E13" s="506" t="s">
        <v>1657</v>
      </c>
      <c r="F13" s="8"/>
      <c r="G13" s="4"/>
      <c r="H13" s="75">
        <v>3</v>
      </c>
      <c r="I13" s="4" t="s">
        <v>460</v>
      </c>
      <c r="J13" s="76">
        <v>3</v>
      </c>
      <c r="K13" s="186" t="s">
        <v>473</v>
      </c>
      <c r="L13" s="13">
        <v>3</v>
      </c>
      <c r="M13" s="187" t="s">
        <v>480</v>
      </c>
      <c r="N13" s="24">
        <v>3</v>
      </c>
      <c r="O13" s="19" t="s">
        <v>2112</v>
      </c>
      <c r="P13" s="8">
        <v>16</v>
      </c>
      <c r="Q13" s="4" t="s">
        <v>1238</v>
      </c>
      <c r="R13" s="8">
        <v>921</v>
      </c>
      <c r="S13" s="4" t="s">
        <v>2113</v>
      </c>
      <c r="T13" s="175">
        <v>400</v>
      </c>
      <c r="U13" s="184" t="s">
        <v>1671</v>
      </c>
      <c r="V13" s="8">
        <v>16</v>
      </c>
      <c r="W13" s="4" t="s">
        <v>1238</v>
      </c>
      <c r="X13" s="69"/>
      <c r="Y13" s="4"/>
      <c r="Z13" s="295">
        <v>3</v>
      </c>
      <c r="AA13" s="4" t="s">
        <v>2127</v>
      </c>
      <c r="AB13" s="8">
        <v>54</v>
      </c>
      <c r="AC13" s="4" t="s">
        <v>516</v>
      </c>
      <c r="AD13" s="24"/>
      <c r="AE13" s="19"/>
      <c r="AF13" s="44">
        <v>1302</v>
      </c>
      <c r="AG13" s="4" t="s">
        <v>520</v>
      </c>
    </row>
    <row r="14" spans="1:33" x14ac:dyDescent="0.25">
      <c r="A14" s="42">
        <v>4</v>
      </c>
      <c r="B14" s="296" t="s">
        <v>1659</v>
      </c>
      <c r="C14" s="4" t="s">
        <v>1566</v>
      </c>
      <c r="D14" s="514" t="s">
        <v>1659</v>
      </c>
      <c r="E14" s="506" t="s">
        <v>1566</v>
      </c>
      <c r="F14" s="8"/>
      <c r="G14" s="4"/>
      <c r="H14" s="75">
        <v>4</v>
      </c>
      <c r="I14" s="4" t="s">
        <v>461</v>
      </c>
      <c r="J14" s="76">
        <v>4</v>
      </c>
      <c r="K14" s="19" t="s">
        <v>474</v>
      </c>
      <c r="L14" s="13">
        <v>4</v>
      </c>
      <c r="M14" s="4" t="s">
        <v>481</v>
      </c>
      <c r="N14" s="24">
        <v>4</v>
      </c>
      <c r="O14" s="19" t="s">
        <v>488</v>
      </c>
      <c r="P14" s="8">
        <v>19</v>
      </c>
      <c r="Q14" s="4" t="s">
        <v>1239</v>
      </c>
      <c r="R14" s="8">
        <v>925</v>
      </c>
      <c r="S14" s="97" t="s">
        <v>2123</v>
      </c>
      <c r="T14" s="8">
        <v>600</v>
      </c>
      <c r="U14" s="4" t="s">
        <v>2125</v>
      </c>
      <c r="V14" s="8">
        <v>19</v>
      </c>
      <c r="W14" s="4" t="s">
        <v>1239</v>
      </c>
      <c r="X14" s="69"/>
      <c r="Y14" s="4"/>
      <c r="Z14" s="295">
        <v>4</v>
      </c>
      <c r="AA14" s="4" t="s">
        <v>2128</v>
      </c>
      <c r="AB14" s="8">
        <v>55</v>
      </c>
      <c r="AC14" s="4" t="s">
        <v>517</v>
      </c>
      <c r="AD14" s="24"/>
      <c r="AE14" s="19"/>
      <c r="AF14" s="44">
        <v>1303</v>
      </c>
      <c r="AG14" s="4" t="s">
        <v>521</v>
      </c>
    </row>
    <row r="15" spans="1:33" x14ac:dyDescent="0.25">
      <c r="A15" s="42">
        <v>5</v>
      </c>
      <c r="B15" s="296" t="s">
        <v>1660</v>
      </c>
      <c r="C15" s="4" t="s">
        <v>1628</v>
      </c>
      <c r="D15" s="514" t="s">
        <v>1660</v>
      </c>
      <c r="E15" s="506" t="s">
        <v>1628</v>
      </c>
      <c r="F15" s="8"/>
      <c r="G15" s="4"/>
      <c r="H15" s="75">
        <v>5</v>
      </c>
      <c r="I15" s="4" t="s">
        <v>462</v>
      </c>
      <c r="J15" s="76">
        <v>5</v>
      </c>
      <c r="K15" s="19" t="s">
        <v>475</v>
      </c>
      <c r="L15" s="13">
        <v>5</v>
      </c>
      <c r="M15" s="4" t="s">
        <v>482</v>
      </c>
      <c r="N15" s="24">
        <v>6</v>
      </c>
      <c r="O15" s="19" t="s">
        <v>490</v>
      </c>
      <c r="P15" s="8">
        <v>20</v>
      </c>
      <c r="Q15" s="98" t="s">
        <v>1240</v>
      </c>
      <c r="R15" s="8">
        <v>931</v>
      </c>
      <c r="S15" s="4" t="s">
        <v>2114</v>
      </c>
      <c r="T15" s="175">
        <v>1000</v>
      </c>
      <c r="U15" s="4" t="s">
        <v>1672</v>
      </c>
      <c r="V15" s="8">
        <v>20</v>
      </c>
      <c r="W15" s="4" t="s">
        <v>1240</v>
      </c>
      <c r="X15" s="69"/>
      <c r="Y15" s="4"/>
      <c r="Z15" s="295">
        <v>5</v>
      </c>
      <c r="AA15" s="97" t="s">
        <v>1676</v>
      </c>
      <c r="AB15" s="8">
        <v>56</v>
      </c>
      <c r="AC15" s="4" t="s">
        <v>2129</v>
      </c>
      <c r="AD15" s="24"/>
      <c r="AE15" s="19"/>
      <c r="AF15" s="44">
        <v>1304</v>
      </c>
      <c r="AG15" s="4" t="s">
        <v>522</v>
      </c>
    </row>
    <row r="16" spans="1:33" x14ac:dyDescent="0.25">
      <c r="A16" s="42">
        <v>6</v>
      </c>
      <c r="B16" s="296" t="s">
        <v>1661</v>
      </c>
      <c r="C16" s="4" t="s">
        <v>1570</v>
      </c>
      <c r="D16" s="514" t="s">
        <v>1661</v>
      </c>
      <c r="E16" s="506" t="s">
        <v>1570</v>
      </c>
      <c r="F16" s="8"/>
      <c r="G16" s="4"/>
      <c r="H16" s="75">
        <v>6</v>
      </c>
      <c r="I16" s="98" t="s">
        <v>463</v>
      </c>
      <c r="J16" s="76">
        <v>6</v>
      </c>
      <c r="K16" s="19" t="s">
        <v>476</v>
      </c>
      <c r="L16" s="13">
        <v>6</v>
      </c>
      <c r="M16" s="4" t="s">
        <v>483</v>
      </c>
      <c r="N16" s="24">
        <v>8</v>
      </c>
      <c r="O16" s="19" t="s">
        <v>491</v>
      </c>
      <c r="P16" s="8"/>
      <c r="Q16" s="4"/>
      <c r="R16" s="8">
        <v>941</v>
      </c>
      <c r="S16" s="97" t="s">
        <v>2115</v>
      </c>
      <c r="T16" s="175"/>
      <c r="U16" s="4"/>
      <c r="V16" s="70"/>
      <c r="W16" s="19"/>
      <c r="X16" s="69"/>
      <c r="Y16" s="4"/>
      <c r="Z16" s="71"/>
      <c r="AA16" s="4"/>
      <c r="AB16" s="8"/>
      <c r="AC16" s="4"/>
      <c r="AD16" s="24"/>
      <c r="AE16" s="19"/>
      <c r="AF16" s="44">
        <v>1305</v>
      </c>
      <c r="AG16" s="4" t="s">
        <v>523</v>
      </c>
    </row>
    <row r="17" spans="1:33" x14ac:dyDescent="0.25">
      <c r="A17" s="42">
        <v>7</v>
      </c>
      <c r="B17" s="296" t="s">
        <v>1663</v>
      </c>
      <c r="C17" s="4" t="s">
        <v>1662</v>
      </c>
      <c r="D17" s="514" t="s">
        <v>1663</v>
      </c>
      <c r="E17" s="506" t="s">
        <v>1662</v>
      </c>
      <c r="F17" s="8"/>
      <c r="G17" s="4"/>
      <c r="H17" s="75">
        <v>7</v>
      </c>
      <c r="I17" s="4" t="s">
        <v>464</v>
      </c>
      <c r="J17" s="76">
        <v>7</v>
      </c>
      <c r="K17" s="19" t="s">
        <v>477</v>
      </c>
      <c r="L17" s="13">
        <v>7</v>
      </c>
      <c r="M17" s="4" t="s">
        <v>484</v>
      </c>
      <c r="N17" s="24">
        <v>9</v>
      </c>
      <c r="O17" s="19" t="s">
        <v>2109</v>
      </c>
      <c r="P17" s="8"/>
      <c r="Q17" s="4"/>
      <c r="R17" s="8">
        <v>951</v>
      </c>
      <c r="S17" s="4" t="s">
        <v>2124</v>
      </c>
      <c r="T17" s="8"/>
      <c r="U17" s="4"/>
      <c r="V17" s="70"/>
      <c r="W17" s="19"/>
      <c r="X17" s="69"/>
      <c r="Y17" s="4"/>
      <c r="Z17" s="71"/>
      <c r="AA17" s="4"/>
      <c r="AB17" s="8"/>
      <c r="AC17" s="4"/>
      <c r="AD17" s="24"/>
      <c r="AE17" s="19"/>
      <c r="AF17" s="44">
        <v>1306</v>
      </c>
      <c r="AG17" s="4" t="s">
        <v>524</v>
      </c>
    </row>
    <row r="18" spans="1:33" x14ac:dyDescent="0.25">
      <c r="A18" s="42">
        <v>8</v>
      </c>
      <c r="B18" s="296" t="s">
        <v>1664</v>
      </c>
      <c r="C18" s="97" t="s">
        <v>1668</v>
      </c>
      <c r="D18" s="514" t="s">
        <v>1664</v>
      </c>
      <c r="E18" s="506" t="s">
        <v>1668</v>
      </c>
      <c r="F18" s="8"/>
      <c r="G18" s="4"/>
      <c r="H18" s="75">
        <v>8</v>
      </c>
      <c r="I18" s="4" t="s">
        <v>465</v>
      </c>
      <c r="J18" s="76"/>
      <c r="K18" s="19"/>
      <c r="L18" s="13">
        <v>8</v>
      </c>
      <c r="M18" s="4" t="s">
        <v>485</v>
      </c>
      <c r="N18" s="24">
        <v>10</v>
      </c>
      <c r="O18" s="19" t="s">
        <v>702</v>
      </c>
      <c r="P18" s="8"/>
      <c r="Q18" s="4"/>
      <c r="R18" s="8">
        <v>961</v>
      </c>
      <c r="S18" s="4" t="s">
        <v>2117</v>
      </c>
      <c r="T18" s="8"/>
      <c r="U18" s="4"/>
      <c r="V18" s="70"/>
      <c r="W18" s="19"/>
      <c r="X18" s="69"/>
      <c r="Y18" s="4"/>
      <c r="Z18" s="71"/>
      <c r="AA18" s="4"/>
      <c r="AB18" s="8"/>
      <c r="AC18" s="4"/>
      <c r="AD18" s="24"/>
      <c r="AE18" s="19"/>
      <c r="AF18" s="44">
        <v>1307</v>
      </c>
      <c r="AG18" s="4" t="s">
        <v>525</v>
      </c>
    </row>
    <row r="19" spans="1:33" x14ac:dyDescent="0.25">
      <c r="A19" s="42">
        <v>9</v>
      </c>
      <c r="B19" s="296" t="s">
        <v>1665</v>
      </c>
      <c r="C19" s="4" t="s">
        <v>1755</v>
      </c>
      <c r="D19" s="514" t="s">
        <v>1665</v>
      </c>
      <c r="E19" s="506" t="s">
        <v>1755</v>
      </c>
      <c r="F19" s="8"/>
      <c r="G19" s="4"/>
      <c r="H19" s="76">
        <v>9</v>
      </c>
      <c r="I19" s="4" t="s">
        <v>466</v>
      </c>
      <c r="J19" s="76"/>
      <c r="K19" s="19"/>
      <c r="L19" s="13">
        <v>9</v>
      </c>
      <c r="M19" s="4" t="s">
        <v>486</v>
      </c>
      <c r="N19" s="24">
        <v>12</v>
      </c>
      <c r="O19" s="19" t="s">
        <v>2110</v>
      </c>
      <c r="P19" s="8"/>
      <c r="Q19" s="4"/>
      <c r="R19" s="8">
        <v>970</v>
      </c>
      <c r="S19" s="97" t="s">
        <v>2118</v>
      </c>
      <c r="T19" s="8"/>
      <c r="U19" s="4"/>
      <c r="V19" s="70"/>
      <c r="W19" s="19"/>
      <c r="X19" s="69"/>
      <c r="Y19" s="4"/>
      <c r="Z19" s="71"/>
      <c r="AA19" s="4"/>
      <c r="AB19" s="8"/>
      <c r="AC19" s="4"/>
      <c r="AD19" s="24"/>
      <c r="AE19" s="19"/>
      <c r="AF19" s="44">
        <v>1308</v>
      </c>
      <c r="AG19" s="4" t="s">
        <v>526</v>
      </c>
    </row>
    <row r="20" spans="1:33" x14ac:dyDescent="0.25">
      <c r="A20" s="42">
        <v>10</v>
      </c>
      <c r="B20" s="296" t="s">
        <v>1666</v>
      </c>
      <c r="C20" s="97" t="s">
        <v>1440</v>
      </c>
      <c r="D20" s="514" t="s">
        <v>1666</v>
      </c>
      <c r="E20" s="506" t="s">
        <v>1440</v>
      </c>
      <c r="F20" s="8"/>
      <c r="G20" s="4"/>
      <c r="H20" s="76">
        <v>11</v>
      </c>
      <c r="I20" s="4" t="s">
        <v>467</v>
      </c>
      <c r="J20" s="76"/>
      <c r="K20" s="19"/>
      <c r="L20" s="69"/>
      <c r="M20" s="4"/>
      <c r="N20" s="24">
        <v>13</v>
      </c>
      <c r="O20" s="19" t="s">
        <v>2111</v>
      </c>
      <c r="P20" s="8"/>
      <c r="Q20" s="4"/>
      <c r="R20" s="8">
        <v>981</v>
      </c>
      <c r="S20" s="4" t="s">
        <v>2119</v>
      </c>
      <c r="T20" s="8"/>
      <c r="U20" s="4"/>
      <c r="V20" s="70"/>
      <c r="W20" s="19"/>
      <c r="X20" s="69"/>
      <c r="Y20" s="4"/>
      <c r="Z20" s="71"/>
      <c r="AA20" s="4"/>
      <c r="AB20" s="8"/>
      <c r="AC20" s="4"/>
      <c r="AD20" s="24"/>
      <c r="AE20" s="19"/>
      <c r="AF20" s="44">
        <v>1309</v>
      </c>
      <c r="AG20" s="184" t="s">
        <v>527</v>
      </c>
    </row>
    <row r="21" spans="1:33" x14ac:dyDescent="0.25">
      <c r="A21" s="42">
        <v>11</v>
      </c>
      <c r="B21" s="296" t="s">
        <v>1667</v>
      </c>
      <c r="C21" s="4" t="s">
        <v>1765</v>
      </c>
      <c r="D21" s="514" t="s">
        <v>1667</v>
      </c>
      <c r="E21" s="506" t="s">
        <v>1765</v>
      </c>
      <c r="F21" s="8"/>
      <c r="G21" s="4"/>
      <c r="H21" s="76">
        <v>10</v>
      </c>
      <c r="I21" s="4" t="s">
        <v>468</v>
      </c>
      <c r="J21" s="76"/>
      <c r="K21" s="19"/>
      <c r="L21" s="69"/>
      <c r="M21" s="4"/>
      <c r="N21" s="24"/>
      <c r="O21" s="19"/>
      <c r="P21" s="8"/>
      <c r="Q21" s="4"/>
      <c r="R21" s="8">
        <v>991</v>
      </c>
      <c r="S21" s="4" t="s">
        <v>2120</v>
      </c>
      <c r="T21" s="8"/>
      <c r="U21" s="4"/>
      <c r="V21" s="70"/>
      <c r="W21" s="19"/>
      <c r="X21" s="69"/>
      <c r="Y21" s="4"/>
      <c r="Z21" s="71"/>
      <c r="AA21" s="4"/>
      <c r="AB21" s="8"/>
      <c r="AC21" s="4"/>
      <c r="AD21" s="24"/>
      <c r="AE21" s="19"/>
      <c r="AF21" s="8"/>
      <c r="AG21" s="4"/>
    </row>
    <row r="22" spans="1:33" x14ac:dyDescent="0.25">
      <c r="A22" s="42">
        <v>12</v>
      </c>
      <c r="B22" s="72"/>
      <c r="C22" s="4"/>
      <c r="D22" s="24"/>
      <c r="E22" s="19"/>
      <c r="F22" s="8"/>
      <c r="G22" s="4"/>
      <c r="H22" s="76">
        <v>12</v>
      </c>
      <c r="I22" s="4" t="s">
        <v>469</v>
      </c>
      <c r="J22" s="76"/>
      <c r="K22" s="19"/>
      <c r="L22" s="69"/>
      <c r="M22" s="4"/>
      <c r="N22" s="24"/>
      <c r="O22" s="19"/>
      <c r="P22" s="8"/>
      <c r="Q22" s="4"/>
      <c r="R22" s="8">
        <v>1001</v>
      </c>
      <c r="S22" s="4" t="s">
        <v>2121</v>
      </c>
      <c r="T22" s="8"/>
      <c r="U22" s="4"/>
      <c r="V22" s="70"/>
      <c r="W22" s="19"/>
      <c r="X22" s="69"/>
      <c r="Y22" s="4"/>
      <c r="Z22" s="71"/>
      <c r="AA22" s="4"/>
      <c r="AB22" s="8"/>
      <c r="AC22" s="4"/>
      <c r="AD22" s="24"/>
      <c r="AE22" s="19"/>
      <c r="AF22" s="8"/>
      <c r="AG22" s="4"/>
    </row>
    <row r="23" spans="1:33" x14ac:dyDescent="0.25">
      <c r="A23" s="42">
        <v>13</v>
      </c>
      <c r="B23" s="72"/>
      <c r="C23" s="4"/>
      <c r="D23" s="24"/>
      <c r="E23" s="19"/>
      <c r="F23" s="8"/>
      <c r="G23" s="4"/>
      <c r="H23" s="76">
        <v>13</v>
      </c>
      <c r="I23" s="4" t="s">
        <v>470</v>
      </c>
      <c r="J23" s="76"/>
      <c r="K23" s="19"/>
      <c r="L23" s="69"/>
      <c r="M23" s="4"/>
      <c r="N23" s="24"/>
      <c r="O23" s="19"/>
      <c r="P23" s="8"/>
      <c r="Q23" s="4"/>
      <c r="R23" s="8">
        <v>1011</v>
      </c>
      <c r="S23" s="4" t="s">
        <v>2122</v>
      </c>
      <c r="T23" s="8"/>
      <c r="U23" s="4"/>
      <c r="V23" s="70"/>
      <c r="W23" s="19"/>
      <c r="X23" s="69"/>
      <c r="Y23" s="4"/>
      <c r="Z23" s="71"/>
      <c r="AA23" s="4"/>
      <c r="AB23" s="8"/>
      <c r="AC23" s="4"/>
      <c r="AD23" s="24"/>
      <c r="AE23" s="19"/>
      <c r="AF23" s="8"/>
      <c r="AG23" s="4"/>
    </row>
    <row r="24" spans="1:33" x14ac:dyDescent="0.25">
      <c r="A24" s="42">
        <v>14</v>
      </c>
      <c r="B24" s="72"/>
      <c r="C24" s="4"/>
      <c r="D24" s="24"/>
      <c r="E24" s="19"/>
      <c r="F24" s="8"/>
      <c r="G24" s="4"/>
      <c r="H24" s="76"/>
      <c r="I24" s="4"/>
      <c r="J24" s="76"/>
      <c r="K24" s="19"/>
      <c r="L24" s="71"/>
      <c r="M24" s="4"/>
      <c r="N24" s="24"/>
      <c r="O24" s="19"/>
      <c r="P24" s="8"/>
      <c r="Q24" s="4"/>
      <c r="R24" s="8">
        <v>1021</v>
      </c>
      <c r="S24" s="4" t="s">
        <v>2116</v>
      </c>
      <c r="T24" s="8"/>
      <c r="U24" s="4"/>
      <c r="V24" s="72"/>
      <c r="W24" s="19"/>
      <c r="X24" s="71"/>
      <c r="Y24" s="4"/>
      <c r="Z24" s="71"/>
      <c r="AA24" s="4"/>
      <c r="AB24" s="8"/>
      <c r="AC24" s="4"/>
      <c r="AD24" s="24"/>
      <c r="AE24" s="19"/>
      <c r="AF24" s="8"/>
      <c r="AG24" s="4"/>
    </row>
    <row r="25" spans="1:33" x14ac:dyDescent="0.25">
      <c r="A25" s="42">
        <v>15</v>
      </c>
      <c r="B25" s="72"/>
      <c r="C25" s="4"/>
      <c r="D25" s="24"/>
      <c r="E25" s="19"/>
      <c r="F25" s="8"/>
      <c r="G25" s="4"/>
      <c r="H25" s="76"/>
      <c r="I25" s="4"/>
      <c r="J25" s="76"/>
      <c r="K25" s="19"/>
      <c r="L25" s="71"/>
      <c r="M25" s="4"/>
      <c r="N25" s="24"/>
      <c r="O25" s="19"/>
      <c r="P25" s="8"/>
      <c r="Q25" s="4"/>
      <c r="R25" s="8"/>
      <c r="S25" s="4"/>
      <c r="T25" s="8"/>
      <c r="U25" s="4"/>
      <c r="V25" s="72"/>
      <c r="W25" s="19"/>
      <c r="X25" s="71"/>
      <c r="Y25" s="4"/>
      <c r="Z25" s="71"/>
      <c r="AA25" s="4"/>
      <c r="AB25" s="8"/>
      <c r="AC25" s="4"/>
      <c r="AD25" s="24"/>
      <c r="AE25" s="19"/>
      <c r="AF25" s="8"/>
      <c r="AG25" s="4"/>
    </row>
    <row r="26" spans="1:33" ht="15.75" thickBot="1" x14ac:dyDescent="0.3">
      <c r="A26" s="42">
        <v>16</v>
      </c>
      <c r="B26" s="72"/>
      <c r="C26" s="4"/>
      <c r="D26" s="24"/>
      <c r="E26" s="19"/>
      <c r="F26" s="8"/>
      <c r="G26" s="4"/>
      <c r="H26" s="76"/>
      <c r="I26" s="4"/>
      <c r="J26" s="76"/>
      <c r="K26" s="19"/>
      <c r="L26" s="71"/>
      <c r="M26" s="4"/>
      <c r="N26" s="24"/>
      <c r="O26" s="19"/>
      <c r="P26" s="8"/>
      <c r="Q26" s="4"/>
      <c r="R26" s="8"/>
      <c r="S26" s="4"/>
      <c r="T26" s="9"/>
      <c r="U26" s="6"/>
      <c r="V26" s="72"/>
      <c r="W26" s="19"/>
      <c r="X26" s="71"/>
      <c r="Y26" s="4"/>
      <c r="Z26" s="71"/>
      <c r="AA26" s="4"/>
      <c r="AB26" s="8"/>
      <c r="AC26" s="4"/>
      <c r="AD26" s="24"/>
      <c r="AE26" s="19"/>
      <c r="AF26" s="8"/>
      <c r="AG26" s="4"/>
    </row>
  </sheetData>
  <mergeCells count="132">
    <mergeCell ref="T5:U5"/>
    <mergeCell ref="V5:W5"/>
    <mergeCell ref="X5:Y5"/>
    <mergeCell ref="Z5:AA5"/>
    <mergeCell ref="AB5:AC5"/>
    <mergeCell ref="AD5:AE5"/>
    <mergeCell ref="AF5:AG5"/>
    <mergeCell ref="B5:C5"/>
    <mergeCell ref="D5:E5"/>
    <mergeCell ref="F5:G5"/>
    <mergeCell ref="H5:I5"/>
    <mergeCell ref="J5:K5"/>
    <mergeCell ref="L5:M5"/>
    <mergeCell ref="N5:O5"/>
    <mergeCell ref="P5:Q5"/>
    <mergeCell ref="R5:S5"/>
    <mergeCell ref="J9:K9"/>
    <mergeCell ref="L9:M9"/>
    <mergeCell ref="B9:C9"/>
    <mergeCell ref="D9:E9"/>
    <mergeCell ref="F9:G9"/>
    <mergeCell ref="H9:I9"/>
    <mergeCell ref="X9:Y9"/>
    <mergeCell ref="Z9:AA9"/>
    <mergeCell ref="AB9:AC9"/>
    <mergeCell ref="L8:M8"/>
    <mergeCell ref="N8:O8"/>
    <mergeCell ref="P8:Q8"/>
    <mergeCell ref="R8:S8"/>
    <mergeCell ref="T8:U8"/>
    <mergeCell ref="V8:W8"/>
    <mergeCell ref="X8:Y8"/>
    <mergeCell ref="AD9:AE9"/>
    <mergeCell ref="AF9:AG9"/>
    <mergeCell ref="N9:O9"/>
    <mergeCell ref="P9:Q9"/>
    <mergeCell ref="R9:S9"/>
    <mergeCell ref="T9:U9"/>
    <mergeCell ref="V9:W9"/>
    <mergeCell ref="Z8:AA8"/>
    <mergeCell ref="AB8:AC8"/>
    <mergeCell ref="AD8:AE8"/>
    <mergeCell ref="AF8:AG8"/>
    <mergeCell ref="B8:C8"/>
    <mergeCell ref="D8:E8"/>
    <mergeCell ref="F8:G8"/>
    <mergeCell ref="H8:I8"/>
    <mergeCell ref="J8:K8"/>
    <mergeCell ref="B1:I1"/>
    <mergeCell ref="J1:Q1"/>
    <mergeCell ref="R1:Y1"/>
    <mergeCell ref="Z1:AG1"/>
    <mergeCell ref="B2:C2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AB2:AC2"/>
    <mergeCell ref="AD2:AE2"/>
    <mergeCell ref="B3:C3"/>
    <mergeCell ref="D3:E3"/>
    <mergeCell ref="F3:G3"/>
    <mergeCell ref="H3:I3"/>
    <mergeCell ref="J3:K3"/>
    <mergeCell ref="L3:M3"/>
    <mergeCell ref="N3:O3"/>
    <mergeCell ref="P3:Q3"/>
    <mergeCell ref="R3:S3"/>
    <mergeCell ref="D4:E4"/>
    <mergeCell ref="F4:G4"/>
    <mergeCell ref="H4:I4"/>
    <mergeCell ref="J4:K4"/>
    <mergeCell ref="L4:M4"/>
    <mergeCell ref="N4:O4"/>
    <mergeCell ref="P4:Q4"/>
    <mergeCell ref="R4:S4"/>
    <mergeCell ref="AF2:AG2"/>
    <mergeCell ref="T3:U3"/>
    <mergeCell ref="V3:W3"/>
    <mergeCell ref="X3:Y3"/>
    <mergeCell ref="Z3:AA3"/>
    <mergeCell ref="AB3:AC3"/>
    <mergeCell ref="AD3:AE3"/>
    <mergeCell ref="AF3:AG3"/>
    <mergeCell ref="T4:U4"/>
    <mergeCell ref="V4:W4"/>
    <mergeCell ref="X4:Y4"/>
    <mergeCell ref="Z4:AA4"/>
    <mergeCell ref="AB4:AC4"/>
    <mergeCell ref="AD4:AE4"/>
    <mergeCell ref="AF4:AG4"/>
    <mergeCell ref="B6:C6"/>
    <mergeCell ref="D6:E6"/>
    <mergeCell ref="F6:G6"/>
    <mergeCell ref="H6:I6"/>
    <mergeCell ref="J6:K6"/>
    <mergeCell ref="L6:M6"/>
    <mergeCell ref="N6:O6"/>
    <mergeCell ref="P6:Q6"/>
    <mergeCell ref="R6:S6"/>
    <mergeCell ref="T6:U6"/>
    <mergeCell ref="V6:W6"/>
    <mergeCell ref="X6:Y6"/>
    <mergeCell ref="Z6:AA6"/>
    <mergeCell ref="AB6:AC6"/>
    <mergeCell ref="AD6:AE6"/>
    <mergeCell ref="AF6:AG6"/>
    <mergeCell ref="B4:C4"/>
    <mergeCell ref="AD7:AE7"/>
    <mergeCell ref="AF7:AG7"/>
    <mergeCell ref="D7:E7"/>
    <mergeCell ref="B7:C7"/>
    <mergeCell ref="F7:G7"/>
    <mergeCell ref="H7:I7"/>
    <mergeCell ref="L7:M7"/>
    <mergeCell ref="N7:O7"/>
    <mergeCell ref="R7:S7"/>
    <mergeCell ref="T7:U7"/>
    <mergeCell ref="X7:Y7"/>
    <mergeCell ref="Z7:AA7"/>
    <mergeCell ref="J7:K7"/>
    <mergeCell ref="P7:Q7"/>
    <mergeCell ref="V7:W7"/>
    <mergeCell ref="AB7:AC7"/>
  </mergeCells>
  <conditionalFormatting sqref="O27:O61 G19:G23 K11:K23 Q17:Q23 U17:U23 W16:Y23 AC11:AC23 AE11:AE23 AG11:AG23 I11:I15 AA27:AA61 I27:I61 C27:C61 AG27:AG61 AE27:AE61 AC27:AC61 W27:Y61 U27:U61 S27:S61 Q27:Q61 M27:M61 K27:K61 G27:G61 I17:I23 C22:C23 O11:O23 M11:M23 X11:Y15 S11:S23 AA11:AA23">
    <cfRule type="duplicateValues" dxfId="2" priority="27"/>
  </conditionalFormatting>
  <conditionalFormatting sqref="G11:G18">
    <cfRule type="duplicateValues" dxfId="105" priority="26"/>
  </conditionalFormatting>
  <conditionalFormatting sqref="U15">
    <cfRule type="duplicateValues" dxfId="104" priority="25"/>
  </conditionalFormatting>
  <conditionalFormatting sqref="O24:O26 G24:G26 K24:K26 M24:M26 Q24:Q26 S24:S26 U24:U26 W24:Y26 AC24:AC26 AE24:AE26 AG24:AG26 C24:C26 I24:I26 AA24:AA26">
    <cfRule type="duplicateValues" dxfId="103" priority="23"/>
  </conditionalFormatting>
  <conditionalFormatting sqref="I16">
    <cfRule type="duplicateValues" dxfId="101" priority="17"/>
  </conditionalFormatting>
  <conditionalFormatting sqref="T11:U14">
    <cfRule type="duplicateValues" dxfId="100" priority="16"/>
  </conditionalFormatting>
  <conditionalFormatting sqref="C11 C13:C21">
    <cfRule type="duplicateValues" dxfId="99" priority="15"/>
  </conditionalFormatting>
  <conditionalFormatting sqref="C12">
    <cfRule type="duplicateValues" dxfId="98" priority="10"/>
  </conditionalFormatting>
  <conditionalFormatting sqref="E11 E13:E21">
    <cfRule type="duplicateValues" dxfId="97" priority="9"/>
  </conditionalFormatting>
  <conditionalFormatting sqref="E12">
    <cfRule type="duplicateValues" dxfId="96" priority="8"/>
  </conditionalFormatting>
  <conditionalFormatting sqref="Q15">
    <cfRule type="duplicateValues" dxfId="11" priority="7"/>
  </conditionalFormatting>
  <conditionalFormatting sqref="Q16">
    <cfRule type="duplicateValues" dxfId="10" priority="6"/>
  </conditionalFormatting>
  <conditionalFormatting sqref="T16:U16">
    <cfRule type="duplicateValues" dxfId="7" priority="5"/>
  </conditionalFormatting>
  <conditionalFormatting sqref="U14">
    <cfRule type="duplicateValues" dxfId="6" priority="4"/>
  </conditionalFormatting>
  <conditionalFormatting sqref="T15:U15">
    <cfRule type="duplicateValues" dxfId="5" priority="3"/>
  </conditionalFormatting>
  <conditionalFormatting sqref="W12">
    <cfRule type="duplicateValues" dxfId="3" priority="1"/>
  </conditionalFormatting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1"/>
  </sheetPr>
  <dimension ref="A1:AJ51"/>
  <sheetViews>
    <sheetView tabSelected="1" topLeftCell="I1" zoomScaleNormal="100" workbookViewId="0">
      <pane ySplit="9" topLeftCell="A10" activePane="bottomLeft" state="frozen"/>
      <selection pane="bottomLeft" activeCell="P8" sqref="P8:Q8"/>
    </sheetView>
  </sheetViews>
  <sheetFormatPr defaultRowHeight="15" x14ac:dyDescent="0.25"/>
  <cols>
    <col min="1" max="1" width="11.42578125" bestFit="1" customWidth="1"/>
    <col min="2" max="2" width="4" bestFit="1" customWidth="1"/>
    <col min="3" max="3" width="23.85546875" bestFit="1" customWidth="1"/>
    <col min="4" max="4" width="4" bestFit="1" customWidth="1"/>
    <col min="5" max="5" width="17.5703125" bestFit="1" customWidth="1"/>
    <col min="6" max="6" width="2.85546875" bestFit="1" customWidth="1"/>
    <col min="7" max="7" width="7.42578125" bestFit="1" customWidth="1"/>
    <col min="8" max="8" width="2.85546875" bestFit="1" customWidth="1"/>
    <col min="9" max="9" width="18.140625" bestFit="1" customWidth="1"/>
    <col min="10" max="10" width="5" bestFit="1" customWidth="1"/>
    <col min="11" max="11" width="10.28515625" bestFit="1" customWidth="1"/>
    <col min="12" max="12" width="5" bestFit="1" customWidth="1"/>
    <col min="13" max="13" width="20.5703125" bestFit="1" customWidth="1"/>
    <col min="14" max="14" width="5" bestFit="1" customWidth="1"/>
    <col min="15" max="15" width="15" bestFit="1" customWidth="1"/>
    <col min="16" max="16" width="5" bestFit="1" customWidth="1"/>
    <col min="17" max="17" width="15" bestFit="1" customWidth="1"/>
    <col min="18" max="18" width="5" bestFit="1" customWidth="1"/>
    <col min="19" max="19" width="17.42578125" bestFit="1" customWidth="1"/>
    <col min="20" max="20" width="5" bestFit="1" customWidth="1"/>
    <col min="21" max="21" width="15" bestFit="1" customWidth="1"/>
    <col min="22" max="22" width="5" bestFit="1" customWidth="1"/>
    <col min="23" max="23" width="9.7109375" bestFit="1" customWidth="1"/>
    <col min="24" max="24" width="4.85546875" bestFit="1" customWidth="1"/>
    <col min="25" max="25" width="16.28515625" bestFit="1" customWidth="1"/>
    <col min="26" max="26" width="3" bestFit="1" customWidth="1"/>
    <col min="27" max="27" width="19.5703125" bestFit="1" customWidth="1"/>
    <col min="28" max="28" width="4.85546875" bestFit="1" customWidth="1"/>
    <col min="29" max="29" width="19" bestFit="1" customWidth="1"/>
    <col min="30" max="30" width="4.28515625" bestFit="1" customWidth="1"/>
    <col min="31" max="31" width="17.42578125" bestFit="1" customWidth="1"/>
    <col min="32" max="32" width="2.85546875" bestFit="1" customWidth="1"/>
    <col min="33" max="33" width="23.140625" bestFit="1" customWidth="1"/>
  </cols>
  <sheetData>
    <row r="1" spans="1:36" ht="15.75" thickBot="1" x14ac:dyDescent="0.3">
      <c r="A1" s="107" t="s">
        <v>242</v>
      </c>
      <c r="B1" s="384" t="s">
        <v>1362</v>
      </c>
      <c r="C1" s="385"/>
      <c r="D1" s="385"/>
      <c r="E1" s="385"/>
      <c r="F1" s="385"/>
      <c r="G1" s="385"/>
      <c r="H1" s="385"/>
      <c r="I1" s="386"/>
      <c r="J1" s="387" t="s">
        <v>1363</v>
      </c>
      <c r="K1" s="388"/>
      <c r="L1" s="388"/>
      <c r="M1" s="388"/>
      <c r="N1" s="388"/>
      <c r="O1" s="388"/>
      <c r="P1" s="388"/>
      <c r="Q1" s="389"/>
      <c r="R1" s="384" t="s">
        <v>1364</v>
      </c>
      <c r="S1" s="385"/>
      <c r="T1" s="385"/>
      <c r="U1" s="385"/>
      <c r="V1" s="385"/>
      <c r="W1" s="385"/>
      <c r="X1" s="385"/>
      <c r="Y1" s="386"/>
      <c r="Z1" s="387" t="s">
        <v>1365</v>
      </c>
      <c r="AA1" s="388"/>
      <c r="AB1" s="388"/>
      <c r="AC1" s="388"/>
      <c r="AD1" s="388"/>
      <c r="AE1" s="388"/>
      <c r="AF1" s="388"/>
      <c r="AG1" s="389"/>
    </row>
    <row r="2" spans="1:36" ht="15.75" thickBot="1" x14ac:dyDescent="0.3">
      <c r="A2" s="50" t="s">
        <v>276</v>
      </c>
      <c r="B2" s="393" t="s">
        <v>267</v>
      </c>
      <c r="C2" s="394"/>
      <c r="D2" s="390" t="s">
        <v>268</v>
      </c>
      <c r="E2" s="391"/>
      <c r="F2" s="391" t="s">
        <v>269</v>
      </c>
      <c r="G2" s="391"/>
      <c r="H2" s="391" t="s">
        <v>270</v>
      </c>
      <c r="I2" s="409"/>
      <c r="J2" s="390" t="s">
        <v>267</v>
      </c>
      <c r="K2" s="391"/>
      <c r="L2" s="391" t="s">
        <v>268</v>
      </c>
      <c r="M2" s="391"/>
      <c r="N2" s="391" t="s">
        <v>269</v>
      </c>
      <c r="O2" s="391"/>
      <c r="P2" s="391" t="s">
        <v>270</v>
      </c>
      <c r="Q2" s="392"/>
      <c r="R2" s="414" t="s">
        <v>267</v>
      </c>
      <c r="S2" s="391"/>
      <c r="T2" s="391" t="s">
        <v>268</v>
      </c>
      <c r="U2" s="391"/>
      <c r="V2" s="391" t="s">
        <v>269</v>
      </c>
      <c r="W2" s="391"/>
      <c r="X2" s="391" t="s">
        <v>270</v>
      </c>
      <c r="Y2" s="409"/>
      <c r="Z2" s="390" t="s">
        <v>267</v>
      </c>
      <c r="AA2" s="391"/>
      <c r="AB2" s="435" t="s">
        <v>268</v>
      </c>
      <c r="AC2" s="436"/>
      <c r="AD2" s="391" t="s">
        <v>269</v>
      </c>
      <c r="AE2" s="391"/>
      <c r="AF2" s="391" t="s">
        <v>270</v>
      </c>
      <c r="AG2" s="409"/>
    </row>
    <row r="3" spans="1:36" x14ac:dyDescent="0.25">
      <c r="A3" s="42" t="s">
        <v>273</v>
      </c>
      <c r="B3" s="399" t="s">
        <v>114</v>
      </c>
      <c r="C3" s="400"/>
      <c r="D3" s="405" t="s">
        <v>113</v>
      </c>
      <c r="E3" s="406"/>
      <c r="F3" s="399" t="s">
        <v>113</v>
      </c>
      <c r="G3" s="400"/>
      <c r="H3" s="407" t="s">
        <v>113</v>
      </c>
      <c r="I3" s="408"/>
      <c r="J3" s="405" t="s">
        <v>338</v>
      </c>
      <c r="K3" s="406"/>
      <c r="L3" s="399" t="s">
        <v>338</v>
      </c>
      <c r="M3" s="400"/>
      <c r="N3" s="405" t="s">
        <v>338</v>
      </c>
      <c r="O3" s="406"/>
      <c r="P3" s="399" t="s">
        <v>338</v>
      </c>
      <c r="Q3" s="400"/>
      <c r="R3" s="399" t="s">
        <v>338</v>
      </c>
      <c r="S3" s="400"/>
      <c r="T3" s="399" t="s">
        <v>338</v>
      </c>
      <c r="U3" s="400"/>
      <c r="V3" s="405" t="s">
        <v>338</v>
      </c>
      <c r="W3" s="406"/>
      <c r="X3" s="399" t="s">
        <v>338</v>
      </c>
      <c r="Y3" s="400"/>
      <c r="Z3" s="426" t="s">
        <v>339</v>
      </c>
      <c r="AA3" s="408"/>
      <c r="AB3" s="426" t="s">
        <v>339</v>
      </c>
      <c r="AC3" s="408"/>
      <c r="AD3" s="407" t="s">
        <v>339</v>
      </c>
      <c r="AE3" s="407"/>
      <c r="AF3" s="426" t="s">
        <v>339</v>
      </c>
      <c r="AG3" s="408"/>
    </row>
    <row r="4" spans="1:36" x14ac:dyDescent="0.25">
      <c r="A4" s="42" t="s">
        <v>277</v>
      </c>
      <c r="B4" s="401" t="s">
        <v>322</v>
      </c>
      <c r="C4" s="402"/>
      <c r="D4" s="403" t="s">
        <v>323</v>
      </c>
      <c r="E4" s="404"/>
      <c r="F4" s="401" t="s">
        <v>324</v>
      </c>
      <c r="G4" s="402"/>
      <c r="H4" s="403" t="s">
        <v>325</v>
      </c>
      <c r="I4" s="402"/>
      <c r="J4" s="403" t="s">
        <v>326</v>
      </c>
      <c r="K4" s="404"/>
      <c r="L4" s="401" t="s">
        <v>327</v>
      </c>
      <c r="M4" s="402"/>
      <c r="N4" s="403" t="s">
        <v>328</v>
      </c>
      <c r="O4" s="404"/>
      <c r="P4" s="401" t="s">
        <v>329</v>
      </c>
      <c r="Q4" s="402"/>
      <c r="R4" s="401" t="s">
        <v>330</v>
      </c>
      <c r="S4" s="402"/>
      <c r="T4" s="401" t="s">
        <v>331</v>
      </c>
      <c r="U4" s="402"/>
      <c r="V4" s="403" t="s">
        <v>332</v>
      </c>
      <c r="W4" s="404"/>
      <c r="X4" s="401" t="s">
        <v>333</v>
      </c>
      <c r="Y4" s="402"/>
      <c r="Z4" s="421" t="s">
        <v>334</v>
      </c>
      <c r="AA4" s="422"/>
      <c r="AB4" s="421" t="s">
        <v>335</v>
      </c>
      <c r="AC4" s="422"/>
      <c r="AD4" s="423" t="s">
        <v>336</v>
      </c>
      <c r="AE4" s="423"/>
      <c r="AF4" s="421" t="s">
        <v>337</v>
      </c>
      <c r="AG4" s="422"/>
    </row>
    <row r="5" spans="1:36" x14ac:dyDescent="0.25">
      <c r="A5" s="302" t="s">
        <v>2079</v>
      </c>
      <c r="B5" s="421"/>
      <c r="C5" s="422"/>
      <c r="D5" s="421"/>
      <c r="E5" s="422"/>
      <c r="F5" s="421"/>
      <c r="G5" s="422"/>
      <c r="H5" s="421"/>
      <c r="I5" s="422"/>
      <c r="J5" s="421"/>
      <c r="K5" s="422"/>
      <c r="L5" s="421"/>
      <c r="M5" s="422"/>
      <c r="N5" s="421"/>
      <c r="O5" s="422"/>
      <c r="P5" s="421"/>
      <c r="Q5" s="422"/>
      <c r="R5" s="421"/>
      <c r="S5" s="422"/>
      <c r="T5" s="421"/>
      <c r="U5" s="422"/>
      <c r="V5" s="421"/>
      <c r="W5" s="422"/>
      <c r="X5" s="421"/>
      <c r="Y5" s="422"/>
      <c r="Z5" s="421"/>
      <c r="AA5" s="422"/>
      <c r="AB5" s="421"/>
      <c r="AC5" s="422"/>
      <c r="AD5" s="421"/>
      <c r="AE5" s="422"/>
      <c r="AF5" s="421"/>
      <c r="AG5" s="422"/>
    </row>
    <row r="6" spans="1:36" ht="15.75" thickBot="1" x14ac:dyDescent="0.3">
      <c r="A6" s="42" t="s">
        <v>295</v>
      </c>
      <c r="B6" s="440">
        <v>4126</v>
      </c>
      <c r="C6" s="441"/>
      <c r="D6" s="440">
        <v>3996</v>
      </c>
      <c r="E6" s="441"/>
      <c r="F6" s="440">
        <v>3774</v>
      </c>
      <c r="G6" s="441"/>
      <c r="H6" s="440">
        <v>3850</v>
      </c>
      <c r="I6" s="441"/>
      <c r="J6" s="440">
        <v>3780</v>
      </c>
      <c r="K6" s="441"/>
      <c r="L6" s="440">
        <v>3940</v>
      </c>
      <c r="M6" s="441"/>
      <c r="N6" s="440">
        <v>3860</v>
      </c>
      <c r="O6" s="441"/>
      <c r="P6" s="440">
        <v>3860</v>
      </c>
      <c r="Q6" s="441"/>
      <c r="R6" s="395">
        <v>3940</v>
      </c>
      <c r="S6" s="396"/>
      <c r="T6" s="395">
        <v>3860</v>
      </c>
      <c r="U6" s="396"/>
      <c r="V6" s="397">
        <v>3780</v>
      </c>
      <c r="W6" s="398"/>
      <c r="X6" s="395">
        <v>4100</v>
      </c>
      <c r="Y6" s="396"/>
      <c r="Z6" s="431">
        <v>4005</v>
      </c>
      <c r="AA6" s="432"/>
      <c r="AB6" s="431">
        <v>3805</v>
      </c>
      <c r="AC6" s="432"/>
      <c r="AD6" s="442">
        <v>3936</v>
      </c>
      <c r="AE6" s="442"/>
      <c r="AF6" s="431">
        <v>4115</v>
      </c>
      <c r="AG6" s="432"/>
    </row>
    <row r="7" spans="1:36" ht="15.75" thickBot="1" x14ac:dyDescent="0.3">
      <c r="A7" s="43" t="s">
        <v>296</v>
      </c>
      <c r="B7" s="440">
        <v>17500</v>
      </c>
      <c r="C7" s="441"/>
      <c r="D7" s="440">
        <v>6666</v>
      </c>
      <c r="E7" s="441"/>
      <c r="F7" s="440">
        <v>2844</v>
      </c>
      <c r="G7" s="441"/>
      <c r="H7" s="440">
        <v>14400</v>
      </c>
      <c r="I7" s="441"/>
      <c r="J7" s="440">
        <v>29720</v>
      </c>
      <c r="K7" s="441"/>
      <c r="L7" s="440">
        <v>28100</v>
      </c>
      <c r="M7" s="441"/>
      <c r="N7" s="440">
        <v>28100</v>
      </c>
      <c r="O7" s="441"/>
      <c r="P7" s="440">
        <v>28100</v>
      </c>
      <c r="Q7" s="441"/>
      <c r="R7" s="395">
        <v>28100</v>
      </c>
      <c r="S7" s="396"/>
      <c r="T7" s="395">
        <v>28100</v>
      </c>
      <c r="U7" s="396"/>
      <c r="V7" s="397">
        <v>29720</v>
      </c>
      <c r="W7" s="398"/>
      <c r="X7" s="395">
        <v>29750</v>
      </c>
      <c r="Y7" s="396"/>
      <c r="Z7" s="346">
        <v>26666</v>
      </c>
      <c r="AA7" s="347"/>
      <c r="AB7" s="346">
        <v>28500</v>
      </c>
      <c r="AC7" s="347"/>
      <c r="AD7" s="361">
        <v>10100</v>
      </c>
      <c r="AE7" s="361"/>
      <c r="AF7" s="346">
        <v>8000</v>
      </c>
      <c r="AG7" s="347"/>
    </row>
    <row r="8" spans="1:36" ht="15.75" thickBot="1" x14ac:dyDescent="0.3">
      <c r="A8" s="90" t="s">
        <v>549</v>
      </c>
      <c r="B8" s="346" t="s">
        <v>528</v>
      </c>
      <c r="C8" s="347"/>
      <c r="D8" s="346" t="s">
        <v>555</v>
      </c>
      <c r="E8" s="347"/>
      <c r="F8" s="346" t="s">
        <v>556</v>
      </c>
      <c r="G8" s="347"/>
      <c r="H8" s="346" t="s">
        <v>1390</v>
      </c>
      <c r="I8" s="347"/>
      <c r="J8" s="346" t="s">
        <v>1444</v>
      </c>
      <c r="K8" s="347"/>
      <c r="L8" s="346" t="s">
        <v>568</v>
      </c>
      <c r="M8" s="347"/>
      <c r="N8" s="346" t="s">
        <v>559</v>
      </c>
      <c r="O8" s="347"/>
      <c r="P8" s="346" t="s">
        <v>550</v>
      </c>
      <c r="Q8" s="347"/>
      <c r="R8" s="346" t="s">
        <v>561</v>
      </c>
      <c r="S8" s="347"/>
      <c r="T8" s="346" t="s">
        <v>569</v>
      </c>
      <c r="U8" s="347"/>
      <c r="V8" s="346" t="s">
        <v>576</v>
      </c>
      <c r="W8" s="347"/>
      <c r="X8" s="346" t="s">
        <v>1462</v>
      </c>
      <c r="Y8" s="347"/>
      <c r="Z8" s="346" t="s">
        <v>654</v>
      </c>
      <c r="AA8" s="347"/>
      <c r="AB8" s="346" t="s">
        <v>1677</v>
      </c>
      <c r="AC8" s="347"/>
      <c r="AD8" s="346" t="s">
        <v>644</v>
      </c>
      <c r="AE8" s="347"/>
      <c r="AF8" s="346" t="s">
        <v>632</v>
      </c>
      <c r="AG8" s="347"/>
    </row>
    <row r="9" spans="1:36" ht="15.75" thickBot="1" x14ac:dyDescent="0.3">
      <c r="A9" s="49" t="s">
        <v>275</v>
      </c>
      <c r="B9" s="45" t="s">
        <v>272</v>
      </c>
      <c r="C9" s="46" t="s">
        <v>271</v>
      </c>
      <c r="D9" s="47" t="s">
        <v>272</v>
      </c>
      <c r="E9" s="48" t="s">
        <v>271</v>
      </c>
      <c r="F9" s="45" t="s">
        <v>272</v>
      </c>
      <c r="G9" s="46" t="s">
        <v>271</v>
      </c>
      <c r="H9" s="47" t="s">
        <v>272</v>
      </c>
      <c r="I9" s="46" t="s">
        <v>271</v>
      </c>
      <c r="J9" s="47" t="s">
        <v>272</v>
      </c>
      <c r="K9" s="48" t="s">
        <v>271</v>
      </c>
      <c r="L9" s="45" t="s">
        <v>272</v>
      </c>
      <c r="M9" s="46" t="s">
        <v>271</v>
      </c>
      <c r="N9" s="47" t="s">
        <v>272</v>
      </c>
      <c r="O9" s="48" t="s">
        <v>271</v>
      </c>
      <c r="P9" s="45" t="s">
        <v>272</v>
      </c>
      <c r="Q9" s="46" t="s">
        <v>271</v>
      </c>
      <c r="R9" s="45" t="s">
        <v>272</v>
      </c>
      <c r="S9" s="48" t="s">
        <v>271</v>
      </c>
      <c r="T9" s="45" t="s">
        <v>272</v>
      </c>
      <c r="U9" s="46" t="s">
        <v>271</v>
      </c>
      <c r="V9" s="47" t="s">
        <v>272</v>
      </c>
      <c r="W9" s="48" t="s">
        <v>271</v>
      </c>
      <c r="X9" s="47" t="s">
        <v>272</v>
      </c>
      <c r="Y9" s="48" t="s">
        <v>271</v>
      </c>
      <c r="Z9" s="45" t="s">
        <v>272</v>
      </c>
      <c r="AA9" s="46" t="s">
        <v>271</v>
      </c>
      <c r="AB9" s="45" t="s">
        <v>272</v>
      </c>
      <c r="AC9" s="46" t="s">
        <v>271</v>
      </c>
      <c r="AD9" s="47" t="s">
        <v>272</v>
      </c>
      <c r="AE9" s="48" t="s">
        <v>271</v>
      </c>
      <c r="AF9" s="45" t="s">
        <v>272</v>
      </c>
      <c r="AG9" s="46" t="s">
        <v>271</v>
      </c>
    </row>
    <row r="10" spans="1:36" x14ac:dyDescent="0.25">
      <c r="A10" s="26">
        <v>1</v>
      </c>
      <c r="B10" s="44">
        <v>101</v>
      </c>
      <c r="C10" s="4" t="s">
        <v>757</v>
      </c>
      <c r="D10" s="44">
        <v>210</v>
      </c>
      <c r="E10" s="4" t="s">
        <v>557</v>
      </c>
      <c r="F10" s="44">
        <v>1</v>
      </c>
      <c r="G10" s="187" t="s">
        <v>1375</v>
      </c>
      <c r="H10" s="44">
        <v>1</v>
      </c>
      <c r="I10" s="3" t="s">
        <v>1673</v>
      </c>
      <c r="J10" s="25">
        <v>33</v>
      </c>
      <c r="K10" s="99" t="s">
        <v>1444</v>
      </c>
      <c r="L10" s="44">
        <v>6001</v>
      </c>
      <c r="M10" s="54" t="s">
        <v>558</v>
      </c>
      <c r="N10" s="510">
        <v>14</v>
      </c>
      <c r="O10" s="515" t="s">
        <v>545</v>
      </c>
      <c r="P10" s="510">
        <v>14</v>
      </c>
      <c r="Q10" s="515" t="s">
        <v>545</v>
      </c>
      <c r="R10" s="44">
        <v>6001</v>
      </c>
      <c r="S10" s="96" t="s">
        <v>558</v>
      </c>
      <c r="T10" s="44">
        <v>14</v>
      </c>
      <c r="U10" s="18" t="s">
        <v>545</v>
      </c>
      <c r="V10" s="44">
        <v>18</v>
      </c>
      <c r="W10" s="3" t="s">
        <v>570</v>
      </c>
      <c r="X10" s="44" t="s">
        <v>605</v>
      </c>
      <c r="Y10" s="3" t="s">
        <v>1237</v>
      </c>
      <c r="Z10" s="8">
        <v>1</v>
      </c>
      <c r="AA10" s="3" t="s">
        <v>577</v>
      </c>
      <c r="AB10" s="8" t="s">
        <v>595</v>
      </c>
      <c r="AC10" s="3" t="s">
        <v>594</v>
      </c>
      <c r="AD10" s="8" t="s">
        <v>645</v>
      </c>
      <c r="AE10" s="98" t="s">
        <v>644</v>
      </c>
      <c r="AF10" s="44">
        <v>1</v>
      </c>
      <c r="AG10" s="3" t="s">
        <v>655</v>
      </c>
      <c r="AI10" s="102"/>
      <c r="AJ10" s="102"/>
    </row>
    <row r="11" spans="1:36" x14ac:dyDescent="0.25">
      <c r="A11" s="42">
        <v>2</v>
      </c>
      <c r="B11" s="8">
        <v>102</v>
      </c>
      <c r="C11" s="4" t="s">
        <v>759</v>
      </c>
      <c r="D11" s="8">
        <v>220</v>
      </c>
      <c r="E11" s="99" t="s">
        <v>555</v>
      </c>
      <c r="F11" s="8"/>
      <c r="G11" s="4"/>
      <c r="H11" s="8">
        <v>2</v>
      </c>
      <c r="I11" s="4" t="s">
        <v>1674</v>
      </c>
      <c r="J11" s="44">
        <v>18</v>
      </c>
      <c r="K11" s="3" t="s">
        <v>570</v>
      </c>
      <c r="L11" s="8">
        <v>6008</v>
      </c>
      <c r="M11" s="99" t="s">
        <v>559</v>
      </c>
      <c r="N11" s="511">
        <v>15</v>
      </c>
      <c r="O11" s="516" t="s">
        <v>530</v>
      </c>
      <c r="P11" s="511">
        <v>15</v>
      </c>
      <c r="Q11" s="516" t="s">
        <v>530</v>
      </c>
      <c r="R11" s="8">
        <v>6008</v>
      </c>
      <c r="S11" s="19" t="s">
        <v>559</v>
      </c>
      <c r="T11" s="8">
        <v>15</v>
      </c>
      <c r="U11" s="19" t="s">
        <v>530</v>
      </c>
      <c r="V11" s="8">
        <v>33</v>
      </c>
      <c r="W11" s="4" t="s">
        <v>572</v>
      </c>
      <c r="X11" s="8" t="s">
        <v>653</v>
      </c>
      <c r="Y11" s="4" t="s">
        <v>1445</v>
      </c>
      <c r="Z11" s="8">
        <v>2</v>
      </c>
      <c r="AA11" s="97" t="s">
        <v>578</v>
      </c>
      <c r="AB11" s="8" t="s">
        <v>596</v>
      </c>
      <c r="AC11" s="4" t="s">
        <v>642</v>
      </c>
      <c r="AD11" s="8" t="s">
        <v>596</v>
      </c>
      <c r="AE11" s="189" t="s">
        <v>646</v>
      </c>
      <c r="AF11" s="8">
        <v>2</v>
      </c>
      <c r="AG11" s="4" t="s">
        <v>656</v>
      </c>
      <c r="AI11" s="102"/>
      <c r="AJ11" s="102"/>
    </row>
    <row r="12" spans="1:36" x14ac:dyDescent="0.25">
      <c r="A12" s="42">
        <v>3</v>
      </c>
      <c r="B12" s="8">
        <v>103</v>
      </c>
      <c r="C12" s="4" t="s">
        <v>761</v>
      </c>
      <c r="D12" s="8">
        <v>230</v>
      </c>
      <c r="E12" s="99" t="s">
        <v>2130</v>
      </c>
      <c r="F12" s="8"/>
      <c r="G12" s="4"/>
      <c r="H12" s="8">
        <v>3</v>
      </c>
      <c r="I12" s="99" t="s">
        <v>1390</v>
      </c>
      <c r="J12" s="8">
        <v>33</v>
      </c>
      <c r="K12" s="4" t="s">
        <v>572</v>
      </c>
      <c r="L12" s="8">
        <v>6011</v>
      </c>
      <c r="M12" s="58" t="s">
        <v>560</v>
      </c>
      <c r="N12" s="511">
        <v>20</v>
      </c>
      <c r="O12" s="516" t="s">
        <v>546</v>
      </c>
      <c r="P12" s="511">
        <v>20</v>
      </c>
      <c r="Q12" s="516" t="s">
        <v>546</v>
      </c>
      <c r="R12" s="8">
        <v>6011</v>
      </c>
      <c r="S12" s="99" t="s">
        <v>560</v>
      </c>
      <c r="T12" s="8">
        <v>20</v>
      </c>
      <c r="U12" s="19" t="s">
        <v>546</v>
      </c>
      <c r="V12" s="8">
        <v>1708</v>
      </c>
      <c r="W12" s="4" t="s">
        <v>570</v>
      </c>
      <c r="X12" s="8" t="s">
        <v>613</v>
      </c>
      <c r="Y12" s="4" t="s">
        <v>1460</v>
      </c>
      <c r="Z12" s="8">
        <v>3</v>
      </c>
      <c r="AA12" s="97" t="s">
        <v>579</v>
      </c>
      <c r="AB12" s="8" t="s">
        <v>598</v>
      </c>
      <c r="AC12" s="4" t="s">
        <v>597</v>
      </c>
      <c r="AD12" s="8" t="s">
        <v>600</v>
      </c>
      <c r="AE12" s="189" t="s">
        <v>647</v>
      </c>
      <c r="AF12" s="8">
        <v>3</v>
      </c>
      <c r="AG12" s="4" t="s">
        <v>657</v>
      </c>
      <c r="AI12" s="102"/>
      <c r="AJ12" s="102"/>
    </row>
    <row r="13" spans="1:36" x14ac:dyDescent="0.25">
      <c r="A13" s="42">
        <v>4</v>
      </c>
      <c r="B13" s="8">
        <v>105</v>
      </c>
      <c r="C13" s="4" t="s">
        <v>445</v>
      </c>
      <c r="D13" s="44">
        <v>240</v>
      </c>
      <c r="E13" s="3" t="s">
        <v>2131</v>
      </c>
      <c r="F13" s="44"/>
      <c r="G13" s="3"/>
      <c r="H13" s="44">
        <v>4</v>
      </c>
      <c r="I13" s="4" t="s">
        <v>1675</v>
      </c>
      <c r="J13" s="8">
        <v>1708</v>
      </c>
      <c r="K13" s="4" t="s">
        <v>570</v>
      </c>
      <c r="L13" s="8">
        <v>6018</v>
      </c>
      <c r="M13" s="58" t="s">
        <v>529</v>
      </c>
      <c r="N13" s="511">
        <v>1411</v>
      </c>
      <c r="O13" s="516" t="s">
        <v>530</v>
      </c>
      <c r="P13" s="511">
        <v>1411</v>
      </c>
      <c r="Q13" s="516" t="s">
        <v>530</v>
      </c>
      <c r="R13" s="8">
        <v>6018</v>
      </c>
      <c r="S13" s="19" t="s">
        <v>529</v>
      </c>
      <c r="T13" s="8">
        <v>1411</v>
      </c>
      <c r="U13" s="19" t="s">
        <v>530</v>
      </c>
      <c r="V13" s="8">
        <v>1709</v>
      </c>
      <c r="W13" s="4" t="s">
        <v>570</v>
      </c>
      <c r="X13" s="8" t="s">
        <v>1453</v>
      </c>
      <c r="Y13" s="97" t="s">
        <v>1462</v>
      </c>
      <c r="Z13" s="8">
        <v>4</v>
      </c>
      <c r="AA13" s="97" t="s">
        <v>580</v>
      </c>
      <c r="AB13" s="8" t="s">
        <v>600</v>
      </c>
      <c r="AC13" s="4" t="s">
        <v>599</v>
      </c>
      <c r="AD13" s="8" t="s">
        <v>602</v>
      </c>
      <c r="AE13" s="4" t="s">
        <v>648</v>
      </c>
      <c r="AF13" s="8">
        <v>4</v>
      </c>
      <c r="AG13" s="184" t="s">
        <v>658</v>
      </c>
      <c r="AI13" s="102"/>
      <c r="AJ13" s="102"/>
    </row>
    <row r="14" spans="1:36" x14ac:dyDescent="0.25">
      <c r="A14" s="42">
        <v>5</v>
      </c>
      <c r="B14" s="8">
        <v>106</v>
      </c>
      <c r="C14" s="4" t="s">
        <v>765</v>
      </c>
      <c r="D14" s="24"/>
      <c r="E14" s="19"/>
      <c r="F14" s="8"/>
      <c r="G14" s="4"/>
      <c r="H14" s="24">
        <v>5</v>
      </c>
      <c r="I14" s="4" t="s">
        <v>1676</v>
      </c>
      <c r="J14" s="8">
        <v>1709</v>
      </c>
      <c r="K14" s="4" t="s">
        <v>570</v>
      </c>
      <c r="L14" s="8">
        <v>6021</v>
      </c>
      <c r="M14" s="58" t="s">
        <v>563</v>
      </c>
      <c r="N14" s="511">
        <v>1412</v>
      </c>
      <c r="O14" s="516" t="s">
        <v>531</v>
      </c>
      <c r="P14" s="511">
        <v>1412</v>
      </c>
      <c r="Q14" s="516" t="s">
        <v>531</v>
      </c>
      <c r="R14" s="8">
        <v>6021</v>
      </c>
      <c r="S14" s="99" t="s">
        <v>563</v>
      </c>
      <c r="T14" s="8">
        <v>1412</v>
      </c>
      <c r="U14" s="19" t="s">
        <v>531</v>
      </c>
      <c r="V14" s="8">
        <v>1711</v>
      </c>
      <c r="W14" s="4" t="s">
        <v>572</v>
      </c>
      <c r="X14" s="8" t="s">
        <v>1454</v>
      </c>
      <c r="Y14" s="4" t="s">
        <v>1446</v>
      </c>
      <c r="Z14" s="8">
        <v>5</v>
      </c>
      <c r="AA14" s="97" t="s">
        <v>581</v>
      </c>
      <c r="AB14" s="8" t="s">
        <v>602</v>
      </c>
      <c r="AC14" s="4" t="s">
        <v>601</v>
      </c>
      <c r="AD14" s="8" t="s">
        <v>605</v>
      </c>
      <c r="AE14" s="4" t="s">
        <v>649</v>
      </c>
      <c r="AF14" s="8"/>
      <c r="AG14" s="4"/>
      <c r="AI14" s="102"/>
      <c r="AJ14" s="102"/>
    </row>
    <row r="15" spans="1:36" x14ac:dyDescent="0.25">
      <c r="A15" s="42">
        <v>6</v>
      </c>
      <c r="B15" s="8">
        <v>107</v>
      </c>
      <c r="C15" s="4" t="s">
        <v>446</v>
      </c>
      <c r="D15" s="24"/>
      <c r="E15" s="19"/>
      <c r="F15" s="8"/>
      <c r="G15" s="4"/>
      <c r="H15" s="24"/>
      <c r="I15" s="4"/>
      <c r="J15" s="8">
        <v>1711</v>
      </c>
      <c r="K15" s="4" t="s">
        <v>572</v>
      </c>
      <c r="L15" s="8">
        <v>6031</v>
      </c>
      <c r="M15" s="58" t="s">
        <v>562</v>
      </c>
      <c r="N15" s="511">
        <v>1423</v>
      </c>
      <c r="O15" s="516" t="s">
        <v>545</v>
      </c>
      <c r="P15" s="511">
        <v>1423</v>
      </c>
      <c r="Q15" s="516" t="s">
        <v>545</v>
      </c>
      <c r="R15" s="8">
        <v>6031</v>
      </c>
      <c r="S15" s="99" t="s">
        <v>562</v>
      </c>
      <c r="T15" s="8">
        <v>1423</v>
      </c>
      <c r="U15" s="19" t="s">
        <v>545</v>
      </c>
      <c r="V15" s="8">
        <v>1716</v>
      </c>
      <c r="W15" s="4" t="s">
        <v>533</v>
      </c>
      <c r="X15" s="8" t="s">
        <v>705</v>
      </c>
      <c r="Y15" s="4" t="s">
        <v>1461</v>
      </c>
      <c r="Z15" s="8">
        <v>6</v>
      </c>
      <c r="AA15" s="101" t="s">
        <v>592</v>
      </c>
      <c r="AB15" s="8" t="s">
        <v>603</v>
      </c>
      <c r="AC15" s="101" t="s">
        <v>643</v>
      </c>
      <c r="AD15" s="8" t="s">
        <v>607</v>
      </c>
      <c r="AE15" s="101" t="s">
        <v>650</v>
      </c>
      <c r="AF15" s="8"/>
      <c r="AG15" s="4"/>
      <c r="AI15" s="102"/>
      <c r="AJ15" s="102"/>
    </row>
    <row r="16" spans="1:36" x14ac:dyDescent="0.25">
      <c r="A16" s="42">
        <v>7</v>
      </c>
      <c r="B16" s="8">
        <v>108</v>
      </c>
      <c r="C16" s="4" t="s">
        <v>447</v>
      </c>
      <c r="D16" s="24"/>
      <c r="E16" s="19"/>
      <c r="F16" s="8"/>
      <c r="G16" s="4"/>
      <c r="H16" s="24"/>
      <c r="I16" s="4"/>
      <c r="J16" s="8">
        <v>1716</v>
      </c>
      <c r="K16" s="4" t="s">
        <v>533</v>
      </c>
      <c r="L16" s="8">
        <v>6014</v>
      </c>
      <c r="M16" s="58" t="s">
        <v>564</v>
      </c>
      <c r="N16" s="511">
        <v>1424</v>
      </c>
      <c r="O16" s="516" t="s">
        <v>545</v>
      </c>
      <c r="P16" s="511">
        <v>1424</v>
      </c>
      <c r="Q16" s="516" t="s">
        <v>545</v>
      </c>
      <c r="R16" s="8">
        <v>6014</v>
      </c>
      <c r="S16" s="19" t="s">
        <v>564</v>
      </c>
      <c r="T16" s="8">
        <v>1424</v>
      </c>
      <c r="U16" s="19" t="s">
        <v>545</v>
      </c>
      <c r="V16" s="8">
        <v>1732</v>
      </c>
      <c r="W16" s="4" t="s">
        <v>570</v>
      </c>
      <c r="X16" s="8" t="s">
        <v>1455</v>
      </c>
      <c r="Y16" s="4" t="s">
        <v>1447</v>
      </c>
      <c r="Z16" s="8">
        <v>7</v>
      </c>
      <c r="AA16" s="60" t="s">
        <v>582</v>
      </c>
      <c r="AB16" s="8" t="s">
        <v>605</v>
      </c>
      <c r="AC16" s="4" t="s">
        <v>604</v>
      </c>
      <c r="AD16" s="8" t="s">
        <v>609</v>
      </c>
      <c r="AE16" s="4" t="s">
        <v>651</v>
      </c>
      <c r="AF16" s="8"/>
      <c r="AG16" s="4"/>
      <c r="AI16" s="102"/>
      <c r="AJ16" s="102"/>
    </row>
    <row r="17" spans="1:36" x14ac:dyDescent="0.25">
      <c r="A17" s="42">
        <v>8</v>
      </c>
      <c r="B17" s="8">
        <v>109</v>
      </c>
      <c r="C17" s="97" t="s">
        <v>2092</v>
      </c>
      <c r="D17" s="24"/>
      <c r="E17" s="19"/>
      <c r="F17" s="8"/>
      <c r="G17" s="4"/>
      <c r="H17" s="24"/>
      <c r="I17" s="4"/>
      <c r="J17" s="8">
        <v>1732</v>
      </c>
      <c r="K17" s="4" t="s">
        <v>570</v>
      </c>
      <c r="L17" s="8">
        <v>6015</v>
      </c>
      <c r="M17" s="58" t="s">
        <v>565</v>
      </c>
      <c r="N17" s="511">
        <v>1425</v>
      </c>
      <c r="O17" s="516" t="s">
        <v>531</v>
      </c>
      <c r="P17" s="511">
        <v>1425</v>
      </c>
      <c r="Q17" s="516" t="s">
        <v>531</v>
      </c>
      <c r="R17" s="8">
        <v>6015</v>
      </c>
      <c r="S17" s="19" t="s">
        <v>565</v>
      </c>
      <c r="T17" s="8">
        <v>1425</v>
      </c>
      <c r="U17" s="19" t="s">
        <v>531</v>
      </c>
      <c r="V17" s="8">
        <v>1799</v>
      </c>
      <c r="W17" s="4" t="s">
        <v>571</v>
      </c>
      <c r="X17" s="8" t="s">
        <v>769</v>
      </c>
      <c r="Y17" s="4" t="s">
        <v>1448</v>
      </c>
      <c r="Z17" s="8">
        <v>8</v>
      </c>
      <c r="AA17" s="97" t="s">
        <v>583</v>
      </c>
      <c r="AB17" s="8" t="s">
        <v>607</v>
      </c>
      <c r="AC17" s="4" t="s">
        <v>606</v>
      </c>
      <c r="AD17" s="8" t="s">
        <v>653</v>
      </c>
      <c r="AE17" s="189" t="s">
        <v>652</v>
      </c>
      <c r="AF17" s="8"/>
      <c r="AG17" s="4"/>
      <c r="AI17" s="102"/>
      <c r="AJ17" s="102"/>
    </row>
    <row r="18" spans="1:36" x14ac:dyDescent="0.25">
      <c r="A18" s="42">
        <v>9</v>
      </c>
      <c r="B18" s="8">
        <v>110</v>
      </c>
      <c r="C18" s="4" t="s">
        <v>2093</v>
      </c>
      <c r="D18" s="24"/>
      <c r="E18" s="19"/>
      <c r="F18" s="8"/>
      <c r="G18" s="4"/>
      <c r="H18" s="24"/>
      <c r="I18" s="4"/>
      <c r="J18" s="8">
        <v>1799</v>
      </c>
      <c r="K18" s="4" t="s">
        <v>571</v>
      </c>
      <c r="L18" s="8">
        <v>6091</v>
      </c>
      <c r="M18" s="58" t="s">
        <v>566</v>
      </c>
      <c r="N18" s="511">
        <v>1426</v>
      </c>
      <c r="O18" s="516" t="s">
        <v>531</v>
      </c>
      <c r="P18" s="511">
        <v>1426</v>
      </c>
      <c r="Q18" s="516" t="s">
        <v>531</v>
      </c>
      <c r="R18" s="8">
        <v>6091</v>
      </c>
      <c r="S18" s="19" t="s">
        <v>566</v>
      </c>
      <c r="T18" s="8">
        <v>1426</v>
      </c>
      <c r="U18" s="19" t="s">
        <v>531</v>
      </c>
      <c r="V18" s="8">
        <v>1460</v>
      </c>
      <c r="W18" s="97" t="s">
        <v>576</v>
      </c>
      <c r="X18" s="8" t="s">
        <v>1456</v>
      </c>
      <c r="Y18" s="4" t="s">
        <v>1449</v>
      </c>
      <c r="Z18" s="8">
        <v>9</v>
      </c>
      <c r="AA18" s="4" t="s">
        <v>584</v>
      </c>
      <c r="AB18" s="8" t="s">
        <v>609</v>
      </c>
      <c r="AC18" s="4" t="s">
        <v>608</v>
      </c>
      <c r="AD18" s="8"/>
      <c r="AE18" s="4"/>
      <c r="AF18" s="8"/>
      <c r="AG18" s="4"/>
      <c r="AI18" s="102"/>
      <c r="AJ18" s="102"/>
    </row>
    <row r="19" spans="1:36" x14ac:dyDescent="0.25">
      <c r="A19" s="42">
        <v>10</v>
      </c>
      <c r="B19" s="8"/>
      <c r="C19" s="4"/>
      <c r="D19" s="24"/>
      <c r="E19" s="19"/>
      <c r="F19" s="8"/>
      <c r="G19" s="4"/>
      <c r="H19" s="24"/>
      <c r="I19" s="4"/>
      <c r="J19" s="8">
        <v>1460</v>
      </c>
      <c r="K19" s="4" t="s">
        <v>576</v>
      </c>
      <c r="L19" s="8">
        <v>6096</v>
      </c>
      <c r="M19" s="58" t="s">
        <v>567</v>
      </c>
      <c r="N19" s="511">
        <v>1427</v>
      </c>
      <c r="O19" s="516" t="s">
        <v>532</v>
      </c>
      <c r="P19" s="511">
        <v>1427</v>
      </c>
      <c r="Q19" s="516" t="s">
        <v>532</v>
      </c>
      <c r="R19" s="8">
        <v>6096</v>
      </c>
      <c r="S19" s="19" t="s">
        <v>567</v>
      </c>
      <c r="T19" s="8">
        <v>1427</v>
      </c>
      <c r="U19" s="19" t="s">
        <v>532</v>
      </c>
      <c r="V19" s="8"/>
      <c r="W19" s="4"/>
      <c r="X19" s="8" t="s">
        <v>1457</v>
      </c>
      <c r="Y19" s="4" t="s">
        <v>1450</v>
      </c>
      <c r="Z19" s="8">
        <v>10</v>
      </c>
      <c r="AA19" s="4" t="s">
        <v>593</v>
      </c>
      <c r="AB19" s="8" t="s">
        <v>611</v>
      </c>
      <c r="AC19" s="4" t="s">
        <v>610</v>
      </c>
      <c r="AD19" s="8"/>
      <c r="AE19" s="4"/>
      <c r="AF19" s="8"/>
      <c r="AG19" s="4"/>
      <c r="AI19" s="102"/>
      <c r="AJ19" s="102"/>
    </row>
    <row r="20" spans="1:36" x14ac:dyDescent="0.25">
      <c r="A20" s="42">
        <v>11</v>
      </c>
      <c r="B20" s="8"/>
      <c r="C20" s="4"/>
      <c r="D20" s="24"/>
      <c r="E20" s="19"/>
      <c r="F20" s="8"/>
      <c r="G20" s="4"/>
      <c r="H20" s="24"/>
      <c r="I20" s="4"/>
      <c r="J20" s="24"/>
      <c r="K20" s="19"/>
      <c r="L20" s="8">
        <v>6101</v>
      </c>
      <c r="M20" s="99" t="s">
        <v>568</v>
      </c>
      <c r="N20" s="511">
        <v>1428</v>
      </c>
      <c r="O20" s="516" t="s">
        <v>532</v>
      </c>
      <c r="P20" s="511">
        <v>1428</v>
      </c>
      <c r="Q20" s="516" t="s">
        <v>532</v>
      </c>
      <c r="R20" s="8">
        <v>6101</v>
      </c>
      <c r="S20" s="19" t="s">
        <v>568</v>
      </c>
      <c r="T20" s="8">
        <v>1428</v>
      </c>
      <c r="U20" s="19" t="s">
        <v>532</v>
      </c>
      <c r="V20" s="44"/>
      <c r="W20" s="3"/>
      <c r="X20" s="44" t="s">
        <v>1458</v>
      </c>
      <c r="Y20" s="3" t="s">
        <v>1451</v>
      </c>
      <c r="Z20" s="8">
        <v>11</v>
      </c>
      <c r="AA20" s="4" t="s">
        <v>585</v>
      </c>
      <c r="AB20" s="8" t="s">
        <v>613</v>
      </c>
      <c r="AC20" s="4" t="s">
        <v>612</v>
      </c>
      <c r="AD20" s="8"/>
      <c r="AE20" s="4"/>
      <c r="AF20" s="8"/>
      <c r="AG20" s="4"/>
      <c r="AI20" s="102"/>
      <c r="AJ20" s="102"/>
    </row>
    <row r="21" spans="1:36" x14ac:dyDescent="0.25">
      <c r="A21" s="42">
        <v>12</v>
      </c>
      <c r="B21" s="8"/>
      <c r="C21" s="4"/>
      <c r="D21" s="24"/>
      <c r="E21" s="19"/>
      <c r="F21" s="8"/>
      <c r="G21" s="4"/>
      <c r="H21" s="24"/>
      <c r="I21" s="4"/>
      <c r="J21" s="24"/>
      <c r="K21" s="19"/>
      <c r="L21" s="8"/>
      <c r="M21" s="4"/>
      <c r="N21" s="511">
        <v>1435</v>
      </c>
      <c r="O21" s="516" t="s">
        <v>544</v>
      </c>
      <c r="P21" s="511">
        <v>1435</v>
      </c>
      <c r="Q21" s="516" t="s">
        <v>544</v>
      </c>
      <c r="R21" s="8"/>
      <c r="S21" s="19"/>
      <c r="T21" s="8">
        <v>1435</v>
      </c>
      <c r="U21" s="96" t="s">
        <v>544</v>
      </c>
      <c r="V21" s="8"/>
      <c r="W21" s="4"/>
      <c r="X21" s="8" t="s">
        <v>1459</v>
      </c>
      <c r="Y21" s="4" t="s">
        <v>1452</v>
      </c>
      <c r="Z21" s="8">
        <v>12</v>
      </c>
      <c r="AA21" s="97" t="s">
        <v>586</v>
      </c>
      <c r="AB21" s="8" t="s">
        <v>615</v>
      </c>
      <c r="AC21" s="4" t="s">
        <v>614</v>
      </c>
      <c r="AD21" s="8"/>
      <c r="AE21" s="4"/>
      <c r="AF21" s="8"/>
      <c r="AG21" s="4"/>
      <c r="AI21" s="102"/>
      <c r="AJ21" s="102"/>
    </row>
    <row r="22" spans="1:36" x14ac:dyDescent="0.25">
      <c r="A22" s="42">
        <v>13</v>
      </c>
      <c r="B22" s="8"/>
      <c r="C22" s="4"/>
      <c r="D22" s="24"/>
      <c r="E22" s="19"/>
      <c r="F22" s="8"/>
      <c r="G22" s="4"/>
      <c r="H22" s="24"/>
      <c r="I22" s="4"/>
      <c r="J22" s="24"/>
      <c r="K22" s="19"/>
      <c r="L22" s="8"/>
      <c r="M22" s="4"/>
      <c r="N22" s="511">
        <v>1436</v>
      </c>
      <c r="O22" s="516" t="s">
        <v>544</v>
      </c>
      <c r="P22" s="511">
        <v>1436</v>
      </c>
      <c r="Q22" s="516" t="s">
        <v>544</v>
      </c>
      <c r="R22" s="8"/>
      <c r="S22" s="19"/>
      <c r="T22" s="8">
        <v>1436</v>
      </c>
      <c r="U22" s="19" t="s">
        <v>544</v>
      </c>
      <c r="V22" s="8"/>
      <c r="W22" s="4"/>
      <c r="X22" s="8"/>
      <c r="Y22" s="4"/>
      <c r="Z22" s="8">
        <v>13</v>
      </c>
      <c r="AA22" s="4" t="s">
        <v>587</v>
      </c>
      <c r="AB22" s="8" t="s">
        <v>617</v>
      </c>
      <c r="AC22" s="4" t="s">
        <v>616</v>
      </c>
      <c r="AD22" s="8"/>
      <c r="AE22" s="4"/>
      <c r="AF22" s="8"/>
      <c r="AG22" s="4"/>
      <c r="AI22" s="102"/>
      <c r="AJ22" s="102"/>
    </row>
    <row r="23" spans="1:36" x14ac:dyDescent="0.25">
      <c r="A23" s="42">
        <v>14</v>
      </c>
      <c r="B23" s="8"/>
      <c r="C23" s="4"/>
      <c r="D23" s="24"/>
      <c r="E23" s="19"/>
      <c r="F23" s="8"/>
      <c r="G23" s="4"/>
      <c r="H23" s="24"/>
      <c r="I23" s="4"/>
      <c r="J23" s="24"/>
      <c r="K23" s="19"/>
      <c r="L23" s="8"/>
      <c r="M23" s="4"/>
      <c r="N23" s="517">
        <v>1437</v>
      </c>
      <c r="O23" s="518" t="s">
        <v>543</v>
      </c>
      <c r="P23" s="517">
        <v>1437</v>
      </c>
      <c r="Q23" s="518" t="s">
        <v>543</v>
      </c>
      <c r="R23" s="8"/>
      <c r="S23" s="19"/>
      <c r="T23" s="83">
        <v>1437</v>
      </c>
      <c r="U23" s="82" t="s">
        <v>543</v>
      </c>
      <c r="V23" s="8"/>
      <c r="W23" s="4"/>
      <c r="X23" s="8"/>
      <c r="Y23" s="4"/>
      <c r="Z23" s="8">
        <v>14</v>
      </c>
      <c r="AA23" s="4" t="s">
        <v>588</v>
      </c>
      <c r="AB23" s="8" t="s">
        <v>619</v>
      </c>
      <c r="AC23" s="4" t="s">
        <v>618</v>
      </c>
      <c r="AD23" s="8"/>
      <c r="AE23" s="4"/>
      <c r="AF23" s="8"/>
      <c r="AG23" s="4"/>
      <c r="AI23" s="102"/>
      <c r="AJ23" s="102"/>
    </row>
    <row r="24" spans="1:36" x14ac:dyDescent="0.25">
      <c r="A24" s="42">
        <v>15</v>
      </c>
      <c r="B24" s="8"/>
      <c r="C24" s="4"/>
      <c r="D24" s="24"/>
      <c r="E24" s="19"/>
      <c r="F24" s="8"/>
      <c r="G24" s="4"/>
      <c r="H24" s="24"/>
      <c r="I24" s="4"/>
      <c r="J24" s="24"/>
      <c r="K24" s="19"/>
      <c r="L24" s="8"/>
      <c r="M24" s="4"/>
      <c r="N24" s="511">
        <v>1438</v>
      </c>
      <c r="O24" s="518" t="s">
        <v>543</v>
      </c>
      <c r="P24" s="511">
        <v>1438</v>
      </c>
      <c r="Q24" s="518" t="s">
        <v>543</v>
      </c>
      <c r="R24" s="8"/>
      <c r="S24" s="19"/>
      <c r="T24" s="8">
        <v>1438</v>
      </c>
      <c r="U24" s="82" t="s">
        <v>543</v>
      </c>
      <c r="V24" s="24"/>
      <c r="W24" s="19"/>
      <c r="X24" s="8"/>
      <c r="Y24" s="4"/>
      <c r="Z24" s="8">
        <v>15</v>
      </c>
      <c r="AA24" s="4" t="s">
        <v>589</v>
      </c>
      <c r="AB24" s="8" t="s">
        <v>621</v>
      </c>
      <c r="AC24" s="4" t="s">
        <v>620</v>
      </c>
      <c r="AD24" s="8"/>
      <c r="AE24" s="4"/>
      <c r="AF24" s="8"/>
      <c r="AG24" s="4"/>
      <c r="AI24" s="102"/>
      <c r="AJ24" s="102"/>
    </row>
    <row r="25" spans="1:36" x14ac:dyDescent="0.25">
      <c r="A25" s="42">
        <v>16</v>
      </c>
      <c r="B25" s="8"/>
      <c r="C25" s="4"/>
      <c r="D25" s="24"/>
      <c r="E25" s="19"/>
      <c r="F25" s="8"/>
      <c r="G25" s="4"/>
      <c r="H25" s="24"/>
      <c r="I25" s="4"/>
      <c r="J25" s="24"/>
      <c r="K25" s="19"/>
      <c r="L25" s="8"/>
      <c r="M25" s="4"/>
      <c r="N25" s="511">
        <v>1441</v>
      </c>
      <c r="O25" s="518" t="s">
        <v>530</v>
      </c>
      <c r="P25" s="511">
        <v>1441</v>
      </c>
      <c r="Q25" s="518" t="s">
        <v>530</v>
      </c>
      <c r="R25" s="8"/>
      <c r="S25" s="19"/>
      <c r="T25" s="59">
        <v>1441</v>
      </c>
      <c r="U25" s="82" t="s">
        <v>530</v>
      </c>
      <c r="V25" s="24"/>
      <c r="W25" s="19"/>
      <c r="X25" s="8"/>
      <c r="Y25" s="4"/>
      <c r="Z25" s="8">
        <v>16</v>
      </c>
      <c r="AA25" s="4" t="s">
        <v>590</v>
      </c>
      <c r="AB25" s="8" t="s">
        <v>623</v>
      </c>
      <c r="AC25" s="4" t="s">
        <v>622</v>
      </c>
      <c r="AD25" s="8"/>
      <c r="AE25" s="4"/>
      <c r="AF25" s="8"/>
      <c r="AG25" s="4"/>
      <c r="AI25" s="102"/>
      <c r="AJ25" s="102"/>
    </row>
    <row r="26" spans="1:36" x14ac:dyDescent="0.25">
      <c r="A26" s="42">
        <v>17</v>
      </c>
      <c r="B26" s="8"/>
      <c r="C26" s="4"/>
      <c r="D26" s="24"/>
      <c r="E26" s="19"/>
      <c r="F26" s="8"/>
      <c r="G26" s="4"/>
      <c r="H26" s="24"/>
      <c r="I26" s="4"/>
      <c r="J26" s="24"/>
      <c r="K26" s="19"/>
      <c r="L26" s="8"/>
      <c r="M26" s="4"/>
      <c r="N26" s="511">
        <v>1442</v>
      </c>
      <c r="O26" s="518" t="s">
        <v>530</v>
      </c>
      <c r="P26" s="511">
        <v>1442</v>
      </c>
      <c r="Q26" s="518" t="s">
        <v>530</v>
      </c>
      <c r="R26" s="8"/>
      <c r="S26" s="19"/>
      <c r="T26" s="59">
        <v>1442</v>
      </c>
      <c r="U26" s="82" t="s">
        <v>530</v>
      </c>
      <c r="V26" s="24"/>
      <c r="W26" s="19"/>
      <c r="X26" s="8"/>
      <c r="Y26" s="4"/>
      <c r="Z26" s="8">
        <v>17</v>
      </c>
      <c r="AA26" s="4" t="s">
        <v>591</v>
      </c>
      <c r="AB26" s="8" t="s">
        <v>625</v>
      </c>
      <c r="AC26" s="4" t="s">
        <v>624</v>
      </c>
      <c r="AD26" s="8"/>
      <c r="AE26" s="4"/>
      <c r="AF26" s="8"/>
      <c r="AG26" s="4"/>
      <c r="AI26" s="102"/>
      <c r="AJ26" s="102"/>
    </row>
    <row r="27" spans="1:36" x14ac:dyDescent="0.25">
      <c r="A27" s="42">
        <v>18</v>
      </c>
      <c r="B27" s="8"/>
      <c r="C27" s="4"/>
      <c r="D27" s="24"/>
      <c r="E27" s="19"/>
      <c r="F27" s="8"/>
      <c r="G27" s="4"/>
      <c r="H27" s="24"/>
      <c r="I27" s="4"/>
      <c r="J27" s="24"/>
      <c r="K27" s="19"/>
      <c r="L27" s="8"/>
      <c r="M27" s="4"/>
      <c r="N27" s="511">
        <v>1443</v>
      </c>
      <c r="O27" s="518" t="s">
        <v>541</v>
      </c>
      <c r="P27" s="511">
        <v>1443</v>
      </c>
      <c r="Q27" s="518" t="s">
        <v>541</v>
      </c>
      <c r="R27" s="8"/>
      <c r="S27" s="19"/>
      <c r="T27" s="59">
        <v>1443</v>
      </c>
      <c r="U27" s="82" t="s">
        <v>541</v>
      </c>
      <c r="V27" s="24"/>
      <c r="W27" s="19"/>
      <c r="X27" s="8"/>
      <c r="Y27" s="4"/>
      <c r="Z27" s="8"/>
      <c r="AA27" s="4"/>
      <c r="AB27" s="8" t="s">
        <v>627</v>
      </c>
      <c r="AC27" s="4" t="s">
        <v>626</v>
      </c>
      <c r="AD27" s="8"/>
      <c r="AE27" s="4"/>
      <c r="AF27" s="8"/>
      <c r="AG27" s="4"/>
      <c r="AI27" s="102"/>
      <c r="AJ27" s="102"/>
    </row>
    <row r="28" spans="1:36" x14ac:dyDescent="0.25">
      <c r="A28" s="42">
        <v>19</v>
      </c>
      <c r="B28" s="8"/>
      <c r="C28" s="4"/>
      <c r="D28" s="24"/>
      <c r="E28" s="19"/>
      <c r="F28" s="8"/>
      <c r="G28" s="4"/>
      <c r="H28" s="24"/>
      <c r="I28" s="4"/>
      <c r="J28" s="24"/>
      <c r="K28" s="19"/>
      <c r="L28" s="8"/>
      <c r="M28" s="4"/>
      <c r="N28" s="511">
        <v>1444</v>
      </c>
      <c r="O28" s="518" t="s">
        <v>541</v>
      </c>
      <c r="P28" s="511">
        <v>1444</v>
      </c>
      <c r="Q28" s="518" t="s">
        <v>541</v>
      </c>
      <c r="R28" s="8"/>
      <c r="S28" s="19"/>
      <c r="T28" s="59">
        <v>1444</v>
      </c>
      <c r="U28" s="82" t="s">
        <v>541</v>
      </c>
      <c r="V28" s="24"/>
      <c r="W28" s="19"/>
      <c r="X28" s="8"/>
      <c r="Y28" s="4"/>
      <c r="Z28" s="8"/>
      <c r="AA28" s="4"/>
      <c r="AB28" s="8" t="s">
        <v>629</v>
      </c>
      <c r="AC28" s="4" t="s">
        <v>628</v>
      </c>
      <c r="AD28" s="8"/>
      <c r="AE28" s="4"/>
      <c r="AF28" s="8"/>
      <c r="AG28" s="4"/>
      <c r="AI28" s="102"/>
      <c r="AJ28" s="102"/>
    </row>
    <row r="29" spans="1:36" x14ac:dyDescent="0.25">
      <c r="A29" s="42">
        <v>20</v>
      </c>
      <c r="B29" s="8"/>
      <c r="C29" s="4"/>
      <c r="D29" s="24"/>
      <c r="E29" s="19"/>
      <c r="F29" s="8"/>
      <c r="G29" s="4"/>
      <c r="H29" s="24"/>
      <c r="I29" s="4"/>
      <c r="J29" s="24"/>
      <c r="K29" s="19"/>
      <c r="L29" s="8"/>
      <c r="M29" s="4"/>
      <c r="N29" s="511">
        <v>1445</v>
      </c>
      <c r="O29" s="518" t="s">
        <v>542</v>
      </c>
      <c r="P29" s="511">
        <v>1445</v>
      </c>
      <c r="Q29" s="518" t="s">
        <v>542</v>
      </c>
      <c r="R29" s="8"/>
      <c r="S29" s="19"/>
      <c r="T29" s="59">
        <v>1445</v>
      </c>
      <c r="U29" s="82" t="s">
        <v>542</v>
      </c>
      <c r="V29" s="24"/>
      <c r="W29" s="19"/>
      <c r="X29" s="8"/>
      <c r="Y29" s="4"/>
      <c r="Z29" s="8"/>
      <c r="AA29" s="4"/>
      <c r="AB29" s="8" t="s">
        <v>631</v>
      </c>
      <c r="AC29" s="4" t="s">
        <v>630</v>
      </c>
      <c r="AD29" s="8"/>
      <c r="AE29" s="4"/>
      <c r="AF29" s="8"/>
      <c r="AG29" s="4"/>
      <c r="AI29" s="102"/>
      <c r="AJ29" s="102"/>
    </row>
    <row r="30" spans="1:36" x14ac:dyDescent="0.25">
      <c r="A30" s="42">
        <v>21</v>
      </c>
      <c r="B30" s="8"/>
      <c r="C30" s="4"/>
      <c r="D30" s="24"/>
      <c r="E30" s="19"/>
      <c r="F30" s="8"/>
      <c r="G30" s="4"/>
      <c r="H30" s="24"/>
      <c r="I30" s="4"/>
      <c r="J30" s="24"/>
      <c r="K30" s="19"/>
      <c r="L30" s="8"/>
      <c r="M30" s="4"/>
      <c r="N30" s="511">
        <v>1446</v>
      </c>
      <c r="O30" s="518" t="s">
        <v>542</v>
      </c>
      <c r="P30" s="511">
        <v>1446</v>
      </c>
      <c r="Q30" s="518" t="s">
        <v>542</v>
      </c>
      <c r="R30" s="8"/>
      <c r="S30" s="19"/>
      <c r="T30" s="59">
        <v>1446</v>
      </c>
      <c r="U30" s="82" t="s">
        <v>542</v>
      </c>
      <c r="V30" s="24"/>
      <c r="W30" s="19"/>
      <c r="X30" s="8"/>
      <c r="Y30" s="4"/>
      <c r="Z30" s="8"/>
      <c r="AA30" s="4"/>
      <c r="AB30" s="8" t="s">
        <v>633</v>
      </c>
      <c r="AC30" s="190" t="s">
        <v>632</v>
      </c>
      <c r="AD30" s="8"/>
      <c r="AE30" s="4"/>
      <c r="AF30" s="8"/>
      <c r="AG30" s="4"/>
      <c r="AI30" s="102"/>
      <c r="AJ30" s="102"/>
    </row>
    <row r="31" spans="1:36" x14ac:dyDescent="0.25">
      <c r="A31" s="42">
        <v>22</v>
      </c>
      <c r="B31" s="8"/>
      <c r="C31" s="4"/>
      <c r="D31" s="24"/>
      <c r="E31" s="19"/>
      <c r="F31" s="8"/>
      <c r="G31" s="4"/>
      <c r="H31" s="24"/>
      <c r="I31" s="4"/>
      <c r="J31" s="24"/>
      <c r="K31" s="19"/>
      <c r="L31" s="8"/>
      <c r="M31" s="4"/>
      <c r="N31" s="511">
        <v>1447</v>
      </c>
      <c r="O31" s="518" t="s">
        <v>543</v>
      </c>
      <c r="P31" s="511">
        <v>1447</v>
      </c>
      <c r="Q31" s="518" t="s">
        <v>543</v>
      </c>
      <c r="R31" s="8"/>
      <c r="S31" s="19"/>
      <c r="T31" s="59">
        <v>1447</v>
      </c>
      <c r="U31" s="82" t="s">
        <v>543</v>
      </c>
      <c r="V31" s="24"/>
      <c r="W31" s="19"/>
      <c r="X31" s="8"/>
      <c r="Y31" s="4"/>
      <c r="Z31" s="8"/>
      <c r="AA31" s="4"/>
      <c r="AB31" s="8" t="s">
        <v>635</v>
      </c>
      <c r="AC31" s="4" t="s">
        <v>634</v>
      </c>
      <c r="AD31" s="8"/>
      <c r="AE31" s="3"/>
      <c r="AF31" s="8"/>
      <c r="AG31" s="4"/>
      <c r="AI31" s="102"/>
      <c r="AJ31" s="102"/>
    </row>
    <row r="32" spans="1:36" x14ac:dyDescent="0.25">
      <c r="A32" s="42">
        <v>23</v>
      </c>
      <c r="B32" s="8"/>
      <c r="C32" s="4"/>
      <c r="D32" s="24"/>
      <c r="E32" s="19"/>
      <c r="F32" s="8"/>
      <c r="G32" s="4"/>
      <c r="H32" s="24"/>
      <c r="I32" s="4"/>
      <c r="J32" s="24"/>
      <c r="K32" s="19"/>
      <c r="L32" s="8"/>
      <c r="M32" s="4"/>
      <c r="N32" s="511">
        <v>1448</v>
      </c>
      <c r="O32" s="518" t="s">
        <v>543</v>
      </c>
      <c r="P32" s="511">
        <v>1448</v>
      </c>
      <c r="Q32" s="518" t="s">
        <v>543</v>
      </c>
      <c r="R32" s="8"/>
      <c r="S32" s="19"/>
      <c r="T32" s="59">
        <v>1448</v>
      </c>
      <c r="U32" s="82" t="s">
        <v>543</v>
      </c>
      <c r="V32" s="24"/>
      <c r="W32" s="19"/>
      <c r="X32" s="8"/>
      <c r="Y32" s="4"/>
      <c r="Z32" s="8"/>
      <c r="AA32" s="4"/>
      <c r="AB32" s="8" t="s">
        <v>637</v>
      </c>
      <c r="AC32" s="4" t="s">
        <v>636</v>
      </c>
      <c r="AD32" s="8"/>
      <c r="AE32" s="4"/>
      <c r="AF32" s="8"/>
      <c r="AG32" s="4"/>
      <c r="AI32" s="102"/>
      <c r="AJ32" s="102"/>
    </row>
    <row r="33" spans="1:36" x14ac:dyDescent="0.25">
      <c r="A33" s="42">
        <v>24</v>
      </c>
      <c r="B33" s="8"/>
      <c r="C33" s="4"/>
      <c r="D33" s="24"/>
      <c r="E33" s="19"/>
      <c r="F33" s="8"/>
      <c r="G33" s="4"/>
      <c r="H33" s="24"/>
      <c r="I33" s="4"/>
      <c r="J33" s="24"/>
      <c r="K33" s="19"/>
      <c r="L33" s="8"/>
      <c r="M33" s="4"/>
      <c r="N33" s="511">
        <v>1449</v>
      </c>
      <c r="O33" s="518" t="s">
        <v>543</v>
      </c>
      <c r="P33" s="511">
        <v>1449</v>
      </c>
      <c r="Q33" s="518" t="s">
        <v>543</v>
      </c>
      <c r="R33" s="8"/>
      <c r="S33" s="19"/>
      <c r="T33" s="59">
        <v>1449</v>
      </c>
      <c r="U33" s="100" t="s">
        <v>543</v>
      </c>
      <c r="V33" s="24"/>
      <c r="W33" s="19"/>
      <c r="X33" s="8"/>
      <c r="Y33" s="4"/>
      <c r="Z33" s="8"/>
      <c r="AA33" s="4"/>
      <c r="AB33" s="8" t="s">
        <v>639</v>
      </c>
      <c r="AC33" s="4" t="s">
        <v>638</v>
      </c>
      <c r="AD33" s="24"/>
      <c r="AE33" s="19"/>
      <c r="AF33" s="8"/>
      <c r="AG33" s="4"/>
      <c r="AI33" s="102"/>
      <c r="AJ33" s="102"/>
    </row>
    <row r="34" spans="1:36" x14ac:dyDescent="0.25">
      <c r="A34" s="42">
        <v>25</v>
      </c>
      <c r="B34" s="8"/>
      <c r="C34" s="4"/>
      <c r="D34" s="24"/>
      <c r="E34" s="19"/>
      <c r="F34" s="8"/>
      <c r="G34" s="4"/>
      <c r="H34" s="24"/>
      <c r="I34" s="4"/>
      <c r="J34" s="24"/>
      <c r="K34" s="19"/>
      <c r="L34" s="8"/>
      <c r="M34" s="4"/>
      <c r="N34" s="511">
        <v>1450</v>
      </c>
      <c r="O34" s="518" t="s">
        <v>541</v>
      </c>
      <c r="P34" s="511">
        <v>1450</v>
      </c>
      <c r="Q34" s="518" t="s">
        <v>541</v>
      </c>
      <c r="R34" s="8"/>
      <c r="S34" s="19"/>
      <c r="T34" s="59">
        <v>1450</v>
      </c>
      <c r="U34" s="82" t="s">
        <v>541</v>
      </c>
      <c r="V34" s="24"/>
      <c r="W34" s="19"/>
      <c r="X34" s="8"/>
      <c r="Y34" s="4"/>
      <c r="Z34" s="8"/>
      <c r="AA34" s="4"/>
      <c r="AB34" s="8" t="s">
        <v>641</v>
      </c>
      <c r="AC34" s="3" t="s">
        <v>640</v>
      </c>
      <c r="AD34" s="24"/>
      <c r="AE34" s="19"/>
      <c r="AF34" s="8"/>
      <c r="AG34" s="4"/>
      <c r="AI34" s="102"/>
      <c r="AJ34" s="102"/>
    </row>
    <row r="35" spans="1:36" x14ac:dyDescent="0.25">
      <c r="A35" s="42">
        <v>26</v>
      </c>
      <c r="B35" s="8"/>
      <c r="C35" s="4"/>
      <c r="D35" s="24"/>
      <c r="E35" s="19"/>
      <c r="F35" s="8"/>
      <c r="G35" s="4"/>
      <c r="H35" s="24"/>
      <c r="I35" s="4"/>
      <c r="J35" s="24"/>
      <c r="K35" s="19"/>
      <c r="L35" s="8"/>
      <c r="M35" s="4"/>
      <c r="N35" s="511">
        <v>1451</v>
      </c>
      <c r="O35" s="518" t="s">
        <v>541</v>
      </c>
      <c r="P35" s="511">
        <v>1451</v>
      </c>
      <c r="Q35" s="518" t="s">
        <v>541</v>
      </c>
      <c r="R35" s="8"/>
      <c r="S35" s="19"/>
      <c r="T35" s="59">
        <v>1451</v>
      </c>
      <c r="U35" s="82" t="s">
        <v>541</v>
      </c>
      <c r="V35" s="24"/>
      <c r="W35" s="19"/>
      <c r="X35" s="8"/>
      <c r="Y35" s="4"/>
      <c r="Z35" s="8"/>
      <c r="AA35" s="4"/>
      <c r="AC35" s="4"/>
      <c r="AD35" s="24"/>
      <c r="AE35" s="19"/>
      <c r="AF35" s="8"/>
      <c r="AG35" s="4"/>
      <c r="AI35" s="102"/>
      <c r="AJ35" s="102"/>
    </row>
    <row r="36" spans="1:36" x14ac:dyDescent="0.25">
      <c r="A36" s="42">
        <v>27</v>
      </c>
      <c r="B36" s="8"/>
      <c r="C36" s="4"/>
      <c r="D36" s="24"/>
      <c r="E36" s="19"/>
      <c r="F36" s="8"/>
      <c r="G36" s="4"/>
      <c r="H36" s="24"/>
      <c r="I36" s="4"/>
      <c r="J36" s="24"/>
      <c r="K36" s="19"/>
      <c r="L36" s="8"/>
      <c r="M36" s="4"/>
      <c r="N36" s="511">
        <v>1481</v>
      </c>
      <c r="O36" s="518" t="s">
        <v>544</v>
      </c>
      <c r="P36" s="511">
        <v>1481</v>
      </c>
      <c r="Q36" s="518" t="s">
        <v>544</v>
      </c>
      <c r="R36" s="8"/>
      <c r="S36" s="19"/>
      <c r="T36" s="59">
        <v>1481</v>
      </c>
      <c r="U36" s="82" t="s">
        <v>544</v>
      </c>
      <c r="V36" s="24"/>
      <c r="W36" s="19"/>
      <c r="X36" s="8"/>
      <c r="Y36" s="4"/>
      <c r="Z36" s="8"/>
      <c r="AA36" s="4"/>
      <c r="AB36" s="8"/>
      <c r="AC36" s="4"/>
      <c r="AD36" s="24"/>
      <c r="AE36" s="19"/>
      <c r="AF36" s="8"/>
      <c r="AG36" s="4"/>
    </row>
    <row r="37" spans="1:36" x14ac:dyDescent="0.25">
      <c r="A37" s="42">
        <v>28</v>
      </c>
      <c r="B37" s="8"/>
      <c r="C37" s="4"/>
      <c r="D37" s="24"/>
      <c r="E37" s="19"/>
      <c r="F37" s="8"/>
      <c r="G37" s="4"/>
      <c r="H37" s="24"/>
      <c r="I37" s="4"/>
      <c r="J37" s="24"/>
      <c r="K37" s="19"/>
      <c r="L37" s="8"/>
      <c r="M37" s="4"/>
      <c r="N37" s="511">
        <v>1482</v>
      </c>
      <c r="O37" s="518" t="s">
        <v>544</v>
      </c>
      <c r="P37" s="511">
        <v>1482</v>
      </c>
      <c r="Q37" s="518" t="s">
        <v>544</v>
      </c>
      <c r="R37" s="8"/>
      <c r="S37" s="19"/>
      <c r="T37" s="59">
        <v>1482</v>
      </c>
      <c r="U37" s="82" t="s">
        <v>544</v>
      </c>
      <c r="V37" s="24"/>
      <c r="W37" s="19"/>
      <c r="X37" s="8"/>
      <c r="Y37" s="4"/>
      <c r="Z37" s="8"/>
      <c r="AA37" s="4"/>
      <c r="AB37" s="8"/>
      <c r="AC37" s="4"/>
      <c r="AD37" s="24"/>
      <c r="AE37" s="19"/>
      <c r="AF37" s="8"/>
      <c r="AG37" s="4"/>
    </row>
    <row r="38" spans="1:36" x14ac:dyDescent="0.25">
      <c r="A38" s="42">
        <v>29</v>
      </c>
      <c r="B38" s="8"/>
      <c r="C38" s="4"/>
      <c r="D38" s="24"/>
      <c r="E38" s="19"/>
      <c r="F38" s="8"/>
      <c r="G38" s="4"/>
      <c r="H38" s="24"/>
      <c r="I38" s="4"/>
      <c r="J38" s="24"/>
      <c r="K38" s="19"/>
      <c r="L38" s="8"/>
      <c r="M38" s="4"/>
      <c r="N38" s="511">
        <v>1705</v>
      </c>
      <c r="O38" s="518" t="s">
        <v>544</v>
      </c>
      <c r="P38" s="511">
        <v>1705</v>
      </c>
      <c r="Q38" s="518" t="s">
        <v>544</v>
      </c>
      <c r="R38" s="8"/>
      <c r="S38" s="19"/>
      <c r="T38" s="59">
        <v>1705</v>
      </c>
      <c r="U38" s="82" t="s">
        <v>544</v>
      </c>
      <c r="V38" s="24"/>
      <c r="W38" s="19"/>
      <c r="X38" s="8"/>
      <c r="Y38" s="4"/>
      <c r="Z38" s="8"/>
      <c r="AA38" s="4"/>
      <c r="AB38" s="8"/>
      <c r="AC38" s="4"/>
      <c r="AD38" s="24"/>
      <c r="AE38" s="19"/>
      <c r="AF38" s="8"/>
      <c r="AG38" s="4"/>
    </row>
    <row r="39" spans="1:36" x14ac:dyDescent="0.25">
      <c r="A39" s="42">
        <v>30</v>
      </c>
      <c r="B39" s="8"/>
      <c r="C39" s="4"/>
      <c r="D39" s="24"/>
      <c r="E39" s="19"/>
      <c r="F39" s="8"/>
      <c r="G39" s="4"/>
      <c r="H39" s="24"/>
      <c r="I39" s="4"/>
      <c r="J39" s="24"/>
      <c r="K39" s="19"/>
      <c r="L39" s="8"/>
      <c r="M39" s="4"/>
      <c r="N39" s="511">
        <v>1706</v>
      </c>
      <c r="O39" s="518" t="s">
        <v>544</v>
      </c>
      <c r="P39" s="511">
        <v>1706</v>
      </c>
      <c r="Q39" s="518" t="s">
        <v>544</v>
      </c>
      <c r="R39" s="8"/>
      <c r="S39" s="19"/>
      <c r="T39" s="59">
        <v>1706</v>
      </c>
      <c r="U39" s="82" t="s">
        <v>544</v>
      </c>
      <c r="V39" s="24"/>
      <c r="W39" s="19"/>
      <c r="X39" s="8"/>
      <c r="Y39" s="4"/>
      <c r="Z39" s="8"/>
      <c r="AA39" s="4"/>
      <c r="AB39" s="8"/>
      <c r="AC39" s="4"/>
      <c r="AD39" s="24"/>
      <c r="AE39" s="19"/>
      <c r="AF39" s="8"/>
      <c r="AG39" s="4"/>
    </row>
    <row r="40" spans="1:36" x14ac:dyDescent="0.25">
      <c r="A40" s="42">
        <v>31</v>
      </c>
      <c r="B40" s="8"/>
      <c r="C40" s="4"/>
      <c r="D40" s="24"/>
      <c r="E40" s="19"/>
      <c r="F40" s="8"/>
      <c r="G40" s="4"/>
      <c r="H40" s="24"/>
      <c r="I40" s="4"/>
      <c r="J40" s="24"/>
      <c r="K40" s="19"/>
      <c r="L40" s="8"/>
      <c r="M40" s="4"/>
      <c r="N40" s="511">
        <v>1717</v>
      </c>
      <c r="O40" s="518" t="s">
        <v>541</v>
      </c>
      <c r="P40" s="511">
        <v>1717</v>
      </c>
      <c r="Q40" s="518" t="s">
        <v>541</v>
      </c>
      <c r="R40" s="8"/>
      <c r="S40" s="19"/>
      <c r="T40" s="59">
        <v>1717</v>
      </c>
      <c r="U40" s="82" t="s">
        <v>541</v>
      </c>
      <c r="V40" s="24"/>
      <c r="W40" s="19"/>
      <c r="X40" s="8"/>
      <c r="Y40" s="4"/>
      <c r="Z40" s="8"/>
      <c r="AA40" s="4"/>
      <c r="AB40" s="8"/>
      <c r="AC40" s="4"/>
      <c r="AD40" s="24"/>
      <c r="AE40" s="19"/>
      <c r="AF40" s="8"/>
      <c r="AG40" s="4"/>
    </row>
    <row r="41" spans="1:36" x14ac:dyDescent="0.25">
      <c r="A41" s="42">
        <v>32</v>
      </c>
      <c r="B41" s="8"/>
      <c r="C41" s="4"/>
      <c r="D41" s="24"/>
      <c r="E41" s="19"/>
      <c r="F41" s="8"/>
      <c r="G41" s="4"/>
      <c r="H41" s="24"/>
      <c r="I41" s="4"/>
      <c r="J41" s="24"/>
      <c r="K41" s="19"/>
      <c r="L41" s="8"/>
      <c r="M41" s="4"/>
      <c r="N41" s="511">
        <v>1718</v>
      </c>
      <c r="O41" s="518" t="s">
        <v>541</v>
      </c>
      <c r="P41" s="511">
        <v>1718</v>
      </c>
      <c r="Q41" s="518" t="s">
        <v>541</v>
      </c>
      <c r="R41" s="8"/>
      <c r="S41" s="19"/>
      <c r="T41" s="59">
        <v>1718</v>
      </c>
      <c r="U41" s="82" t="s">
        <v>541</v>
      </c>
      <c r="V41" s="24"/>
      <c r="W41" s="19"/>
      <c r="X41" s="8"/>
      <c r="Y41" s="4"/>
      <c r="Z41" s="8"/>
      <c r="AA41" s="4"/>
      <c r="AB41" s="8"/>
      <c r="AC41" s="4"/>
      <c r="AD41" s="24"/>
      <c r="AE41" s="19"/>
      <c r="AF41" s="8"/>
      <c r="AG41" s="4"/>
    </row>
    <row r="42" spans="1:36" x14ac:dyDescent="0.25">
      <c r="A42" s="42">
        <v>33</v>
      </c>
      <c r="B42" s="8"/>
      <c r="C42" s="4"/>
      <c r="D42" s="24"/>
      <c r="E42" s="19"/>
      <c r="F42" s="8"/>
      <c r="G42" s="4"/>
      <c r="H42" s="24"/>
      <c r="I42" s="4"/>
      <c r="J42" s="24"/>
      <c r="K42" s="19"/>
      <c r="L42" s="8"/>
      <c r="M42" s="4"/>
      <c r="N42" s="511">
        <v>1719</v>
      </c>
      <c r="O42" s="518" t="s">
        <v>542</v>
      </c>
      <c r="P42" s="511">
        <v>1719</v>
      </c>
      <c r="Q42" s="518" t="s">
        <v>542</v>
      </c>
      <c r="R42" s="8"/>
      <c r="S42" s="19"/>
      <c r="T42" s="59">
        <v>1719</v>
      </c>
      <c r="U42" s="82" t="s">
        <v>542</v>
      </c>
      <c r="V42" s="24"/>
      <c r="W42" s="19"/>
      <c r="X42" s="8"/>
      <c r="Y42" s="4"/>
      <c r="Z42" s="8"/>
      <c r="AA42" s="4"/>
      <c r="AB42" s="8"/>
      <c r="AC42" s="4"/>
      <c r="AD42" s="24"/>
      <c r="AE42" s="19"/>
      <c r="AF42" s="8"/>
      <c r="AG42" s="4"/>
    </row>
    <row r="43" spans="1:36" x14ac:dyDescent="0.25">
      <c r="A43" s="42">
        <v>34</v>
      </c>
      <c r="B43" s="8"/>
      <c r="C43" s="4"/>
      <c r="D43" s="24"/>
      <c r="E43" s="19"/>
      <c r="F43" s="8"/>
      <c r="G43" s="4"/>
      <c r="H43" s="24"/>
      <c r="I43" s="4"/>
      <c r="J43" s="24"/>
      <c r="K43" s="19"/>
      <c r="L43" s="8"/>
      <c r="M43" s="4"/>
      <c r="N43" s="511">
        <v>1720</v>
      </c>
      <c r="O43" s="518" t="s">
        <v>542</v>
      </c>
      <c r="P43" s="511">
        <v>1720</v>
      </c>
      <c r="Q43" s="518" t="s">
        <v>542</v>
      </c>
      <c r="R43" s="8"/>
      <c r="S43" s="19"/>
      <c r="T43" s="59">
        <v>1720</v>
      </c>
      <c r="U43" s="82" t="s">
        <v>542</v>
      </c>
      <c r="V43" s="24"/>
      <c r="W43" s="19"/>
      <c r="X43" s="8"/>
      <c r="Y43" s="4"/>
      <c r="Z43" s="8"/>
      <c r="AA43" s="4"/>
      <c r="AB43" s="8"/>
      <c r="AC43" s="4"/>
      <c r="AD43" s="24"/>
      <c r="AE43" s="19"/>
      <c r="AF43" s="8"/>
      <c r="AG43" s="4"/>
    </row>
    <row r="44" spans="1:36" x14ac:dyDescent="0.25">
      <c r="A44" s="42">
        <v>35</v>
      </c>
      <c r="B44" s="8"/>
      <c r="C44" s="4"/>
      <c r="D44" s="24"/>
      <c r="E44" s="19"/>
      <c r="F44" s="8"/>
      <c r="G44" s="4"/>
      <c r="H44" s="24"/>
      <c r="I44" s="4"/>
      <c r="J44" s="24"/>
      <c r="K44" s="19"/>
      <c r="L44" s="8"/>
      <c r="M44" s="4"/>
      <c r="N44" s="511">
        <v>1723</v>
      </c>
      <c r="O44" s="518" t="s">
        <v>544</v>
      </c>
      <c r="P44" s="511">
        <v>1723</v>
      </c>
      <c r="Q44" s="518" t="s">
        <v>544</v>
      </c>
      <c r="R44" s="8"/>
      <c r="S44" s="19"/>
      <c r="T44" s="59">
        <v>1723</v>
      </c>
      <c r="U44" s="82" t="s">
        <v>544</v>
      </c>
      <c r="V44" s="24"/>
      <c r="W44" s="19"/>
      <c r="X44" s="8"/>
      <c r="Y44" s="4"/>
      <c r="Z44" s="8"/>
      <c r="AA44" s="4"/>
      <c r="AB44" s="8"/>
      <c r="AC44" s="4"/>
      <c r="AD44" s="24"/>
      <c r="AE44" s="19"/>
      <c r="AF44" s="8"/>
      <c r="AG44" s="4"/>
    </row>
    <row r="45" spans="1:36" x14ac:dyDescent="0.25">
      <c r="A45" s="42">
        <v>36</v>
      </c>
      <c r="B45" s="8"/>
      <c r="C45" s="4"/>
      <c r="D45" s="24"/>
      <c r="E45" s="19"/>
      <c r="F45" s="8"/>
      <c r="G45" s="4"/>
      <c r="H45" s="24"/>
      <c r="I45" s="4"/>
      <c r="J45" s="24"/>
      <c r="K45" s="19"/>
      <c r="L45" s="8"/>
      <c r="M45" s="4"/>
      <c r="N45" s="511">
        <v>1742</v>
      </c>
      <c r="O45" s="518" t="s">
        <v>544</v>
      </c>
      <c r="P45" s="511">
        <v>1742</v>
      </c>
      <c r="Q45" s="518" t="s">
        <v>544</v>
      </c>
      <c r="R45" s="8"/>
      <c r="S45" s="19"/>
      <c r="T45" s="59">
        <v>1742</v>
      </c>
      <c r="U45" s="82" t="s">
        <v>544</v>
      </c>
      <c r="V45" s="24"/>
      <c r="W45" s="19"/>
      <c r="X45" s="8"/>
      <c r="Y45" s="4"/>
      <c r="Z45" s="8"/>
      <c r="AA45" s="4"/>
      <c r="AB45" s="8"/>
      <c r="AC45" s="4"/>
      <c r="AD45" s="24"/>
      <c r="AE45" s="19"/>
      <c r="AF45" s="8"/>
      <c r="AG45" s="4"/>
    </row>
    <row r="46" spans="1:36" x14ac:dyDescent="0.25">
      <c r="A46" s="42">
        <v>37</v>
      </c>
      <c r="B46" s="8"/>
      <c r="C46" s="4"/>
      <c r="D46" s="24"/>
      <c r="E46" s="19"/>
      <c r="F46" s="8"/>
      <c r="G46" s="4"/>
      <c r="H46" s="24"/>
      <c r="I46" s="4"/>
      <c r="J46" s="24"/>
      <c r="K46" s="19"/>
      <c r="L46" s="8"/>
      <c r="M46" s="4"/>
      <c r="N46" s="511">
        <v>1755</v>
      </c>
      <c r="O46" s="518" t="s">
        <v>542</v>
      </c>
      <c r="P46" s="511">
        <v>1755</v>
      </c>
      <c r="Q46" s="518" t="s">
        <v>542</v>
      </c>
      <c r="R46" s="8"/>
      <c r="S46" s="19"/>
      <c r="T46" s="59">
        <v>1755</v>
      </c>
      <c r="U46" s="82" t="s">
        <v>542</v>
      </c>
      <c r="V46" s="24"/>
      <c r="W46" s="19"/>
      <c r="X46" s="8"/>
      <c r="Y46" s="4"/>
      <c r="Z46" s="8"/>
      <c r="AA46" s="4"/>
      <c r="AB46" s="8"/>
      <c r="AC46" s="4"/>
      <c r="AD46" s="24"/>
      <c r="AE46" s="19"/>
      <c r="AF46" s="8"/>
      <c r="AG46" s="4"/>
    </row>
    <row r="47" spans="1:36" x14ac:dyDescent="0.25">
      <c r="A47" s="42">
        <v>38</v>
      </c>
      <c r="B47" s="8"/>
      <c r="C47" s="4"/>
      <c r="D47" s="24"/>
      <c r="E47" s="19"/>
      <c r="F47" s="8"/>
      <c r="G47" s="4"/>
      <c r="H47" s="24"/>
      <c r="I47" s="4"/>
      <c r="J47" s="24"/>
      <c r="K47" s="19"/>
      <c r="L47" s="8"/>
      <c r="M47" s="4"/>
      <c r="N47" s="511">
        <v>1763</v>
      </c>
      <c r="O47" s="518" t="s">
        <v>544</v>
      </c>
      <c r="P47" s="511">
        <v>1763</v>
      </c>
      <c r="Q47" s="518" t="s">
        <v>544</v>
      </c>
      <c r="R47" s="8"/>
      <c r="S47" s="19"/>
      <c r="T47" s="59">
        <v>1763</v>
      </c>
      <c r="U47" s="82" t="s">
        <v>544</v>
      </c>
      <c r="V47" s="24"/>
      <c r="W47" s="19"/>
      <c r="X47" s="8"/>
      <c r="Y47" s="4"/>
      <c r="Z47" s="8"/>
      <c r="AA47" s="4"/>
      <c r="AB47" s="8"/>
      <c r="AC47" s="4"/>
      <c r="AD47" s="24"/>
      <c r="AE47" s="19"/>
      <c r="AF47" s="8"/>
      <c r="AG47" s="4"/>
    </row>
    <row r="48" spans="1:36" x14ac:dyDescent="0.25">
      <c r="A48" s="42">
        <v>39</v>
      </c>
      <c r="B48" s="8"/>
      <c r="C48" s="4"/>
      <c r="D48" s="24"/>
      <c r="E48" s="19"/>
      <c r="F48" s="8"/>
      <c r="G48" s="4"/>
      <c r="H48" s="24"/>
      <c r="I48" s="4"/>
      <c r="J48" s="24"/>
      <c r="K48" s="19"/>
      <c r="L48" s="8"/>
      <c r="M48" s="4"/>
      <c r="N48" s="511">
        <v>1772</v>
      </c>
      <c r="O48" s="518" t="s">
        <v>542</v>
      </c>
      <c r="P48" s="511">
        <v>1772</v>
      </c>
      <c r="Q48" s="518" t="s">
        <v>542</v>
      </c>
      <c r="R48" s="8"/>
      <c r="S48" s="19"/>
      <c r="T48" s="59">
        <v>1772</v>
      </c>
      <c r="U48" s="82" t="s">
        <v>542</v>
      </c>
      <c r="V48" s="24"/>
      <c r="W48" s="19"/>
      <c r="X48" s="8"/>
      <c r="Y48" s="4"/>
      <c r="Z48" s="8"/>
      <c r="AA48" s="4"/>
      <c r="AB48" s="8"/>
      <c r="AC48" s="4"/>
      <c r="AD48" s="24"/>
      <c r="AE48" s="19"/>
      <c r="AF48" s="8"/>
      <c r="AG48" s="4"/>
    </row>
    <row r="49" spans="1:33" x14ac:dyDescent="0.25">
      <c r="A49" s="42">
        <v>40</v>
      </c>
      <c r="B49" s="8"/>
      <c r="C49" s="4"/>
      <c r="D49" s="24"/>
      <c r="E49" s="19"/>
      <c r="F49" s="8"/>
      <c r="G49" s="4"/>
      <c r="H49" s="24"/>
      <c r="I49" s="4"/>
      <c r="J49" s="24"/>
      <c r="K49" s="19"/>
      <c r="L49" s="8"/>
      <c r="M49" s="4"/>
      <c r="N49" s="511">
        <v>1792</v>
      </c>
      <c r="O49" s="518" t="s">
        <v>542</v>
      </c>
      <c r="P49" s="511">
        <v>1792</v>
      </c>
      <c r="Q49" s="518" t="s">
        <v>542</v>
      </c>
      <c r="R49" s="8"/>
      <c r="S49" s="19"/>
      <c r="T49" s="59">
        <v>1792</v>
      </c>
      <c r="U49" s="82" t="s">
        <v>542</v>
      </c>
      <c r="V49" s="24"/>
      <c r="W49" s="19"/>
      <c r="X49" s="8"/>
      <c r="Y49" s="4"/>
      <c r="Z49" s="8"/>
      <c r="AA49" s="4"/>
      <c r="AB49" s="8"/>
      <c r="AC49" s="4"/>
      <c r="AD49" s="24"/>
      <c r="AE49" s="19"/>
      <c r="AF49" s="8"/>
      <c r="AG49" s="4"/>
    </row>
    <row r="50" spans="1:33" x14ac:dyDescent="0.25">
      <c r="A50" s="42">
        <v>41</v>
      </c>
      <c r="B50" s="8"/>
      <c r="C50" s="4"/>
      <c r="D50" s="24"/>
      <c r="E50" s="19"/>
      <c r="F50" s="8"/>
      <c r="G50" s="4"/>
      <c r="H50" s="24"/>
      <c r="I50" s="4"/>
      <c r="J50" s="24"/>
      <c r="K50" s="19"/>
      <c r="L50" s="8"/>
      <c r="M50" s="4"/>
      <c r="N50" s="511">
        <v>6015</v>
      </c>
      <c r="O50" s="518" t="s">
        <v>659</v>
      </c>
      <c r="P50" s="511">
        <v>6015</v>
      </c>
      <c r="Q50" s="518" t="s">
        <v>659</v>
      </c>
      <c r="R50" s="8"/>
      <c r="S50" s="19"/>
      <c r="T50" s="59">
        <v>6015</v>
      </c>
      <c r="U50" s="82" t="s">
        <v>659</v>
      </c>
      <c r="V50" s="24"/>
      <c r="W50" s="19"/>
      <c r="X50" s="8"/>
      <c r="Y50" s="4"/>
      <c r="Z50" s="8"/>
      <c r="AA50" s="4"/>
      <c r="AB50" s="8"/>
      <c r="AC50" s="4"/>
      <c r="AD50" s="24"/>
      <c r="AE50" s="19"/>
      <c r="AF50" s="8"/>
      <c r="AG50" s="4"/>
    </row>
    <row r="51" spans="1:33" ht="15.75" thickBot="1" x14ac:dyDescent="0.3">
      <c r="A51" s="42">
        <v>42</v>
      </c>
      <c r="B51" s="8"/>
      <c r="C51" s="4"/>
      <c r="D51" s="24"/>
      <c r="E51" s="19"/>
      <c r="F51" s="8"/>
      <c r="G51" s="4"/>
      <c r="H51" s="24"/>
      <c r="I51" s="4"/>
      <c r="J51" s="24"/>
      <c r="K51" s="19"/>
      <c r="L51" s="8"/>
      <c r="M51" s="4"/>
      <c r="N51" s="512">
        <v>6016</v>
      </c>
      <c r="O51" s="518" t="s">
        <v>659</v>
      </c>
      <c r="P51" s="512">
        <v>6016</v>
      </c>
      <c r="Q51" s="518" t="s">
        <v>659</v>
      </c>
      <c r="R51" s="8"/>
      <c r="S51" s="19"/>
      <c r="T51" s="84">
        <v>6016</v>
      </c>
      <c r="U51" s="82" t="s">
        <v>659</v>
      </c>
      <c r="V51" s="24"/>
      <c r="W51" s="19"/>
      <c r="X51" s="8"/>
      <c r="Y51" s="4"/>
      <c r="Z51" s="8"/>
      <c r="AA51" s="4"/>
      <c r="AB51" s="8"/>
      <c r="AC51" s="4"/>
      <c r="AD51" s="24"/>
      <c r="AE51" s="19"/>
      <c r="AF51" s="8"/>
      <c r="AG51" s="4"/>
    </row>
  </sheetData>
  <mergeCells count="116">
    <mergeCell ref="AF7:AG7"/>
    <mergeCell ref="B7:C7"/>
    <mergeCell ref="D7:E7"/>
    <mergeCell ref="F7:G7"/>
    <mergeCell ref="H7:I7"/>
    <mergeCell ref="AF8:AG8"/>
    <mergeCell ref="V8:W8"/>
    <mergeCell ref="X8:Y8"/>
    <mergeCell ref="Z8:AA8"/>
    <mergeCell ref="AB8:AC8"/>
    <mergeCell ref="AD8:AE8"/>
    <mergeCell ref="L8:M8"/>
    <mergeCell ref="N8:O8"/>
    <mergeCell ref="P8:Q8"/>
    <mergeCell ref="R8:S8"/>
    <mergeCell ref="T8:U8"/>
    <mergeCell ref="J7:K7"/>
    <mergeCell ref="B8:C8"/>
    <mergeCell ref="D8:E8"/>
    <mergeCell ref="F8:G8"/>
    <mergeCell ref="H8:I8"/>
    <mergeCell ref="J8:K8"/>
    <mergeCell ref="Z7:AA7"/>
    <mergeCell ref="AB7:AC7"/>
    <mergeCell ref="AD7:AE7"/>
    <mergeCell ref="P6:Q6"/>
    <mergeCell ref="V6:W6"/>
    <mergeCell ref="AB6:AC6"/>
    <mergeCell ref="L7:M7"/>
    <mergeCell ref="N7:O7"/>
    <mergeCell ref="P7:Q7"/>
    <mergeCell ref="R7:S7"/>
    <mergeCell ref="T7:U7"/>
    <mergeCell ref="V7:W7"/>
    <mergeCell ref="X7:Y7"/>
    <mergeCell ref="B1:I1"/>
    <mergeCell ref="J1:Q1"/>
    <mergeCell ref="R1:Y1"/>
    <mergeCell ref="Z1:AG1"/>
    <mergeCell ref="B2:C2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AB2:AC2"/>
    <mergeCell ref="AD2:AE2"/>
    <mergeCell ref="AF2:AG2"/>
    <mergeCell ref="AD3:AE3"/>
    <mergeCell ref="AF3:AG3"/>
    <mergeCell ref="B4:C4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B4:AC4"/>
    <mergeCell ref="AD4:AE4"/>
    <mergeCell ref="AF4:AG4"/>
    <mergeCell ref="B3:C3"/>
    <mergeCell ref="D3:E3"/>
    <mergeCell ref="F3:G3"/>
    <mergeCell ref="H3:I3"/>
    <mergeCell ref="J3:K3"/>
    <mergeCell ref="L3:M3"/>
    <mergeCell ref="T3:U3"/>
    <mergeCell ref="V3:W3"/>
    <mergeCell ref="X3:Y3"/>
    <mergeCell ref="Z3:AA3"/>
    <mergeCell ref="AB3:AC3"/>
    <mergeCell ref="N3:O3"/>
    <mergeCell ref="P3:Q3"/>
    <mergeCell ref="R3:S3"/>
    <mergeCell ref="T5:U5"/>
    <mergeCell ref="V5:W5"/>
    <mergeCell ref="X5:Y5"/>
    <mergeCell ref="Z5:AA5"/>
    <mergeCell ref="AB5:AC5"/>
    <mergeCell ref="AD5:AE5"/>
    <mergeCell ref="AF5:AG5"/>
    <mergeCell ref="B6:C6"/>
    <mergeCell ref="F6:G6"/>
    <mergeCell ref="H6:I6"/>
    <mergeCell ref="L6:M6"/>
    <mergeCell ref="N6:O6"/>
    <mergeCell ref="R6:S6"/>
    <mergeCell ref="T6:U6"/>
    <mergeCell ref="X6:Y6"/>
    <mergeCell ref="Z6:AA6"/>
    <mergeCell ref="AD6:AE6"/>
    <mergeCell ref="AF6:AG6"/>
    <mergeCell ref="D6:E6"/>
    <mergeCell ref="B5:C5"/>
    <mergeCell ref="D5:E5"/>
    <mergeCell ref="F5:G5"/>
    <mergeCell ref="H5:I5"/>
    <mergeCell ref="J5:K5"/>
    <mergeCell ref="L5:M5"/>
    <mergeCell ref="N5:O5"/>
    <mergeCell ref="P5:Q5"/>
    <mergeCell ref="R5:S5"/>
    <mergeCell ref="J6:K6"/>
  </mergeCells>
  <conditionalFormatting sqref="V10:W23">
    <cfRule type="duplicateValues" dxfId="95" priority="19"/>
  </conditionalFormatting>
  <conditionalFormatting sqref="G10:G12">
    <cfRule type="duplicateValues" dxfId="94" priority="18"/>
  </conditionalFormatting>
  <conditionalFormatting sqref="I10:I16">
    <cfRule type="duplicateValues" dxfId="93" priority="17"/>
  </conditionalFormatting>
  <conditionalFormatting sqref="B52:AG60 AD33:AG38 AF10:AG32 Z10:AA38 Z39:AG51 B10:W51">
    <cfRule type="duplicateValues" dxfId="92" priority="16"/>
  </conditionalFormatting>
  <conditionalFormatting sqref="S10:S60 W52:Y60 AC39:AC60 AE33:AE60 AG10:AG60 U10:U60 G10:G60 AA10:AA60 I10:I60 E10:E60 K10:K60 W24:W51 C10:C60 O10:O60 Q10:Q60 M10:M60">
    <cfRule type="duplicateValues" dxfId="91" priority="21"/>
  </conditionalFormatting>
  <conditionalFormatting sqref="AB36:AC38 AB10:AC34 AC35">
    <cfRule type="duplicateValues" dxfId="90" priority="41"/>
  </conditionalFormatting>
  <conditionalFormatting sqref="AC10:AC38">
    <cfRule type="duplicateValues" dxfId="89" priority="45"/>
  </conditionalFormatting>
  <conditionalFormatting sqref="AD10:AE32">
    <cfRule type="duplicateValues" dxfId="88" priority="12"/>
  </conditionalFormatting>
  <conditionalFormatting sqref="AE10:AE32">
    <cfRule type="duplicateValues" dxfId="87" priority="13"/>
  </conditionalFormatting>
  <conditionalFormatting sqref="Y10:Y12 Y14:Y51">
    <cfRule type="duplicateValues" dxfId="86" priority="8"/>
  </conditionalFormatting>
  <conditionalFormatting sqref="Y10:Y12 Y14:Y51">
    <cfRule type="duplicateValues" dxfId="85" priority="7"/>
  </conditionalFormatting>
  <conditionalFormatting sqref="X10:X51">
    <cfRule type="duplicateValues" dxfId="84" priority="6"/>
  </conditionalFormatting>
  <conditionalFormatting sqref="X10:X51">
    <cfRule type="duplicateValues" dxfId="83" priority="5"/>
  </conditionalFormatting>
  <conditionalFormatting sqref="Y13">
    <cfRule type="duplicateValues" dxfId="82" priority="4"/>
  </conditionalFormatting>
  <conditionalFormatting sqref="Y13">
    <cfRule type="duplicateValues" dxfId="81" priority="3"/>
  </conditionalFormatting>
  <conditionalFormatting sqref="E10">
    <cfRule type="duplicateValues" dxfId="80" priority="2"/>
  </conditionalFormatting>
  <conditionalFormatting sqref="J11:K19">
    <cfRule type="duplicateValues" dxfId="79" priority="1"/>
  </conditionalFormatting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1"/>
  </sheetPr>
  <dimension ref="A1:AG40"/>
  <sheetViews>
    <sheetView zoomScaleNormal="100" workbookViewId="0">
      <pane ySplit="9" topLeftCell="A10" activePane="bottomLeft" state="frozen"/>
      <selection pane="bottomLeft" activeCell="AC17" sqref="AC17"/>
    </sheetView>
  </sheetViews>
  <sheetFormatPr defaultRowHeight="15" x14ac:dyDescent="0.25"/>
  <cols>
    <col min="1" max="1" width="10.7109375" bestFit="1" customWidth="1"/>
    <col min="2" max="2" width="2.5703125" bestFit="1" customWidth="1"/>
    <col min="3" max="3" width="11.7109375" bestFit="1" customWidth="1"/>
    <col min="4" max="4" width="4.28515625" bestFit="1" customWidth="1"/>
    <col min="5" max="5" width="14.5703125" bestFit="1" customWidth="1"/>
    <col min="6" max="6" width="3.5703125" bestFit="1" customWidth="1"/>
    <col min="7" max="7" width="16.28515625" bestFit="1" customWidth="1"/>
    <col min="8" max="8" width="3.5703125" bestFit="1" customWidth="1"/>
    <col min="9" max="9" width="13.5703125" bestFit="1" customWidth="1"/>
    <col min="10" max="10" width="3.7109375" bestFit="1" customWidth="1"/>
    <col min="11" max="11" width="19.5703125" bestFit="1" customWidth="1"/>
    <col min="12" max="12" width="6.28515625" bestFit="1" customWidth="1"/>
    <col min="13" max="13" width="12.7109375" bestFit="1" customWidth="1"/>
    <col min="14" max="14" width="3.5703125" bestFit="1" customWidth="1"/>
    <col min="15" max="15" width="24.7109375" bestFit="1" customWidth="1"/>
    <col min="16" max="16" width="3.5703125" bestFit="1" customWidth="1"/>
    <col min="17" max="17" width="21.7109375" bestFit="1" customWidth="1"/>
    <col min="18" max="18" width="4.7109375" bestFit="1" customWidth="1"/>
    <col min="19" max="19" width="15.5703125" bestFit="1" customWidth="1"/>
    <col min="20" max="20" width="4.28515625" bestFit="1" customWidth="1"/>
    <col min="21" max="21" width="22.28515625" bestFit="1" customWidth="1"/>
    <col min="22" max="22" width="4.28515625" bestFit="1" customWidth="1"/>
    <col min="23" max="23" width="22.28515625" bestFit="1" customWidth="1"/>
    <col min="24" max="24" width="5.7109375" bestFit="1" customWidth="1"/>
    <col min="25" max="25" width="11.7109375" bestFit="1" customWidth="1"/>
    <col min="26" max="26" width="4.7109375" bestFit="1" customWidth="1"/>
    <col min="27" max="27" width="22.28515625" bestFit="1" customWidth="1"/>
    <col min="28" max="28" width="4.7109375" bestFit="1" customWidth="1"/>
    <col min="29" max="29" width="15.7109375" bestFit="1" customWidth="1"/>
    <col min="30" max="30" width="2.7109375" bestFit="1" customWidth="1"/>
    <col min="31" max="31" width="14.28515625" bestFit="1" customWidth="1"/>
    <col min="32" max="32" width="2.5703125" bestFit="1" customWidth="1"/>
    <col min="33" max="33" width="6.5703125" bestFit="1" customWidth="1"/>
  </cols>
  <sheetData>
    <row r="1" spans="1:33" ht="15.75" thickBot="1" x14ac:dyDescent="0.3">
      <c r="A1" s="107" t="s">
        <v>242</v>
      </c>
      <c r="B1" s="384" t="s">
        <v>1366</v>
      </c>
      <c r="C1" s="385"/>
      <c r="D1" s="385"/>
      <c r="E1" s="385"/>
      <c r="F1" s="385"/>
      <c r="G1" s="385"/>
      <c r="H1" s="385"/>
      <c r="I1" s="386"/>
      <c r="J1" s="387" t="s">
        <v>1367</v>
      </c>
      <c r="K1" s="388"/>
      <c r="L1" s="388"/>
      <c r="M1" s="388"/>
      <c r="N1" s="388"/>
      <c r="O1" s="388"/>
      <c r="P1" s="388"/>
      <c r="Q1" s="389"/>
      <c r="R1" s="384" t="s">
        <v>1368</v>
      </c>
      <c r="S1" s="385"/>
      <c r="T1" s="385"/>
      <c r="U1" s="385"/>
      <c r="V1" s="385"/>
      <c r="W1" s="385"/>
      <c r="X1" s="385"/>
      <c r="Y1" s="386"/>
      <c r="Z1" s="387" t="s">
        <v>1369</v>
      </c>
      <c r="AA1" s="388"/>
      <c r="AB1" s="388"/>
      <c r="AC1" s="388"/>
      <c r="AD1" s="388"/>
      <c r="AE1" s="388"/>
      <c r="AF1" s="388"/>
      <c r="AG1" s="389"/>
    </row>
    <row r="2" spans="1:33" ht="15.75" thickBot="1" x14ac:dyDescent="0.3">
      <c r="A2" s="50" t="s">
        <v>276</v>
      </c>
      <c r="B2" s="393" t="s">
        <v>267</v>
      </c>
      <c r="C2" s="394"/>
      <c r="D2" s="390" t="s">
        <v>268</v>
      </c>
      <c r="E2" s="391"/>
      <c r="F2" s="391" t="s">
        <v>269</v>
      </c>
      <c r="G2" s="391"/>
      <c r="H2" s="391" t="s">
        <v>270</v>
      </c>
      <c r="I2" s="409"/>
      <c r="J2" s="390" t="s">
        <v>267</v>
      </c>
      <c r="K2" s="391"/>
      <c r="L2" s="391" t="s">
        <v>268</v>
      </c>
      <c r="M2" s="391"/>
      <c r="N2" s="391" t="s">
        <v>269</v>
      </c>
      <c r="O2" s="391"/>
      <c r="P2" s="391" t="s">
        <v>270</v>
      </c>
      <c r="Q2" s="392"/>
      <c r="R2" s="414" t="s">
        <v>267</v>
      </c>
      <c r="S2" s="391"/>
      <c r="T2" s="391" t="s">
        <v>268</v>
      </c>
      <c r="U2" s="391"/>
      <c r="V2" s="391" t="s">
        <v>269</v>
      </c>
      <c r="W2" s="391"/>
      <c r="X2" s="391" t="s">
        <v>270</v>
      </c>
      <c r="Y2" s="409"/>
      <c r="Z2" s="390" t="s">
        <v>267</v>
      </c>
      <c r="AA2" s="391"/>
      <c r="AB2" s="435" t="s">
        <v>268</v>
      </c>
      <c r="AC2" s="436"/>
      <c r="AD2" s="391" t="s">
        <v>269</v>
      </c>
      <c r="AE2" s="391"/>
      <c r="AF2" s="391" t="s">
        <v>270</v>
      </c>
      <c r="AG2" s="409"/>
    </row>
    <row r="3" spans="1:33" x14ac:dyDescent="0.25">
      <c r="A3" s="42" t="s">
        <v>273</v>
      </c>
      <c r="B3" s="399" t="s">
        <v>339</v>
      </c>
      <c r="C3" s="400"/>
      <c r="D3" s="399" t="s">
        <v>339</v>
      </c>
      <c r="E3" s="400"/>
      <c r="F3" s="399" t="s">
        <v>339</v>
      </c>
      <c r="G3" s="400"/>
      <c r="H3" s="399" t="s">
        <v>339</v>
      </c>
      <c r="I3" s="400"/>
      <c r="J3" s="399" t="s">
        <v>339</v>
      </c>
      <c r="K3" s="400"/>
      <c r="L3" s="399" t="s">
        <v>339</v>
      </c>
      <c r="M3" s="400"/>
      <c r="N3" s="399" t="s">
        <v>339</v>
      </c>
      <c r="O3" s="400"/>
      <c r="P3" s="399" t="s">
        <v>339</v>
      </c>
      <c r="Q3" s="400"/>
      <c r="R3" s="399" t="s">
        <v>114</v>
      </c>
      <c r="S3" s="400"/>
      <c r="T3" s="399" t="s">
        <v>114</v>
      </c>
      <c r="U3" s="400"/>
      <c r="V3" s="399" t="s">
        <v>114</v>
      </c>
      <c r="W3" s="400"/>
      <c r="X3" s="399" t="s">
        <v>114</v>
      </c>
      <c r="Y3" s="400"/>
      <c r="Z3" s="399" t="s">
        <v>114</v>
      </c>
      <c r="AA3" s="400"/>
      <c r="AB3" s="399" t="s">
        <v>114</v>
      </c>
      <c r="AC3" s="400"/>
      <c r="AD3" s="399" t="s">
        <v>361</v>
      </c>
      <c r="AE3" s="400"/>
      <c r="AF3" s="399"/>
      <c r="AG3" s="400"/>
    </row>
    <row r="4" spans="1:33" x14ac:dyDescent="0.25">
      <c r="A4" s="42" t="s">
        <v>277</v>
      </c>
      <c r="B4" s="401" t="s">
        <v>340</v>
      </c>
      <c r="C4" s="402"/>
      <c r="D4" s="403" t="s">
        <v>341</v>
      </c>
      <c r="E4" s="404"/>
      <c r="F4" s="401" t="s">
        <v>342</v>
      </c>
      <c r="G4" s="402"/>
      <c r="H4" s="403" t="s">
        <v>343</v>
      </c>
      <c r="I4" s="404"/>
      <c r="J4" s="401" t="s">
        <v>344</v>
      </c>
      <c r="K4" s="402"/>
      <c r="L4" s="403" t="s">
        <v>345</v>
      </c>
      <c r="M4" s="404"/>
      <c r="N4" s="401" t="s">
        <v>346</v>
      </c>
      <c r="O4" s="402"/>
      <c r="P4" s="403" t="s">
        <v>347</v>
      </c>
      <c r="Q4" s="404"/>
      <c r="R4" s="401" t="s">
        <v>348</v>
      </c>
      <c r="S4" s="402"/>
      <c r="T4" s="403" t="s">
        <v>349</v>
      </c>
      <c r="U4" s="404"/>
      <c r="V4" s="401" t="s">
        <v>350</v>
      </c>
      <c r="W4" s="402"/>
      <c r="X4" s="403" t="s">
        <v>351</v>
      </c>
      <c r="Y4" s="404"/>
      <c r="Z4" s="401" t="s">
        <v>352</v>
      </c>
      <c r="AA4" s="402"/>
      <c r="AB4" s="403" t="s">
        <v>353</v>
      </c>
      <c r="AC4" s="404"/>
      <c r="AD4" s="401" t="s">
        <v>354</v>
      </c>
      <c r="AE4" s="402"/>
      <c r="AF4" s="401" t="s">
        <v>355</v>
      </c>
      <c r="AG4" s="402"/>
    </row>
    <row r="5" spans="1:33" x14ac:dyDescent="0.25">
      <c r="A5" s="42" t="s">
        <v>274</v>
      </c>
      <c r="B5" s="401" t="s">
        <v>154</v>
      </c>
      <c r="C5" s="402"/>
      <c r="D5" s="401" t="s">
        <v>155</v>
      </c>
      <c r="E5" s="402"/>
      <c r="F5" s="401" t="s">
        <v>156</v>
      </c>
      <c r="G5" s="402"/>
      <c r="H5" s="401" t="s">
        <v>161</v>
      </c>
      <c r="I5" s="402"/>
      <c r="J5" s="401" t="s">
        <v>162</v>
      </c>
      <c r="K5" s="402"/>
      <c r="L5" s="401" t="s">
        <v>163</v>
      </c>
      <c r="M5" s="402"/>
      <c r="N5" s="401" t="s">
        <v>164</v>
      </c>
      <c r="O5" s="402"/>
      <c r="P5" s="401" t="s">
        <v>165</v>
      </c>
      <c r="Q5" s="402"/>
      <c r="R5" s="401" t="s">
        <v>179</v>
      </c>
      <c r="S5" s="402"/>
      <c r="T5" s="401" t="s">
        <v>180</v>
      </c>
      <c r="U5" s="402"/>
      <c r="V5" s="401" t="s">
        <v>181</v>
      </c>
      <c r="W5" s="402"/>
      <c r="X5" s="401" t="s">
        <v>182</v>
      </c>
      <c r="Y5" s="402"/>
      <c r="Z5" s="401" t="s">
        <v>356</v>
      </c>
      <c r="AA5" s="402"/>
      <c r="AB5" s="401" t="s">
        <v>183</v>
      </c>
      <c r="AC5" s="402"/>
      <c r="AD5" s="401" t="s">
        <v>357</v>
      </c>
      <c r="AE5" s="402"/>
      <c r="AF5" s="401" t="s">
        <v>358</v>
      </c>
      <c r="AG5" s="402"/>
    </row>
    <row r="6" spans="1:33" ht="15.75" thickBot="1" x14ac:dyDescent="0.3">
      <c r="A6" s="42" t="s">
        <v>295</v>
      </c>
      <c r="B6" s="444">
        <v>3841</v>
      </c>
      <c r="C6" s="445"/>
      <c r="D6" s="444">
        <v>3756</v>
      </c>
      <c r="E6" s="445"/>
      <c r="F6" s="444">
        <v>4030</v>
      </c>
      <c r="G6" s="445"/>
      <c r="H6" s="444">
        <v>3949</v>
      </c>
      <c r="I6" s="445"/>
      <c r="J6" s="397">
        <v>3725</v>
      </c>
      <c r="K6" s="398"/>
      <c r="L6" s="395">
        <v>4156</v>
      </c>
      <c r="M6" s="396"/>
      <c r="N6" s="397">
        <v>3958</v>
      </c>
      <c r="O6" s="398"/>
      <c r="P6" s="395">
        <v>4115</v>
      </c>
      <c r="Q6" s="396"/>
      <c r="R6" s="395">
        <v>3802</v>
      </c>
      <c r="S6" s="396"/>
      <c r="T6" s="395">
        <v>4182</v>
      </c>
      <c r="U6" s="396"/>
      <c r="V6" s="395">
        <v>4182</v>
      </c>
      <c r="W6" s="396"/>
      <c r="X6" s="395">
        <v>4103</v>
      </c>
      <c r="Y6" s="396"/>
      <c r="Z6" s="431">
        <v>3930</v>
      </c>
      <c r="AA6" s="432"/>
      <c r="AB6" s="431">
        <v>4034</v>
      </c>
      <c r="AC6" s="432"/>
      <c r="AD6" s="442">
        <v>4015</v>
      </c>
      <c r="AE6" s="442"/>
      <c r="AF6" s="431">
        <v>3800</v>
      </c>
      <c r="AG6" s="432"/>
    </row>
    <row r="7" spans="1:33" ht="15.75" thickBot="1" x14ac:dyDescent="0.3">
      <c r="A7" s="43" t="s">
        <v>296</v>
      </c>
      <c r="B7" s="444">
        <v>6920</v>
      </c>
      <c r="C7" s="445"/>
      <c r="D7" s="444">
        <v>13333</v>
      </c>
      <c r="E7" s="445"/>
      <c r="F7" s="444">
        <v>4440</v>
      </c>
      <c r="G7" s="445"/>
      <c r="H7" s="444">
        <v>3673</v>
      </c>
      <c r="I7" s="445"/>
      <c r="J7" s="397">
        <v>26660</v>
      </c>
      <c r="K7" s="398"/>
      <c r="L7" s="395">
        <v>15000</v>
      </c>
      <c r="M7" s="396"/>
      <c r="N7" s="397">
        <v>9500</v>
      </c>
      <c r="O7" s="398"/>
      <c r="P7" s="395">
        <v>8000</v>
      </c>
      <c r="Q7" s="396"/>
      <c r="R7" s="395">
        <v>10800</v>
      </c>
      <c r="S7" s="396"/>
      <c r="T7" s="395">
        <v>16296</v>
      </c>
      <c r="U7" s="396"/>
      <c r="V7" s="395">
        <v>16296</v>
      </c>
      <c r="W7" s="396"/>
      <c r="X7" s="395">
        <v>5720</v>
      </c>
      <c r="Y7" s="396"/>
      <c r="Z7" s="346">
        <v>9600</v>
      </c>
      <c r="AA7" s="347"/>
      <c r="AB7" s="346">
        <v>20500</v>
      </c>
      <c r="AC7" s="347"/>
      <c r="AD7" s="361">
        <v>5037</v>
      </c>
      <c r="AE7" s="361"/>
      <c r="AF7" s="346">
        <v>28100</v>
      </c>
      <c r="AG7" s="347"/>
    </row>
    <row r="8" spans="1:33" ht="15.75" thickBot="1" x14ac:dyDescent="0.3">
      <c r="A8" s="90" t="s">
        <v>549</v>
      </c>
      <c r="B8" s="346" t="s">
        <v>660</v>
      </c>
      <c r="C8" s="347"/>
      <c r="D8" s="346" t="s">
        <v>675</v>
      </c>
      <c r="E8" s="347"/>
      <c r="F8" s="346" t="s">
        <v>663</v>
      </c>
      <c r="G8" s="347"/>
      <c r="H8" s="346" t="s">
        <v>550</v>
      </c>
      <c r="I8" s="347"/>
      <c r="J8" s="346" t="s">
        <v>550</v>
      </c>
      <c r="K8" s="347"/>
      <c r="L8" s="346" t="s">
        <v>550</v>
      </c>
      <c r="M8" s="347"/>
      <c r="N8" s="346" t="s">
        <v>550</v>
      </c>
      <c r="O8" s="347"/>
      <c r="P8" s="346" t="s">
        <v>550</v>
      </c>
      <c r="Q8" s="347"/>
      <c r="R8" s="346" t="s">
        <v>742</v>
      </c>
      <c r="S8" s="347"/>
      <c r="T8" s="346" t="s">
        <v>744</v>
      </c>
      <c r="U8" s="347"/>
      <c r="V8" s="346" t="s">
        <v>747</v>
      </c>
      <c r="W8" s="347"/>
      <c r="X8" s="346" t="s">
        <v>739</v>
      </c>
      <c r="Y8" s="347"/>
      <c r="Z8" s="346" t="s">
        <v>775</v>
      </c>
      <c r="AA8" s="347"/>
      <c r="AB8" s="346" t="s">
        <v>776</v>
      </c>
      <c r="AC8" s="347"/>
      <c r="AD8" s="346" t="s">
        <v>2062</v>
      </c>
      <c r="AE8" s="347"/>
      <c r="AF8" s="346"/>
      <c r="AG8" s="347"/>
    </row>
    <row r="9" spans="1:33" ht="15.75" thickBot="1" x14ac:dyDescent="0.3">
      <c r="A9" s="49" t="s">
        <v>275</v>
      </c>
      <c r="B9" s="45" t="s">
        <v>272</v>
      </c>
      <c r="C9" s="46" t="s">
        <v>271</v>
      </c>
      <c r="D9" s="103" t="s">
        <v>272</v>
      </c>
      <c r="E9" s="104" t="s">
        <v>271</v>
      </c>
      <c r="F9" s="45" t="s">
        <v>272</v>
      </c>
      <c r="G9" s="46" t="s">
        <v>271</v>
      </c>
      <c r="H9" s="103" t="s">
        <v>272</v>
      </c>
      <c r="I9" s="91" t="s">
        <v>271</v>
      </c>
      <c r="J9" s="47" t="s">
        <v>272</v>
      </c>
      <c r="K9" s="48" t="s">
        <v>271</v>
      </c>
      <c r="L9" s="45" t="s">
        <v>272</v>
      </c>
      <c r="M9" s="46" t="s">
        <v>271</v>
      </c>
      <c r="N9" s="47" t="s">
        <v>272</v>
      </c>
      <c r="O9" s="48" t="s">
        <v>271</v>
      </c>
      <c r="P9" s="45" t="s">
        <v>272</v>
      </c>
      <c r="Q9" s="46" t="s">
        <v>271</v>
      </c>
      <c r="R9" s="45" t="s">
        <v>272</v>
      </c>
      <c r="S9" s="46" t="s">
        <v>271</v>
      </c>
      <c r="T9" s="45" t="s">
        <v>272</v>
      </c>
      <c r="U9" s="46" t="s">
        <v>271</v>
      </c>
      <c r="V9" s="47" t="s">
        <v>272</v>
      </c>
      <c r="W9" s="48" t="s">
        <v>271</v>
      </c>
      <c r="X9" s="45" t="s">
        <v>272</v>
      </c>
      <c r="Y9" s="46" t="s">
        <v>271</v>
      </c>
      <c r="Z9" s="45" t="s">
        <v>272</v>
      </c>
      <c r="AA9" s="46" t="s">
        <v>271</v>
      </c>
      <c r="AB9" s="45" t="s">
        <v>272</v>
      </c>
      <c r="AC9" s="46" t="s">
        <v>271</v>
      </c>
      <c r="AD9" s="47" t="s">
        <v>272</v>
      </c>
      <c r="AE9" s="48" t="s">
        <v>271</v>
      </c>
      <c r="AF9" s="45" t="s">
        <v>272</v>
      </c>
      <c r="AG9" s="46" t="s">
        <v>271</v>
      </c>
    </row>
    <row r="10" spans="1:33" x14ac:dyDescent="0.25">
      <c r="A10" s="26">
        <v>1</v>
      </c>
      <c r="B10" s="25">
        <v>1</v>
      </c>
      <c r="C10" s="96" t="s">
        <v>660</v>
      </c>
      <c r="D10" s="7" t="s">
        <v>645</v>
      </c>
      <c r="E10" s="5" t="s">
        <v>665</v>
      </c>
      <c r="F10" s="24" t="s">
        <v>645</v>
      </c>
      <c r="G10" s="186" t="s">
        <v>681</v>
      </c>
      <c r="H10" s="7" t="s">
        <v>645</v>
      </c>
      <c r="I10" s="196" t="s">
        <v>684</v>
      </c>
      <c r="J10" s="89">
        <v>1</v>
      </c>
      <c r="K10" s="105" t="s">
        <v>689</v>
      </c>
      <c r="L10" s="8" t="s">
        <v>721</v>
      </c>
      <c r="M10" s="184" t="s">
        <v>722</v>
      </c>
      <c r="N10" s="24" t="s">
        <v>645</v>
      </c>
      <c r="O10" s="186" t="s">
        <v>733</v>
      </c>
      <c r="P10" s="8"/>
      <c r="Q10" s="4"/>
      <c r="R10" s="44">
        <v>11</v>
      </c>
      <c r="S10" s="98" t="s">
        <v>742</v>
      </c>
      <c r="T10" s="8" t="s">
        <v>645</v>
      </c>
      <c r="U10" s="98" t="s">
        <v>755</v>
      </c>
      <c r="V10" s="24"/>
      <c r="W10" s="19"/>
      <c r="X10" s="8">
        <v>26105</v>
      </c>
      <c r="Y10" s="98" t="s">
        <v>739</v>
      </c>
      <c r="Z10" s="8" t="s">
        <v>756</v>
      </c>
      <c r="AA10" s="97" t="s">
        <v>757</v>
      </c>
      <c r="AB10" s="8" t="s">
        <v>609</v>
      </c>
      <c r="AC10" s="97" t="s">
        <v>766</v>
      </c>
      <c r="AD10" s="25">
        <v>1</v>
      </c>
      <c r="AE10" s="198" t="s">
        <v>1614</v>
      </c>
      <c r="AF10" s="44"/>
      <c r="AG10" s="3"/>
    </row>
    <row r="11" spans="1:33" x14ac:dyDescent="0.25">
      <c r="A11" s="42">
        <v>2</v>
      </c>
      <c r="B11" s="24">
        <v>2</v>
      </c>
      <c r="C11" s="19" t="s">
        <v>661</v>
      </c>
      <c r="D11" s="8" t="s">
        <v>595</v>
      </c>
      <c r="E11" s="4" t="s">
        <v>666</v>
      </c>
      <c r="F11" s="24" t="s">
        <v>600</v>
      </c>
      <c r="G11" s="186" t="s">
        <v>682</v>
      </c>
      <c r="H11" s="8" t="s">
        <v>595</v>
      </c>
      <c r="I11" s="4" t="s">
        <v>685</v>
      </c>
      <c r="J11" s="89">
        <v>3</v>
      </c>
      <c r="K11" s="106" t="s">
        <v>690</v>
      </c>
      <c r="L11" s="8" t="s">
        <v>723</v>
      </c>
      <c r="M11" s="4" t="s">
        <v>724</v>
      </c>
      <c r="N11" s="24" t="s">
        <v>595</v>
      </c>
      <c r="O11" s="19" t="s">
        <v>734</v>
      </c>
      <c r="P11" s="8"/>
      <c r="Q11" s="4"/>
      <c r="R11" s="8">
        <v>12</v>
      </c>
      <c r="S11" s="4" t="s">
        <v>743</v>
      </c>
      <c r="T11" s="8" t="s">
        <v>595</v>
      </c>
      <c r="U11" s="4" t="s">
        <v>748</v>
      </c>
      <c r="V11" s="24"/>
      <c r="W11" s="19"/>
      <c r="X11" s="8">
        <v>26106</v>
      </c>
      <c r="Y11" s="4" t="s">
        <v>740</v>
      </c>
      <c r="Z11" s="8" t="s">
        <v>758</v>
      </c>
      <c r="AA11" s="97" t="s">
        <v>759</v>
      </c>
      <c r="AB11" s="8" t="s">
        <v>705</v>
      </c>
      <c r="AC11" s="97" t="s">
        <v>767</v>
      </c>
      <c r="AD11" s="24">
        <v>2</v>
      </c>
      <c r="AE11" s="199" t="s">
        <v>1610</v>
      </c>
      <c r="AF11" s="8"/>
      <c r="AG11" s="4"/>
    </row>
    <row r="12" spans="1:33" x14ac:dyDescent="0.25">
      <c r="A12" s="42">
        <v>3</v>
      </c>
      <c r="B12" s="24">
        <v>3</v>
      </c>
      <c r="C12" s="186" t="s">
        <v>662</v>
      </c>
      <c r="D12" s="8" t="s">
        <v>596</v>
      </c>
      <c r="E12" s="4" t="s">
        <v>667</v>
      </c>
      <c r="F12" s="24" t="s">
        <v>602</v>
      </c>
      <c r="G12" s="19" t="s">
        <v>683</v>
      </c>
      <c r="H12" s="8" t="s">
        <v>596</v>
      </c>
      <c r="I12" s="4" t="s">
        <v>686</v>
      </c>
      <c r="J12" s="89">
        <v>4</v>
      </c>
      <c r="K12" s="106" t="s">
        <v>691</v>
      </c>
      <c r="L12" s="8" t="s">
        <v>725</v>
      </c>
      <c r="M12" s="4" t="s">
        <v>726</v>
      </c>
      <c r="N12" s="24" t="s">
        <v>596</v>
      </c>
      <c r="O12" s="19" t="s">
        <v>735</v>
      </c>
      <c r="P12" s="8"/>
      <c r="Q12" s="4"/>
      <c r="R12" s="8">
        <v>13</v>
      </c>
      <c r="S12" s="98" t="s">
        <v>744</v>
      </c>
      <c r="T12" s="8" t="s">
        <v>596</v>
      </c>
      <c r="U12" s="4" t="s">
        <v>749</v>
      </c>
      <c r="V12" s="24"/>
      <c r="W12" s="19"/>
      <c r="X12" s="8">
        <v>26110</v>
      </c>
      <c r="Y12" s="4" t="s">
        <v>741</v>
      </c>
      <c r="Z12" s="8" t="s">
        <v>760</v>
      </c>
      <c r="AA12" s="188" t="s">
        <v>761</v>
      </c>
      <c r="AB12" s="8" t="s">
        <v>679</v>
      </c>
      <c r="AC12" s="4" t="s">
        <v>768</v>
      </c>
      <c r="AD12" s="24">
        <v>12</v>
      </c>
      <c r="AE12" s="199" t="s">
        <v>1625</v>
      </c>
      <c r="AF12" s="8"/>
      <c r="AG12" s="4"/>
    </row>
    <row r="13" spans="1:33" x14ac:dyDescent="0.25">
      <c r="A13" s="42">
        <v>4</v>
      </c>
      <c r="B13" s="24">
        <v>4</v>
      </c>
      <c r="C13" s="99" t="s">
        <v>663</v>
      </c>
      <c r="D13" s="8" t="s">
        <v>598</v>
      </c>
      <c r="E13" s="4" t="s">
        <v>668</v>
      </c>
      <c r="F13" s="24"/>
      <c r="G13" s="19"/>
      <c r="H13" s="8" t="s">
        <v>598</v>
      </c>
      <c r="I13" s="4" t="s">
        <v>687</v>
      </c>
      <c r="J13" s="89">
        <v>5</v>
      </c>
      <c r="K13" s="106" t="s">
        <v>692</v>
      </c>
      <c r="L13" s="8" t="s">
        <v>732</v>
      </c>
      <c r="M13" s="184" t="s">
        <v>727</v>
      </c>
      <c r="N13" s="24" t="s">
        <v>598</v>
      </c>
      <c r="O13" s="19" t="s">
        <v>736</v>
      </c>
      <c r="P13" s="8"/>
      <c r="Q13" s="4"/>
      <c r="R13" s="8">
        <v>17</v>
      </c>
      <c r="S13" s="4" t="s">
        <v>745</v>
      </c>
      <c r="T13" s="8" t="s">
        <v>598</v>
      </c>
      <c r="U13" s="4" t="s">
        <v>750</v>
      </c>
      <c r="V13" s="24"/>
      <c r="W13" s="19"/>
      <c r="X13" s="8"/>
      <c r="Y13" s="4"/>
      <c r="Z13" s="8" t="s">
        <v>762</v>
      </c>
      <c r="AA13" s="4" t="s">
        <v>551</v>
      </c>
      <c r="AB13" s="8" t="s">
        <v>769</v>
      </c>
      <c r="AC13" s="4" t="s">
        <v>770</v>
      </c>
      <c r="AD13" s="24">
        <v>15</v>
      </c>
      <c r="AE13" s="199" t="s">
        <v>1679</v>
      </c>
      <c r="AF13" s="8"/>
      <c r="AG13" s="4"/>
    </row>
    <row r="14" spans="1:33" x14ac:dyDescent="0.25">
      <c r="A14" s="42">
        <v>5</v>
      </c>
      <c r="B14" s="24">
        <v>5</v>
      </c>
      <c r="C14" s="19" t="s">
        <v>664</v>
      </c>
      <c r="D14" s="8" t="s">
        <v>600</v>
      </c>
      <c r="E14" s="4" t="s">
        <v>669</v>
      </c>
      <c r="F14" s="24"/>
      <c r="G14" s="19"/>
      <c r="H14" s="8" t="s">
        <v>600</v>
      </c>
      <c r="I14" s="4" t="s">
        <v>688</v>
      </c>
      <c r="J14" s="89">
        <v>6</v>
      </c>
      <c r="K14" s="106" t="s">
        <v>693</v>
      </c>
      <c r="L14" s="8" t="s">
        <v>728</v>
      </c>
      <c r="M14" s="4" t="s">
        <v>729</v>
      </c>
      <c r="N14" s="24" t="s">
        <v>600</v>
      </c>
      <c r="O14" s="19" t="s">
        <v>737</v>
      </c>
      <c r="P14" s="8"/>
      <c r="Q14" s="4"/>
      <c r="R14" s="8">
        <v>9991</v>
      </c>
      <c r="S14" s="4" t="s">
        <v>504</v>
      </c>
      <c r="T14" s="8" t="s">
        <v>603</v>
      </c>
      <c r="U14" s="4" t="s">
        <v>751</v>
      </c>
      <c r="V14" s="24"/>
      <c r="W14" s="19"/>
      <c r="X14" s="8"/>
      <c r="Y14" s="4"/>
      <c r="Z14" s="8" t="s">
        <v>763</v>
      </c>
      <c r="AA14" s="97" t="s">
        <v>445</v>
      </c>
      <c r="AB14" s="8" t="s">
        <v>771</v>
      </c>
      <c r="AC14" s="188" t="s">
        <v>772</v>
      </c>
      <c r="AD14" s="24">
        <v>16</v>
      </c>
      <c r="AE14" s="199" t="s">
        <v>1680</v>
      </c>
      <c r="AF14" s="8"/>
      <c r="AG14" s="4"/>
    </row>
    <row r="15" spans="1:33" x14ac:dyDescent="0.25">
      <c r="A15" s="42">
        <v>6</v>
      </c>
      <c r="B15" s="24"/>
      <c r="C15" s="19"/>
      <c r="D15" s="8" t="s">
        <v>602</v>
      </c>
      <c r="E15" s="4" t="s">
        <v>670</v>
      </c>
      <c r="F15" s="24"/>
      <c r="G15" s="19"/>
      <c r="H15" s="8"/>
      <c r="I15" s="4"/>
      <c r="J15" s="89">
        <v>7</v>
      </c>
      <c r="K15" s="106" t="s">
        <v>694</v>
      </c>
      <c r="L15" s="8" t="s">
        <v>730</v>
      </c>
      <c r="M15" s="4" t="s">
        <v>731</v>
      </c>
      <c r="N15" s="24" t="s">
        <v>602</v>
      </c>
      <c r="O15" s="19" t="s">
        <v>738</v>
      </c>
      <c r="P15" s="8"/>
      <c r="Q15" s="4"/>
      <c r="R15" s="8">
        <v>21</v>
      </c>
      <c r="S15" s="4" t="s">
        <v>746</v>
      </c>
      <c r="T15" s="8" t="s">
        <v>605</v>
      </c>
      <c r="U15" s="4" t="s">
        <v>752</v>
      </c>
      <c r="V15" s="24"/>
      <c r="W15" s="19"/>
      <c r="X15" s="8"/>
      <c r="Y15" s="4"/>
      <c r="Z15" s="8" t="s">
        <v>764</v>
      </c>
      <c r="AA15" s="4" t="s">
        <v>765</v>
      </c>
      <c r="AB15" s="8" t="s">
        <v>773</v>
      </c>
      <c r="AC15" s="97" t="s">
        <v>774</v>
      </c>
      <c r="AD15" s="24"/>
      <c r="AE15" s="19"/>
      <c r="AF15" s="8"/>
      <c r="AG15" s="4"/>
    </row>
    <row r="16" spans="1:33" x14ac:dyDescent="0.25">
      <c r="A16" s="42">
        <v>7</v>
      </c>
      <c r="B16" s="24"/>
      <c r="C16" s="19"/>
      <c r="D16" s="8">
        <v>7</v>
      </c>
      <c r="E16" s="4" t="s">
        <v>671</v>
      </c>
      <c r="F16" s="24"/>
      <c r="G16" s="19"/>
      <c r="H16" s="8"/>
      <c r="I16" s="4"/>
      <c r="J16" s="89">
        <v>8</v>
      </c>
      <c r="K16" s="106" t="s">
        <v>695</v>
      </c>
      <c r="L16" s="8"/>
      <c r="M16" s="4"/>
      <c r="N16" s="24"/>
      <c r="O16" s="19"/>
      <c r="P16" s="8"/>
      <c r="Q16" s="4"/>
      <c r="R16" s="8"/>
      <c r="S16" s="4"/>
      <c r="T16" s="8" t="s">
        <v>607</v>
      </c>
      <c r="U16" s="4" t="s">
        <v>753</v>
      </c>
      <c r="V16" s="24"/>
      <c r="W16" s="19"/>
      <c r="X16" s="8"/>
      <c r="Y16" s="4"/>
      <c r="Z16" s="8"/>
      <c r="AA16" s="4"/>
      <c r="AB16" s="8"/>
      <c r="AC16" s="4" t="s">
        <v>2062</v>
      </c>
      <c r="AD16" s="24"/>
      <c r="AE16" s="19"/>
      <c r="AF16" s="8"/>
      <c r="AG16" s="4"/>
    </row>
    <row r="17" spans="1:33" x14ac:dyDescent="0.25">
      <c r="A17" s="42">
        <v>8</v>
      </c>
      <c r="B17" s="24"/>
      <c r="C17" s="19"/>
      <c r="D17" s="8" t="s">
        <v>605</v>
      </c>
      <c r="E17" s="4" t="s">
        <v>672</v>
      </c>
      <c r="F17" s="24"/>
      <c r="G17" s="19"/>
      <c r="H17" s="8"/>
      <c r="I17" s="4"/>
      <c r="J17" s="89">
        <v>9</v>
      </c>
      <c r="K17" s="106" t="s">
        <v>696</v>
      </c>
      <c r="L17" s="8"/>
      <c r="M17" s="4"/>
      <c r="N17" s="24"/>
      <c r="O17" s="19"/>
      <c r="P17" s="8"/>
      <c r="Q17" s="4"/>
      <c r="R17" s="8"/>
      <c r="S17" s="4"/>
      <c r="T17" s="8" t="s">
        <v>609</v>
      </c>
      <c r="U17" s="4" t="s">
        <v>754</v>
      </c>
      <c r="V17" s="24"/>
      <c r="W17" s="19"/>
      <c r="X17" s="8"/>
      <c r="Y17" s="4"/>
      <c r="Z17" s="8"/>
      <c r="AA17" s="4"/>
      <c r="AB17" s="8"/>
      <c r="AC17" s="4"/>
      <c r="AD17" s="24"/>
      <c r="AE17" s="19"/>
      <c r="AF17" s="8"/>
      <c r="AG17" s="4"/>
    </row>
    <row r="18" spans="1:33" x14ac:dyDescent="0.25">
      <c r="A18" s="42">
        <v>9</v>
      </c>
      <c r="B18" s="24"/>
      <c r="C18" s="19"/>
      <c r="D18" s="8" t="s">
        <v>607</v>
      </c>
      <c r="E18" s="4" t="s">
        <v>673</v>
      </c>
      <c r="F18" s="24"/>
      <c r="G18" s="19"/>
      <c r="H18" s="8"/>
      <c r="I18" s="4"/>
      <c r="J18" s="89">
        <v>10</v>
      </c>
      <c r="K18" s="106" t="s">
        <v>697</v>
      </c>
      <c r="L18" s="8"/>
      <c r="M18" s="4"/>
      <c r="N18" s="24"/>
      <c r="O18" s="19"/>
      <c r="P18" s="8"/>
      <c r="Q18" s="4"/>
      <c r="R18" s="8"/>
      <c r="S18" s="4"/>
      <c r="T18" s="8"/>
      <c r="U18" s="4"/>
      <c r="V18" s="24"/>
      <c r="W18" s="19"/>
      <c r="X18" s="8"/>
      <c r="Y18" s="4"/>
      <c r="Z18" s="8"/>
      <c r="AA18" s="4"/>
      <c r="AB18" s="8"/>
      <c r="AC18" s="4"/>
      <c r="AD18" s="24"/>
      <c r="AE18" s="19"/>
      <c r="AF18" s="8"/>
      <c r="AG18" s="4"/>
    </row>
    <row r="19" spans="1:33" x14ac:dyDescent="0.25">
      <c r="A19" s="42">
        <v>10</v>
      </c>
      <c r="B19" s="24"/>
      <c r="C19" s="19"/>
      <c r="D19" s="8" t="s">
        <v>609</v>
      </c>
      <c r="E19" s="4" t="s">
        <v>674</v>
      </c>
      <c r="F19" s="24"/>
      <c r="G19" s="19"/>
      <c r="H19" s="8"/>
      <c r="I19" s="4"/>
      <c r="J19" s="89">
        <v>11</v>
      </c>
      <c r="K19" s="106" t="s">
        <v>698</v>
      </c>
      <c r="L19" s="8"/>
      <c r="M19" s="4"/>
      <c r="N19" s="24"/>
      <c r="O19" s="19"/>
      <c r="P19" s="8"/>
      <c r="Q19" s="4"/>
      <c r="R19" s="8"/>
      <c r="S19" s="4"/>
      <c r="T19" s="8"/>
      <c r="U19" s="4"/>
      <c r="V19" s="24"/>
      <c r="W19" s="19"/>
      <c r="X19" s="8"/>
      <c r="Y19" s="4"/>
      <c r="Z19" s="8"/>
      <c r="AA19" s="4"/>
      <c r="AB19" s="8"/>
      <c r="AC19" s="4"/>
      <c r="AD19" s="24"/>
      <c r="AE19" s="19"/>
      <c r="AF19" s="8"/>
      <c r="AG19" s="4"/>
    </row>
    <row r="20" spans="1:33" x14ac:dyDescent="0.25">
      <c r="A20" s="42">
        <v>11</v>
      </c>
      <c r="B20" s="24"/>
      <c r="C20" s="19"/>
      <c r="D20" s="8" t="s">
        <v>653</v>
      </c>
      <c r="E20" s="97" t="s">
        <v>675</v>
      </c>
      <c r="F20" s="24"/>
      <c r="G20" s="19"/>
      <c r="H20" s="8"/>
      <c r="I20" s="4"/>
      <c r="J20" s="89">
        <v>12</v>
      </c>
      <c r="K20" s="197" t="s">
        <v>699</v>
      </c>
      <c r="L20" s="8"/>
      <c r="M20" s="4"/>
      <c r="N20" s="24"/>
      <c r="O20" s="19"/>
      <c r="P20" s="8"/>
      <c r="Q20" s="4"/>
      <c r="R20" s="8"/>
      <c r="S20" s="4"/>
      <c r="T20" s="8"/>
      <c r="U20" s="4"/>
      <c r="V20" s="24"/>
      <c r="W20" s="19"/>
      <c r="X20" s="8"/>
      <c r="Y20" s="4"/>
      <c r="Z20" s="8"/>
      <c r="AA20" s="4"/>
      <c r="AB20" s="8"/>
      <c r="AC20" s="4"/>
      <c r="AD20" s="24"/>
      <c r="AE20" s="19"/>
      <c r="AF20" s="8"/>
      <c r="AG20" s="4"/>
    </row>
    <row r="21" spans="1:33" x14ac:dyDescent="0.25">
      <c r="A21" s="42">
        <v>12</v>
      </c>
      <c r="B21" s="24"/>
      <c r="C21" s="19"/>
      <c r="D21" s="8" t="s">
        <v>611</v>
      </c>
      <c r="E21" s="4" t="s">
        <v>676</v>
      </c>
      <c r="F21" s="24"/>
      <c r="G21" s="19"/>
      <c r="H21" s="8"/>
      <c r="I21" s="4"/>
      <c r="J21" s="89">
        <v>13</v>
      </c>
      <c r="K21" s="106" t="s">
        <v>700</v>
      </c>
      <c r="L21" s="8"/>
      <c r="M21" s="4"/>
      <c r="N21" s="24"/>
      <c r="O21" s="19"/>
      <c r="P21" s="8"/>
      <c r="Q21" s="4"/>
      <c r="R21" s="8"/>
      <c r="S21" s="4"/>
      <c r="T21" s="8"/>
      <c r="U21" s="4"/>
      <c r="V21" s="24"/>
      <c r="W21" s="19"/>
      <c r="X21" s="8"/>
      <c r="Y21" s="4"/>
      <c r="Z21" s="8"/>
      <c r="AA21" s="4"/>
      <c r="AB21" s="8"/>
      <c r="AC21" s="4"/>
      <c r="AD21" s="24"/>
      <c r="AE21" s="19"/>
      <c r="AF21" s="8"/>
      <c r="AG21" s="4"/>
    </row>
    <row r="22" spans="1:33" x14ac:dyDescent="0.25">
      <c r="A22" s="42">
        <v>13</v>
      </c>
      <c r="B22" s="24"/>
      <c r="C22" s="19"/>
      <c r="D22" s="8" t="s">
        <v>677</v>
      </c>
      <c r="E22" s="4" t="s">
        <v>678</v>
      </c>
      <c r="F22" s="24"/>
      <c r="G22" s="19"/>
      <c r="H22" s="8"/>
      <c r="I22" s="4"/>
      <c r="J22" s="89">
        <v>14</v>
      </c>
      <c r="K22" s="106" t="s">
        <v>701</v>
      </c>
      <c r="L22" s="8"/>
      <c r="M22" s="4"/>
      <c r="N22" s="24"/>
      <c r="O22" s="19"/>
      <c r="P22" s="8"/>
      <c r="Q22" s="4"/>
      <c r="R22" s="8"/>
      <c r="S22" s="4"/>
      <c r="T22" s="8"/>
      <c r="U22" s="4"/>
      <c r="V22" s="24"/>
      <c r="W22" s="19"/>
      <c r="X22" s="8"/>
      <c r="Y22" s="4"/>
      <c r="Z22" s="8"/>
      <c r="AA22" s="4"/>
      <c r="AB22" s="8"/>
      <c r="AC22" s="4"/>
      <c r="AD22" s="24"/>
      <c r="AE22" s="19"/>
      <c r="AF22" s="8"/>
      <c r="AG22" s="4"/>
    </row>
    <row r="23" spans="1:33" x14ac:dyDescent="0.25">
      <c r="A23" s="42">
        <v>14</v>
      </c>
      <c r="B23" s="24"/>
      <c r="C23" s="19"/>
      <c r="D23" s="8" t="s">
        <v>679</v>
      </c>
      <c r="E23" s="4" t="s">
        <v>680</v>
      </c>
      <c r="F23" s="24"/>
      <c r="G23" s="19"/>
      <c r="H23" s="8"/>
      <c r="I23" s="4"/>
      <c r="J23" s="89">
        <v>15</v>
      </c>
      <c r="K23" s="106" t="s">
        <v>702</v>
      </c>
      <c r="L23" s="8"/>
      <c r="M23" s="4"/>
      <c r="N23" s="24"/>
      <c r="O23" s="19"/>
      <c r="P23" s="8"/>
      <c r="Q23" s="4"/>
      <c r="R23" s="8"/>
      <c r="S23" s="4"/>
      <c r="T23" s="8"/>
      <c r="U23" s="4"/>
      <c r="V23" s="24"/>
      <c r="W23" s="19"/>
      <c r="X23" s="8"/>
      <c r="Y23" s="4"/>
      <c r="Z23" s="8"/>
      <c r="AA23" s="4"/>
      <c r="AB23" s="8"/>
      <c r="AC23" s="4"/>
      <c r="AD23" s="24"/>
      <c r="AE23" s="19"/>
      <c r="AF23" s="8"/>
      <c r="AG23" s="4"/>
    </row>
    <row r="24" spans="1:33" x14ac:dyDescent="0.25">
      <c r="A24" s="42">
        <v>15</v>
      </c>
      <c r="B24" s="24"/>
      <c r="C24" s="19"/>
      <c r="D24" s="8"/>
      <c r="E24" s="4"/>
      <c r="F24" s="24"/>
      <c r="G24" s="19"/>
      <c r="H24" s="8"/>
      <c r="I24" s="4"/>
      <c r="J24" s="89">
        <v>16</v>
      </c>
      <c r="K24" s="106" t="s">
        <v>703</v>
      </c>
      <c r="L24" s="8"/>
      <c r="M24" s="4"/>
      <c r="N24" s="24"/>
      <c r="O24" s="19"/>
      <c r="P24" s="8"/>
      <c r="Q24" s="4"/>
      <c r="R24" s="8"/>
      <c r="S24" s="4"/>
      <c r="T24" s="8"/>
      <c r="U24" s="4"/>
      <c r="V24" s="24"/>
      <c r="W24" s="19"/>
      <c r="X24" s="8"/>
      <c r="Y24" s="4"/>
      <c r="Z24" s="8"/>
      <c r="AA24" s="4"/>
      <c r="AB24" s="8"/>
      <c r="AC24" s="4"/>
      <c r="AD24" s="24"/>
      <c r="AE24" s="19"/>
      <c r="AF24" s="8"/>
      <c r="AG24" s="4"/>
    </row>
    <row r="25" spans="1:33" x14ac:dyDescent="0.25">
      <c r="A25" s="42"/>
      <c r="B25" s="24"/>
      <c r="C25" s="19"/>
      <c r="D25" s="8"/>
      <c r="E25" s="4"/>
      <c r="F25" s="24"/>
      <c r="G25" s="19"/>
      <c r="H25" s="8"/>
      <c r="I25" s="4"/>
      <c r="J25" s="89">
        <v>17</v>
      </c>
      <c r="K25" s="106" t="s">
        <v>704</v>
      </c>
      <c r="L25" s="8"/>
      <c r="M25" s="4"/>
      <c r="N25" s="24"/>
      <c r="O25" s="19"/>
      <c r="P25" s="8"/>
      <c r="Q25" s="4"/>
      <c r="R25" s="8"/>
      <c r="S25" s="4"/>
      <c r="T25" s="8"/>
      <c r="U25" s="4"/>
      <c r="V25" s="24"/>
      <c r="W25" s="19"/>
      <c r="X25" s="8"/>
      <c r="Y25" s="4"/>
      <c r="Z25" s="8"/>
      <c r="AA25" s="4"/>
      <c r="AB25" s="8"/>
      <c r="AC25" s="4"/>
      <c r="AD25" s="24"/>
      <c r="AE25" s="19"/>
      <c r="AF25" s="8"/>
      <c r="AG25" s="4"/>
    </row>
    <row r="26" spans="1:33" x14ac:dyDescent="0.25">
      <c r="A26" s="42"/>
      <c r="B26" s="24"/>
      <c r="C26" s="19"/>
      <c r="D26" s="8"/>
      <c r="E26" s="4"/>
      <c r="F26" s="24"/>
      <c r="G26" s="19"/>
      <c r="H26" s="8"/>
      <c r="I26" s="4"/>
      <c r="J26" s="89">
        <v>20</v>
      </c>
      <c r="K26" s="106" t="s">
        <v>706</v>
      </c>
      <c r="L26" s="8"/>
      <c r="M26" s="4"/>
      <c r="N26" s="24"/>
      <c r="O26" s="19"/>
      <c r="P26" s="8"/>
      <c r="Q26" s="4"/>
      <c r="R26" s="8"/>
      <c r="S26" s="4"/>
      <c r="T26" s="8"/>
      <c r="U26" s="4"/>
      <c r="V26" s="24"/>
      <c r="W26" s="19"/>
      <c r="X26" s="8"/>
      <c r="Y26" s="4"/>
      <c r="Z26" s="8"/>
      <c r="AA26" s="4"/>
      <c r="AB26" s="8"/>
      <c r="AC26" s="4"/>
      <c r="AD26" s="24"/>
      <c r="AE26" s="19"/>
      <c r="AF26" s="8"/>
      <c r="AG26" s="4"/>
    </row>
    <row r="27" spans="1:33" x14ac:dyDescent="0.25">
      <c r="A27" s="42"/>
      <c r="B27" s="24"/>
      <c r="C27" s="19"/>
      <c r="D27" s="8"/>
      <c r="E27" s="4"/>
      <c r="F27" s="24"/>
      <c r="G27" s="19"/>
      <c r="H27" s="8"/>
      <c r="I27" s="4"/>
      <c r="J27" s="89">
        <v>22</v>
      </c>
      <c r="K27" s="106" t="s">
        <v>707</v>
      </c>
      <c r="L27" s="8"/>
      <c r="M27" s="4"/>
      <c r="N27" s="24"/>
      <c r="O27" s="19"/>
      <c r="P27" s="8"/>
      <c r="Q27" s="4"/>
      <c r="R27" s="8"/>
      <c r="S27" s="4"/>
      <c r="T27" s="8"/>
      <c r="U27" s="4"/>
      <c r="V27" s="24"/>
      <c r="W27" s="19"/>
      <c r="X27" s="8"/>
      <c r="Y27" s="4"/>
      <c r="Z27" s="8"/>
      <c r="AA27" s="4"/>
      <c r="AB27" s="8"/>
      <c r="AC27" s="4"/>
      <c r="AD27" s="24"/>
      <c r="AE27" s="19"/>
      <c r="AF27" s="8"/>
      <c r="AG27" s="4"/>
    </row>
    <row r="28" spans="1:33" x14ac:dyDescent="0.25">
      <c r="A28" s="42"/>
      <c r="B28" s="24"/>
      <c r="C28" s="19"/>
      <c r="D28" s="8"/>
      <c r="E28" s="4"/>
      <c r="F28" s="24"/>
      <c r="G28" s="19"/>
      <c r="H28" s="8"/>
      <c r="I28" s="4"/>
      <c r="J28" s="89">
        <v>24</v>
      </c>
      <c r="K28" s="106" t="s">
        <v>708</v>
      </c>
      <c r="L28" s="8"/>
      <c r="M28" s="4"/>
      <c r="N28" s="24"/>
      <c r="O28" s="19"/>
      <c r="P28" s="8"/>
      <c r="Q28" s="4"/>
      <c r="R28" s="8"/>
      <c r="S28" s="4"/>
      <c r="T28" s="8"/>
      <c r="U28" s="4"/>
      <c r="V28" s="24"/>
      <c r="W28" s="19"/>
      <c r="X28" s="8"/>
      <c r="Y28" s="4"/>
      <c r="Z28" s="8"/>
      <c r="AA28" s="4"/>
      <c r="AB28" s="8"/>
      <c r="AC28" s="4"/>
      <c r="AD28" s="24"/>
      <c r="AE28" s="19"/>
      <c r="AF28" s="8"/>
      <c r="AG28" s="4"/>
    </row>
    <row r="29" spans="1:33" x14ac:dyDescent="0.25">
      <c r="A29" s="42"/>
      <c r="B29" s="24"/>
      <c r="C29" s="19"/>
      <c r="D29" s="8"/>
      <c r="E29" s="4"/>
      <c r="F29" s="24"/>
      <c r="G29" s="19"/>
      <c r="H29" s="8"/>
      <c r="I29" s="4"/>
      <c r="J29" s="89">
        <v>28</v>
      </c>
      <c r="K29" s="106" t="s">
        <v>709</v>
      </c>
      <c r="L29" s="8"/>
      <c r="M29" s="4"/>
      <c r="N29" s="24"/>
      <c r="O29" s="19"/>
      <c r="P29" s="8"/>
      <c r="Q29" s="4"/>
      <c r="R29" s="8"/>
      <c r="S29" s="4"/>
      <c r="T29" s="8"/>
      <c r="U29" s="4"/>
      <c r="V29" s="24"/>
      <c r="W29" s="19"/>
      <c r="X29" s="8"/>
      <c r="Y29" s="4"/>
      <c r="Z29" s="8"/>
      <c r="AA29" s="4"/>
      <c r="AB29" s="8"/>
      <c r="AC29" s="4"/>
      <c r="AD29" s="24"/>
      <c r="AE29" s="19"/>
      <c r="AF29" s="8"/>
      <c r="AG29" s="4"/>
    </row>
    <row r="30" spans="1:33" x14ac:dyDescent="0.25">
      <c r="A30" s="42"/>
      <c r="B30" s="24"/>
      <c r="C30" s="19"/>
      <c r="D30" s="8"/>
      <c r="E30" s="4"/>
      <c r="F30" s="24"/>
      <c r="G30" s="19"/>
      <c r="H30" s="8"/>
      <c r="I30" s="4"/>
      <c r="J30" s="89">
        <v>29</v>
      </c>
      <c r="K30" s="106" t="s">
        <v>710</v>
      </c>
      <c r="L30" s="8"/>
      <c r="M30" s="4"/>
      <c r="N30" s="24"/>
      <c r="O30" s="19"/>
      <c r="P30" s="8"/>
      <c r="Q30" s="4"/>
      <c r="R30" s="8"/>
      <c r="S30" s="4"/>
      <c r="T30" s="8"/>
      <c r="U30" s="4"/>
      <c r="V30" s="24"/>
      <c r="W30" s="19"/>
      <c r="X30" s="8"/>
      <c r="Y30" s="4"/>
      <c r="Z30" s="8"/>
      <c r="AA30" s="4"/>
      <c r="AB30" s="8"/>
      <c r="AC30" s="4"/>
      <c r="AD30" s="24"/>
      <c r="AE30" s="19"/>
      <c r="AF30" s="8"/>
      <c r="AG30" s="4"/>
    </row>
    <row r="31" spans="1:33" x14ac:dyDescent="0.25">
      <c r="A31" s="42"/>
      <c r="B31" s="24"/>
      <c r="C31" s="19"/>
      <c r="D31" s="8"/>
      <c r="E31" s="4"/>
      <c r="F31" s="24"/>
      <c r="G31" s="19"/>
      <c r="H31" s="8"/>
      <c r="I31" s="4"/>
      <c r="J31" s="89">
        <v>33</v>
      </c>
      <c r="K31" s="106" t="s">
        <v>711</v>
      </c>
      <c r="L31" s="8"/>
      <c r="M31" s="4"/>
      <c r="N31" s="24"/>
      <c r="O31" s="19"/>
      <c r="P31" s="8"/>
      <c r="Q31" s="4"/>
      <c r="R31" s="8"/>
      <c r="S31" s="4"/>
      <c r="T31" s="8"/>
      <c r="U31" s="4"/>
      <c r="V31" s="24"/>
      <c r="W31" s="19"/>
      <c r="X31" s="8"/>
      <c r="Y31" s="4"/>
      <c r="Z31" s="8"/>
      <c r="AA31" s="4"/>
      <c r="AB31" s="8"/>
      <c r="AC31" s="4"/>
      <c r="AD31" s="24"/>
      <c r="AE31" s="19"/>
      <c r="AF31" s="8"/>
      <c r="AG31" s="4"/>
    </row>
    <row r="32" spans="1:33" x14ac:dyDescent="0.25">
      <c r="A32" s="42"/>
      <c r="B32" s="24"/>
      <c r="C32" s="19"/>
      <c r="D32" s="8"/>
      <c r="E32" s="4"/>
      <c r="F32" s="24"/>
      <c r="G32" s="19"/>
      <c r="H32" s="8"/>
      <c r="I32" s="4"/>
      <c r="J32" s="89">
        <v>34</v>
      </c>
      <c r="K32" s="106" t="s">
        <v>712</v>
      </c>
      <c r="L32" s="8"/>
      <c r="M32" s="4"/>
      <c r="N32" s="24"/>
      <c r="O32" s="19"/>
      <c r="P32" s="8"/>
      <c r="Q32" s="4"/>
      <c r="R32" s="8"/>
      <c r="S32" s="4"/>
      <c r="T32" s="8"/>
      <c r="U32" s="4"/>
      <c r="V32" s="24"/>
      <c r="W32" s="19"/>
      <c r="X32" s="8"/>
      <c r="Y32" s="4"/>
      <c r="Z32" s="8"/>
      <c r="AA32" s="4"/>
      <c r="AB32" s="8"/>
      <c r="AC32" s="4"/>
      <c r="AD32" s="24"/>
      <c r="AE32" s="19"/>
      <c r="AF32" s="8"/>
      <c r="AG32" s="4"/>
    </row>
    <row r="33" spans="1:33" x14ac:dyDescent="0.25">
      <c r="A33" s="42"/>
      <c r="B33" s="24"/>
      <c r="C33" s="19"/>
      <c r="D33" s="8"/>
      <c r="E33" s="4"/>
      <c r="F33" s="24"/>
      <c r="G33" s="19"/>
      <c r="H33" s="8"/>
      <c r="I33" s="4"/>
      <c r="J33" s="89">
        <v>37</v>
      </c>
      <c r="K33" s="106" t="s">
        <v>713</v>
      </c>
      <c r="L33" s="8"/>
      <c r="M33" s="4"/>
      <c r="N33" s="24"/>
      <c r="O33" s="19"/>
      <c r="P33" s="8"/>
      <c r="Q33" s="4"/>
      <c r="R33" s="8"/>
      <c r="S33" s="4"/>
      <c r="T33" s="8"/>
      <c r="U33" s="4"/>
      <c r="V33" s="24"/>
      <c r="W33" s="19"/>
      <c r="X33" s="8"/>
      <c r="Y33" s="4"/>
      <c r="Z33" s="8"/>
      <c r="AA33" s="4"/>
      <c r="AB33" s="8"/>
      <c r="AC33" s="4"/>
      <c r="AD33" s="24"/>
      <c r="AE33" s="19"/>
      <c r="AF33" s="8"/>
      <c r="AG33" s="4"/>
    </row>
    <row r="34" spans="1:33" x14ac:dyDescent="0.25">
      <c r="A34" s="42"/>
      <c r="B34" s="24"/>
      <c r="C34" s="19"/>
      <c r="D34" s="8"/>
      <c r="E34" s="4"/>
      <c r="F34" s="24"/>
      <c r="G34" s="19"/>
      <c r="H34" s="8"/>
      <c r="I34" s="4"/>
      <c r="J34" s="89">
        <v>42</v>
      </c>
      <c r="K34" s="106" t="s">
        <v>714</v>
      </c>
      <c r="L34" s="8"/>
      <c r="M34" s="4"/>
      <c r="N34" s="24"/>
      <c r="O34" s="19"/>
      <c r="P34" s="8"/>
      <c r="Q34" s="4"/>
      <c r="R34" s="8"/>
      <c r="S34" s="4"/>
      <c r="T34" s="8"/>
      <c r="U34" s="4"/>
      <c r="V34" s="24"/>
      <c r="W34" s="19"/>
      <c r="X34" s="8"/>
      <c r="Y34" s="4"/>
      <c r="Z34" s="8"/>
      <c r="AA34" s="4"/>
      <c r="AB34" s="8"/>
      <c r="AC34" s="4"/>
      <c r="AD34" s="24"/>
      <c r="AE34" s="19"/>
      <c r="AF34" s="8"/>
      <c r="AG34" s="4"/>
    </row>
    <row r="35" spans="1:33" x14ac:dyDescent="0.25">
      <c r="A35" s="42"/>
      <c r="B35" s="24"/>
      <c r="C35" s="19"/>
      <c r="D35" s="8"/>
      <c r="E35" s="4"/>
      <c r="F35" s="24"/>
      <c r="G35" s="19"/>
      <c r="H35" s="8"/>
      <c r="I35" s="4"/>
      <c r="J35" s="89">
        <v>43</v>
      </c>
      <c r="K35" s="106" t="s">
        <v>715</v>
      </c>
      <c r="L35" s="8"/>
      <c r="M35" s="4"/>
      <c r="N35" s="24"/>
      <c r="O35" s="19"/>
      <c r="P35" s="8"/>
      <c r="Q35" s="4"/>
      <c r="R35" s="8"/>
      <c r="S35" s="4"/>
      <c r="T35" s="8"/>
      <c r="U35" s="4"/>
      <c r="V35" s="24"/>
      <c r="W35" s="19"/>
      <c r="X35" s="8"/>
      <c r="Y35" s="4"/>
      <c r="Z35" s="8"/>
      <c r="AA35" s="4"/>
      <c r="AB35" s="8"/>
      <c r="AC35" s="4"/>
      <c r="AD35" s="24"/>
      <c r="AE35" s="19"/>
      <c r="AF35" s="8"/>
      <c r="AG35" s="4"/>
    </row>
    <row r="36" spans="1:33" x14ac:dyDescent="0.25">
      <c r="A36" s="42"/>
      <c r="B36" s="24"/>
      <c r="C36" s="19"/>
      <c r="D36" s="8"/>
      <c r="E36" s="4"/>
      <c r="F36" s="24"/>
      <c r="G36" s="19"/>
      <c r="H36" s="8"/>
      <c r="I36" s="4"/>
      <c r="J36" s="89">
        <v>47</v>
      </c>
      <c r="K36" s="106" t="s">
        <v>716</v>
      </c>
      <c r="L36" s="8"/>
      <c r="M36" s="4"/>
      <c r="N36" s="24"/>
      <c r="O36" s="19"/>
      <c r="P36" s="8"/>
      <c r="Q36" s="4"/>
      <c r="R36" s="8"/>
      <c r="S36" s="4"/>
      <c r="T36" s="8"/>
      <c r="U36" s="4"/>
      <c r="V36" s="24"/>
      <c r="W36" s="19"/>
      <c r="X36" s="8"/>
      <c r="Y36" s="4"/>
      <c r="Z36" s="8"/>
      <c r="AA36" s="4"/>
      <c r="AB36" s="8"/>
      <c r="AC36" s="4"/>
      <c r="AD36" s="24"/>
      <c r="AE36" s="19"/>
      <c r="AF36" s="8"/>
      <c r="AG36" s="4"/>
    </row>
    <row r="37" spans="1:33" x14ac:dyDescent="0.25">
      <c r="A37" s="42"/>
      <c r="B37" s="24"/>
      <c r="C37" s="19"/>
      <c r="D37" s="8"/>
      <c r="E37" s="4"/>
      <c r="F37" s="24"/>
      <c r="G37" s="19"/>
      <c r="H37" s="8"/>
      <c r="I37" s="4"/>
      <c r="J37" s="89">
        <v>48</v>
      </c>
      <c r="K37" s="106" t="s">
        <v>717</v>
      </c>
      <c r="L37" s="8"/>
      <c r="M37" s="4"/>
      <c r="N37" s="24"/>
      <c r="O37" s="19"/>
      <c r="P37" s="8"/>
      <c r="Q37" s="4"/>
      <c r="R37" s="8"/>
      <c r="S37" s="4"/>
      <c r="T37" s="8"/>
      <c r="U37" s="4"/>
      <c r="V37" s="24"/>
      <c r="W37" s="19"/>
      <c r="X37" s="8"/>
      <c r="Y37" s="4"/>
      <c r="Z37" s="8"/>
      <c r="AA37" s="4"/>
      <c r="AB37" s="8"/>
      <c r="AC37" s="4"/>
      <c r="AD37" s="24"/>
      <c r="AE37" s="19"/>
      <c r="AF37" s="8"/>
      <c r="AG37" s="4"/>
    </row>
    <row r="38" spans="1:33" x14ac:dyDescent="0.25">
      <c r="A38" s="42"/>
      <c r="B38" s="24"/>
      <c r="C38" s="19"/>
      <c r="D38" s="8"/>
      <c r="E38" s="4"/>
      <c r="F38" s="24"/>
      <c r="G38" s="19"/>
      <c r="H38" s="8"/>
      <c r="I38" s="4"/>
      <c r="J38" s="89">
        <v>50</v>
      </c>
      <c r="K38" s="106" t="s">
        <v>718</v>
      </c>
      <c r="L38" s="8"/>
      <c r="M38" s="4"/>
      <c r="N38" s="24"/>
      <c r="O38" s="19"/>
      <c r="P38" s="8"/>
      <c r="Q38" s="4"/>
      <c r="R38" s="8"/>
      <c r="S38" s="4"/>
      <c r="T38" s="8"/>
      <c r="U38" s="4"/>
      <c r="V38" s="24"/>
      <c r="W38" s="19"/>
      <c r="X38" s="8"/>
      <c r="Y38" s="4"/>
      <c r="Z38" s="8"/>
      <c r="AA38" s="4"/>
      <c r="AB38" s="8"/>
      <c r="AC38" s="4"/>
      <c r="AD38" s="24"/>
      <c r="AE38" s="19"/>
      <c r="AF38" s="8"/>
      <c r="AG38" s="4"/>
    </row>
    <row r="39" spans="1:33" x14ac:dyDescent="0.25">
      <c r="A39" s="42"/>
      <c r="B39" s="24"/>
      <c r="C39" s="19"/>
      <c r="D39" s="8"/>
      <c r="E39" s="4"/>
      <c r="F39" s="24"/>
      <c r="G39" s="19"/>
      <c r="H39" s="8"/>
      <c r="I39" s="4"/>
      <c r="J39" s="89">
        <v>51</v>
      </c>
      <c r="K39" s="106" t="s">
        <v>719</v>
      </c>
      <c r="L39" s="8"/>
      <c r="M39" s="4"/>
      <c r="N39" s="24"/>
      <c r="O39" s="19"/>
      <c r="P39" s="8"/>
      <c r="Q39" s="4"/>
      <c r="R39" s="8"/>
      <c r="S39" s="4"/>
      <c r="T39" s="8"/>
      <c r="U39" s="4"/>
      <c r="V39" s="24"/>
      <c r="W39" s="19"/>
      <c r="X39" s="8"/>
      <c r="Y39" s="4"/>
      <c r="Z39" s="8"/>
      <c r="AA39" s="4"/>
      <c r="AB39" s="8"/>
      <c r="AC39" s="4"/>
      <c r="AD39" s="24"/>
      <c r="AE39" s="19"/>
      <c r="AF39" s="8"/>
      <c r="AG39" s="4"/>
    </row>
    <row r="40" spans="1:33" x14ac:dyDescent="0.25">
      <c r="A40" s="42"/>
      <c r="B40" s="24"/>
      <c r="C40" s="19"/>
      <c r="D40" s="8"/>
      <c r="E40" s="4"/>
      <c r="F40" s="24"/>
      <c r="G40" s="19"/>
      <c r="H40" s="8"/>
      <c r="I40" s="4"/>
      <c r="J40" s="89">
        <v>211</v>
      </c>
      <c r="K40" s="106" t="s">
        <v>720</v>
      </c>
      <c r="L40" s="8"/>
      <c r="M40" s="4"/>
      <c r="N40" s="24"/>
      <c r="O40" s="19"/>
      <c r="P40" s="8"/>
      <c r="Q40" s="4"/>
      <c r="R40" s="8"/>
      <c r="S40" s="4"/>
      <c r="T40" s="8"/>
      <c r="U40" s="4"/>
      <c r="V40" s="24"/>
      <c r="W40" s="19"/>
      <c r="X40" s="8"/>
      <c r="Y40" s="4"/>
      <c r="Z40" s="8"/>
      <c r="AA40" s="4"/>
      <c r="AB40" s="8"/>
      <c r="AC40" s="4"/>
      <c r="AD40" s="24"/>
      <c r="AE40" s="19"/>
      <c r="AF40" s="8"/>
      <c r="AG40" s="4"/>
    </row>
  </sheetData>
  <mergeCells count="116">
    <mergeCell ref="AF7:AG7"/>
    <mergeCell ref="B7:C7"/>
    <mergeCell ref="D7:E7"/>
    <mergeCell ref="F7:G7"/>
    <mergeCell ref="H7:I7"/>
    <mergeCell ref="AF8:AG8"/>
    <mergeCell ref="V8:W8"/>
    <mergeCell ref="X8:Y8"/>
    <mergeCell ref="Z8:AA8"/>
    <mergeCell ref="AB8:AC8"/>
    <mergeCell ref="AD8:AE8"/>
    <mergeCell ref="L8:M8"/>
    <mergeCell ref="N8:O8"/>
    <mergeCell ref="P8:Q8"/>
    <mergeCell ref="R8:S8"/>
    <mergeCell ref="T8:U8"/>
    <mergeCell ref="J7:K7"/>
    <mergeCell ref="B8:C8"/>
    <mergeCell ref="D8:E8"/>
    <mergeCell ref="F8:G8"/>
    <mergeCell ref="H8:I8"/>
    <mergeCell ref="J8:K8"/>
    <mergeCell ref="Z7:AA7"/>
    <mergeCell ref="AB7:AC7"/>
    <mergeCell ref="AD7:AE7"/>
    <mergeCell ref="P6:Q6"/>
    <mergeCell ref="V6:W6"/>
    <mergeCell ref="AB6:AC6"/>
    <mergeCell ref="L7:M7"/>
    <mergeCell ref="N7:O7"/>
    <mergeCell ref="P7:Q7"/>
    <mergeCell ref="R7:S7"/>
    <mergeCell ref="T7:U7"/>
    <mergeCell ref="V7:W7"/>
    <mergeCell ref="X7:Y7"/>
    <mergeCell ref="B1:I1"/>
    <mergeCell ref="J1:Q1"/>
    <mergeCell ref="R1:Y1"/>
    <mergeCell ref="Z1:AG1"/>
    <mergeCell ref="B2:C2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AB2:AC2"/>
    <mergeCell ref="AD2:AE2"/>
    <mergeCell ref="AF2:AG2"/>
    <mergeCell ref="AD3:AE3"/>
    <mergeCell ref="AF3:AG3"/>
    <mergeCell ref="B4:C4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B4:AC4"/>
    <mergeCell ref="AD4:AE4"/>
    <mergeCell ref="AF4:AG4"/>
    <mergeCell ref="B3:C3"/>
    <mergeCell ref="D3:E3"/>
    <mergeCell ref="F3:G3"/>
    <mergeCell ref="H3:I3"/>
    <mergeCell ref="J3:K3"/>
    <mergeCell ref="L3:M3"/>
    <mergeCell ref="T3:U3"/>
    <mergeCell ref="V3:W3"/>
    <mergeCell ref="X3:Y3"/>
    <mergeCell ref="Z3:AA3"/>
    <mergeCell ref="AB3:AC3"/>
    <mergeCell ref="N3:O3"/>
    <mergeCell ref="P3:Q3"/>
    <mergeCell ref="R3:S3"/>
    <mergeCell ref="T5:U5"/>
    <mergeCell ref="V5:W5"/>
    <mergeCell ref="X5:Y5"/>
    <mergeCell ref="Z5:AA5"/>
    <mergeCell ref="AB5:AC5"/>
    <mergeCell ref="AD5:AE5"/>
    <mergeCell ref="AF5:AG5"/>
    <mergeCell ref="B6:C6"/>
    <mergeCell ref="F6:G6"/>
    <mergeCell ref="H6:I6"/>
    <mergeCell ref="L6:M6"/>
    <mergeCell ref="N6:O6"/>
    <mergeCell ref="R6:S6"/>
    <mergeCell ref="T6:U6"/>
    <mergeCell ref="X6:Y6"/>
    <mergeCell ref="Z6:AA6"/>
    <mergeCell ref="AD6:AE6"/>
    <mergeCell ref="AF6:AG6"/>
    <mergeCell ref="D6:E6"/>
    <mergeCell ref="B5:C5"/>
    <mergeCell ref="D5:E5"/>
    <mergeCell ref="F5:G5"/>
    <mergeCell ref="H5:I5"/>
    <mergeCell ref="J5:K5"/>
    <mergeCell ref="L5:M5"/>
    <mergeCell ref="N5:O5"/>
    <mergeCell ref="P5:Q5"/>
    <mergeCell ref="R5:S5"/>
    <mergeCell ref="J6:K6"/>
  </mergeCells>
  <conditionalFormatting sqref="C41:C60 G15:G23 I10:I23 AE10:AE23 AG10:AG23 AG41:AG60 AE41:AE60 AC41:AC60 AA41:AA60 W41:Y60 U41:U60 S41:S60 Q41:Q60 O41:O60 M41:M60 K41:K60 I41:I60 G41:G60 M10:M23 O10:O23 Q10:Q23 S10:S23 U10:U23 AA10:AA23 AC10:AC23 W10:Y23">
    <cfRule type="duplicateValues" dxfId="78" priority="8"/>
  </conditionalFormatting>
  <conditionalFormatting sqref="C10:C23 E10:E23">
    <cfRule type="duplicateValues" dxfId="77" priority="7"/>
  </conditionalFormatting>
  <conditionalFormatting sqref="G10:G14">
    <cfRule type="duplicateValues" dxfId="76" priority="6"/>
  </conditionalFormatting>
  <conditionalFormatting sqref="G24:G40 I24:I40 M24:M40 O24:O40 Q24:Q40 S24:S40 U24:U40 W24:Y40 AA24:AA40 AC24:AC40 AE24:AE40 AG24:AG40">
    <cfRule type="duplicateValues" dxfId="75" priority="5"/>
  </conditionalFormatting>
  <conditionalFormatting sqref="C24:C40 E24:E40">
    <cfRule type="duplicateValues" dxfId="74" priority="4"/>
  </conditionalFormatting>
  <conditionalFormatting sqref="K10:K23">
    <cfRule type="duplicateValues" dxfId="73" priority="3"/>
  </conditionalFormatting>
  <conditionalFormatting sqref="K24:K40">
    <cfRule type="duplicateValues" dxfId="72" priority="2"/>
  </conditionalFormatting>
  <conditionalFormatting sqref="B10:AG194">
    <cfRule type="duplicateValues" dxfId="71" priority="1"/>
  </conditionalFormatting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AG25"/>
  <sheetViews>
    <sheetView workbookViewId="0">
      <pane ySplit="9" topLeftCell="A10" activePane="bottomLeft" state="frozen"/>
      <selection pane="bottomLeft" activeCell="AE20" sqref="AE16:AF20"/>
    </sheetView>
  </sheetViews>
  <sheetFormatPr defaultRowHeight="15" x14ac:dyDescent="0.25"/>
  <cols>
    <col min="1" max="1" width="10.7109375" bestFit="1" customWidth="1"/>
    <col min="2" max="2" width="2.5703125" bestFit="1" customWidth="1"/>
    <col min="3" max="3" width="6.5703125" bestFit="1" customWidth="1"/>
    <col min="4" max="4" width="2.5703125" bestFit="1" customWidth="1"/>
    <col min="5" max="5" width="6.5703125" bestFit="1" customWidth="1"/>
    <col min="6" max="6" width="2.5703125" bestFit="1" customWidth="1"/>
    <col min="7" max="7" width="6.5703125" bestFit="1" customWidth="1"/>
    <col min="8" max="8" width="2.5703125" bestFit="1" customWidth="1"/>
    <col min="9" max="9" width="6.5703125" bestFit="1" customWidth="1"/>
    <col min="10" max="10" width="4.28515625" bestFit="1" customWidth="1"/>
    <col min="11" max="11" width="16.28515625" bestFit="1" customWidth="1"/>
    <col min="12" max="12" width="2.7109375" bestFit="1" customWidth="1"/>
    <col min="13" max="13" width="8" bestFit="1" customWidth="1"/>
    <col min="14" max="14" width="2.5703125" bestFit="1" customWidth="1"/>
    <col min="15" max="15" width="12" bestFit="1" customWidth="1"/>
    <col min="16" max="16" width="2.5703125" bestFit="1" customWidth="1"/>
    <col min="17" max="17" width="19.85546875" bestFit="1" customWidth="1"/>
    <col min="18" max="18" width="2.5703125" bestFit="1" customWidth="1"/>
    <col min="19" max="19" width="6.5703125" bestFit="1" customWidth="1"/>
    <col min="20" max="20" width="2.5703125" bestFit="1" customWidth="1"/>
    <col min="21" max="21" width="6.5703125" bestFit="1" customWidth="1"/>
    <col min="22" max="22" width="2.5703125" bestFit="1" customWidth="1"/>
    <col min="23" max="23" width="6.5703125" bestFit="1" customWidth="1"/>
    <col min="24" max="24" width="2.5703125" bestFit="1" customWidth="1"/>
    <col min="25" max="25" width="6.5703125" bestFit="1" customWidth="1"/>
    <col min="26" max="26" width="2.5703125" bestFit="1" customWidth="1"/>
    <col min="27" max="27" width="8" bestFit="1" customWidth="1"/>
    <col min="28" max="28" width="3.7109375" bestFit="1" customWidth="1"/>
    <col min="29" max="29" width="15" bestFit="1" customWidth="1"/>
    <col min="30" max="30" width="2.5703125" bestFit="1" customWidth="1"/>
    <col min="31" max="31" width="7.28515625" bestFit="1" customWidth="1"/>
    <col min="32" max="32" width="4.28515625" bestFit="1" customWidth="1"/>
    <col min="33" max="33" width="18.5703125" bestFit="1" customWidth="1"/>
  </cols>
  <sheetData>
    <row r="1" spans="1:33" ht="15.75" thickBot="1" x14ac:dyDescent="0.3">
      <c r="A1" s="51" t="s">
        <v>242</v>
      </c>
      <c r="B1" s="448" t="s">
        <v>1370</v>
      </c>
      <c r="C1" s="385"/>
      <c r="D1" s="385"/>
      <c r="E1" s="385"/>
      <c r="F1" s="385"/>
      <c r="G1" s="385"/>
      <c r="H1" s="385"/>
      <c r="I1" s="449"/>
      <c r="J1" s="446" t="s">
        <v>1371</v>
      </c>
      <c r="K1" s="388"/>
      <c r="L1" s="388"/>
      <c r="M1" s="388"/>
      <c r="N1" s="388"/>
      <c r="O1" s="388"/>
      <c r="P1" s="388"/>
      <c r="Q1" s="450"/>
      <c r="R1" s="448" t="s">
        <v>1372</v>
      </c>
      <c r="S1" s="385"/>
      <c r="T1" s="385"/>
      <c r="U1" s="385"/>
      <c r="V1" s="385"/>
      <c r="W1" s="385"/>
      <c r="X1" s="385"/>
      <c r="Y1" s="449"/>
      <c r="Z1" s="446" t="s">
        <v>1373</v>
      </c>
      <c r="AA1" s="388"/>
      <c r="AB1" s="388"/>
      <c r="AC1" s="388"/>
      <c r="AD1" s="388"/>
      <c r="AE1" s="388"/>
      <c r="AF1" s="388"/>
      <c r="AG1" s="447"/>
    </row>
    <row r="2" spans="1:33" ht="15.75" thickBot="1" x14ac:dyDescent="0.3">
      <c r="A2" s="50" t="s">
        <v>276</v>
      </c>
      <c r="B2" s="393" t="s">
        <v>267</v>
      </c>
      <c r="C2" s="394"/>
      <c r="D2" s="390" t="s">
        <v>268</v>
      </c>
      <c r="E2" s="391"/>
      <c r="F2" s="391" t="s">
        <v>269</v>
      </c>
      <c r="G2" s="391"/>
      <c r="H2" s="391" t="s">
        <v>270</v>
      </c>
      <c r="I2" s="409"/>
      <c r="J2" s="390" t="s">
        <v>267</v>
      </c>
      <c r="K2" s="391"/>
      <c r="L2" s="391" t="s">
        <v>268</v>
      </c>
      <c r="M2" s="391"/>
      <c r="N2" s="391" t="s">
        <v>269</v>
      </c>
      <c r="O2" s="391"/>
      <c r="P2" s="391" t="s">
        <v>270</v>
      </c>
      <c r="Q2" s="392"/>
      <c r="R2" s="414" t="s">
        <v>267</v>
      </c>
      <c r="S2" s="391"/>
      <c r="T2" s="391" t="s">
        <v>268</v>
      </c>
      <c r="U2" s="391"/>
      <c r="V2" s="391" t="s">
        <v>269</v>
      </c>
      <c r="W2" s="391"/>
      <c r="X2" s="391" t="s">
        <v>270</v>
      </c>
      <c r="Y2" s="409"/>
      <c r="Z2" s="390" t="s">
        <v>267</v>
      </c>
      <c r="AA2" s="391"/>
      <c r="AB2" s="435" t="s">
        <v>268</v>
      </c>
      <c r="AC2" s="436"/>
      <c r="AD2" s="391" t="s">
        <v>269</v>
      </c>
      <c r="AE2" s="391"/>
      <c r="AF2" s="391" t="s">
        <v>270</v>
      </c>
      <c r="AG2" s="409"/>
    </row>
    <row r="3" spans="1:33" x14ac:dyDescent="0.25">
      <c r="A3" s="42" t="s">
        <v>273</v>
      </c>
      <c r="B3" s="399"/>
      <c r="C3" s="400"/>
      <c r="D3" s="399"/>
      <c r="E3" s="400"/>
      <c r="F3" s="399" t="s">
        <v>339</v>
      </c>
      <c r="G3" s="400"/>
      <c r="H3" s="399" t="s">
        <v>339</v>
      </c>
      <c r="I3" s="400"/>
      <c r="J3" s="399" t="s">
        <v>1379</v>
      </c>
      <c r="K3" s="400"/>
      <c r="L3" s="399" t="s">
        <v>1379</v>
      </c>
      <c r="M3" s="400"/>
      <c r="N3" s="399" t="s">
        <v>1379</v>
      </c>
      <c r="O3" s="400"/>
      <c r="P3" s="399" t="s">
        <v>1895</v>
      </c>
      <c r="Q3" s="400"/>
      <c r="R3" s="399"/>
      <c r="S3" s="400"/>
      <c r="T3" s="399"/>
      <c r="U3" s="400"/>
      <c r="V3" s="399"/>
      <c r="W3" s="400"/>
      <c r="X3" s="399"/>
      <c r="Y3" s="400"/>
      <c r="Z3" s="399" t="s">
        <v>339</v>
      </c>
      <c r="AA3" s="400"/>
      <c r="AB3" s="399" t="s">
        <v>339</v>
      </c>
      <c r="AC3" s="400"/>
      <c r="AD3" s="399" t="s">
        <v>339</v>
      </c>
      <c r="AE3" s="400"/>
      <c r="AF3" s="399" t="s">
        <v>339</v>
      </c>
      <c r="AG3" s="400"/>
    </row>
    <row r="4" spans="1:33" x14ac:dyDescent="0.25">
      <c r="A4" s="42" t="s">
        <v>277</v>
      </c>
      <c r="B4" s="401" t="s">
        <v>363</v>
      </c>
      <c r="C4" s="402"/>
      <c r="D4" s="401" t="s">
        <v>364</v>
      </c>
      <c r="E4" s="402"/>
      <c r="F4" s="401" t="s">
        <v>365</v>
      </c>
      <c r="G4" s="402"/>
      <c r="H4" s="401" t="s">
        <v>366</v>
      </c>
      <c r="I4" s="402"/>
      <c r="J4" s="401" t="s">
        <v>367</v>
      </c>
      <c r="K4" s="402"/>
      <c r="L4" s="401" t="s">
        <v>368</v>
      </c>
      <c r="M4" s="402"/>
      <c r="N4" s="401" t="s">
        <v>369</v>
      </c>
      <c r="O4" s="402"/>
      <c r="P4" s="401" t="s">
        <v>370</v>
      </c>
      <c r="Q4" s="402"/>
      <c r="R4" s="401" t="s">
        <v>371</v>
      </c>
      <c r="S4" s="402"/>
      <c r="T4" s="401" t="s">
        <v>372</v>
      </c>
      <c r="U4" s="402"/>
      <c r="V4" s="401" t="s">
        <v>373</v>
      </c>
      <c r="W4" s="402"/>
      <c r="X4" s="401" t="s">
        <v>374</v>
      </c>
      <c r="Y4" s="402"/>
      <c r="Z4" s="401" t="s">
        <v>375</v>
      </c>
      <c r="AA4" s="402"/>
      <c r="AB4" s="401" t="s">
        <v>376</v>
      </c>
      <c r="AC4" s="402"/>
      <c r="AD4" s="401" t="s">
        <v>377</v>
      </c>
      <c r="AE4" s="402"/>
      <c r="AF4" s="401" t="s">
        <v>378</v>
      </c>
      <c r="AG4" s="402"/>
    </row>
    <row r="5" spans="1:33" ht="15.75" thickBot="1" x14ac:dyDescent="0.3">
      <c r="A5" s="42" t="s">
        <v>274</v>
      </c>
      <c r="B5" s="401" t="s">
        <v>379</v>
      </c>
      <c r="C5" s="402"/>
      <c r="D5" s="401" t="s">
        <v>380</v>
      </c>
      <c r="E5" s="402"/>
      <c r="F5" s="401" t="s">
        <v>381</v>
      </c>
      <c r="G5" s="402"/>
      <c r="H5" s="401" t="s">
        <v>382</v>
      </c>
      <c r="I5" s="402"/>
      <c r="J5" s="401" t="s">
        <v>383</v>
      </c>
      <c r="K5" s="402"/>
      <c r="L5" s="401" t="s">
        <v>384</v>
      </c>
      <c r="M5" s="402"/>
      <c r="N5" s="401" t="s">
        <v>385</v>
      </c>
      <c r="O5" s="402"/>
      <c r="P5" s="401" t="s">
        <v>386</v>
      </c>
      <c r="Q5" s="402"/>
      <c r="R5" s="401" t="s">
        <v>196</v>
      </c>
      <c r="S5" s="402"/>
      <c r="T5" s="401" t="s">
        <v>197</v>
      </c>
      <c r="U5" s="402"/>
      <c r="V5" s="401" t="s">
        <v>198</v>
      </c>
      <c r="W5" s="402"/>
      <c r="X5" s="401" t="s">
        <v>199</v>
      </c>
      <c r="Y5" s="402"/>
      <c r="Z5" s="401" t="s">
        <v>204</v>
      </c>
      <c r="AA5" s="402"/>
      <c r="AB5" s="401" t="s">
        <v>205</v>
      </c>
      <c r="AC5" s="402"/>
      <c r="AD5" s="401" t="s">
        <v>206</v>
      </c>
      <c r="AE5" s="402"/>
      <c r="AF5" s="401" t="s">
        <v>207</v>
      </c>
      <c r="AG5" s="402"/>
    </row>
    <row r="6" spans="1:33" ht="15.75" thickBot="1" x14ac:dyDescent="0.3">
      <c r="A6" s="42" t="s">
        <v>295</v>
      </c>
      <c r="B6" s="451"/>
      <c r="C6" s="452"/>
      <c r="D6" s="451"/>
      <c r="E6" s="452"/>
      <c r="F6" s="431"/>
      <c r="G6" s="432"/>
      <c r="H6" s="451"/>
      <c r="I6" s="452"/>
      <c r="J6" s="397">
        <v>3925</v>
      </c>
      <c r="K6" s="398"/>
      <c r="L6" s="395">
        <v>3990</v>
      </c>
      <c r="M6" s="396"/>
      <c r="N6" s="397">
        <v>3978</v>
      </c>
      <c r="O6" s="398"/>
      <c r="P6" s="395">
        <v>4085</v>
      </c>
      <c r="Q6" s="396"/>
      <c r="R6" s="395"/>
      <c r="S6" s="396"/>
      <c r="T6" s="395"/>
      <c r="U6" s="396"/>
      <c r="V6" s="397"/>
      <c r="W6" s="398"/>
      <c r="X6" s="395"/>
      <c r="Y6" s="396"/>
      <c r="Z6" s="431">
        <v>3898</v>
      </c>
      <c r="AA6" s="432"/>
      <c r="AB6" s="431">
        <v>4040</v>
      </c>
      <c r="AC6" s="432"/>
      <c r="AD6" s="442">
        <v>3898</v>
      </c>
      <c r="AE6" s="442"/>
      <c r="AF6" s="431">
        <v>4005</v>
      </c>
      <c r="AG6" s="432"/>
    </row>
    <row r="7" spans="1:33" ht="15.75" thickBot="1" x14ac:dyDescent="0.3">
      <c r="A7" s="43" t="s">
        <v>296</v>
      </c>
      <c r="B7" s="451"/>
      <c r="C7" s="452"/>
      <c r="D7" s="451"/>
      <c r="E7" s="452"/>
      <c r="F7" s="346"/>
      <c r="G7" s="347"/>
      <c r="H7" s="451"/>
      <c r="I7" s="452"/>
      <c r="J7" s="397">
        <v>27500</v>
      </c>
      <c r="K7" s="398"/>
      <c r="L7" s="395">
        <v>6250</v>
      </c>
      <c r="M7" s="396"/>
      <c r="N7" s="397">
        <v>6250</v>
      </c>
      <c r="O7" s="398"/>
      <c r="P7" s="395">
        <v>30000</v>
      </c>
      <c r="Q7" s="396"/>
      <c r="R7" s="395"/>
      <c r="S7" s="396"/>
      <c r="T7" s="395"/>
      <c r="U7" s="396"/>
      <c r="V7" s="397"/>
      <c r="W7" s="398"/>
      <c r="X7" s="395"/>
      <c r="Y7" s="396"/>
      <c r="Z7" s="346">
        <v>6800</v>
      </c>
      <c r="AA7" s="347"/>
      <c r="AB7" s="346">
        <v>7500</v>
      </c>
      <c r="AC7" s="347"/>
      <c r="AD7" s="361">
        <v>6800</v>
      </c>
      <c r="AE7" s="361"/>
      <c r="AF7" s="346">
        <v>26666</v>
      </c>
      <c r="AG7" s="347"/>
    </row>
    <row r="8" spans="1:33" ht="15.75" thickBot="1" x14ac:dyDescent="0.3">
      <c r="A8" s="90" t="s">
        <v>549</v>
      </c>
      <c r="B8" s="451"/>
      <c r="C8" s="452"/>
      <c r="D8" s="451"/>
      <c r="E8" s="452"/>
      <c r="F8" s="346"/>
      <c r="G8" s="347"/>
      <c r="H8" s="451"/>
      <c r="I8" s="452"/>
      <c r="J8" s="331" t="s">
        <v>1385</v>
      </c>
      <c r="K8" s="453"/>
      <c r="L8" s="346" t="s">
        <v>1385</v>
      </c>
      <c r="M8" s="347"/>
      <c r="N8" s="346" t="s">
        <v>1385</v>
      </c>
      <c r="O8" s="347"/>
      <c r="P8" s="346" t="s">
        <v>1385</v>
      </c>
      <c r="Q8" s="347"/>
      <c r="R8" s="451"/>
      <c r="S8" s="452"/>
      <c r="T8" s="346"/>
      <c r="U8" s="347"/>
      <c r="V8" s="346"/>
      <c r="W8" s="347"/>
      <c r="X8" s="346"/>
      <c r="Y8" s="347"/>
      <c r="Z8" s="346" t="s">
        <v>550</v>
      </c>
      <c r="AA8" s="347"/>
      <c r="AB8" s="346" t="s">
        <v>550</v>
      </c>
      <c r="AC8" s="347"/>
      <c r="AD8" s="346" t="s">
        <v>550</v>
      </c>
      <c r="AE8" s="347"/>
      <c r="AF8" s="346" t="s">
        <v>1678</v>
      </c>
      <c r="AG8" s="347"/>
    </row>
    <row r="9" spans="1:33" ht="15.75" thickBot="1" x14ac:dyDescent="0.3">
      <c r="A9" s="49" t="s">
        <v>275</v>
      </c>
      <c r="B9" s="45" t="s">
        <v>272</v>
      </c>
      <c r="C9" s="46" t="s">
        <v>271</v>
      </c>
      <c r="D9" s="47" t="s">
        <v>272</v>
      </c>
      <c r="E9" s="48" t="s">
        <v>271</v>
      </c>
      <c r="F9" s="45" t="s">
        <v>272</v>
      </c>
      <c r="G9" s="46" t="s">
        <v>271</v>
      </c>
      <c r="H9" s="200" t="s">
        <v>272</v>
      </c>
      <c r="I9" s="201" t="s">
        <v>271</v>
      </c>
      <c r="J9" s="45" t="s">
        <v>272</v>
      </c>
      <c r="K9" s="46" t="s">
        <v>271</v>
      </c>
      <c r="L9" s="47" t="s">
        <v>272</v>
      </c>
      <c r="M9" s="46" t="s">
        <v>271</v>
      </c>
      <c r="N9" s="47" t="s">
        <v>272</v>
      </c>
      <c r="O9" s="48" t="s">
        <v>271</v>
      </c>
      <c r="P9" s="45" t="s">
        <v>272</v>
      </c>
      <c r="Q9" s="46" t="s">
        <v>271</v>
      </c>
      <c r="R9" s="45" t="s">
        <v>272</v>
      </c>
      <c r="S9" s="46" t="s">
        <v>271</v>
      </c>
      <c r="T9" s="45" t="s">
        <v>272</v>
      </c>
      <c r="U9" s="46" t="s">
        <v>271</v>
      </c>
      <c r="V9" s="47" t="s">
        <v>272</v>
      </c>
      <c r="W9" s="48" t="s">
        <v>271</v>
      </c>
      <c r="X9" s="45" t="s">
        <v>272</v>
      </c>
      <c r="Y9" s="46" t="s">
        <v>271</v>
      </c>
      <c r="Z9" s="45" t="s">
        <v>272</v>
      </c>
      <c r="AA9" s="46" t="s">
        <v>271</v>
      </c>
      <c r="AB9" s="45" t="s">
        <v>272</v>
      </c>
      <c r="AC9" s="46" t="s">
        <v>271</v>
      </c>
      <c r="AD9" s="47" t="s">
        <v>272</v>
      </c>
      <c r="AE9" s="48" t="s">
        <v>271</v>
      </c>
      <c r="AF9" s="45" t="s">
        <v>272</v>
      </c>
      <c r="AG9" s="46" t="s">
        <v>271</v>
      </c>
    </row>
    <row r="10" spans="1:33" x14ac:dyDescent="0.25">
      <c r="A10" s="191">
        <v>1</v>
      </c>
      <c r="B10" s="7"/>
      <c r="C10" s="5"/>
      <c r="D10" s="202"/>
      <c r="E10" s="21"/>
      <c r="F10" s="7"/>
      <c r="G10" s="5"/>
      <c r="H10" s="202"/>
      <c r="I10" s="21"/>
      <c r="J10" s="7" t="s">
        <v>645</v>
      </c>
      <c r="K10" s="196" t="s">
        <v>1681</v>
      </c>
      <c r="L10" s="202">
        <v>6</v>
      </c>
      <c r="M10" s="196" t="s">
        <v>1378</v>
      </c>
      <c r="N10" s="202"/>
      <c r="O10" s="21"/>
      <c r="P10" s="16">
        <v>1</v>
      </c>
      <c r="Q10" s="3" t="s">
        <v>448</v>
      </c>
      <c r="R10" s="7"/>
      <c r="S10" s="5"/>
      <c r="T10" s="7"/>
      <c r="U10" s="5"/>
      <c r="V10" s="202"/>
      <c r="W10" s="21"/>
      <c r="X10" s="7"/>
      <c r="Y10" s="5"/>
      <c r="Z10" s="7">
        <v>1</v>
      </c>
      <c r="AA10" s="196" t="s">
        <v>1380</v>
      </c>
      <c r="AB10" s="7" t="s">
        <v>645</v>
      </c>
      <c r="AC10" s="5" t="s">
        <v>1698</v>
      </c>
      <c r="AD10" s="202"/>
      <c r="AE10" s="21"/>
      <c r="AF10" s="7" t="s">
        <v>645</v>
      </c>
      <c r="AG10" s="4" t="s">
        <v>577</v>
      </c>
    </row>
    <row r="11" spans="1:33" x14ac:dyDescent="0.25">
      <c r="A11" s="192">
        <v>2</v>
      </c>
      <c r="B11" s="8"/>
      <c r="C11" s="4"/>
      <c r="D11" s="24"/>
      <c r="E11" s="19"/>
      <c r="F11" s="8"/>
      <c r="G11" s="4"/>
      <c r="H11" s="24"/>
      <c r="I11" s="19"/>
      <c r="J11" s="8" t="s">
        <v>595</v>
      </c>
      <c r="K11" s="4" t="s">
        <v>1682</v>
      </c>
      <c r="L11" s="24">
        <v>55</v>
      </c>
      <c r="M11" s="4" t="s">
        <v>1697</v>
      </c>
      <c r="N11" s="24"/>
      <c r="O11" s="19"/>
      <c r="P11" s="274">
        <v>2</v>
      </c>
      <c r="Q11" s="3" t="s">
        <v>449</v>
      </c>
      <c r="R11" s="8"/>
      <c r="S11" s="4"/>
      <c r="T11" s="8"/>
      <c r="U11" s="4"/>
      <c r="V11" s="24"/>
      <c r="W11" s="19"/>
      <c r="X11" s="8"/>
      <c r="Y11" s="4"/>
      <c r="Z11" s="8">
        <v>2</v>
      </c>
      <c r="AA11" s="4" t="s">
        <v>1381</v>
      </c>
      <c r="AB11" s="8" t="s">
        <v>595</v>
      </c>
      <c r="AC11" s="4" t="s">
        <v>1699</v>
      </c>
      <c r="AD11" s="24"/>
      <c r="AE11" s="19"/>
      <c r="AF11" s="8" t="s">
        <v>595</v>
      </c>
      <c r="AG11" s="4" t="s">
        <v>1704</v>
      </c>
    </row>
    <row r="12" spans="1:33" x14ac:dyDescent="0.25">
      <c r="A12" s="192">
        <v>3</v>
      </c>
      <c r="B12" s="8"/>
      <c r="C12" s="4"/>
      <c r="D12" s="24"/>
      <c r="E12" s="19"/>
      <c r="F12" s="8"/>
      <c r="G12" s="4"/>
      <c r="H12" s="24"/>
      <c r="I12" s="19"/>
      <c r="J12" s="8" t="s">
        <v>596</v>
      </c>
      <c r="K12" s="4" t="s">
        <v>1683</v>
      </c>
      <c r="L12" s="24"/>
      <c r="M12" s="4"/>
      <c r="N12" s="24"/>
      <c r="O12" s="19"/>
      <c r="P12" s="274">
        <v>3</v>
      </c>
      <c r="Q12" s="184" t="s">
        <v>450</v>
      </c>
      <c r="R12" s="8"/>
      <c r="S12" s="4"/>
      <c r="T12" s="8"/>
      <c r="U12" s="4"/>
      <c r="V12" s="24"/>
      <c r="W12" s="19"/>
      <c r="X12" s="8"/>
      <c r="Y12" s="4"/>
      <c r="Z12" s="8"/>
      <c r="AA12" s="4"/>
      <c r="AB12" s="8" t="s">
        <v>598</v>
      </c>
      <c r="AC12" s="184" t="s">
        <v>1700</v>
      </c>
      <c r="AD12" s="24"/>
      <c r="AE12" s="19"/>
      <c r="AF12" s="8" t="s">
        <v>596</v>
      </c>
      <c r="AG12" s="4" t="s">
        <v>1283</v>
      </c>
    </row>
    <row r="13" spans="1:33" x14ac:dyDescent="0.25">
      <c r="A13" s="192">
        <v>4</v>
      </c>
      <c r="B13" s="8"/>
      <c r="C13" s="4"/>
      <c r="D13" s="24"/>
      <c r="E13" s="19"/>
      <c r="F13" s="8"/>
      <c r="G13" s="4"/>
      <c r="H13" s="24"/>
      <c r="I13" s="19"/>
      <c r="J13" s="8" t="s">
        <v>598</v>
      </c>
      <c r="K13" s="4" t="s">
        <v>1684</v>
      </c>
      <c r="L13" s="24"/>
      <c r="M13" s="4"/>
      <c r="N13" s="24"/>
      <c r="O13" s="19"/>
      <c r="P13" s="274">
        <v>4</v>
      </c>
      <c r="Q13" s="4" t="s">
        <v>451</v>
      </c>
      <c r="R13" s="8"/>
      <c r="S13" s="4"/>
      <c r="T13" s="8"/>
      <c r="U13" s="4"/>
      <c r="V13" s="24"/>
      <c r="W13" s="19"/>
      <c r="X13" s="8"/>
      <c r="Y13" s="4"/>
      <c r="Z13" s="8"/>
      <c r="AA13" s="4"/>
      <c r="AB13" s="8" t="s">
        <v>600</v>
      </c>
      <c r="AC13" s="4" t="s">
        <v>1382</v>
      </c>
      <c r="AD13" s="24"/>
      <c r="AE13" s="19"/>
      <c r="AF13" s="8" t="s">
        <v>598</v>
      </c>
      <c r="AG13" s="4" t="s">
        <v>1284</v>
      </c>
    </row>
    <row r="14" spans="1:33" x14ac:dyDescent="0.25">
      <c r="A14" s="192">
        <v>5</v>
      </c>
      <c r="B14" s="8"/>
      <c r="C14" s="4"/>
      <c r="D14" s="24"/>
      <c r="E14" s="19"/>
      <c r="F14" s="8"/>
      <c r="G14" s="4"/>
      <c r="H14" s="24"/>
      <c r="I14" s="19"/>
      <c r="J14" s="8" t="s">
        <v>600</v>
      </c>
      <c r="K14" s="4" t="s">
        <v>1685</v>
      </c>
      <c r="L14" s="24"/>
      <c r="M14" s="4"/>
      <c r="N14" s="24"/>
      <c r="O14" s="19"/>
      <c r="P14" s="274">
        <v>5</v>
      </c>
      <c r="Q14" s="4" t="s">
        <v>452</v>
      </c>
      <c r="R14" s="8"/>
      <c r="S14" s="4"/>
      <c r="T14" s="8"/>
      <c r="U14" s="4"/>
      <c r="V14" s="24"/>
      <c r="W14" s="19"/>
      <c r="X14" s="8"/>
      <c r="Y14" s="4"/>
      <c r="Z14" s="8"/>
      <c r="AA14" s="4"/>
      <c r="AB14" s="8" t="s">
        <v>602</v>
      </c>
      <c r="AC14" s="4" t="s">
        <v>1701</v>
      </c>
      <c r="AD14" s="24"/>
      <c r="AE14" s="19"/>
      <c r="AF14" s="8" t="s">
        <v>600</v>
      </c>
      <c r="AG14" s="4" t="s">
        <v>581</v>
      </c>
    </row>
    <row r="15" spans="1:33" x14ac:dyDescent="0.25">
      <c r="A15" s="192">
        <v>6</v>
      </c>
      <c r="B15" s="8"/>
      <c r="C15" s="4"/>
      <c r="D15" s="24"/>
      <c r="E15" s="19"/>
      <c r="F15" s="8"/>
      <c r="G15" s="4"/>
      <c r="H15" s="24"/>
      <c r="I15" s="19"/>
      <c r="J15" s="8" t="s">
        <v>602</v>
      </c>
      <c r="K15" s="4" t="s">
        <v>1686</v>
      </c>
      <c r="L15" s="24"/>
      <c r="M15" s="4"/>
      <c r="N15" s="24"/>
      <c r="O15" s="19"/>
      <c r="P15" s="274">
        <v>6</v>
      </c>
      <c r="Q15" s="4" t="s">
        <v>453</v>
      </c>
      <c r="R15" s="8"/>
      <c r="S15" s="4"/>
      <c r="T15" s="8"/>
      <c r="U15" s="4"/>
      <c r="V15" s="24"/>
      <c r="W15" s="19"/>
      <c r="X15" s="8"/>
      <c r="Y15" s="4"/>
      <c r="Z15" s="8"/>
      <c r="AA15" s="4"/>
      <c r="AB15" s="8" t="s">
        <v>603</v>
      </c>
      <c r="AC15" s="4" t="s">
        <v>1702</v>
      </c>
      <c r="AD15" s="24"/>
      <c r="AE15" s="19"/>
      <c r="AF15" s="8" t="s">
        <v>605</v>
      </c>
      <c r="AG15" s="4" t="s">
        <v>1705</v>
      </c>
    </row>
    <row r="16" spans="1:33" x14ac:dyDescent="0.25">
      <c r="A16" s="192">
        <v>7</v>
      </c>
      <c r="B16" s="8"/>
      <c r="C16" s="4"/>
      <c r="D16" s="24"/>
      <c r="E16" s="19"/>
      <c r="F16" s="8"/>
      <c r="G16" s="4"/>
      <c r="H16" s="24"/>
      <c r="I16" s="19"/>
      <c r="J16" s="8" t="s">
        <v>603</v>
      </c>
      <c r="K16" s="4" t="s">
        <v>1687</v>
      </c>
      <c r="L16" s="24"/>
      <c r="M16" s="4"/>
      <c r="N16" s="24"/>
      <c r="O16" s="19"/>
      <c r="P16" s="274">
        <v>7</v>
      </c>
      <c r="Q16" s="4" t="s">
        <v>454</v>
      </c>
      <c r="R16" s="8"/>
      <c r="S16" s="4"/>
      <c r="T16" s="8"/>
      <c r="U16" s="4"/>
      <c r="V16" s="24"/>
      <c r="W16" s="19"/>
      <c r="X16" s="8"/>
      <c r="Y16" s="4"/>
      <c r="Z16" s="8"/>
      <c r="AA16" s="4"/>
      <c r="AB16" s="8" t="s">
        <v>605</v>
      </c>
      <c r="AC16" s="4" t="s">
        <v>1703</v>
      </c>
      <c r="AD16" s="24"/>
      <c r="AE16" s="19"/>
      <c r="AF16" s="8" t="s">
        <v>607</v>
      </c>
      <c r="AG16" s="4" t="s">
        <v>1706</v>
      </c>
    </row>
    <row r="17" spans="1:33" x14ac:dyDescent="0.25">
      <c r="A17" s="192">
        <v>8</v>
      </c>
      <c r="B17" s="8"/>
      <c r="C17" s="4"/>
      <c r="D17" s="24"/>
      <c r="E17" s="19"/>
      <c r="F17" s="8"/>
      <c r="G17" s="4"/>
      <c r="H17" s="24"/>
      <c r="I17" s="19"/>
      <c r="J17" s="8" t="s">
        <v>605</v>
      </c>
      <c r="K17" s="4" t="s">
        <v>1695</v>
      </c>
      <c r="L17" s="24"/>
      <c r="M17" s="4"/>
      <c r="N17" s="24"/>
      <c r="O17" s="19"/>
      <c r="P17" s="274">
        <v>8</v>
      </c>
      <c r="Q17" s="184" t="s">
        <v>457</v>
      </c>
      <c r="R17" s="8"/>
      <c r="S17" s="4"/>
      <c r="T17" s="8"/>
      <c r="U17" s="4"/>
      <c r="V17" s="24"/>
      <c r="W17" s="19"/>
      <c r="X17" s="8"/>
      <c r="Y17" s="4"/>
      <c r="Z17" s="8"/>
      <c r="AA17" s="4"/>
      <c r="AB17" s="8"/>
      <c r="AC17" s="4"/>
      <c r="AD17" s="24"/>
      <c r="AE17" s="19"/>
      <c r="AF17" s="8" t="s">
        <v>609</v>
      </c>
      <c r="AG17" s="4" t="s">
        <v>593</v>
      </c>
    </row>
    <row r="18" spans="1:33" x14ac:dyDescent="0.25">
      <c r="A18" s="192">
        <v>9</v>
      </c>
      <c r="B18" s="8"/>
      <c r="C18" s="4"/>
      <c r="D18" s="24"/>
      <c r="E18" s="19"/>
      <c r="F18" s="8"/>
      <c r="G18" s="4"/>
      <c r="H18" s="24"/>
      <c r="I18" s="19"/>
      <c r="J18" s="8" t="s">
        <v>607</v>
      </c>
      <c r="K18" s="4" t="s">
        <v>1688</v>
      </c>
      <c r="L18" s="24"/>
      <c r="M18" s="4"/>
      <c r="N18" s="24"/>
      <c r="O18" s="19"/>
      <c r="P18" s="274">
        <v>9</v>
      </c>
      <c r="Q18" s="4" t="s">
        <v>455</v>
      </c>
      <c r="R18" s="8"/>
      <c r="S18" s="4"/>
      <c r="T18" s="8"/>
      <c r="U18" s="4"/>
      <c r="V18" s="24"/>
      <c r="W18" s="19"/>
      <c r="X18" s="8"/>
      <c r="Y18" s="4"/>
      <c r="Z18" s="8"/>
      <c r="AA18" s="4"/>
      <c r="AB18" s="8"/>
      <c r="AC18" s="4"/>
      <c r="AD18" s="24"/>
      <c r="AE18" s="19"/>
      <c r="AF18" s="8" t="s">
        <v>653</v>
      </c>
      <c r="AG18" s="4" t="s">
        <v>585</v>
      </c>
    </row>
    <row r="19" spans="1:33" x14ac:dyDescent="0.25">
      <c r="A19" s="192">
        <v>10</v>
      </c>
      <c r="B19" s="8"/>
      <c r="C19" s="4"/>
      <c r="D19" s="24"/>
      <c r="E19" s="19"/>
      <c r="F19" s="8"/>
      <c r="G19" s="4"/>
      <c r="H19" s="24"/>
      <c r="I19" s="19"/>
      <c r="J19" s="8" t="s">
        <v>609</v>
      </c>
      <c r="K19" s="184" t="s">
        <v>1689</v>
      </c>
      <c r="L19" s="24"/>
      <c r="M19" s="4"/>
      <c r="N19" s="24"/>
      <c r="O19" s="19"/>
      <c r="P19" s="274">
        <v>10</v>
      </c>
      <c r="Q19" s="4" t="s">
        <v>456</v>
      </c>
      <c r="R19" s="8"/>
      <c r="S19" s="4"/>
      <c r="T19" s="8"/>
      <c r="U19" s="4"/>
      <c r="V19" s="24"/>
      <c r="W19" s="19"/>
      <c r="X19" s="8"/>
      <c r="Y19" s="4"/>
      <c r="Z19" s="8"/>
      <c r="AA19" s="4"/>
      <c r="AB19" s="8"/>
      <c r="AC19" s="4"/>
      <c r="AD19" s="24"/>
      <c r="AE19" s="19"/>
      <c r="AF19" s="8" t="s">
        <v>611</v>
      </c>
      <c r="AG19" s="4" t="s">
        <v>1707</v>
      </c>
    </row>
    <row r="20" spans="1:33" x14ac:dyDescent="0.25">
      <c r="A20" s="192">
        <v>11</v>
      </c>
      <c r="B20" s="8"/>
      <c r="C20" s="4"/>
      <c r="D20" s="24"/>
      <c r="E20" s="19"/>
      <c r="F20" s="8"/>
      <c r="G20" s="4"/>
      <c r="H20" s="24"/>
      <c r="I20" s="19"/>
      <c r="J20" s="8" t="s">
        <v>611</v>
      </c>
      <c r="K20" s="4" t="s">
        <v>1690</v>
      </c>
      <c r="L20" s="24"/>
      <c r="M20" s="4"/>
      <c r="N20" s="24"/>
      <c r="O20" s="19"/>
      <c r="P20" s="8"/>
      <c r="Q20" s="4"/>
      <c r="R20" s="8"/>
      <c r="S20" s="4"/>
      <c r="T20" s="8"/>
      <c r="U20" s="4"/>
      <c r="V20" s="24"/>
      <c r="W20" s="19"/>
      <c r="X20" s="8"/>
      <c r="Y20" s="4"/>
      <c r="Z20" s="8"/>
      <c r="AA20" s="4"/>
      <c r="AB20" s="8"/>
      <c r="AC20" s="4"/>
      <c r="AD20" s="24"/>
      <c r="AE20" s="19"/>
      <c r="AF20" s="8" t="s">
        <v>677</v>
      </c>
      <c r="AG20" s="97" t="s">
        <v>1678</v>
      </c>
    </row>
    <row r="21" spans="1:33" x14ac:dyDescent="0.25">
      <c r="A21" s="192">
        <v>12</v>
      </c>
      <c r="B21" s="8"/>
      <c r="C21" s="4"/>
      <c r="D21" s="24"/>
      <c r="E21" s="19"/>
      <c r="F21" s="8"/>
      <c r="G21" s="4"/>
      <c r="H21" s="24"/>
      <c r="I21" s="19"/>
      <c r="J21" s="8" t="s">
        <v>677</v>
      </c>
      <c r="K21" s="4" t="s">
        <v>1696</v>
      </c>
      <c r="L21" s="24"/>
      <c r="M21" s="4"/>
      <c r="N21" s="24"/>
      <c r="O21" s="19"/>
      <c r="P21" s="8"/>
      <c r="Q21" s="4"/>
      <c r="R21" s="8"/>
      <c r="S21" s="4"/>
      <c r="T21" s="8"/>
      <c r="U21" s="4"/>
      <c r="V21" s="24"/>
      <c r="W21" s="19"/>
      <c r="X21" s="8"/>
      <c r="Y21" s="4"/>
      <c r="Z21" s="8"/>
      <c r="AA21" s="4"/>
      <c r="AB21" s="8"/>
      <c r="AC21" s="4"/>
      <c r="AD21" s="24"/>
      <c r="AE21" s="19"/>
      <c r="AF21" s="8" t="s">
        <v>613</v>
      </c>
      <c r="AG21" s="4" t="s">
        <v>588</v>
      </c>
    </row>
    <row r="22" spans="1:33" x14ac:dyDescent="0.25">
      <c r="A22" s="192">
        <v>13</v>
      </c>
      <c r="B22" s="8"/>
      <c r="C22" s="4"/>
      <c r="D22" s="24"/>
      <c r="E22" s="19"/>
      <c r="F22" s="8"/>
      <c r="G22" s="4"/>
      <c r="H22" s="24"/>
      <c r="I22" s="19"/>
      <c r="J22" s="8" t="s">
        <v>613</v>
      </c>
      <c r="K22" s="4" t="s">
        <v>1691</v>
      </c>
      <c r="L22" s="24"/>
      <c r="M22" s="4"/>
      <c r="N22" s="24"/>
      <c r="O22" s="19"/>
      <c r="P22" s="8"/>
      <c r="Q22" s="4"/>
      <c r="R22" s="8"/>
      <c r="S22" s="4"/>
      <c r="T22" s="8"/>
      <c r="U22" s="4"/>
      <c r="V22" s="24"/>
      <c r="W22" s="19"/>
      <c r="X22" s="8"/>
      <c r="Y22" s="4"/>
      <c r="Z22" s="8"/>
      <c r="AA22" s="4"/>
      <c r="AB22" s="8"/>
      <c r="AC22" s="4"/>
      <c r="AD22" s="24"/>
      <c r="AE22" s="19"/>
      <c r="AF22" s="8" t="s">
        <v>615</v>
      </c>
      <c r="AG22" s="4" t="s">
        <v>589</v>
      </c>
    </row>
    <row r="23" spans="1:33" x14ac:dyDescent="0.25">
      <c r="A23" s="192">
        <v>14</v>
      </c>
      <c r="B23" s="8"/>
      <c r="C23" s="4"/>
      <c r="D23" s="24"/>
      <c r="E23" s="19"/>
      <c r="F23" s="8"/>
      <c r="G23" s="4"/>
      <c r="H23" s="24"/>
      <c r="I23" s="19"/>
      <c r="J23" s="8" t="s">
        <v>615</v>
      </c>
      <c r="K23" s="4" t="s">
        <v>1692</v>
      </c>
      <c r="L23" s="24"/>
      <c r="M23" s="4"/>
      <c r="N23" s="24"/>
      <c r="O23" s="19"/>
      <c r="P23" s="8"/>
      <c r="Q23" s="4"/>
      <c r="R23" s="8"/>
      <c r="S23" s="4"/>
      <c r="T23" s="8"/>
      <c r="U23" s="4"/>
      <c r="V23" s="24"/>
      <c r="W23" s="19"/>
      <c r="X23" s="8"/>
      <c r="Y23" s="4"/>
      <c r="Z23" s="8"/>
      <c r="AA23" s="4"/>
      <c r="AB23" s="8"/>
      <c r="AC23" s="4"/>
      <c r="AD23" s="24"/>
      <c r="AE23" s="19"/>
      <c r="AF23" s="8" t="s">
        <v>617</v>
      </c>
      <c r="AG23" s="4" t="s">
        <v>590</v>
      </c>
    </row>
    <row r="24" spans="1:33" x14ac:dyDescent="0.25">
      <c r="A24" s="192">
        <v>15</v>
      </c>
      <c r="B24" s="8"/>
      <c r="C24" s="4"/>
      <c r="D24" s="24"/>
      <c r="E24" s="19"/>
      <c r="F24" s="8"/>
      <c r="G24" s="4"/>
      <c r="H24" s="24"/>
      <c r="I24" s="19"/>
      <c r="J24" s="8" t="s">
        <v>617</v>
      </c>
      <c r="K24" s="4" t="s">
        <v>1693</v>
      </c>
      <c r="L24" s="24"/>
      <c r="M24" s="4"/>
      <c r="N24" s="24"/>
      <c r="O24" s="19"/>
      <c r="P24" s="8"/>
      <c r="Q24" s="4"/>
      <c r="R24" s="8"/>
      <c r="S24" s="4"/>
      <c r="T24" s="8"/>
      <c r="U24" s="4"/>
      <c r="V24" s="24"/>
      <c r="W24" s="19"/>
      <c r="X24" s="8"/>
      <c r="Y24" s="4"/>
      <c r="Z24" s="8"/>
      <c r="AA24" s="4"/>
      <c r="AB24" s="8"/>
      <c r="AC24" s="4"/>
      <c r="AD24" s="24"/>
      <c r="AE24" s="19"/>
      <c r="AF24" s="8" t="s">
        <v>1453</v>
      </c>
      <c r="AG24" s="4" t="s">
        <v>591</v>
      </c>
    </row>
    <row r="25" spans="1:33" ht="15.75" thickBot="1" x14ac:dyDescent="0.3">
      <c r="A25" s="193">
        <v>16</v>
      </c>
      <c r="B25" s="9"/>
      <c r="C25" s="6"/>
      <c r="D25" s="92"/>
      <c r="E25" s="20"/>
      <c r="F25" s="9"/>
      <c r="G25" s="6"/>
      <c r="H25" s="92"/>
      <c r="I25" s="20"/>
      <c r="J25" s="9" t="s">
        <v>1453</v>
      </c>
      <c r="K25" s="6" t="s">
        <v>1694</v>
      </c>
      <c r="L25" s="92"/>
      <c r="M25" s="6"/>
      <c r="N25" s="92"/>
      <c r="O25" s="20"/>
      <c r="P25" s="9"/>
      <c r="Q25" s="6"/>
      <c r="R25" s="9"/>
      <c r="S25" s="6"/>
      <c r="T25" s="9"/>
      <c r="U25" s="6"/>
      <c r="V25" s="92"/>
      <c r="W25" s="20"/>
      <c r="X25" s="9"/>
      <c r="Y25" s="6"/>
      <c r="Z25" s="9"/>
      <c r="AA25" s="6"/>
      <c r="AB25" s="9"/>
      <c r="AC25" s="6"/>
      <c r="AD25" s="92"/>
      <c r="AE25" s="20"/>
      <c r="AF25" s="9"/>
      <c r="AG25" s="6"/>
    </row>
  </sheetData>
  <mergeCells count="116">
    <mergeCell ref="B8:C8"/>
    <mergeCell ref="D8:E8"/>
    <mergeCell ref="F8:G8"/>
    <mergeCell ref="H8:I8"/>
    <mergeCell ref="J8:K8"/>
    <mergeCell ref="Z7:AA7"/>
    <mergeCell ref="AB7:AC7"/>
    <mergeCell ref="L8:M8"/>
    <mergeCell ref="N7:O7"/>
    <mergeCell ref="P7:Q7"/>
    <mergeCell ref="R7:S7"/>
    <mergeCell ref="T7:U7"/>
    <mergeCell ref="V7:W7"/>
    <mergeCell ref="X7:Y7"/>
    <mergeCell ref="AF8:AG8"/>
    <mergeCell ref="V8:W8"/>
    <mergeCell ref="X8:Y8"/>
    <mergeCell ref="Z8:AA8"/>
    <mergeCell ref="AB8:AC8"/>
    <mergeCell ref="AD8:AE8"/>
    <mergeCell ref="N8:O8"/>
    <mergeCell ref="P8:Q8"/>
    <mergeCell ref="R8:S8"/>
    <mergeCell ref="T8:U8"/>
    <mergeCell ref="Z6:AA6"/>
    <mergeCell ref="AB6:AC6"/>
    <mergeCell ref="AD6:AE6"/>
    <mergeCell ref="AF6:AG6"/>
    <mergeCell ref="B7:C7"/>
    <mergeCell ref="D7:E7"/>
    <mergeCell ref="F7:G7"/>
    <mergeCell ref="H7:I7"/>
    <mergeCell ref="J7:K7"/>
    <mergeCell ref="L7:M7"/>
    <mergeCell ref="N6:O6"/>
    <mergeCell ref="P6:Q6"/>
    <mergeCell ref="R6:S6"/>
    <mergeCell ref="T6:U6"/>
    <mergeCell ref="V6:W6"/>
    <mergeCell ref="X6:Y6"/>
    <mergeCell ref="B6:C6"/>
    <mergeCell ref="D6:E6"/>
    <mergeCell ref="F6:G6"/>
    <mergeCell ref="H6:I6"/>
    <mergeCell ref="J6:K6"/>
    <mergeCell ref="L6:M6"/>
    <mergeCell ref="AD7:AE7"/>
    <mergeCell ref="AF7:AG7"/>
    <mergeCell ref="Z4:AA4"/>
    <mergeCell ref="AB4:AC4"/>
    <mergeCell ref="AD4:AE4"/>
    <mergeCell ref="AF4:AG4"/>
    <mergeCell ref="B5:C5"/>
    <mergeCell ref="D5:E5"/>
    <mergeCell ref="F5:G5"/>
    <mergeCell ref="H5:I5"/>
    <mergeCell ref="J5:K5"/>
    <mergeCell ref="L5:M5"/>
    <mergeCell ref="N4:O4"/>
    <mergeCell ref="P4:Q4"/>
    <mergeCell ref="R4:S4"/>
    <mergeCell ref="T4:U4"/>
    <mergeCell ref="V4:W4"/>
    <mergeCell ref="X4:Y4"/>
    <mergeCell ref="Z5:AA5"/>
    <mergeCell ref="AB5:AC5"/>
    <mergeCell ref="AD5:AE5"/>
    <mergeCell ref="AF5:AG5"/>
    <mergeCell ref="T5:U5"/>
    <mergeCell ref="V5:W5"/>
    <mergeCell ref="X5:Y5"/>
    <mergeCell ref="B4:C4"/>
    <mergeCell ref="B3:C3"/>
    <mergeCell ref="D3:E3"/>
    <mergeCell ref="F3:G3"/>
    <mergeCell ref="H3:I3"/>
    <mergeCell ref="J3:K3"/>
    <mergeCell ref="N5:O5"/>
    <mergeCell ref="P5:Q5"/>
    <mergeCell ref="R5:S5"/>
    <mergeCell ref="B1:I1"/>
    <mergeCell ref="J1:Q1"/>
    <mergeCell ref="R1:Y1"/>
    <mergeCell ref="D4:E4"/>
    <mergeCell ref="F4:G4"/>
    <mergeCell ref="H4:I4"/>
    <mergeCell ref="J4:K4"/>
    <mergeCell ref="L4:M4"/>
    <mergeCell ref="N3:O3"/>
    <mergeCell ref="P3:Q3"/>
    <mergeCell ref="R3:S3"/>
    <mergeCell ref="L3:M3"/>
    <mergeCell ref="Z3:AA3"/>
    <mergeCell ref="AB3:AC3"/>
    <mergeCell ref="AD3:AE3"/>
    <mergeCell ref="AF3:AG3"/>
    <mergeCell ref="T3:U3"/>
    <mergeCell ref="V3:W3"/>
    <mergeCell ref="X3:Y3"/>
    <mergeCell ref="Z1:AG1"/>
    <mergeCell ref="B2:C2"/>
    <mergeCell ref="D2:E2"/>
    <mergeCell ref="F2:G2"/>
    <mergeCell ref="H2:I2"/>
    <mergeCell ref="J2:K2"/>
    <mergeCell ref="L2:M2"/>
    <mergeCell ref="Z2:AA2"/>
    <mergeCell ref="AB2:AC2"/>
    <mergeCell ref="AD2:AE2"/>
    <mergeCell ref="AF2:AG2"/>
    <mergeCell ref="V2:W2"/>
    <mergeCell ref="X2:Y2"/>
    <mergeCell ref="N2:O2"/>
    <mergeCell ref="P2:Q2"/>
    <mergeCell ref="R2:S2"/>
    <mergeCell ref="T2:U2"/>
  </mergeCells>
  <conditionalFormatting sqref="Q10:Q19">
    <cfRule type="duplicateValues" dxfId="70" priority="1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:AG51"/>
  <sheetViews>
    <sheetView topLeftCell="R1" workbookViewId="0">
      <pane ySplit="9" topLeftCell="A10" activePane="bottomLeft" state="frozen"/>
      <selection activeCell="L1" sqref="L1"/>
      <selection pane="bottomLeft" activeCell="AI21" sqref="AI21"/>
    </sheetView>
  </sheetViews>
  <sheetFormatPr defaultRowHeight="15" x14ac:dyDescent="0.25"/>
  <cols>
    <col min="1" max="1" width="10.7109375" bestFit="1" customWidth="1"/>
    <col min="2" max="2" width="3.7109375" bestFit="1" customWidth="1"/>
    <col min="3" max="3" width="13.85546875" bestFit="1" customWidth="1"/>
    <col min="4" max="4" width="2.7109375" bestFit="1" customWidth="1"/>
    <col min="5" max="5" width="14.28515625" bestFit="1" customWidth="1"/>
    <col min="6" max="6" width="4.7109375" bestFit="1" customWidth="1"/>
    <col min="7" max="7" width="18.85546875" bestFit="1" customWidth="1"/>
    <col min="8" max="8" width="2.7109375" bestFit="1" customWidth="1"/>
    <col min="9" max="9" width="17.5703125" bestFit="1" customWidth="1"/>
    <col min="10" max="10" width="4.7109375" bestFit="1" customWidth="1"/>
    <col min="11" max="11" width="14.5703125" bestFit="1" customWidth="1"/>
    <col min="12" max="12" width="4.7109375" bestFit="1" customWidth="1"/>
    <col min="13" max="13" width="19.28515625" bestFit="1" customWidth="1"/>
    <col min="14" max="14" width="4.7109375" bestFit="1" customWidth="1"/>
    <col min="15" max="15" width="17.28515625" bestFit="1" customWidth="1"/>
    <col min="16" max="16" width="4.7109375" bestFit="1" customWidth="1"/>
    <col min="17" max="17" width="19.28515625" bestFit="1" customWidth="1"/>
    <col min="18" max="18" width="2.7109375" bestFit="1" customWidth="1"/>
    <col min="19" max="19" width="22.5703125" bestFit="1" customWidth="1"/>
    <col min="20" max="20" width="4.7109375" bestFit="1" customWidth="1"/>
    <col min="21" max="21" width="17.85546875" bestFit="1" customWidth="1"/>
    <col min="22" max="22" width="2.7109375" bestFit="1" customWidth="1"/>
    <col min="23" max="23" width="16.7109375" bestFit="1" customWidth="1"/>
    <col min="24" max="24" width="5.28515625" bestFit="1" customWidth="1"/>
    <col min="25" max="25" width="19.85546875" bestFit="1" customWidth="1"/>
    <col min="26" max="26" width="4.28515625" bestFit="1" customWidth="1"/>
    <col min="27" max="27" width="6.7109375" bestFit="1" customWidth="1"/>
    <col min="28" max="28" width="5.28515625" bestFit="1" customWidth="1"/>
    <col min="29" max="29" width="15.28515625" bestFit="1" customWidth="1"/>
    <col min="30" max="30" width="2.7109375" bestFit="1" customWidth="1"/>
    <col min="31" max="31" width="6.7109375" bestFit="1" customWidth="1"/>
    <col min="32" max="32" width="4.7109375" bestFit="1" customWidth="1"/>
    <col min="33" max="33" width="19.85546875" bestFit="1" customWidth="1"/>
  </cols>
  <sheetData>
    <row r="1" spans="1:33" ht="15.75" thickBot="1" x14ac:dyDescent="0.3">
      <c r="A1" s="51" t="s">
        <v>242</v>
      </c>
      <c r="B1" s="458" t="s">
        <v>1224</v>
      </c>
      <c r="C1" s="459"/>
      <c r="D1" s="459"/>
      <c r="E1" s="459"/>
      <c r="F1" s="459"/>
      <c r="G1" s="459"/>
      <c r="H1" s="459"/>
      <c r="I1" s="459"/>
      <c r="J1" s="450" t="s">
        <v>1225</v>
      </c>
      <c r="K1" s="464"/>
      <c r="L1" s="464"/>
      <c r="M1" s="464"/>
      <c r="N1" s="464"/>
      <c r="O1" s="464"/>
      <c r="P1" s="464"/>
      <c r="Q1" s="464"/>
      <c r="R1" s="459" t="s">
        <v>1226</v>
      </c>
      <c r="S1" s="459"/>
      <c r="T1" s="459"/>
      <c r="U1" s="459"/>
      <c r="V1" s="459"/>
      <c r="W1" s="459"/>
      <c r="X1" s="459"/>
      <c r="Y1" s="459"/>
      <c r="Z1" s="460" t="s">
        <v>1227</v>
      </c>
      <c r="AA1" s="461"/>
      <c r="AB1" s="461"/>
      <c r="AC1" s="461"/>
      <c r="AD1" s="461"/>
      <c r="AE1" s="461"/>
      <c r="AF1" s="461"/>
      <c r="AG1" s="461"/>
    </row>
    <row r="2" spans="1:33" ht="15.75" thickBot="1" x14ac:dyDescent="0.3">
      <c r="A2" s="50" t="s">
        <v>276</v>
      </c>
      <c r="B2" s="393" t="s">
        <v>267</v>
      </c>
      <c r="C2" s="457"/>
      <c r="D2" s="393" t="s">
        <v>268</v>
      </c>
      <c r="E2" s="457"/>
      <c r="F2" s="393" t="s">
        <v>269</v>
      </c>
      <c r="G2" s="457"/>
      <c r="H2" s="393" t="s">
        <v>270</v>
      </c>
      <c r="I2" s="457"/>
      <c r="J2" s="393" t="s">
        <v>267</v>
      </c>
      <c r="K2" s="457"/>
      <c r="L2" s="393" t="s">
        <v>268</v>
      </c>
      <c r="M2" s="457"/>
      <c r="N2" s="393" t="s">
        <v>269</v>
      </c>
      <c r="O2" s="457"/>
      <c r="P2" s="393" t="s">
        <v>270</v>
      </c>
      <c r="Q2" s="457"/>
      <c r="R2" s="393" t="s">
        <v>267</v>
      </c>
      <c r="S2" s="457"/>
      <c r="T2" s="393" t="s">
        <v>268</v>
      </c>
      <c r="U2" s="457"/>
      <c r="V2" s="393" t="s">
        <v>269</v>
      </c>
      <c r="W2" s="457"/>
      <c r="X2" s="393" t="s">
        <v>270</v>
      </c>
      <c r="Y2" s="457"/>
      <c r="Z2" s="393" t="s">
        <v>267</v>
      </c>
      <c r="AA2" s="457"/>
      <c r="AB2" s="393" t="s">
        <v>268</v>
      </c>
      <c r="AC2" s="457"/>
      <c r="AD2" s="393" t="s">
        <v>269</v>
      </c>
      <c r="AE2" s="457"/>
      <c r="AF2" s="393" t="s">
        <v>270</v>
      </c>
      <c r="AG2" s="462"/>
    </row>
    <row r="3" spans="1:33" x14ac:dyDescent="0.25">
      <c r="A3" s="42" t="s">
        <v>273</v>
      </c>
      <c r="B3" s="399" t="s">
        <v>319</v>
      </c>
      <c r="C3" s="407"/>
      <c r="D3" s="399" t="s">
        <v>192</v>
      </c>
      <c r="E3" s="407"/>
      <c r="F3" s="399" t="s">
        <v>72</v>
      </c>
      <c r="G3" s="407"/>
      <c r="H3" s="399" t="s">
        <v>1721</v>
      </c>
      <c r="I3" s="407"/>
      <c r="J3" s="399" t="s">
        <v>1722</v>
      </c>
      <c r="K3" s="407"/>
      <c r="L3" s="399" t="s">
        <v>1722</v>
      </c>
      <c r="M3" s="407"/>
      <c r="N3" s="399" t="s">
        <v>1722</v>
      </c>
      <c r="O3" s="407"/>
      <c r="P3" s="399" t="s">
        <v>1722</v>
      </c>
      <c r="Q3" s="407"/>
      <c r="R3" s="399" t="s">
        <v>113</v>
      </c>
      <c r="S3" s="400"/>
      <c r="T3" s="399" t="s">
        <v>339</v>
      </c>
      <c r="U3" s="407"/>
      <c r="V3" s="399" t="s">
        <v>339</v>
      </c>
      <c r="W3" s="407"/>
      <c r="X3" s="399" t="s">
        <v>112</v>
      </c>
      <c r="Y3" s="407"/>
      <c r="Z3" s="399" t="s">
        <v>76</v>
      </c>
      <c r="AA3" s="407"/>
      <c r="AB3" s="399" t="s">
        <v>76</v>
      </c>
      <c r="AC3" s="407"/>
      <c r="AD3" s="399"/>
      <c r="AE3" s="407"/>
      <c r="AF3" s="399" t="s">
        <v>1758</v>
      </c>
      <c r="AG3" s="408"/>
    </row>
    <row r="4" spans="1:33" x14ac:dyDescent="0.25">
      <c r="A4" s="42" t="s">
        <v>277</v>
      </c>
      <c r="B4" s="401" t="s">
        <v>1399</v>
      </c>
      <c r="C4" s="423"/>
      <c r="D4" s="401" t="s">
        <v>1400</v>
      </c>
      <c r="E4" s="423"/>
      <c r="F4" s="401" t="s">
        <v>1401</v>
      </c>
      <c r="G4" s="423"/>
      <c r="H4" s="401" t="s">
        <v>1402</v>
      </c>
      <c r="I4" s="423"/>
      <c r="J4" s="421" t="s">
        <v>1403</v>
      </c>
      <c r="K4" s="423"/>
      <c r="L4" s="421" t="s">
        <v>1404</v>
      </c>
      <c r="M4" s="423"/>
      <c r="N4" s="421" t="s">
        <v>1405</v>
      </c>
      <c r="O4" s="423"/>
      <c r="P4" s="421" t="s">
        <v>1406</v>
      </c>
      <c r="Q4" s="423"/>
      <c r="R4" s="401" t="s">
        <v>1407</v>
      </c>
      <c r="S4" s="423"/>
      <c r="T4" s="401" t="s">
        <v>1408</v>
      </c>
      <c r="U4" s="423"/>
      <c r="V4" s="401" t="s">
        <v>1409</v>
      </c>
      <c r="W4" s="423"/>
      <c r="X4" s="401" t="s">
        <v>1410</v>
      </c>
      <c r="Y4" s="423"/>
      <c r="Z4" s="421" t="s">
        <v>1412</v>
      </c>
      <c r="AA4" s="423"/>
      <c r="AB4" s="421" t="s">
        <v>1413</v>
      </c>
      <c r="AC4" s="423"/>
      <c r="AD4" s="421" t="s">
        <v>1414</v>
      </c>
      <c r="AE4" s="423"/>
      <c r="AF4" s="421" t="s">
        <v>1415</v>
      </c>
      <c r="AG4" s="422"/>
    </row>
    <row r="5" spans="1:33" x14ac:dyDescent="0.25">
      <c r="A5" s="42" t="s">
        <v>274</v>
      </c>
      <c r="B5" s="401"/>
      <c r="C5" s="423"/>
      <c r="D5" s="401"/>
      <c r="E5" s="423"/>
      <c r="F5" s="401"/>
      <c r="G5" s="423"/>
      <c r="H5" s="401"/>
      <c r="I5" s="423"/>
      <c r="J5" s="401"/>
      <c r="K5" s="423"/>
      <c r="L5" s="401"/>
      <c r="M5" s="423"/>
      <c r="N5" s="401"/>
      <c r="O5" s="423"/>
      <c r="P5" s="401"/>
      <c r="Q5" s="423"/>
      <c r="R5" s="401"/>
      <c r="S5" s="423"/>
      <c r="T5" s="401"/>
      <c r="U5" s="423"/>
      <c r="V5" s="401"/>
      <c r="W5" s="423"/>
      <c r="X5" s="401"/>
      <c r="Y5" s="423"/>
      <c r="Z5" s="401"/>
      <c r="AA5" s="423"/>
      <c r="AB5" s="401"/>
      <c r="AC5" s="423"/>
      <c r="AD5" s="401"/>
      <c r="AE5" s="423"/>
      <c r="AF5" s="401"/>
      <c r="AG5" s="422"/>
    </row>
    <row r="6" spans="1:33" ht="15.75" thickBot="1" x14ac:dyDescent="0.3">
      <c r="A6" s="149" t="s">
        <v>295</v>
      </c>
      <c r="B6" s="443">
        <v>3760</v>
      </c>
      <c r="C6" s="454"/>
      <c r="D6" s="443">
        <v>4078</v>
      </c>
      <c r="E6" s="454"/>
      <c r="F6" s="443">
        <v>4184</v>
      </c>
      <c r="G6" s="454"/>
      <c r="H6" s="443">
        <v>4015</v>
      </c>
      <c r="I6" s="454"/>
      <c r="J6" s="443">
        <v>3860</v>
      </c>
      <c r="K6" s="454"/>
      <c r="L6" s="443">
        <v>3940</v>
      </c>
      <c r="M6" s="454"/>
      <c r="N6" s="443">
        <v>3980</v>
      </c>
      <c r="O6" s="454"/>
      <c r="P6" s="443">
        <v>3940</v>
      </c>
      <c r="Q6" s="454"/>
      <c r="R6" s="455">
        <v>4116</v>
      </c>
      <c r="S6" s="456"/>
      <c r="T6" s="443">
        <v>3802</v>
      </c>
      <c r="U6" s="454"/>
      <c r="V6" s="443">
        <v>3860</v>
      </c>
      <c r="W6" s="454"/>
      <c r="X6" s="443">
        <v>4024</v>
      </c>
      <c r="Y6" s="454"/>
      <c r="Z6" s="455">
        <v>4182</v>
      </c>
      <c r="AA6" s="456"/>
      <c r="AB6" s="443">
        <v>4034</v>
      </c>
      <c r="AC6" s="454"/>
      <c r="AD6" s="443">
        <v>3968</v>
      </c>
      <c r="AE6" s="454"/>
      <c r="AF6" s="443">
        <v>3800</v>
      </c>
      <c r="AG6" s="456"/>
    </row>
    <row r="7" spans="1:33" ht="15.75" thickBot="1" x14ac:dyDescent="0.3">
      <c r="A7" s="51" t="s">
        <v>296</v>
      </c>
      <c r="B7" s="322">
        <v>26000</v>
      </c>
      <c r="C7" s="361"/>
      <c r="D7" s="322">
        <v>3500</v>
      </c>
      <c r="E7" s="361"/>
      <c r="F7" s="322">
        <v>21600</v>
      </c>
      <c r="G7" s="361"/>
      <c r="H7" s="322">
        <v>30000</v>
      </c>
      <c r="I7" s="361"/>
      <c r="J7" s="322">
        <v>28100</v>
      </c>
      <c r="K7" s="361"/>
      <c r="L7" s="322">
        <v>28100</v>
      </c>
      <c r="M7" s="361"/>
      <c r="N7" s="322">
        <v>28100</v>
      </c>
      <c r="O7" s="361"/>
      <c r="P7" s="322">
        <v>28100</v>
      </c>
      <c r="Q7" s="361"/>
      <c r="R7" s="346">
        <v>8800</v>
      </c>
      <c r="S7" s="347"/>
      <c r="T7" s="322">
        <v>28500</v>
      </c>
      <c r="U7" s="361"/>
      <c r="V7" s="322">
        <v>6920</v>
      </c>
      <c r="W7" s="361"/>
      <c r="X7" s="322">
        <v>14400</v>
      </c>
      <c r="Y7" s="361"/>
      <c r="Z7" s="346">
        <v>16296</v>
      </c>
      <c r="AA7" s="347"/>
      <c r="AB7" s="322">
        <v>14400</v>
      </c>
      <c r="AC7" s="361"/>
      <c r="AD7" s="322">
        <v>8800</v>
      </c>
      <c r="AE7" s="361"/>
      <c r="AF7" s="322">
        <v>28100</v>
      </c>
      <c r="AG7" s="347"/>
    </row>
    <row r="8" spans="1:33" ht="15.75" thickBot="1" x14ac:dyDescent="0.3">
      <c r="A8" s="194" t="s">
        <v>549</v>
      </c>
      <c r="B8" s="346" t="s">
        <v>550</v>
      </c>
      <c r="C8" s="361"/>
      <c r="D8" s="346" t="s">
        <v>1709</v>
      </c>
      <c r="E8" s="361"/>
      <c r="F8" s="346" t="s">
        <v>510</v>
      </c>
      <c r="G8" s="361"/>
      <c r="H8" s="419" t="s">
        <v>403</v>
      </c>
      <c r="I8" s="420"/>
      <c r="J8" s="419" t="s">
        <v>1720</v>
      </c>
      <c r="K8" s="420"/>
      <c r="L8" s="419" t="s">
        <v>1246</v>
      </c>
      <c r="M8" s="420"/>
      <c r="N8" s="419" t="s">
        <v>1723</v>
      </c>
      <c r="O8" s="420"/>
      <c r="P8" s="419" t="s">
        <v>1724</v>
      </c>
      <c r="Q8" s="420"/>
      <c r="R8" s="419" t="s">
        <v>550</v>
      </c>
      <c r="S8" s="420"/>
      <c r="T8" s="419" t="s">
        <v>638</v>
      </c>
      <c r="U8" s="420"/>
      <c r="V8" s="419" t="s">
        <v>550</v>
      </c>
      <c r="W8" s="420"/>
      <c r="X8" s="419" t="s">
        <v>550</v>
      </c>
      <c r="Y8" s="420"/>
      <c r="Z8" s="346" t="s">
        <v>550</v>
      </c>
      <c r="AA8" s="347"/>
      <c r="AB8" s="419" t="s">
        <v>1411</v>
      </c>
      <c r="AC8" s="463"/>
      <c r="AD8" s="419" t="s">
        <v>550</v>
      </c>
      <c r="AE8" s="420"/>
      <c r="AF8" s="419" t="s">
        <v>1757</v>
      </c>
      <c r="AG8" s="463"/>
    </row>
    <row r="9" spans="1:33" ht="15.75" thickBot="1" x14ac:dyDescent="0.3">
      <c r="A9" s="49" t="s">
        <v>275</v>
      </c>
      <c r="B9" s="45" t="s">
        <v>272</v>
      </c>
      <c r="C9" s="48" t="s">
        <v>271</v>
      </c>
      <c r="D9" s="45" t="s">
        <v>272</v>
      </c>
      <c r="E9" s="46" t="s">
        <v>271</v>
      </c>
      <c r="F9" s="45" t="s">
        <v>272</v>
      </c>
      <c r="G9" s="46" t="s">
        <v>271</v>
      </c>
      <c r="H9" s="47" t="s">
        <v>272</v>
      </c>
      <c r="I9" s="46" t="s">
        <v>271</v>
      </c>
      <c r="J9" s="45" t="s">
        <v>272</v>
      </c>
      <c r="K9" s="46" t="s">
        <v>271</v>
      </c>
      <c r="L9" s="45" t="s">
        <v>272</v>
      </c>
      <c r="M9" s="46" t="s">
        <v>271</v>
      </c>
      <c r="N9" s="45" t="s">
        <v>272</v>
      </c>
      <c r="O9" s="46" t="s">
        <v>271</v>
      </c>
      <c r="P9" s="45" t="s">
        <v>272</v>
      </c>
      <c r="Q9" s="46" t="s">
        <v>271</v>
      </c>
      <c r="R9" s="45" t="s">
        <v>272</v>
      </c>
      <c r="S9" s="46" t="s">
        <v>271</v>
      </c>
      <c r="T9" s="45" t="s">
        <v>272</v>
      </c>
      <c r="U9" s="46" t="s">
        <v>271</v>
      </c>
      <c r="V9" s="45" t="s">
        <v>272</v>
      </c>
      <c r="W9" s="46" t="s">
        <v>271</v>
      </c>
      <c r="X9" s="46" t="s">
        <v>272</v>
      </c>
      <c r="Y9" s="45" t="s">
        <v>271</v>
      </c>
      <c r="Z9" s="45" t="s">
        <v>272</v>
      </c>
      <c r="AA9" s="46" t="s">
        <v>271</v>
      </c>
      <c r="AB9" s="45" t="s">
        <v>272</v>
      </c>
      <c r="AC9" s="46" t="s">
        <v>271</v>
      </c>
      <c r="AD9" s="45" t="s">
        <v>272</v>
      </c>
      <c r="AE9" s="48" t="s">
        <v>271</v>
      </c>
      <c r="AF9" s="208" t="s">
        <v>272</v>
      </c>
      <c r="AG9" s="91" t="s">
        <v>271</v>
      </c>
    </row>
    <row r="10" spans="1:33" x14ac:dyDescent="0.25">
      <c r="A10" s="191">
        <v>1</v>
      </c>
      <c r="B10" s="44">
        <v>4</v>
      </c>
      <c r="C10" s="18" t="s">
        <v>1228</v>
      </c>
      <c r="D10" s="44">
        <v>21</v>
      </c>
      <c r="E10" s="98" t="s">
        <v>1285</v>
      </c>
      <c r="F10" s="44" t="s">
        <v>645</v>
      </c>
      <c r="G10" s="3" t="s">
        <v>1710</v>
      </c>
      <c r="H10" s="16">
        <v>1</v>
      </c>
      <c r="I10" s="3" t="s">
        <v>398</v>
      </c>
      <c r="J10" s="44">
        <v>14</v>
      </c>
      <c r="K10" s="18" t="s">
        <v>545</v>
      </c>
      <c r="L10" s="44">
        <v>6001</v>
      </c>
      <c r="M10" s="3" t="s">
        <v>1043</v>
      </c>
      <c r="N10" s="44">
        <v>11</v>
      </c>
      <c r="O10" s="3" t="s">
        <v>819</v>
      </c>
      <c r="P10" s="44">
        <v>6001</v>
      </c>
      <c r="Q10" s="3" t="s">
        <v>825</v>
      </c>
      <c r="R10" s="44">
        <v>1</v>
      </c>
      <c r="S10" s="187" t="s">
        <v>1255</v>
      </c>
      <c r="T10" s="8" t="s">
        <v>595</v>
      </c>
      <c r="U10" s="3" t="s">
        <v>594</v>
      </c>
      <c r="V10" s="44">
        <v>1</v>
      </c>
      <c r="W10" s="184" t="s">
        <v>1268</v>
      </c>
      <c r="X10" s="8" t="s">
        <v>1725</v>
      </c>
      <c r="Y10" s="4" t="s">
        <v>1726</v>
      </c>
      <c r="Z10" s="8"/>
      <c r="AA10" s="56"/>
      <c r="AB10" s="8" t="s">
        <v>1725</v>
      </c>
      <c r="AC10" s="97" t="s">
        <v>1726</v>
      </c>
      <c r="AD10" s="44"/>
      <c r="AE10" s="19"/>
      <c r="AF10" s="7">
        <v>1914</v>
      </c>
      <c r="AG10" s="209" t="s">
        <v>1753</v>
      </c>
    </row>
    <row r="11" spans="1:33" x14ac:dyDescent="0.25">
      <c r="A11" s="192">
        <v>2</v>
      </c>
      <c r="B11" s="44">
        <v>5</v>
      </c>
      <c r="C11" s="19" t="s">
        <v>1229</v>
      </c>
      <c r="D11" s="8">
        <v>22</v>
      </c>
      <c r="E11" s="97" t="s">
        <v>1708</v>
      </c>
      <c r="F11" s="8" t="s">
        <v>595</v>
      </c>
      <c r="G11" s="4" t="s">
        <v>507</v>
      </c>
      <c r="H11" s="195">
        <v>2</v>
      </c>
      <c r="I11" s="4" t="s">
        <v>399</v>
      </c>
      <c r="J11" s="8">
        <v>15</v>
      </c>
      <c r="K11" s="19" t="s">
        <v>530</v>
      </c>
      <c r="L11" s="8">
        <v>6008</v>
      </c>
      <c r="M11" s="4" t="s">
        <v>1241</v>
      </c>
      <c r="N11" s="8">
        <v>12</v>
      </c>
      <c r="O11" s="4" t="s">
        <v>829</v>
      </c>
      <c r="P11" s="8">
        <v>6008</v>
      </c>
      <c r="Q11" s="97" t="s">
        <v>1241</v>
      </c>
      <c r="R11" s="8">
        <v>2</v>
      </c>
      <c r="S11" s="4" t="s">
        <v>968</v>
      </c>
      <c r="T11" s="8" t="s">
        <v>596</v>
      </c>
      <c r="U11" s="4" t="s">
        <v>1263</v>
      </c>
      <c r="V11" s="8">
        <v>2</v>
      </c>
      <c r="W11" s="4" t="s">
        <v>1269</v>
      </c>
      <c r="X11" s="8" t="s">
        <v>1727</v>
      </c>
      <c r="Y11" s="4" t="s">
        <v>1544</v>
      </c>
      <c r="Z11" s="8"/>
      <c r="AA11" s="4"/>
      <c r="AB11" s="8" t="s">
        <v>1727</v>
      </c>
      <c r="AC11" s="4" t="s">
        <v>1544</v>
      </c>
      <c r="AD11" s="8"/>
      <c r="AE11" s="19"/>
      <c r="AF11" s="8">
        <v>1915</v>
      </c>
      <c r="AG11" s="207" t="s">
        <v>1753</v>
      </c>
    </row>
    <row r="12" spans="1:33" x14ac:dyDescent="0.25">
      <c r="A12" s="192">
        <v>3</v>
      </c>
      <c r="B12" s="44">
        <v>6</v>
      </c>
      <c r="C12" s="186" t="s">
        <v>1230</v>
      </c>
      <c r="D12" s="8"/>
      <c r="E12" s="4"/>
      <c r="F12" s="8" t="s">
        <v>596</v>
      </c>
      <c r="G12" s="4" t="s">
        <v>1711</v>
      </c>
      <c r="H12" s="195">
        <v>4</v>
      </c>
      <c r="I12" s="4" t="s">
        <v>400</v>
      </c>
      <c r="J12" s="8">
        <v>20</v>
      </c>
      <c r="K12" s="99" t="s">
        <v>546</v>
      </c>
      <c r="L12" s="8">
        <v>6011</v>
      </c>
      <c r="M12" s="4" t="s">
        <v>1060</v>
      </c>
      <c r="N12" s="8">
        <v>13</v>
      </c>
      <c r="O12" s="4" t="s">
        <v>821</v>
      </c>
      <c r="P12" s="8">
        <v>6011</v>
      </c>
      <c r="Q12" s="4" t="s">
        <v>1060</v>
      </c>
      <c r="R12" s="8">
        <v>3</v>
      </c>
      <c r="S12" s="4" t="s">
        <v>1256</v>
      </c>
      <c r="T12" s="8" t="s">
        <v>598</v>
      </c>
      <c r="U12" s="4" t="s">
        <v>597</v>
      </c>
      <c r="V12" s="8"/>
      <c r="W12" s="4"/>
      <c r="X12" s="8" t="s">
        <v>1728</v>
      </c>
      <c r="Y12" s="4" t="s">
        <v>1653</v>
      </c>
      <c r="Z12" s="8"/>
      <c r="AA12" s="4"/>
      <c r="AB12" s="8" t="s">
        <v>1728</v>
      </c>
      <c r="AC12" s="4" t="s">
        <v>1653</v>
      </c>
      <c r="AD12" s="8"/>
      <c r="AE12" s="19"/>
      <c r="AF12" s="8">
        <v>1922</v>
      </c>
      <c r="AG12" s="207" t="s">
        <v>1655</v>
      </c>
    </row>
    <row r="13" spans="1:33" x14ac:dyDescent="0.25">
      <c r="A13" s="192">
        <v>4</v>
      </c>
      <c r="B13" s="8">
        <v>7</v>
      </c>
      <c r="C13" s="19" t="s">
        <v>1231</v>
      </c>
      <c r="D13" s="8"/>
      <c r="E13" s="4"/>
      <c r="F13" s="8" t="s">
        <v>598</v>
      </c>
      <c r="G13" s="4" t="s">
        <v>1712</v>
      </c>
      <c r="H13" s="195">
        <v>5</v>
      </c>
      <c r="I13" s="4" t="s">
        <v>401</v>
      </c>
      <c r="J13" s="8">
        <v>1411</v>
      </c>
      <c r="K13" s="19" t="s">
        <v>530</v>
      </c>
      <c r="L13" s="8">
        <v>6018</v>
      </c>
      <c r="M13" s="4" t="s">
        <v>1242</v>
      </c>
      <c r="N13" s="8">
        <v>17</v>
      </c>
      <c r="O13" s="4" t="s">
        <v>1247</v>
      </c>
      <c r="P13" s="8">
        <v>6018</v>
      </c>
      <c r="Q13" s="97" t="s">
        <v>1242</v>
      </c>
      <c r="R13" s="8">
        <v>4</v>
      </c>
      <c r="S13" s="4" t="s">
        <v>1257</v>
      </c>
      <c r="T13" s="8" t="s">
        <v>600</v>
      </c>
      <c r="U13" s="4" t="s">
        <v>599</v>
      </c>
      <c r="V13" s="8"/>
      <c r="W13" s="4"/>
      <c r="X13" s="8" t="s">
        <v>1729</v>
      </c>
      <c r="Y13" s="4" t="s">
        <v>1730</v>
      </c>
      <c r="Z13" s="8"/>
      <c r="AA13" s="4"/>
      <c r="AB13" s="8" t="s">
        <v>1729</v>
      </c>
      <c r="AC13" s="4" t="s">
        <v>1744</v>
      </c>
      <c r="AD13" s="8"/>
      <c r="AE13" s="19"/>
      <c r="AF13" s="8">
        <v>1923</v>
      </c>
      <c r="AG13" s="207" t="s">
        <v>1655</v>
      </c>
    </row>
    <row r="14" spans="1:33" x14ac:dyDescent="0.25">
      <c r="A14" s="192">
        <v>5</v>
      </c>
      <c r="B14" s="8">
        <v>12</v>
      </c>
      <c r="C14" s="186" t="s">
        <v>1232</v>
      </c>
      <c r="D14" s="8"/>
      <c r="E14" s="130"/>
      <c r="F14" s="8" t="s">
        <v>600</v>
      </c>
      <c r="G14" s="130" t="s">
        <v>508</v>
      </c>
      <c r="H14" s="195">
        <v>6</v>
      </c>
      <c r="I14" s="4" t="s">
        <v>402</v>
      </c>
      <c r="J14" s="8">
        <v>1412</v>
      </c>
      <c r="K14" s="99" t="s">
        <v>531</v>
      </c>
      <c r="L14" s="8">
        <v>6021</v>
      </c>
      <c r="M14" s="4" t="s">
        <v>1046</v>
      </c>
      <c r="N14" s="8">
        <v>26</v>
      </c>
      <c r="O14" s="4" t="s">
        <v>1248</v>
      </c>
      <c r="P14" s="8">
        <v>6021</v>
      </c>
      <c r="Q14" s="4" t="s">
        <v>1046</v>
      </c>
      <c r="R14" s="8">
        <v>5</v>
      </c>
      <c r="S14" s="4" t="s">
        <v>1258</v>
      </c>
      <c r="T14" s="8" t="s">
        <v>602</v>
      </c>
      <c r="U14" s="4" t="s">
        <v>601</v>
      </c>
      <c r="V14" s="8"/>
      <c r="W14" s="4"/>
      <c r="X14" s="8" t="s">
        <v>1731</v>
      </c>
      <c r="Y14" s="184" t="s">
        <v>1732</v>
      </c>
      <c r="Z14" s="8"/>
      <c r="AA14" s="4"/>
      <c r="AB14" s="8" t="s">
        <v>1731</v>
      </c>
      <c r="AC14" s="4" t="s">
        <v>1732</v>
      </c>
      <c r="AD14" s="8"/>
      <c r="AE14" s="19"/>
      <c r="AF14" s="8">
        <v>1926</v>
      </c>
      <c r="AG14" s="207" t="s">
        <v>1612</v>
      </c>
    </row>
    <row r="15" spans="1:33" ht="14.65" customHeight="1" x14ac:dyDescent="0.25">
      <c r="A15" s="192">
        <v>6</v>
      </c>
      <c r="B15" s="8">
        <v>37</v>
      </c>
      <c r="C15" s="203" t="s">
        <v>1233</v>
      </c>
      <c r="D15" s="8"/>
      <c r="E15" s="4"/>
      <c r="F15" s="8" t="s">
        <v>602</v>
      </c>
      <c r="G15" s="4" t="s">
        <v>1713</v>
      </c>
      <c r="H15" s="195">
        <v>7</v>
      </c>
      <c r="I15" s="99" t="s">
        <v>403</v>
      </c>
      <c r="J15" s="8">
        <v>1423</v>
      </c>
      <c r="K15" s="19" t="s">
        <v>545</v>
      </c>
      <c r="L15" s="8">
        <v>6031</v>
      </c>
      <c r="M15" s="4" t="s">
        <v>1051</v>
      </c>
      <c r="N15" s="8">
        <v>27</v>
      </c>
      <c r="O15" s="4" t="s">
        <v>825</v>
      </c>
      <c r="P15" s="8">
        <v>6031</v>
      </c>
      <c r="Q15" s="4" t="s">
        <v>1051</v>
      </c>
      <c r="R15" s="8">
        <v>6</v>
      </c>
      <c r="S15" s="4" t="s">
        <v>1259</v>
      </c>
      <c r="T15" s="8" t="s">
        <v>603</v>
      </c>
      <c r="U15" s="101" t="s">
        <v>643</v>
      </c>
      <c r="V15" s="8"/>
      <c r="W15" s="4"/>
      <c r="X15" s="8" t="s">
        <v>1658</v>
      </c>
      <c r="Y15" s="4" t="s">
        <v>1733</v>
      </c>
      <c r="Z15" s="8"/>
      <c r="AA15" s="4"/>
      <c r="AB15" s="8" t="s">
        <v>1658</v>
      </c>
      <c r="AC15" s="4" t="s">
        <v>1745</v>
      </c>
      <c r="AD15" s="8"/>
      <c r="AE15" s="19"/>
      <c r="AF15" s="8">
        <v>1927</v>
      </c>
      <c r="AG15" s="207" t="s">
        <v>1566</v>
      </c>
    </row>
    <row r="16" spans="1:33" x14ac:dyDescent="0.25">
      <c r="A16" s="192">
        <v>7</v>
      </c>
      <c r="B16" s="8">
        <v>40</v>
      </c>
      <c r="C16" s="19" t="s">
        <v>1234</v>
      </c>
      <c r="D16" s="8"/>
      <c r="E16" s="4"/>
      <c r="F16" s="8" t="s">
        <v>603</v>
      </c>
      <c r="G16" s="4" t="s">
        <v>1714</v>
      </c>
      <c r="H16" s="195">
        <v>8</v>
      </c>
      <c r="I16" s="4" t="s">
        <v>404</v>
      </c>
      <c r="J16" s="8">
        <v>1424</v>
      </c>
      <c r="K16" s="19" t="s">
        <v>545</v>
      </c>
      <c r="L16" s="8">
        <v>6041</v>
      </c>
      <c r="M16" s="4" t="s">
        <v>1243</v>
      </c>
      <c r="N16" s="8">
        <v>37</v>
      </c>
      <c r="O16" s="97" t="s">
        <v>1249</v>
      </c>
      <c r="P16" s="8">
        <v>6041</v>
      </c>
      <c r="Q16" s="4" t="s">
        <v>1243</v>
      </c>
      <c r="R16" s="8">
        <v>7</v>
      </c>
      <c r="S16" s="4" t="s">
        <v>1260</v>
      </c>
      <c r="T16" s="8" t="s">
        <v>605</v>
      </c>
      <c r="U16" s="4" t="s">
        <v>604</v>
      </c>
      <c r="V16" s="8"/>
      <c r="W16" s="4"/>
      <c r="X16" s="8" t="s">
        <v>1659</v>
      </c>
      <c r="Y16" s="184" t="s">
        <v>1607</v>
      </c>
      <c r="Z16" s="8"/>
      <c r="AA16" s="4"/>
      <c r="AB16" s="8" t="s">
        <v>1659</v>
      </c>
      <c r="AC16" s="4" t="s">
        <v>1607</v>
      </c>
      <c r="AD16" s="8"/>
      <c r="AE16" s="19"/>
      <c r="AF16" s="8">
        <v>1928</v>
      </c>
      <c r="AG16" s="207" t="s">
        <v>1628</v>
      </c>
    </row>
    <row r="17" spans="1:33" ht="14.65" customHeight="1" x14ac:dyDescent="0.25">
      <c r="A17" s="192">
        <v>8</v>
      </c>
      <c r="B17" s="8">
        <v>41</v>
      </c>
      <c r="C17" s="19" t="s">
        <v>1235</v>
      </c>
      <c r="D17" s="8"/>
      <c r="E17" s="4"/>
      <c r="F17" s="8" t="s">
        <v>605</v>
      </c>
      <c r="G17" s="4" t="s">
        <v>1715</v>
      </c>
      <c r="H17" s="195">
        <v>9</v>
      </c>
      <c r="I17" s="4" t="s">
        <v>405</v>
      </c>
      <c r="J17" s="8">
        <v>1425</v>
      </c>
      <c r="K17" s="19" t="s">
        <v>531</v>
      </c>
      <c r="L17" s="8">
        <v>6051</v>
      </c>
      <c r="M17" s="4" t="s">
        <v>835</v>
      </c>
      <c r="N17" s="8">
        <v>39</v>
      </c>
      <c r="O17" s="4" t="s">
        <v>1250</v>
      </c>
      <c r="P17" s="8">
        <v>6051</v>
      </c>
      <c r="Q17" s="4" t="s">
        <v>835</v>
      </c>
      <c r="R17" s="8">
        <v>8</v>
      </c>
      <c r="S17" s="4" t="s">
        <v>1261</v>
      </c>
      <c r="T17" s="8" t="s">
        <v>607</v>
      </c>
      <c r="U17" s="4" t="s">
        <v>1264</v>
      </c>
      <c r="V17" s="8"/>
      <c r="W17" s="4"/>
      <c r="X17" s="8" t="s">
        <v>1660</v>
      </c>
      <c r="Y17" s="4" t="s">
        <v>1734</v>
      </c>
      <c r="Z17" s="8"/>
      <c r="AA17" s="4"/>
      <c r="AB17" s="8" t="s">
        <v>1660</v>
      </c>
      <c r="AC17" s="4" t="s">
        <v>1734</v>
      </c>
      <c r="AD17" s="8"/>
      <c r="AE17" s="19"/>
      <c r="AF17" s="8">
        <v>1929</v>
      </c>
      <c r="AG17" s="207" t="s">
        <v>1570</v>
      </c>
    </row>
    <row r="18" spans="1:33" x14ac:dyDescent="0.25">
      <c r="A18" s="192">
        <v>9</v>
      </c>
      <c r="B18" s="8">
        <v>42</v>
      </c>
      <c r="C18" s="19" t="s">
        <v>1236</v>
      </c>
      <c r="D18" s="8"/>
      <c r="E18" s="4"/>
      <c r="F18" s="8" t="s">
        <v>607</v>
      </c>
      <c r="G18" s="97" t="s">
        <v>510</v>
      </c>
      <c r="H18" s="195">
        <v>15</v>
      </c>
      <c r="I18" s="4" t="s">
        <v>406</v>
      </c>
      <c r="J18" s="8">
        <v>1426</v>
      </c>
      <c r="K18" s="19" t="s">
        <v>531</v>
      </c>
      <c r="L18" s="8">
        <v>6091</v>
      </c>
      <c r="M18" s="4" t="s">
        <v>1244</v>
      </c>
      <c r="N18" s="8">
        <v>51</v>
      </c>
      <c r="O18" s="4" t="s">
        <v>821</v>
      </c>
      <c r="P18" s="8">
        <v>6091</v>
      </c>
      <c r="Q18" s="97" t="s">
        <v>1244</v>
      </c>
      <c r="R18" s="8">
        <v>9</v>
      </c>
      <c r="S18" s="4" t="s">
        <v>1262</v>
      </c>
      <c r="T18" s="8" t="s">
        <v>609</v>
      </c>
      <c r="U18" s="4" t="s">
        <v>608</v>
      </c>
      <c r="V18" s="8"/>
      <c r="W18" s="4"/>
      <c r="X18" s="8" t="s">
        <v>1735</v>
      </c>
      <c r="Y18" s="4" t="s">
        <v>1736</v>
      </c>
      <c r="Z18" s="8"/>
      <c r="AA18" s="4"/>
      <c r="AB18" s="8" t="s">
        <v>1735</v>
      </c>
      <c r="AC18" s="4" t="s">
        <v>1736</v>
      </c>
      <c r="AD18" s="8"/>
      <c r="AE18" s="19"/>
      <c r="AF18" s="8">
        <v>6009</v>
      </c>
      <c r="AG18" s="207" t="s">
        <v>1662</v>
      </c>
    </row>
    <row r="19" spans="1:33" x14ac:dyDescent="0.25">
      <c r="A19" s="192">
        <v>10</v>
      </c>
      <c r="B19" s="8">
        <v>202</v>
      </c>
      <c r="C19" s="186" t="s">
        <v>1237</v>
      </c>
      <c r="D19" s="8"/>
      <c r="E19" s="4"/>
      <c r="F19" s="8" t="s">
        <v>1716</v>
      </c>
      <c r="G19" s="4" t="s">
        <v>511</v>
      </c>
      <c r="H19" s="195">
        <v>16</v>
      </c>
      <c r="I19" s="186" t="s">
        <v>407</v>
      </c>
      <c r="J19" s="8">
        <v>1427</v>
      </c>
      <c r="K19" s="19" t="s">
        <v>532</v>
      </c>
      <c r="L19" s="8">
        <v>6096</v>
      </c>
      <c r="M19" s="4" t="s">
        <v>1245</v>
      </c>
      <c r="N19" s="8">
        <v>1511</v>
      </c>
      <c r="O19" s="4" t="s">
        <v>1251</v>
      </c>
      <c r="P19" s="8">
        <v>6096</v>
      </c>
      <c r="Q19" s="97" t="s">
        <v>1055</v>
      </c>
      <c r="R19" s="8"/>
      <c r="S19" s="4"/>
      <c r="T19" s="8" t="s">
        <v>611</v>
      </c>
      <c r="U19" s="4" t="s">
        <v>610</v>
      </c>
      <c r="V19" s="8"/>
      <c r="W19" s="4"/>
      <c r="X19" s="8" t="s">
        <v>1737</v>
      </c>
      <c r="Y19" s="4" t="s">
        <v>1738</v>
      </c>
      <c r="Z19" s="8"/>
      <c r="AA19" s="4"/>
      <c r="AB19" s="8" t="s">
        <v>1737</v>
      </c>
      <c r="AC19" s="4" t="s">
        <v>1738</v>
      </c>
      <c r="AD19" s="8"/>
      <c r="AE19" s="19"/>
      <c r="AF19" s="8">
        <v>6082</v>
      </c>
      <c r="AG19" s="207" t="s">
        <v>1754</v>
      </c>
    </row>
    <row r="20" spans="1:33" x14ac:dyDescent="0.25">
      <c r="A20" s="192">
        <v>11</v>
      </c>
      <c r="B20" s="8"/>
      <c r="C20" s="19"/>
      <c r="D20" s="8"/>
      <c r="E20" s="4"/>
      <c r="F20" s="8" t="s">
        <v>653</v>
      </c>
      <c r="G20" s="4" t="s">
        <v>512</v>
      </c>
      <c r="H20" s="195">
        <v>17</v>
      </c>
      <c r="I20" s="4" t="s">
        <v>408</v>
      </c>
      <c r="J20" s="8">
        <v>1428</v>
      </c>
      <c r="K20" s="19" t="s">
        <v>532</v>
      </c>
      <c r="L20" s="8">
        <v>6101</v>
      </c>
      <c r="M20" s="97" t="s">
        <v>1246</v>
      </c>
      <c r="N20" s="8">
        <v>1702</v>
      </c>
      <c r="O20" s="4" t="s">
        <v>821</v>
      </c>
      <c r="P20" s="8">
        <v>6101</v>
      </c>
      <c r="Q20" s="4" t="s">
        <v>1246</v>
      </c>
      <c r="R20" s="8"/>
      <c r="S20" s="4"/>
      <c r="T20" s="8" t="s">
        <v>613</v>
      </c>
      <c r="U20" s="4" t="s">
        <v>612</v>
      </c>
      <c r="V20" s="8"/>
      <c r="W20" s="4"/>
      <c r="X20" s="8" t="s">
        <v>1739</v>
      </c>
      <c r="Y20" s="4" t="s">
        <v>1740</v>
      </c>
      <c r="Z20" s="8"/>
      <c r="AA20" s="4"/>
      <c r="AB20" s="8" t="s">
        <v>1739</v>
      </c>
      <c r="AC20" s="4" t="s">
        <v>1740</v>
      </c>
      <c r="AD20" s="8"/>
      <c r="AE20" s="19"/>
      <c r="AF20" s="8">
        <v>6083</v>
      </c>
      <c r="AG20" s="210" t="s">
        <v>1754</v>
      </c>
    </row>
    <row r="21" spans="1:33" x14ac:dyDescent="0.25">
      <c r="A21" s="192">
        <v>12</v>
      </c>
      <c r="B21" s="8"/>
      <c r="C21" s="19"/>
      <c r="D21" s="8"/>
      <c r="E21" s="4"/>
      <c r="F21" s="8" t="s">
        <v>613</v>
      </c>
      <c r="G21" s="4" t="s">
        <v>1717</v>
      </c>
      <c r="H21" s="195">
        <v>19</v>
      </c>
      <c r="I21" s="4" t="s">
        <v>409</v>
      </c>
      <c r="J21" s="8">
        <v>1435</v>
      </c>
      <c r="K21" s="133" t="s">
        <v>544</v>
      </c>
      <c r="L21" s="8"/>
      <c r="M21" s="4"/>
      <c r="N21" s="8">
        <v>1704</v>
      </c>
      <c r="O21" s="4" t="s">
        <v>819</v>
      </c>
      <c r="P21" s="8"/>
      <c r="Q21" s="4"/>
      <c r="R21" s="8"/>
      <c r="S21" s="4"/>
      <c r="T21" s="8" t="s">
        <v>615</v>
      </c>
      <c r="U21" s="4" t="s">
        <v>614</v>
      </c>
      <c r="V21" s="8"/>
      <c r="W21" s="4"/>
      <c r="X21" s="8" t="s">
        <v>1741</v>
      </c>
      <c r="Y21" s="4" t="s">
        <v>1742</v>
      </c>
      <c r="Z21" s="8"/>
      <c r="AA21" s="4"/>
      <c r="AB21" s="8" t="s">
        <v>1741</v>
      </c>
      <c r="AC21" s="4" t="s">
        <v>1742</v>
      </c>
      <c r="AD21" s="8"/>
      <c r="AE21" s="19"/>
      <c r="AF21" s="8">
        <v>6087</v>
      </c>
      <c r="AG21" s="207" t="s">
        <v>1755</v>
      </c>
    </row>
    <row r="22" spans="1:33" x14ac:dyDescent="0.25">
      <c r="A22" s="192">
        <v>13</v>
      </c>
      <c r="B22" s="8"/>
      <c r="C22" s="19"/>
      <c r="D22" s="8"/>
      <c r="E22" s="4"/>
      <c r="F22" s="8" t="s">
        <v>617</v>
      </c>
      <c r="G22" s="4" t="s">
        <v>513</v>
      </c>
      <c r="H22" s="195">
        <v>21</v>
      </c>
      <c r="I22" s="4" t="s">
        <v>410</v>
      </c>
      <c r="J22" s="8">
        <v>1436</v>
      </c>
      <c r="K22" s="19" t="s">
        <v>544</v>
      </c>
      <c r="L22" s="8"/>
      <c r="M22" s="4"/>
      <c r="N22" s="8">
        <v>1707</v>
      </c>
      <c r="O22" s="4" t="s">
        <v>825</v>
      </c>
      <c r="P22" s="8"/>
      <c r="Q22" s="4"/>
      <c r="R22" s="8"/>
      <c r="S22" s="4"/>
      <c r="T22" s="8" t="s">
        <v>617</v>
      </c>
      <c r="U22" s="4" t="s">
        <v>616</v>
      </c>
      <c r="V22" s="8"/>
      <c r="W22" s="4"/>
      <c r="X22" s="8" t="s">
        <v>1743</v>
      </c>
      <c r="Y22" s="4" t="s">
        <v>655</v>
      </c>
      <c r="Z22" s="8"/>
      <c r="AA22" s="4"/>
      <c r="AB22" s="8" t="s">
        <v>1743</v>
      </c>
      <c r="AC22" s="4" t="s">
        <v>655</v>
      </c>
      <c r="AD22" s="8"/>
      <c r="AE22" s="19"/>
      <c r="AF22" s="8">
        <v>6088</v>
      </c>
      <c r="AG22" s="207" t="s">
        <v>1755</v>
      </c>
    </row>
    <row r="23" spans="1:33" ht="15" customHeight="1" x14ac:dyDescent="0.25">
      <c r="A23" s="192">
        <v>14</v>
      </c>
      <c r="B23" s="8"/>
      <c r="C23" s="19"/>
      <c r="D23" s="8"/>
      <c r="E23" s="4"/>
      <c r="F23" s="8" t="s">
        <v>1453</v>
      </c>
      <c r="G23" s="4" t="s">
        <v>1718</v>
      </c>
      <c r="H23" s="195">
        <v>23</v>
      </c>
      <c r="I23" s="4" t="s">
        <v>411</v>
      </c>
      <c r="J23" s="83">
        <v>1437</v>
      </c>
      <c r="K23" s="82" t="s">
        <v>543</v>
      </c>
      <c r="L23" s="8"/>
      <c r="M23" s="4"/>
      <c r="N23" s="8">
        <v>1735</v>
      </c>
      <c r="O23" s="184" t="s">
        <v>1250</v>
      </c>
      <c r="P23" s="8"/>
      <c r="Q23" s="4"/>
      <c r="R23" s="8"/>
      <c r="S23" s="4"/>
      <c r="T23" s="8" t="s">
        <v>619</v>
      </c>
      <c r="U23" s="4" t="s">
        <v>1265</v>
      </c>
      <c r="V23" s="8"/>
      <c r="W23" s="4"/>
      <c r="X23" s="8"/>
      <c r="Y23" s="4"/>
      <c r="Z23" s="8"/>
      <c r="AA23" s="4"/>
      <c r="AB23" s="8"/>
      <c r="AC23" s="4"/>
      <c r="AD23" s="8"/>
      <c r="AE23" s="19"/>
      <c r="AF23" s="8">
        <v>6089</v>
      </c>
      <c r="AG23" s="207" t="s">
        <v>1440</v>
      </c>
    </row>
    <row r="24" spans="1:33" x14ac:dyDescent="0.25">
      <c r="A24" s="192">
        <v>15</v>
      </c>
      <c r="B24" s="8"/>
      <c r="C24" s="19"/>
      <c r="D24" s="8"/>
      <c r="E24" s="4"/>
      <c r="F24" s="8" t="s">
        <v>619</v>
      </c>
      <c r="G24" s="4" t="s">
        <v>1719</v>
      </c>
      <c r="H24" s="195">
        <v>24</v>
      </c>
      <c r="I24" s="4" t="s">
        <v>412</v>
      </c>
      <c r="J24" s="8">
        <v>1438</v>
      </c>
      <c r="K24" s="82" t="s">
        <v>543</v>
      </c>
      <c r="L24" s="8"/>
      <c r="M24" s="4"/>
      <c r="N24" s="8">
        <v>1751</v>
      </c>
      <c r="O24" s="4" t="s">
        <v>1252</v>
      </c>
      <c r="P24" s="8"/>
      <c r="Q24" s="4"/>
      <c r="R24" s="8"/>
      <c r="S24" s="4"/>
      <c r="T24" s="8" t="s">
        <v>621</v>
      </c>
      <c r="U24" s="4" t="s">
        <v>1266</v>
      </c>
      <c r="V24" s="8"/>
      <c r="W24" s="4"/>
      <c r="X24" s="8"/>
      <c r="Y24" s="4"/>
      <c r="Z24" s="8"/>
      <c r="AA24" s="4"/>
      <c r="AB24" s="8"/>
      <c r="AC24" s="4"/>
      <c r="AD24" s="8"/>
      <c r="AE24" s="19"/>
      <c r="AF24" s="8">
        <v>6090</v>
      </c>
      <c r="AG24" s="210" t="s">
        <v>1440</v>
      </c>
    </row>
    <row r="25" spans="1:33" x14ac:dyDescent="0.25">
      <c r="A25" s="192">
        <v>16</v>
      </c>
      <c r="B25" s="131"/>
      <c r="C25" s="19"/>
      <c r="D25" s="8"/>
      <c r="E25" s="4"/>
      <c r="F25" s="8" t="s">
        <v>1454</v>
      </c>
      <c r="G25" s="4" t="s">
        <v>489</v>
      </c>
      <c r="H25" s="195">
        <v>26</v>
      </c>
      <c r="I25" s="131" t="s">
        <v>413</v>
      </c>
      <c r="J25" s="59">
        <v>1441</v>
      </c>
      <c r="K25" s="82" t="s">
        <v>530</v>
      </c>
      <c r="L25" s="131"/>
      <c r="M25" s="131"/>
      <c r="N25" s="131">
        <v>1752</v>
      </c>
      <c r="O25" s="204" t="s">
        <v>1251</v>
      </c>
      <c r="P25" s="131"/>
      <c r="Q25" s="131"/>
      <c r="R25" s="131"/>
      <c r="S25" s="4"/>
      <c r="T25" s="8" t="s">
        <v>623</v>
      </c>
      <c r="U25" s="4" t="s">
        <v>622</v>
      </c>
      <c r="V25" s="131"/>
      <c r="W25" s="131"/>
      <c r="X25" s="8"/>
      <c r="Y25" s="4"/>
      <c r="Z25" s="131"/>
      <c r="AA25" s="131"/>
      <c r="AB25" s="131"/>
      <c r="AC25" s="131"/>
      <c r="AD25" s="131"/>
      <c r="AE25" s="19"/>
      <c r="AF25" s="8">
        <v>6092</v>
      </c>
      <c r="AG25" s="207" t="s">
        <v>1756</v>
      </c>
    </row>
    <row r="26" spans="1:33" x14ac:dyDescent="0.25">
      <c r="A26" s="192">
        <v>17</v>
      </c>
      <c r="B26" s="131"/>
      <c r="C26" s="19"/>
      <c r="D26" s="8"/>
      <c r="E26" s="4"/>
      <c r="F26" s="8"/>
      <c r="G26" s="4"/>
      <c r="H26" s="195">
        <v>27</v>
      </c>
      <c r="I26" s="131" t="s">
        <v>414</v>
      </c>
      <c r="J26" s="59">
        <v>1442</v>
      </c>
      <c r="K26" s="82" t="s">
        <v>530</v>
      </c>
      <c r="L26" s="131"/>
      <c r="M26" s="131"/>
      <c r="N26" s="131">
        <v>1777</v>
      </c>
      <c r="O26" s="131" t="s">
        <v>1249</v>
      </c>
      <c r="P26" s="131"/>
      <c r="Q26" s="131"/>
      <c r="R26" s="131"/>
      <c r="S26" s="131"/>
      <c r="T26" s="8" t="s">
        <v>625</v>
      </c>
      <c r="U26" s="4" t="s">
        <v>624</v>
      </c>
      <c r="V26" s="131"/>
      <c r="W26" s="131"/>
      <c r="X26" s="8"/>
      <c r="Y26" s="4"/>
      <c r="Z26" s="131"/>
      <c r="AA26" s="131"/>
      <c r="AB26" s="131"/>
      <c r="AC26" s="131"/>
      <c r="AD26" s="131"/>
      <c r="AE26" s="19"/>
      <c r="AF26" s="8">
        <v>6093</v>
      </c>
      <c r="AG26" s="207" t="s">
        <v>1756</v>
      </c>
    </row>
    <row r="27" spans="1:33" x14ac:dyDescent="0.25">
      <c r="A27" s="192">
        <v>18</v>
      </c>
      <c r="B27" s="131"/>
      <c r="C27" s="19"/>
      <c r="D27" s="8"/>
      <c r="E27" s="4"/>
      <c r="F27" s="8"/>
      <c r="G27" s="4"/>
      <c r="H27" s="195">
        <v>29</v>
      </c>
      <c r="I27" s="131" t="s">
        <v>415</v>
      </c>
      <c r="J27" s="59">
        <v>1443</v>
      </c>
      <c r="K27" s="100" t="s">
        <v>541</v>
      </c>
      <c r="L27" s="131"/>
      <c r="M27" s="131"/>
      <c r="N27" s="131">
        <v>1803</v>
      </c>
      <c r="O27" s="131" t="s">
        <v>821</v>
      </c>
      <c r="P27" s="131"/>
      <c r="Q27" s="131"/>
      <c r="R27" s="131"/>
      <c r="S27" s="131"/>
      <c r="T27" s="8" t="s">
        <v>627</v>
      </c>
      <c r="U27" s="4" t="s">
        <v>626</v>
      </c>
      <c r="V27" s="131"/>
      <c r="W27" s="131"/>
      <c r="X27" s="8"/>
      <c r="Y27" s="4"/>
      <c r="Z27" s="131"/>
      <c r="AA27" s="131"/>
      <c r="AB27" s="131"/>
      <c r="AC27" s="131"/>
      <c r="AD27" s="131"/>
      <c r="AE27" s="19"/>
      <c r="AF27" s="8"/>
      <c r="AG27" s="4"/>
    </row>
    <row r="28" spans="1:33" x14ac:dyDescent="0.25">
      <c r="A28" s="192">
        <v>19</v>
      </c>
      <c r="B28" s="131"/>
      <c r="C28" s="19"/>
      <c r="D28" s="8"/>
      <c r="E28" s="4"/>
      <c r="F28" s="8"/>
      <c r="G28" s="4"/>
      <c r="H28" s="195">
        <v>31</v>
      </c>
      <c r="I28" s="131" t="s">
        <v>416</v>
      </c>
      <c r="J28" s="59">
        <v>1444</v>
      </c>
      <c r="K28" s="82" t="s">
        <v>541</v>
      </c>
      <c r="L28" s="131"/>
      <c r="M28" s="131"/>
      <c r="N28" s="131">
        <v>1814</v>
      </c>
      <c r="O28" s="131" t="s">
        <v>1253</v>
      </c>
      <c r="P28" s="131"/>
      <c r="Q28" s="131"/>
      <c r="R28" s="131"/>
      <c r="S28" s="131"/>
      <c r="T28" s="8" t="s">
        <v>629</v>
      </c>
      <c r="U28" s="4" t="s">
        <v>628</v>
      </c>
      <c r="V28" s="131"/>
      <c r="W28" s="131"/>
      <c r="X28" s="131"/>
      <c r="Y28" s="131"/>
      <c r="Z28" s="131"/>
      <c r="AA28" s="131"/>
      <c r="AB28" s="131"/>
      <c r="AC28" s="131"/>
      <c r="AD28" s="131"/>
      <c r="AE28" s="19"/>
      <c r="AF28" s="8"/>
      <c r="AG28" s="4"/>
    </row>
    <row r="29" spans="1:33" x14ac:dyDescent="0.25">
      <c r="A29" s="192">
        <v>20</v>
      </c>
      <c r="B29" s="131"/>
      <c r="C29" s="19"/>
      <c r="D29" s="8"/>
      <c r="E29" s="4"/>
      <c r="F29" s="8"/>
      <c r="G29" s="4"/>
      <c r="H29" s="195">
        <v>32</v>
      </c>
      <c r="I29" s="131" t="s">
        <v>417</v>
      </c>
      <c r="J29" s="59">
        <v>1445</v>
      </c>
      <c r="K29" s="100" t="s">
        <v>542</v>
      </c>
      <c r="L29" s="131"/>
      <c r="M29" s="131"/>
      <c r="N29" s="131">
        <v>1825</v>
      </c>
      <c r="O29" s="131" t="s">
        <v>1248</v>
      </c>
      <c r="P29" s="131"/>
      <c r="Q29" s="131"/>
      <c r="R29" s="131"/>
      <c r="S29" s="131"/>
      <c r="T29" s="8">
        <v>179</v>
      </c>
      <c r="U29" s="4" t="s">
        <v>1267</v>
      </c>
      <c r="V29" s="131"/>
      <c r="W29" s="131"/>
      <c r="X29" s="131"/>
      <c r="Y29" s="131"/>
      <c r="Z29" s="131"/>
      <c r="AA29" s="131"/>
      <c r="AB29" s="131"/>
      <c r="AC29" s="131"/>
      <c r="AD29" s="131"/>
      <c r="AE29" s="19"/>
      <c r="AF29" s="8"/>
      <c r="AG29" s="4"/>
    </row>
    <row r="30" spans="1:33" x14ac:dyDescent="0.25">
      <c r="A30" s="192">
        <v>21</v>
      </c>
      <c r="B30" s="131"/>
      <c r="C30" s="19"/>
      <c r="D30" s="8"/>
      <c r="E30" s="4"/>
      <c r="F30" s="8"/>
      <c r="G30" s="4"/>
      <c r="H30" s="195">
        <v>34</v>
      </c>
      <c r="I30" s="131" t="s">
        <v>418</v>
      </c>
      <c r="J30" s="59">
        <v>1446</v>
      </c>
      <c r="K30" s="82" t="s">
        <v>542</v>
      </c>
      <c r="L30" s="131"/>
      <c r="M30" s="131"/>
      <c r="N30" s="131">
        <v>1886</v>
      </c>
      <c r="O30" s="131" t="s">
        <v>1254</v>
      </c>
      <c r="P30" s="131"/>
      <c r="Q30" s="131"/>
      <c r="R30" s="131"/>
      <c r="S30" s="131"/>
      <c r="T30" s="8" t="s">
        <v>631</v>
      </c>
      <c r="U30" s="4" t="s">
        <v>630</v>
      </c>
      <c r="V30" s="131"/>
      <c r="W30" s="131"/>
      <c r="X30" s="131"/>
      <c r="Y30" s="131"/>
      <c r="Z30" s="131"/>
      <c r="AA30" s="131"/>
      <c r="AB30" s="131"/>
      <c r="AC30" s="131"/>
      <c r="AD30" s="131"/>
      <c r="AE30" s="19"/>
      <c r="AF30" s="8"/>
      <c r="AG30" s="4"/>
    </row>
    <row r="31" spans="1:33" x14ac:dyDescent="0.25">
      <c r="A31" s="192">
        <v>22</v>
      </c>
      <c r="B31" s="131"/>
      <c r="C31" s="19"/>
      <c r="D31" s="8"/>
      <c r="E31" s="4"/>
      <c r="F31" s="8"/>
      <c r="G31" s="4"/>
      <c r="H31" s="195">
        <v>35</v>
      </c>
      <c r="I31" s="131" t="s">
        <v>419</v>
      </c>
      <c r="J31" s="59">
        <v>1447</v>
      </c>
      <c r="K31" s="82" t="s">
        <v>543</v>
      </c>
      <c r="L31" s="131"/>
      <c r="M31" s="131"/>
      <c r="N31" s="131"/>
      <c r="O31" s="131"/>
      <c r="P31" s="131"/>
      <c r="Q31" s="131"/>
      <c r="R31" s="131"/>
      <c r="S31" s="131"/>
      <c r="T31" s="8" t="s">
        <v>633</v>
      </c>
      <c r="U31" s="4" t="s">
        <v>632</v>
      </c>
      <c r="V31" s="131"/>
      <c r="W31" s="131"/>
      <c r="X31" s="131"/>
      <c r="Y31" s="131"/>
      <c r="Z31" s="131"/>
      <c r="AA31" s="131"/>
      <c r="AB31" s="131"/>
      <c r="AC31" s="131"/>
      <c r="AD31" s="131"/>
      <c r="AE31" s="19"/>
      <c r="AF31" s="8"/>
      <c r="AG31" s="4"/>
    </row>
    <row r="32" spans="1:33" x14ac:dyDescent="0.25">
      <c r="A32" s="192">
        <v>23</v>
      </c>
      <c r="B32" s="131"/>
      <c r="C32" s="19"/>
      <c r="D32" s="8"/>
      <c r="E32" s="4"/>
      <c r="F32" s="8"/>
      <c r="G32" s="4"/>
      <c r="H32" s="195">
        <v>36</v>
      </c>
      <c r="I32" s="131" t="s">
        <v>420</v>
      </c>
      <c r="J32" s="59">
        <v>1448</v>
      </c>
      <c r="K32" s="82" t="s">
        <v>543</v>
      </c>
      <c r="L32" s="131"/>
      <c r="M32" s="131"/>
      <c r="N32" s="131"/>
      <c r="O32" s="131"/>
      <c r="P32" s="131"/>
      <c r="Q32" s="131"/>
      <c r="R32" s="131"/>
      <c r="S32" s="131"/>
      <c r="T32" s="8" t="s">
        <v>635</v>
      </c>
      <c r="U32" s="4" t="s">
        <v>634</v>
      </c>
      <c r="V32" s="131"/>
      <c r="W32" s="131"/>
      <c r="X32" s="131"/>
      <c r="Y32" s="131"/>
      <c r="Z32" s="131"/>
      <c r="AA32" s="131"/>
      <c r="AB32" s="131"/>
      <c r="AC32" s="131"/>
      <c r="AD32" s="131"/>
      <c r="AE32" s="19"/>
      <c r="AF32" s="8"/>
      <c r="AG32" s="4"/>
    </row>
    <row r="33" spans="1:33" x14ac:dyDescent="0.25">
      <c r="A33" s="192">
        <v>24</v>
      </c>
      <c r="B33" s="131"/>
      <c r="C33" s="19"/>
      <c r="D33" s="8"/>
      <c r="E33" s="4"/>
      <c r="F33" s="8"/>
      <c r="G33" s="4"/>
      <c r="H33" s="195">
        <v>39</v>
      </c>
      <c r="I33" s="131" t="s">
        <v>421</v>
      </c>
      <c r="J33" s="59">
        <v>1449</v>
      </c>
      <c r="K33" s="134" t="s">
        <v>543</v>
      </c>
      <c r="L33" s="131"/>
      <c r="M33" s="131"/>
      <c r="N33" s="131"/>
      <c r="O33" s="131"/>
      <c r="P33" s="131"/>
      <c r="Q33" s="131"/>
      <c r="R33" s="131"/>
      <c r="S33" s="131"/>
      <c r="T33" s="8" t="s">
        <v>637</v>
      </c>
      <c r="U33" s="4" t="s">
        <v>636</v>
      </c>
      <c r="V33" s="131"/>
      <c r="W33" s="131"/>
      <c r="X33" s="131"/>
      <c r="Y33" s="131"/>
      <c r="Z33" s="131"/>
      <c r="AA33" s="131"/>
      <c r="AB33" s="131"/>
      <c r="AC33" s="131"/>
      <c r="AD33" s="131"/>
      <c r="AE33" s="19"/>
      <c r="AF33" s="8"/>
      <c r="AG33" s="4"/>
    </row>
    <row r="34" spans="1:33" x14ac:dyDescent="0.25">
      <c r="A34" s="192">
        <v>25</v>
      </c>
      <c r="B34" s="131"/>
      <c r="C34" s="19"/>
      <c r="D34" s="8"/>
      <c r="E34" s="4"/>
      <c r="F34" s="8"/>
      <c r="G34" s="4"/>
      <c r="H34" s="195">
        <v>40</v>
      </c>
      <c r="I34" s="131" t="s">
        <v>422</v>
      </c>
      <c r="J34" s="59">
        <v>1450</v>
      </c>
      <c r="K34" s="82" t="s">
        <v>541</v>
      </c>
      <c r="L34" s="131"/>
      <c r="M34" s="131"/>
      <c r="N34" s="131"/>
      <c r="O34" s="131"/>
      <c r="P34" s="131"/>
      <c r="Q34" s="131"/>
      <c r="R34" s="131"/>
      <c r="S34" s="131"/>
      <c r="T34" s="8" t="s">
        <v>639</v>
      </c>
      <c r="U34" s="97" t="s">
        <v>638</v>
      </c>
      <c r="V34" s="131"/>
      <c r="W34" s="131"/>
      <c r="X34" s="131"/>
      <c r="Y34" s="131"/>
      <c r="Z34" s="131"/>
      <c r="AA34" s="131"/>
      <c r="AB34" s="131"/>
      <c r="AC34" s="131"/>
      <c r="AD34" s="131"/>
      <c r="AE34" s="19"/>
      <c r="AF34" s="8"/>
      <c r="AG34" s="4"/>
    </row>
    <row r="35" spans="1:33" x14ac:dyDescent="0.25">
      <c r="A35" s="192">
        <v>26</v>
      </c>
      <c r="B35" s="131"/>
      <c r="C35" s="19"/>
      <c r="D35" s="8"/>
      <c r="E35" s="4"/>
      <c r="F35" s="8"/>
      <c r="G35" s="4"/>
      <c r="H35" s="195">
        <v>41</v>
      </c>
      <c r="I35" s="131" t="s">
        <v>423</v>
      </c>
      <c r="J35" s="59">
        <v>1451</v>
      </c>
      <c r="K35" s="82" t="s">
        <v>541</v>
      </c>
      <c r="L35" s="131"/>
      <c r="M35" s="131"/>
      <c r="N35" s="131"/>
      <c r="O35" s="131"/>
      <c r="P35" s="131"/>
      <c r="Q35" s="131"/>
      <c r="R35" s="131"/>
      <c r="S35" s="131"/>
      <c r="T35" s="8" t="s">
        <v>641</v>
      </c>
      <c r="U35" s="3" t="s">
        <v>640</v>
      </c>
      <c r="V35" s="131"/>
      <c r="W35" s="131"/>
      <c r="X35" s="131"/>
      <c r="Y35" s="131"/>
      <c r="Z35" s="131"/>
      <c r="AA35" s="131"/>
      <c r="AB35" s="131"/>
      <c r="AC35" s="131"/>
      <c r="AD35" s="131"/>
      <c r="AE35" s="19"/>
      <c r="AF35" s="8"/>
      <c r="AG35" s="4"/>
    </row>
    <row r="36" spans="1:33" x14ac:dyDescent="0.25">
      <c r="A36" s="192">
        <v>27</v>
      </c>
      <c r="B36" s="131"/>
      <c r="C36" s="19"/>
      <c r="D36" s="8"/>
      <c r="E36" s="4"/>
      <c r="F36" s="8"/>
      <c r="G36" s="4"/>
      <c r="H36" s="24"/>
      <c r="I36" s="131"/>
      <c r="J36" s="135">
        <v>1481</v>
      </c>
      <c r="K36" s="136" t="s">
        <v>544</v>
      </c>
      <c r="L36" s="131"/>
      <c r="M36" s="131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131"/>
      <c r="Z36" s="131"/>
      <c r="AA36" s="131"/>
      <c r="AB36" s="131"/>
      <c r="AC36" s="131"/>
      <c r="AD36" s="131"/>
      <c r="AE36" s="19"/>
      <c r="AF36" s="8"/>
      <c r="AG36" s="4"/>
    </row>
    <row r="37" spans="1:33" x14ac:dyDescent="0.25">
      <c r="A37" s="192">
        <v>28</v>
      </c>
      <c r="B37" s="131"/>
      <c r="C37" s="19"/>
      <c r="D37" s="8"/>
      <c r="E37" s="4"/>
      <c r="F37" s="8"/>
      <c r="G37" s="4"/>
      <c r="H37" s="24"/>
      <c r="I37" s="131"/>
      <c r="J37" s="135">
        <v>1482</v>
      </c>
      <c r="K37" s="136" t="s">
        <v>544</v>
      </c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9"/>
      <c r="AF37" s="8"/>
      <c r="AG37" s="4"/>
    </row>
    <row r="38" spans="1:33" x14ac:dyDescent="0.25">
      <c r="A38" s="192">
        <v>29</v>
      </c>
      <c r="B38" s="131"/>
      <c r="C38" s="19"/>
      <c r="D38" s="8"/>
      <c r="E38" s="4"/>
      <c r="F38" s="8"/>
      <c r="G38" s="4"/>
      <c r="H38" s="24"/>
      <c r="I38" s="131"/>
      <c r="J38" s="135">
        <v>1705</v>
      </c>
      <c r="K38" s="136" t="s">
        <v>544</v>
      </c>
      <c r="L38" s="131"/>
      <c r="M38" s="131"/>
      <c r="N38" s="131"/>
      <c r="O38" s="131"/>
      <c r="P38" s="131"/>
      <c r="Q38" s="131"/>
      <c r="R38" s="131"/>
      <c r="S38" s="131"/>
      <c r="T38" s="131"/>
      <c r="U38" s="131"/>
      <c r="V38" s="131"/>
      <c r="W38" s="131"/>
      <c r="X38" s="131"/>
      <c r="Y38" s="131"/>
      <c r="Z38" s="131"/>
      <c r="AA38" s="131"/>
      <c r="AB38" s="131"/>
      <c r="AC38" s="131"/>
      <c r="AD38" s="131"/>
      <c r="AE38" s="19"/>
      <c r="AF38" s="8"/>
      <c r="AG38" s="4"/>
    </row>
    <row r="39" spans="1:33" x14ac:dyDescent="0.25">
      <c r="A39" s="192">
        <v>30</v>
      </c>
      <c r="B39" s="131"/>
      <c r="C39" s="19"/>
      <c r="D39" s="8"/>
      <c r="E39" s="4"/>
      <c r="F39" s="8"/>
      <c r="G39" s="4"/>
      <c r="H39" s="24"/>
      <c r="I39" s="131"/>
      <c r="J39" s="135">
        <v>1706</v>
      </c>
      <c r="K39" s="136" t="s">
        <v>544</v>
      </c>
      <c r="L39" s="131"/>
      <c r="M39" s="131"/>
      <c r="N39" s="131"/>
      <c r="O39" s="131"/>
      <c r="P39" s="131"/>
      <c r="Q39" s="131"/>
      <c r="R39" s="131"/>
      <c r="S39" s="131"/>
      <c r="T39" s="131"/>
      <c r="U39" s="131"/>
      <c r="V39" s="131"/>
      <c r="W39" s="131"/>
      <c r="X39" s="131"/>
      <c r="Y39" s="131"/>
      <c r="Z39" s="131"/>
      <c r="AA39" s="131"/>
      <c r="AB39" s="131"/>
      <c r="AC39" s="131"/>
      <c r="AD39" s="131"/>
      <c r="AE39" s="19"/>
      <c r="AF39" s="8"/>
      <c r="AG39" s="4"/>
    </row>
    <row r="40" spans="1:33" x14ac:dyDescent="0.25">
      <c r="A40" s="192">
        <v>31</v>
      </c>
      <c r="B40" s="131"/>
      <c r="C40" s="19"/>
      <c r="D40" s="8"/>
      <c r="E40" s="4"/>
      <c r="F40" s="8"/>
      <c r="G40" s="4"/>
      <c r="H40" s="24"/>
      <c r="I40" s="131"/>
      <c r="J40" s="135">
        <v>1717</v>
      </c>
      <c r="K40" s="136" t="s">
        <v>541</v>
      </c>
      <c r="L40" s="131"/>
      <c r="M40" s="131"/>
      <c r="N40" s="131"/>
      <c r="O40" s="131"/>
      <c r="P40" s="131"/>
      <c r="Q40" s="131"/>
      <c r="R40" s="131"/>
      <c r="S40" s="131"/>
      <c r="T40" s="131"/>
      <c r="U40" s="131"/>
      <c r="V40" s="131"/>
      <c r="W40" s="131"/>
      <c r="X40" s="131"/>
      <c r="Y40" s="131"/>
      <c r="Z40" s="131"/>
      <c r="AA40" s="131"/>
      <c r="AB40" s="131"/>
      <c r="AC40" s="131"/>
      <c r="AD40" s="131"/>
      <c r="AE40" s="19"/>
      <c r="AF40" s="8"/>
      <c r="AG40" s="4"/>
    </row>
    <row r="41" spans="1:33" x14ac:dyDescent="0.25">
      <c r="A41" s="192">
        <v>32</v>
      </c>
      <c r="B41" s="131"/>
      <c r="C41" s="19"/>
      <c r="D41" s="8"/>
      <c r="E41" s="4"/>
      <c r="F41" s="8"/>
      <c r="G41" s="4"/>
      <c r="H41" s="24"/>
      <c r="I41" s="131"/>
      <c r="J41" s="135">
        <v>1718</v>
      </c>
      <c r="K41" s="136" t="s">
        <v>541</v>
      </c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9"/>
      <c r="AF41" s="8"/>
      <c r="AG41" s="4"/>
    </row>
    <row r="42" spans="1:33" x14ac:dyDescent="0.25">
      <c r="A42" s="192">
        <v>33</v>
      </c>
      <c r="B42" s="131"/>
      <c r="C42" s="19"/>
      <c r="D42" s="8"/>
      <c r="E42" s="4"/>
      <c r="F42" s="8"/>
      <c r="G42" s="4"/>
      <c r="H42" s="24"/>
      <c r="I42" s="131"/>
      <c r="J42" s="135">
        <v>1719</v>
      </c>
      <c r="K42" s="136" t="s">
        <v>542</v>
      </c>
      <c r="L42" s="131"/>
      <c r="M42" s="131"/>
      <c r="N42" s="131"/>
      <c r="O42" s="131"/>
      <c r="P42" s="131"/>
      <c r="Q42" s="131"/>
      <c r="R42" s="131"/>
      <c r="S42" s="131"/>
      <c r="T42" s="131"/>
      <c r="U42" s="131"/>
      <c r="V42" s="131"/>
      <c r="W42" s="131"/>
      <c r="X42" s="131"/>
      <c r="Y42" s="131"/>
      <c r="Z42" s="131"/>
      <c r="AA42" s="131"/>
      <c r="AB42" s="131"/>
      <c r="AC42" s="131"/>
      <c r="AD42" s="131"/>
      <c r="AE42" s="19"/>
      <c r="AF42" s="8"/>
      <c r="AG42" s="4"/>
    </row>
    <row r="43" spans="1:33" x14ac:dyDescent="0.25">
      <c r="A43" s="192">
        <v>34</v>
      </c>
      <c r="B43" s="131"/>
      <c r="C43" s="19"/>
      <c r="D43" s="8"/>
      <c r="E43" s="4"/>
      <c r="F43" s="8"/>
      <c r="G43" s="4"/>
      <c r="H43" s="24"/>
      <c r="I43" s="131"/>
      <c r="J43" s="135">
        <v>1720</v>
      </c>
      <c r="K43" s="136" t="s">
        <v>542</v>
      </c>
      <c r="L43" s="131"/>
      <c r="M43" s="131"/>
      <c r="N43" s="131"/>
      <c r="O43" s="131"/>
      <c r="P43" s="131"/>
      <c r="Q43" s="131"/>
      <c r="R43" s="131"/>
      <c r="S43" s="131"/>
      <c r="T43" s="131"/>
      <c r="U43" s="131"/>
      <c r="V43" s="131"/>
      <c r="W43" s="131"/>
      <c r="X43" s="131"/>
      <c r="Y43" s="131"/>
      <c r="Z43" s="131"/>
      <c r="AA43" s="131"/>
      <c r="AB43" s="131"/>
      <c r="AC43" s="131"/>
      <c r="AD43" s="131"/>
      <c r="AE43" s="19"/>
      <c r="AF43" s="8"/>
      <c r="AG43" s="4"/>
    </row>
    <row r="44" spans="1:33" x14ac:dyDescent="0.25">
      <c r="A44" s="192">
        <v>35</v>
      </c>
      <c r="B44" s="131"/>
      <c r="C44" s="19"/>
      <c r="D44" s="8"/>
      <c r="E44" s="4"/>
      <c r="F44" s="8"/>
      <c r="G44" s="4"/>
      <c r="H44" s="24"/>
      <c r="I44" s="131"/>
      <c r="J44" s="135">
        <v>1723</v>
      </c>
      <c r="K44" s="136" t="s">
        <v>544</v>
      </c>
      <c r="L44" s="131"/>
      <c r="M44" s="131"/>
      <c r="N44" s="131"/>
      <c r="O44" s="131"/>
      <c r="P44" s="131"/>
      <c r="Q44" s="131"/>
      <c r="R44" s="131"/>
      <c r="S44" s="131"/>
      <c r="T44" s="131"/>
      <c r="U44" s="131"/>
      <c r="V44" s="131"/>
      <c r="W44" s="131"/>
      <c r="X44" s="131"/>
      <c r="Y44" s="131"/>
      <c r="Z44" s="131"/>
      <c r="AA44" s="131"/>
      <c r="AB44" s="131"/>
      <c r="AC44" s="131"/>
      <c r="AD44" s="131"/>
      <c r="AE44" s="19"/>
      <c r="AF44" s="8"/>
      <c r="AG44" s="4"/>
    </row>
    <row r="45" spans="1:33" x14ac:dyDescent="0.25">
      <c r="A45" s="192">
        <v>36</v>
      </c>
      <c r="B45" s="131"/>
      <c r="C45" s="19"/>
      <c r="D45" s="8"/>
      <c r="E45" s="4"/>
      <c r="F45" s="8"/>
      <c r="G45" s="4"/>
      <c r="H45" s="24"/>
      <c r="I45" s="131"/>
      <c r="J45" s="135">
        <v>1742</v>
      </c>
      <c r="K45" s="136" t="s">
        <v>544</v>
      </c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  <c r="AC45" s="131"/>
      <c r="AD45" s="131"/>
      <c r="AE45" s="19"/>
      <c r="AF45" s="8"/>
      <c r="AG45" s="4"/>
    </row>
    <row r="46" spans="1:33" x14ac:dyDescent="0.25">
      <c r="A46" s="192">
        <v>37</v>
      </c>
      <c r="B46" s="131"/>
      <c r="C46" s="19"/>
      <c r="D46" s="8"/>
      <c r="E46" s="4"/>
      <c r="F46" s="8"/>
      <c r="G46" s="4"/>
      <c r="H46" s="24"/>
      <c r="I46" s="131"/>
      <c r="J46" s="135">
        <v>1755</v>
      </c>
      <c r="K46" s="136" t="s">
        <v>542</v>
      </c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  <c r="AC46" s="131"/>
      <c r="AD46" s="131"/>
      <c r="AE46" s="19"/>
      <c r="AF46" s="8"/>
      <c r="AG46" s="4"/>
    </row>
    <row r="47" spans="1:33" x14ac:dyDescent="0.25">
      <c r="A47" s="192">
        <v>38</v>
      </c>
      <c r="B47" s="131"/>
      <c r="C47" s="19"/>
      <c r="D47" s="8"/>
      <c r="E47" s="4"/>
      <c r="F47" s="8"/>
      <c r="G47" s="4"/>
      <c r="H47" s="24"/>
      <c r="I47" s="131"/>
      <c r="J47" s="135">
        <v>1763</v>
      </c>
      <c r="K47" s="136" t="s">
        <v>544</v>
      </c>
      <c r="L47" s="131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1"/>
      <c r="Z47" s="131"/>
      <c r="AA47" s="131"/>
      <c r="AB47" s="131"/>
      <c r="AC47" s="131"/>
      <c r="AD47" s="131"/>
      <c r="AE47" s="19"/>
      <c r="AF47" s="8"/>
      <c r="AG47" s="4"/>
    </row>
    <row r="48" spans="1:33" x14ac:dyDescent="0.25">
      <c r="A48" s="192">
        <v>39</v>
      </c>
      <c r="B48" s="131"/>
      <c r="C48" s="19"/>
      <c r="D48" s="8"/>
      <c r="E48" s="4"/>
      <c r="F48" s="8"/>
      <c r="G48" s="4"/>
      <c r="H48" s="24"/>
      <c r="I48" s="131"/>
      <c r="J48" s="135">
        <v>1772</v>
      </c>
      <c r="K48" s="136" t="s">
        <v>542</v>
      </c>
      <c r="L48" s="131"/>
      <c r="M48" s="131"/>
      <c r="N48" s="131"/>
      <c r="O48" s="131"/>
      <c r="P48" s="131"/>
      <c r="Q48" s="131"/>
      <c r="R48" s="131"/>
      <c r="S48" s="131"/>
      <c r="T48" s="131"/>
      <c r="U48" s="131"/>
      <c r="V48" s="131"/>
      <c r="W48" s="131"/>
      <c r="X48" s="131"/>
      <c r="Y48" s="131"/>
      <c r="Z48" s="131"/>
      <c r="AA48" s="131"/>
      <c r="AB48" s="131"/>
      <c r="AC48" s="131"/>
      <c r="AD48" s="131"/>
      <c r="AE48" s="19"/>
      <c r="AF48" s="8"/>
      <c r="AG48" s="4"/>
    </row>
    <row r="49" spans="1:33" x14ac:dyDescent="0.25">
      <c r="A49" s="192">
        <v>40</v>
      </c>
      <c r="B49" s="131"/>
      <c r="C49" s="19"/>
      <c r="D49" s="8"/>
      <c r="E49" s="4"/>
      <c r="F49" s="8"/>
      <c r="G49" s="4"/>
      <c r="H49" s="24"/>
      <c r="I49" s="131"/>
      <c r="J49" s="135">
        <v>1792</v>
      </c>
      <c r="K49" s="136" t="s">
        <v>542</v>
      </c>
      <c r="L49" s="131"/>
      <c r="M49" s="131"/>
      <c r="N49" s="131"/>
      <c r="O49" s="131"/>
      <c r="P49" s="131"/>
      <c r="Q49" s="131"/>
      <c r="R49" s="131"/>
      <c r="S49" s="131"/>
      <c r="T49" s="131"/>
      <c r="U49" s="131"/>
      <c r="V49" s="131"/>
      <c r="W49" s="131"/>
      <c r="X49" s="131"/>
      <c r="Y49" s="131"/>
      <c r="Z49" s="131"/>
      <c r="AA49" s="131"/>
      <c r="AB49" s="131"/>
      <c r="AC49" s="131"/>
      <c r="AD49" s="131"/>
      <c r="AE49" s="19"/>
      <c r="AF49" s="8"/>
      <c r="AG49" s="4"/>
    </row>
    <row r="50" spans="1:33" x14ac:dyDescent="0.25">
      <c r="A50" s="192">
        <v>41</v>
      </c>
      <c r="B50" s="131"/>
      <c r="C50" s="19"/>
      <c r="D50" s="8"/>
      <c r="E50" s="4"/>
      <c r="F50" s="8"/>
      <c r="G50" s="4"/>
      <c r="H50" s="24"/>
      <c r="I50" s="131"/>
      <c r="J50" s="135">
        <v>6015</v>
      </c>
      <c r="K50" s="136" t="s">
        <v>659</v>
      </c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  <c r="AB50" s="131"/>
      <c r="AC50" s="131"/>
      <c r="AD50" s="131"/>
      <c r="AE50" s="19"/>
      <c r="AF50" s="8"/>
      <c r="AG50" s="4"/>
    </row>
    <row r="51" spans="1:33" ht="15.75" thickBot="1" x14ac:dyDescent="0.3">
      <c r="A51" s="193">
        <v>42</v>
      </c>
      <c r="B51" s="171"/>
      <c r="C51" s="20"/>
      <c r="D51" s="9"/>
      <c r="E51" s="6"/>
      <c r="F51" s="9"/>
      <c r="G51" s="6"/>
      <c r="H51" s="92"/>
      <c r="I51" s="171"/>
      <c r="J51" s="205">
        <v>6016</v>
      </c>
      <c r="K51" s="206" t="s">
        <v>659</v>
      </c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20"/>
      <c r="AF51" s="9"/>
      <c r="AG51" s="6"/>
    </row>
  </sheetData>
  <mergeCells count="116">
    <mergeCell ref="AF7:AG7"/>
    <mergeCell ref="Z8:AA8"/>
    <mergeCell ref="AB8:AC8"/>
    <mergeCell ref="AF8:AG8"/>
    <mergeCell ref="J1:Q1"/>
    <mergeCell ref="R1:Y1"/>
    <mergeCell ref="Z4:AA4"/>
    <mergeCell ref="AB4:AC4"/>
    <mergeCell ref="AD4:AE4"/>
    <mergeCell ref="AF4:AG4"/>
    <mergeCell ref="Z5:AA5"/>
    <mergeCell ref="AB5:AC5"/>
    <mergeCell ref="AD5:AE5"/>
    <mergeCell ref="AF5:AG5"/>
    <mergeCell ref="Z6:AA6"/>
    <mergeCell ref="AB6:AC6"/>
    <mergeCell ref="AD6:AE6"/>
    <mergeCell ref="AF6:AG6"/>
    <mergeCell ref="R7:S7"/>
    <mergeCell ref="T7:U7"/>
    <mergeCell ref="V3:W3"/>
    <mergeCell ref="X3:Y3"/>
    <mergeCell ref="V4:W4"/>
    <mergeCell ref="X4:Y4"/>
    <mergeCell ref="B1:I1"/>
    <mergeCell ref="Z1:AG1"/>
    <mergeCell ref="Z2:AA2"/>
    <mergeCell ref="AB2:AC2"/>
    <mergeCell ref="AD2:AE2"/>
    <mergeCell ref="AF2:AG2"/>
    <mergeCell ref="Z3:AA3"/>
    <mergeCell ref="AB3:AC3"/>
    <mergeCell ref="AD3:AE3"/>
    <mergeCell ref="AF3:AG3"/>
    <mergeCell ref="D3:E3"/>
    <mergeCell ref="B2:C2"/>
    <mergeCell ref="J2:K2"/>
    <mergeCell ref="L2:M2"/>
    <mergeCell ref="D2:E2"/>
    <mergeCell ref="F2:G2"/>
    <mergeCell ref="H2:I2"/>
    <mergeCell ref="F3:G3"/>
    <mergeCell ref="H3:I3"/>
    <mergeCell ref="L3:M3"/>
    <mergeCell ref="B3:C3"/>
    <mergeCell ref="J3:K3"/>
    <mergeCell ref="V2:W2"/>
    <mergeCell ref="X2:Y2"/>
    <mergeCell ref="V5:W5"/>
    <mergeCell ref="X5:Y5"/>
    <mergeCell ref="V6:W6"/>
    <mergeCell ref="X6:Y6"/>
    <mergeCell ref="R6:S6"/>
    <mergeCell ref="T6:U6"/>
    <mergeCell ref="P2:Q2"/>
    <mergeCell ref="N3:O3"/>
    <mergeCell ref="P3:Q3"/>
    <mergeCell ref="N4:O4"/>
    <mergeCell ref="P4:Q4"/>
    <mergeCell ref="N5:O5"/>
    <mergeCell ref="P5:Q5"/>
    <mergeCell ref="N6:O6"/>
    <mergeCell ref="P6:Q6"/>
    <mergeCell ref="N2:O2"/>
    <mergeCell ref="R2:S2"/>
    <mergeCell ref="T2:U2"/>
    <mergeCell ref="R3:S3"/>
    <mergeCell ref="T3:U3"/>
    <mergeCell ref="R4:S4"/>
    <mergeCell ref="T4:U4"/>
    <mergeCell ref="R5:S5"/>
    <mergeCell ref="T5:U5"/>
    <mergeCell ref="B6:C6"/>
    <mergeCell ref="B5:C5"/>
    <mergeCell ref="D4:E4"/>
    <mergeCell ref="D5:E5"/>
    <mergeCell ref="D6:E6"/>
    <mergeCell ref="B7:C7"/>
    <mergeCell ref="J6:K6"/>
    <mergeCell ref="L6:M6"/>
    <mergeCell ref="J7:K7"/>
    <mergeCell ref="L7:M7"/>
    <mergeCell ref="F4:G4"/>
    <mergeCell ref="H4:I4"/>
    <mergeCell ref="F5:G5"/>
    <mergeCell ref="H5:I5"/>
    <mergeCell ref="F6:G6"/>
    <mergeCell ref="H6:I6"/>
    <mergeCell ref="B4:C4"/>
    <mergeCell ref="J4:K4"/>
    <mergeCell ref="L4:M4"/>
    <mergeCell ref="J5:K5"/>
    <mergeCell ref="L5:M5"/>
    <mergeCell ref="X7:Y7"/>
    <mergeCell ref="V8:W8"/>
    <mergeCell ref="X8:Y8"/>
    <mergeCell ref="Z7:AA7"/>
    <mergeCell ref="AB7:AC7"/>
    <mergeCell ref="AD7:AE7"/>
    <mergeCell ref="AD8:AE8"/>
    <mergeCell ref="B8:C8"/>
    <mergeCell ref="D7:E7"/>
    <mergeCell ref="D8:E8"/>
    <mergeCell ref="F7:G7"/>
    <mergeCell ref="H7:I7"/>
    <mergeCell ref="F8:G8"/>
    <mergeCell ref="H8:I8"/>
    <mergeCell ref="J8:K8"/>
    <mergeCell ref="L8:M8"/>
    <mergeCell ref="N7:O7"/>
    <mergeCell ref="P7:Q7"/>
    <mergeCell ref="N8:O8"/>
    <mergeCell ref="P8:Q8"/>
    <mergeCell ref="R8:S8"/>
    <mergeCell ref="T8:U8"/>
    <mergeCell ref="V7:W7"/>
  </mergeCells>
  <conditionalFormatting sqref="I10:I14 I16:I18 I20:I35">
    <cfRule type="duplicateValues" dxfId="69" priority="9"/>
  </conditionalFormatting>
  <conditionalFormatting sqref="J10:K51">
    <cfRule type="duplicateValues" dxfId="68" priority="7"/>
  </conditionalFormatting>
  <conditionalFormatting sqref="K10:K51">
    <cfRule type="duplicateValues" dxfId="67" priority="8"/>
  </conditionalFormatting>
  <conditionalFormatting sqref="T10:U35">
    <cfRule type="duplicateValues" dxfId="66" priority="39"/>
  </conditionalFormatting>
  <conditionalFormatting sqref="U10:U35">
    <cfRule type="duplicateValues" dxfId="65" priority="41"/>
  </conditionalFormatting>
  <conditionalFormatting sqref="I15">
    <cfRule type="duplicateValues" dxfId="64" priority="3"/>
  </conditionalFormatting>
  <conditionalFormatting sqref="I15">
    <cfRule type="duplicateValues" dxfId="63" priority="4"/>
  </conditionalFormatting>
  <conditionalFormatting sqref="AA10:AA17">
    <cfRule type="duplicateValues" dxfId="62" priority="2"/>
  </conditionalFormatting>
  <conditionalFormatting sqref="Z10:AA17">
    <cfRule type="duplicateValues" dxfId="61" priority="1"/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0000"/>
  </sheetPr>
  <dimension ref="A1:AG40"/>
  <sheetViews>
    <sheetView workbookViewId="0">
      <pane ySplit="9" topLeftCell="A10" activePane="bottomLeft" state="frozen"/>
      <selection pane="bottomLeft" activeCell="AD4" sqref="AD4:AE4"/>
    </sheetView>
  </sheetViews>
  <sheetFormatPr defaultRowHeight="15" x14ac:dyDescent="0.25"/>
  <cols>
    <col min="1" max="1" width="11.42578125" bestFit="1" customWidth="1"/>
    <col min="2" max="2" width="4.28515625" bestFit="1" customWidth="1"/>
    <col min="3" max="3" width="19.5703125" bestFit="1" customWidth="1"/>
    <col min="4" max="4" width="4" bestFit="1" customWidth="1"/>
    <col min="5" max="5" width="19.28515625" bestFit="1" customWidth="1"/>
    <col min="6" max="6" width="2.7109375" bestFit="1" customWidth="1"/>
    <col min="7" max="7" width="14.7109375" bestFit="1" customWidth="1"/>
    <col min="8" max="8" width="2.7109375" bestFit="1" customWidth="1"/>
    <col min="9" max="9" width="24.5703125" bestFit="1" customWidth="1"/>
    <col min="10" max="10" width="3.7109375" customWidth="1"/>
    <col min="11" max="11" width="18.42578125" customWidth="1"/>
    <col min="12" max="12" width="2.7109375" bestFit="1" customWidth="1"/>
    <col min="13" max="13" width="11.28515625" customWidth="1"/>
    <col min="14" max="14" width="4" bestFit="1" customWidth="1"/>
    <col min="15" max="15" width="13.28515625" customWidth="1"/>
    <col min="16" max="16" width="4" bestFit="1" customWidth="1"/>
    <col min="17" max="17" width="18.5703125" customWidth="1"/>
    <col min="18" max="18" width="3" bestFit="1" customWidth="1"/>
    <col min="19" max="19" width="19.28515625" customWidth="1"/>
    <col min="20" max="20" width="4.7109375" bestFit="1" customWidth="1"/>
    <col min="21" max="21" width="19" bestFit="1" customWidth="1"/>
    <col min="22" max="22" width="4.42578125" customWidth="1"/>
    <col min="23" max="23" width="16.28515625" customWidth="1"/>
    <col min="24" max="24" width="2.7109375" bestFit="1" customWidth="1"/>
    <col min="25" max="25" width="18" customWidth="1"/>
    <col min="26" max="26" width="4.7109375" customWidth="1"/>
    <col min="27" max="27" width="19.5703125" bestFit="1" customWidth="1"/>
    <col min="28" max="28" width="2.7109375" bestFit="1" customWidth="1"/>
    <col min="29" max="29" width="13.7109375" customWidth="1"/>
    <col min="30" max="30" width="2.7109375" bestFit="1" customWidth="1"/>
    <col min="31" max="31" width="20.5703125" bestFit="1" customWidth="1"/>
    <col min="32" max="32" width="5.28515625" bestFit="1" customWidth="1"/>
    <col min="33" max="33" width="16" bestFit="1" customWidth="1"/>
  </cols>
  <sheetData>
    <row r="1" spans="1:33" ht="15.75" thickBot="1" x14ac:dyDescent="0.3">
      <c r="A1" s="51" t="s">
        <v>242</v>
      </c>
      <c r="B1" s="458" t="s">
        <v>1280</v>
      </c>
      <c r="C1" s="459"/>
      <c r="D1" s="459"/>
      <c r="E1" s="459"/>
      <c r="F1" s="459"/>
      <c r="G1" s="459"/>
      <c r="H1" s="459"/>
      <c r="I1" s="459"/>
      <c r="J1" s="450" t="s">
        <v>1281</v>
      </c>
      <c r="K1" s="464"/>
      <c r="L1" s="464"/>
      <c r="M1" s="464"/>
      <c r="N1" s="464"/>
      <c r="O1" s="464"/>
      <c r="P1" s="464"/>
      <c r="Q1" s="464"/>
      <c r="R1" s="459" t="s">
        <v>1282</v>
      </c>
      <c r="S1" s="459"/>
      <c r="T1" s="459"/>
      <c r="U1" s="459"/>
      <c r="V1" s="459"/>
      <c r="W1" s="459"/>
      <c r="X1" s="459"/>
      <c r="Y1" s="459"/>
      <c r="Z1" s="460" t="s">
        <v>1312</v>
      </c>
      <c r="AA1" s="461"/>
      <c r="AB1" s="461"/>
      <c r="AC1" s="461"/>
      <c r="AD1" s="461"/>
      <c r="AE1" s="461"/>
      <c r="AF1" s="461"/>
      <c r="AG1" s="461"/>
    </row>
    <row r="2" spans="1:33" ht="15.75" thickBot="1" x14ac:dyDescent="0.3">
      <c r="A2" s="50" t="s">
        <v>276</v>
      </c>
      <c r="B2" s="393" t="s">
        <v>267</v>
      </c>
      <c r="C2" s="457"/>
      <c r="D2" s="393" t="s">
        <v>268</v>
      </c>
      <c r="E2" s="457"/>
      <c r="F2" s="393" t="s">
        <v>269</v>
      </c>
      <c r="G2" s="457"/>
      <c r="H2" s="393" t="s">
        <v>270</v>
      </c>
      <c r="I2" s="457"/>
      <c r="J2" s="393" t="s">
        <v>267</v>
      </c>
      <c r="K2" s="457"/>
      <c r="L2" s="393" t="s">
        <v>268</v>
      </c>
      <c r="M2" s="457"/>
      <c r="N2" s="393" t="s">
        <v>269</v>
      </c>
      <c r="O2" s="457"/>
      <c r="P2" s="393" t="s">
        <v>270</v>
      </c>
      <c r="Q2" s="457"/>
      <c r="R2" s="393" t="s">
        <v>267</v>
      </c>
      <c r="S2" s="457"/>
      <c r="T2" s="393" t="s">
        <v>268</v>
      </c>
      <c r="U2" s="457"/>
      <c r="V2" s="393" t="s">
        <v>269</v>
      </c>
      <c r="W2" s="457"/>
      <c r="X2" s="393" t="s">
        <v>270</v>
      </c>
      <c r="Y2" s="457"/>
      <c r="Z2" s="393" t="s">
        <v>267</v>
      </c>
      <c r="AA2" s="457"/>
      <c r="AB2" s="393" t="s">
        <v>268</v>
      </c>
      <c r="AC2" s="457"/>
      <c r="AD2" s="393" t="s">
        <v>269</v>
      </c>
      <c r="AE2" s="457"/>
      <c r="AF2" s="393" t="s">
        <v>270</v>
      </c>
      <c r="AG2" s="457"/>
    </row>
    <row r="3" spans="1:33" x14ac:dyDescent="0.25">
      <c r="A3" s="42" t="s">
        <v>273</v>
      </c>
      <c r="B3" s="399" t="s">
        <v>339</v>
      </c>
      <c r="C3" s="407"/>
      <c r="D3" s="399" t="s">
        <v>339</v>
      </c>
      <c r="E3" s="407"/>
      <c r="F3" s="399" t="s">
        <v>339</v>
      </c>
      <c r="G3" s="407"/>
      <c r="H3" s="399" t="s">
        <v>76</v>
      </c>
      <c r="I3" s="407"/>
      <c r="J3" s="399" t="s">
        <v>1760</v>
      </c>
      <c r="K3" s="407"/>
      <c r="L3" s="399" t="s">
        <v>339</v>
      </c>
      <c r="M3" s="407"/>
      <c r="N3" s="399" t="s">
        <v>339</v>
      </c>
      <c r="O3" s="407"/>
      <c r="P3" s="399" t="s">
        <v>76</v>
      </c>
      <c r="Q3" s="407"/>
      <c r="R3" s="399" t="s">
        <v>1761</v>
      </c>
      <c r="S3" s="407"/>
      <c r="T3" s="399" t="s">
        <v>339</v>
      </c>
      <c r="U3" s="407"/>
      <c r="V3" s="399" t="s">
        <v>1763</v>
      </c>
      <c r="W3" s="407"/>
      <c r="X3" s="399" t="s">
        <v>1761</v>
      </c>
      <c r="Y3" s="407"/>
      <c r="Z3" s="399" t="s">
        <v>72</v>
      </c>
      <c r="AA3" s="407"/>
      <c r="AB3" s="399"/>
      <c r="AC3" s="407"/>
      <c r="AD3" s="399" t="s">
        <v>72</v>
      </c>
      <c r="AE3" s="407"/>
      <c r="AF3" s="399" t="s">
        <v>1760</v>
      </c>
      <c r="AG3" s="407"/>
    </row>
    <row r="4" spans="1:33" x14ac:dyDescent="0.25">
      <c r="A4" s="42" t="s">
        <v>277</v>
      </c>
      <c r="B4" s="401" t="s">
        <v>1416</v>
      </c>
      <c r="C4" s="423"/>
      <c r="D4" s="401" t="s">
        <v>1417</v>
      </c>
      <c r="E4" s="423"/>
      <c r="F4" s="401" t="s">
        <v>1418</v>
      </c>
      <c r="G4" s="423"/>
      <c r="H4" s="401" t="s">
        <v>1419</v>
      </c>
      <c r="I4" s="423"/>
      <c r="J4" s="401" t="s">
        <v>1420</v>
      </c>
      <c r="K4" s="423"/>
      <c r="L4" s="401" t="s">
        <v>1421</v>
      </c>
      <c r="M4" s="423"/>
      <c r="N4" s="401" t="s">
        <v>1422</v>
      </c>
      <c r="O4" s="423"/>
      <c r="P4" s="401" t="s">
        <v>1423</v>
      </c>
      <c r="Q4" s="423"/>
      <c r="R4" s="401" t="s">
        <v>1425</v>
      </c>
      <c r="S4" s="423"/>
      <c r="T4" s="401" t="s">
        <v>1426</v>
      </c>
      <c r="U4" s="423"/>
      <c r="V4" s="401" t="s">
        <v>1427</v>
      </c>
      <c r="W4" s="423"/>
      <c r="X4" s="401" t="s">
        <v>1428</v>
      </c>
      <c r="Y4" s="423"/>
      <c r="Z4" s="401" t="s">
        <v>1429</v>
      </c>
      <c r="AA4" s="423"/>
      <c r="AB4" s="401" t="s">
        <v>1430</v>
      </c>
      <c r="AC4" s="423"/>
      <c r="AD4" s="401" t="s">
        <v>1431</v>
      </c>
      <c r="AE4" s="423"/>
      <c r="AF4" s="401" t="s">
        <v>1432</v>
      </c>
      <c r="AG4" s="423"/>
    </row>
    <row r="5" spans="1:33" x14ac:dyDescent="0.25">
      <c r="A5" s="42" t="s">
        <v>274</v>
      </c>
      <c r="B5" s="401"/>
      <c r="C5" s="423"/>
      <c r="D5" s="401"/>
      <c r="E5" s="423"/>
      <c r="F5" s="401"/>
      <c r="G5" s="423"/>
      <c r="H5" s="401"/>
      <c r="I5" s="423"/>
      <c r="J5" s="401"/>
      <c r="K5" s="423"/>
      <c r="L5" s="401"/>
      <c r="M5" s="423"/>
      <c r="N5" s="401"/>
      <c r="O5" s="423"/>
      <c r="P5" s="401"/>
      <c r="Q5" s="423"/>
      <c r="R5" s="401"/>
      <c r="S5" s="423"/>
      <c r="T5" s="401"/>
      <c r="U5" s="423"/>
      <c r="V5" s="401"/>
      <c r="W5" s="423"/>
      <c r="X5" s="401"/>
      <c r="Y5" s="423"/>
      <c r="Z5" s="401"/>
      <c r="AA5" s="423"/>
      <c r="AB5" s="401"/>
      <c r="AC5" s="423"/>
      <c r="AD5" s="401"/>
      <c r="AE5" s="423"/>
      <c r="AF5" s="401"/>
      <c r="AG5" s="423"/>
    </row>
    <row r="6" spans="1:33" ht="15.75" thickBot="1" x14ac:dyDescent="0.3">
      <c r="A6" s="42" t="s">
        <v>295</v>
      </c>
      <c r="B6" s="395">
        <v>4005</v>
      </c>
      <c r="C6" s="442"/>
      <c r="D6" s="395">
        <v>3921</v>
      </c>
      <c r="E6" s="442"/>
      <c r="F6" s="395">
        <v>3841</v>
      </c>
      <c r="G6" s="442"/>
      <c r="H6" s="395">
        <v>4006</v>
      </c>
      <c r="I6" s="442"/>
      <c r="J6" s="395">
        <v>4172</v>
      </c>
      <c r="K6" s="442"/>
      <c r="L6" s="395">
        <v>4170</v>
      </c>
      <c r="M6" s="442"/>
      <c r="N6" s="395">
        <v>3725</v>
      </c>
      <c r="O6" s="442"/>
      <c r="P6" s="395">
        <v>3922</v>
      </c>
      <c r="Q6" s="442"/>
      <c r="R6" s="395">
        <v>3894</v>
      </c>
      <c r="S6" s="442"/>
      <c r="T6" s="395">
        <v>3805</v>
      </c>
      <c r="U6" s="442"/>
      <c r="V6" s="395">
        <v>4014</v>
      </c>
      <c r="W6" s="442"/>
      <c r="X6" s="395">
        <v>3914</v>
      </c>
      <c r="Y6" s="442"/>
      <c r="Z6" s="395">
        <v>3752</v>
      </c>
      <c r="AA6" s="442"/>
      <c r="AB6" s="395">
        <v>3756</v>
      </c>
      <c r="AC6" s="442"/>
      <c r="AD6" s="395">
        <v>4013</v>
      </c>
      <c r="AE6" s="442"/>
      <c r="AF6" s="395">
        <v>3800</v>
      </c>
      <c r="AG6" s="442"/>
    </row>
    <row r="7" spans="1:33" ht="15.75" thickBot="1" x14ac:dyDescent="0.3">
      <c r="A7" s="43" t="s">
        <v>296</v>
      </c>
      <c r="B7" s="395">
        <v>26660</v>
      </c>
      <c r="C7" s="442"/>
      <c r="D7" s="395">
        <v>13000</v>
      </c>
      <c r="E7" s="442"/>
      <c r="F7" s="395">
        <v>6920</v>
      </c>
      <c r="G7" s="442"/>
      <c r="H7" s="395">
        <v>14400</v>
      </c>
      <c r="I7" s="442"/>
      <c r="J7" s="395">
        <v>2480</v>
      </c>
      <c r="K7" s="442"/>
      <c r="L7" s="395">
        <v>4650</v>
      </c>
      <c r="M7" s="442"/>
      <c r="N7" s="395">
        <v>26666</v>
      </c>
      <c r="O7" s="442"/>
      <c r="P7" s="395">
        <v>3200</v>
      </c>
      <c r="Q7" s="442"/>
      <c r="R7" s="395">
        <v>13840</v>
      </c>
      <c r="S7" s="442"/>
      <c r="T7" s="395">
        <v>28500</v>
      </c>
      <c r="U7" s="442"/>
      <c r="V7" s="395">
        <v>5034</v>
      </c>
      <c r="W7" s="442"/>
      <c r="X7" s="395">
        <v>11200</v>
      </c>
      <c r="Y7" s="442"/>
      <c r="Z7" s="395">
        <v>9300</v>
      </c>
      <c r="AA7" s="442"/>
      <c r="AB7" s="395">
        <v>13330</v>
      </c>
      <c r="AC7" s="442"/>
      <c r="AD7" s="395">
        <v>7200</v>
      </c>
      <c r="AE7" s="442"/>
      <c r="AF7" s="395">
        <v>28100</v>
      </c>
      <c r="AG7" s="442"/>
    </row>
    <row r="8" spans="1:33" ht="15.75" thickBot="1" x14ac:dyDescent="0.3">
      <c r="A8" s="90" t="s">
        <v>549</v>
      </c>
      <c r="B8" s="419" t="s">
        <v>577</v>
      </c>
      <c r="C8" s="420"/>
      <c r="D8" s="419" t="s">
        <v>584</v>
      </c>
      <c r="E8" s="420"/>
      <c r="F8" s="419" t="s">
        <v>593</v>
      </c>
      <c r="G8" s="420"/>
      <c r="H8" s="419" t="s">
        <v>1301</v>
      </c>
      <c r="I8" s="420"/>
      <c r="J8" s="419" t="s">
        <v>1424</v>
      </c>
      <c r="K8" s="420"/>
      <c r="L8" s="419" t="s">
        <v>550</v>
      </c>
      <c r="M8" s="420"/>
      <c r="N8" s="419" t="s">
        <v>550</v>
      </c>
      <c r="O8" s="420"/>
      <c r="P8" s="419" t="s">
        <v>1306</v>
      </c>
      <c r="Q8" s="420"/>
      <c r="R8" s="419" t="s">
        <v>550</v>
      </c>
      <c r="S8" s="420"/>
      <c r="T8" s="419" t="s">
        <v>550</v>
      </c>
      <c r="U8" s="420"/>
      <c r="V8" s="419" t="s">
        <v>550</v>
      </c>
      <c r="W8" s="420"/>
      <c r="X8" s="419" t="s">
        <v>1762</v>
      </c>
      <c r="Y8" s="420"/>
      <c r="Z8" s="419" t="s">
        <v>550</v>
      </c>
      <c r="AA8" s="420"/>
      <c r="AB8" s="419" t="s">
        <v>550</v>
      </c>
      <c r="AC8" s="420"/>
      <c r="AD8" s="419" t="s">
        <v>550</v>
      </c>
      <c r="AE8" s="420"/>
      <c r="AF8" s="465" t="s">
        <v>550</v>
      </c>
      <c r="AG8" s="466"/>
    </row>
    <row r="9" spans="1:33" ht="15.75" thickBot="1" x14ac:dyDescent="0.3">
      <c r="A9" s="49" t="s">
        <v>275</v>
      </c>
      <c r="B9" s="45" t="s">
        <v>272</v>
      </c>
      <c r="C9" s="46" t="s">
        <v>271</v>
      </c>
      <c r="D9" s="45" t="s">
        <v>272</v>
      </c>
      <c r="E9" s="46" t="s">
        <v>271</v>
      </c>
      <c r="F9" s="45" t="s">
        <v>272</v>
      </c>
      <c r="G9" s="46" t="s">
        <v>271</v>
      </c>
      <c r="H9" s="45" t="s">
        <v>272</v>
      </c>
      <c r="I9" s="46" t="s">
        <v>271</v>
      </c>
      <c r="J9" s="45" t="s">
        <v>272</v>
      </c>
      <c r="K9" s="46" t="s">
        <v>271</v>
      </c>
      <c r="L9" s="45" t="s">
        <v>272</v>
      </c>
      <c r="M9" s="46" t="s">
        <v>271</v>
      </c>
      <c r="N9" s="45" t="s">
        <v>272</v>
      </c>
      <c r="O9" s="46" t="s">
        <v>271</v>
      </c>
      <c r="P9" s="45" t="s">
        <v>272</v>
      </c>
      <c r="Q9" s="46" t="s">
        <v>271</v>
      </c>
      <c r="R9" s="45" t="s">
        <v>272</v>
      </c>
      <c r="S9" s="46" t="s">
        <v>271</v>
      </c>
      <c r="T9" s="45" t="s">
        <v>272</v>
      </c>
      <c r="U9" s="46" t="s">
        <v>271</v>
      </c>
      <c r="V9" s="45" t="s">
        <v>272</v>
      </c>
      <c r="W9" s="46" t="s">
        <v>271</v>
      </c>
      <c r="X9" s="45" t="s">
        <v>272</v>
      </c>
      <c r="Y9" s="46" t="s">
        <v>271</v>
      </c>
      <c r="Z9" s="45" t="s">
        <v>272</v>
      </c>
      <c r="AA9" s="46" t="s">
        <v>271</v>
      </c>
      <c r="AB9" s="45" t="s">
        <v>272</v>
      </c>
      <c r="AC9" s="46" t="s">
        <v>271</v>
      </c>
      <c r="AD9" s="45" t="s">
        <v>272</v>
      </c>
      <c r="AE9" s="48" t="s">
        <v>271</v>
      </c>
      <c r="AF9" s="45" t="s">
        <v>272</v>
      </c>
      <c r="AG9" s="46" t="s">
        <v>271</v>
      </c>
    </row>
    <row r="10" spans="1:33" x14ac:dyDescent="0.25">
      <c r="A10" s="26">
        <v>1</v>
      </c>
      <c r="B10" s="7" t="s">
        <v>645</v>
      </c>
      <c r="C10" s="97" t="s">
        <v>577</v>
      </c>
      <c r="D10" s="44">
        <v>1</v>
      </c>
      <c r="E10" s="187" t="s">
        <v>1286</v>
      </c>
      <c r="F10" s="44">
        <v>1</v>
      </c>
      <c r="G10" s="4" t="s">
        <v>1300</v>
      </c>
      <c r="H10" s="25"/>
      <c r="I10" s="19"/>
      <c r="J10" s="44">
        <v>1</v>
      </c>
      <c r="K10" s="98" t="s">
        <v>1759</v>
      </c>
      <c r="L10" s="44">
        <v>1</v>
      </c>
      <c r="M10" s="187" t="s">
        <v>1304</v>
      </c>
      <c r="N10" s="137"/>
      <c r="O10" s="105"/>
      <c r="P10" s="44">
        <v>107</v>
      </c>
      <c r="Q10" s="3" t="s">
        <v>1305</v>
      </c>
      <c r="R10" s="44"/>
      <c r="S10" s="148"/>
      <c r="T10" s="8" t="s">
        <v>595</v>
      </c>
      <c r="U10" s="3" t="s">
        <v>594</v>
      </c>
      <c r="V10" s="44">
        <v>1</v>
      </c>
      <c r="W10" s="187" t="s">
        <v>1307</v>
      </c>
      <c r="X10" s="16">
        <v>1</v>
      </c>
      <c r="Y10" s="133" t="s">
        <v>1219</v>
      </c>
      <c r="Z10" s="44">
        <v>2</v>
      </c>
      <c r="AA10" s="3" t="s">
        <v>492</v>
      </c>
      <c r="AB10" s="44">
        <v>1</v>
      </c>
      <c r="AC10" s="3" t="s">
        <v>1764</v>
      </c>
      <c r="AD10" s="44">
        <v>1</v>
      </c>
      <c r="AE10" s="185" t="s">
        <v>1433</v>
      </c>
      <c r="AF10" s="44" t="s">
        <v>1654</v>
      </c>
      <c r="AG10" s="3" t="s">
        <v>1753</v>
      </c>
    </row>
    <row r="11" spans="1:33" x14ac:dyDescent="0.25">
      <c r="A11" s="42">
        <v>2</v>
      </c>
      <c r="B11" s="8" t="s">
        <v>595</v>
      </c>
      <c r="C11" s="4" t="s">
        <v>1704</v>
      </c>
      <c r="D11" s="8">
        <v>2</v>
      </c>
      <c r="E11" s="4" t="s">
        <v>1287</v>
      </c>
      <c r="F11" s="8">
        <v>2</v>
      </c>
      <c r="G11" s="97" t="s">
        <v>1301</v>
      </c>
      <c r="H11" s="24"/>
      <c r="I11" s="19"/>
      <c r="J11" s="8"/>
      <c r="K11" s="4"/>
      <c r="L11" s="8"/>
      <c r="M11" s="4"/>
      <c r="N11" s="137"/>
      <c r="O11" s="106"/>
      <c r="P11" s="8">
        <v>108</v>
      </c>
      <c r="Q11" s="97" t="s">
        <v>1306</v>
      </c>
      <c r="R11" s="44"/>
      <c r="S11" s="82"/>
      <c r="T11" s="8" t="s">
        <v>596</v>
      </c>
      <c r="U11" s="4" t="s">
        <v>1263</v>
      </c>
      <c r="V11" s="8">
        <v>2</v>
      </c>
      <c r="W11" s="184" t="s">
        <v>1308</v>
      </c>
      <c r="X11" s="140">
        <v>2</v>
      </c>
      <c r="Y11" s="211" t="s">
        <v>395</v>
      </c>
      <c r="Z11" s="8">
        <v>3</v>
      </c>
      <c r="AA11" s="4" t="s">
        <v>493</v>
      </c>
      <c r="AB11" s="8">
        <v>2</v>
      </c>
      <c r="AC11" s="4" t="s">
        <v>1323</v>
      </c>
      <c r="AD11" s="8">
        <v>2</v>
      </c>
      <c r="AE11" s="186" t="s">
        <v>1315</v>
      </c>
      <c r="AF11" s="8" t="s">
        <v>1656</v>
      </c>
      <c r="AG11" s="4" t="s">
        <v>1655</v>
      </c>
    </row>
    <row r="12" spans="1:33" ht="14.65" customHeight="1" x14ac:dyDescent="0.25">
      <c r="A12" s="42">
        <v>3</v>
      </c>
      <c r="B12" s="8" t="s">
        <v>596</v>
      </c>
      <c r="C12" s="4" t="s">
        <v>1283</v>
      </c>
      <c r="D12" s="8">
        <v>3</v>
      </c>
      <c r="E12" s="4" t="s">
        <v>1288</v>
      </c>
      <c r="F12" s="8">
        <v>3</v>
      </c>
      <c r="G12" s="4" t="s">
        <v>662</v>
      </c>
      <c r="H12" s="24"/>
      <c r="I12" s="19"/>
      <c r="J12" s="8"/>
      <c r="K12" s="4"/>
      <c r="L12" s="8"/>
      <c r="M12" s="4"/>
      <c r="N12" s="137"/>
      <c r="O12" s="106"/>
      <c r="P12" s="8"/>
      <c r="Q12" s="4"/>
      <c r="R12" s="8"/>
      <c r="S12" s="82"/>
      <c r="T12" s="8" t="s">
        <v>598</v>
      </c>
      <c r="U12" s="4" t="s">
        <v>597</v>
      </c>
      <c r="V12" s="8">
        <v>12</v>
      </c>
      <c r="W12" s="184" t="s">
        <v>1309</v>
      </c>
      <c r="X12" s="140">
        <v>3</v>
      </c>
      <c r="Y12" s="211" t="s">
        <v>396</v>
      </c>
      <c r="Z12" s="8">
        <v>4</v>
      </c>
      <c r="AA12" s="184" t="s">
        <v>494</v>
      </c>
      <c r="AB12" s="44">
        <v>3</v>
      </c>
      <c r="AC12" s="4" t="s">
        <v>1324</v>
      </c>
      <c r="AD12" s="8">
        <v>3</v>
      </c>
      <c r="AE12" s="19" t="s">
        <v>1316</v>
      </c>
      <c r="AF12" s="8" t="s">
        <v>1658</v>
      </c>
      <c r="AG12" s="4" t="s">
        <v>1766</v>
      </c>
    </row>
    <row r="13" spans="1:33" x14ac:dyDescent="0.25">
      <c r="A13" s="42">
        <v>4</v>
      </c>
      <c r="B13" s="8" t="s">
        <v>598</v>
      </c>
      <c r="C13" s="4" t="s">
        <v>1284</v>
      </c>
      <c r="D13" s="8">
        <v>4</v>
      </c>
      <c r="E13" s="4" t="s">
        <v>1289</v>
      </c>
      <c r="F13" s="8">
        <v>4</v>
      </c>
      <c r="G13" s="4" t="s">
        <v>1302</v>
      </c>
      <c r="H13" s="24"/>
      <c r="I13" s="19"/>
      <c r="J13" s="8"/>
      <c r="K13" s="4"/>
      <c r="L13" s="8"/>
      <c r="M13" s="4"/>
      <c r="N13" s="137"/>
      <c r="O13" s="106"/>
      <c r="P13" s="8"/>
      <c r="Q13" s="4"/>
      <c r="R13" s="8"/>
      <c r="S13" s="82"/>
      <c r="T13" s="8" t="s">
        <v>600</v>
      </c>
      <c r="U13" s="4" t="s">
        <v>599</v>
      </c>
      <c r="V13" s="8">
        <v>15</v>
      </c>
      <c r="W13" s="4" t="s">
        <v>1310</v>
      </c>
      <c r="X13" s="140">
        <v>4</v>
      </c>
      <c r="Y13" s="211" t="s">
        <v>397</v>
      </c>
      <c r="Z13" s="8">
        <v>5</v>
      </c>
      <c r="AA13" s="184" t="s">
        <v>495</v>
      </c>
      <c r="AB13" s="8">
        <v>4</v>
      </c>
      <c r="AC13" s="4" t="s">
        <v>1325</v>
      </c>
      <c r="AD13" s="8">
        <v>4</v>
      </c>
      <c r="AE13" s="19" t="s">
        <v>1317</v>
      </c>
      <c r="AF13" s="8" t="s">
        <v>1659</v>
      </c>
      <c r="AG13" s="4" t="s">
        <v>1566</v>
      </c>
    </row>
    <row r="14" spans="1:33" ht="14.65" customHeight="1" x14ac:dyDescent="0.25">
      <c r="A14" s="42">
        <v>5</v>
      </c>
      <c r="B14" s="8" t="s">
        <v>600</v>
      </c>
      <c r="C14" s="4" t="s">
        <v>581</v>
      </c>
      <c r="D14" s="8">
        <v>5</v>
      </c>
      <c r="E14" s="4" t="s">
        <v>1290</v>
      </c>
      <c r="F14" s="8">
        <v>5</v>
      </c>
      <c r="G14" s="4" t="s">
        <v>1303</v>
      </c>
      <c r="H14" s="24"/>
      <c r="I14" s="19"/>
      <c r="J14" s="8"/>
      <c r="K14" s="4"/>
      <c r="L14" s="8"/>
      <c r="M14" s="4"/>
      <c r="N14" s="137"/>
      <c r="O14" s="106"/>
      <c r="P14" s="8"/>
      <c r="Q14" s="4"/>
      <c r="R14" s="8"/>
      <c r="S14" s="82"/>
      <c r="T14" s="8" t="s">
        <v>602</v>
      </c>
      <c r="U14" s="4" t="s">
        <v>601</v>
      </c>
      <c r="V14" s="8">
        <v>16</v>
      </c>
      <c r="W14" s="4" t="s">
        <v>1311</v>
      </c>
      <c r="X14" s="8"/>
      <c r="Y14" s="4"/>
      <c r="Z14" s="8">
        <v>6</v>
      </c>
      <c r="AA14" s="4" t="s">
        <v>496</v>
      </c>
      <c r="AB14" s="44">
        <v>5</v>
      </c>
      <c r="AC14" s="4" t="s">
        <v>1326</v>
      </c>
      <c r="AD14" s="8">
        <v>5</v>
      </c>
      <c r="AE14" s="19" t="s">
        <v>1318</v>
      </c>
      <c r="AF14" s="8" t="s">
        <v>1660</v>
      </c>
      <c r="AG14" s="4" t="s">
        <v>1628</v>
      </c>
    </row>
    <row r="15" spans="1:33" x14ac:dyDescent="0.25">
      <c r="A15" s="42">
        <v>6</v>
      </c>
      <c r="B15" s="8" t="s">
        <v>605</v>
      </c>
      <c r="C15" s="4" t="s">
        <v>1705</v>
      </c>
      <c r="D15" s="8">
        <v>17</v>
      </c>
      <c r="E15" s="4" t="s">
        <v>1291</v>
      </c>
      <c r="F15" s="8"/>
      <c r="G15" s="4"/>
      <c r="H15" s="24"/>
      <c r="I15" s="19"/>
      <c r="J15" s="8"/>
      <c r="K15" s="4"/>
      <c r="L15" s="8"/>
      <c r="M15" s="4"/>
      <c r="N15" s="137"/>
      <c r="O15" s="106"/>
      <c r="P15" s="8"/>
      <c r="Q15" s="4"/>
      <c r="R15" s="8"/>
      <c r="S15" s="82"/>
      <c r="T15" s="8" t="s">
        <v>603</v>
      </c>
      <c r="U15" s="101" t="s">
        <v>643</v>
      </c>
      <c r="V15" s="8"/>
      <c r="W15" s="4"/>
      <c r="X15" s="8"/>
      <c r="Y15" s="4"/>
      <c r="Z15" s="8">
        <v>7</v>
      </c>
      <c r="AA15" s="4" t="s">
        <v>1313</v>
      </c>
      <c r="AB15" s="8">
        <v>6</v>
      </c>
      <c r="AC15" s="4" t="s">
        <v>1327</v>
      </c>
      <c r="AD15" s="8">
        <v>6</v>
      </c>
      <c r="AE15" s="19" t="s">
        <v>1319</v>
      </c>
      <c r="AF15" s="8" t="s">
        <v>1661</v>
      </c>
      <c r="AG15" s="4" t="s">
        <v>1570</v>
      </c>
    </row>
    <row r="16" spans="1:33" x14ac:dyDescent="0.25">
      <c r="A16" s="42">
        <v>7</v>
      </c>
      <c r="B16" s="8" t="s">
        <v>607</v>
      </c>
      <c r="C16" s="97" t="s">
        <v>1706</v>
      </c>
      <c r="D16" s="8">
        <v>49</v>
      </c>
      <c r="E16" s="4" t="s">
        <v>1292</v>
      </c>
      <c r="F16" s="8"/>
      <c r="G16" s="4"/>
      <c r="H16" s="24"/>
      <c r="I16" s="19"/>
      <c r="J16" s="8"/>
      <c r="K16" s="4"/>
      <c r="L16" s="8"/>
      <c r="M16" s="4"/>
      <c r="N16" s="137"/>
      <c r="O16" s="106"/>
      <c r="P16" s="8"/>
      <c r="Q16" s="4"/>
      <c r="R16" s="8"/>
      <c r="S16" s="82"/>
      <c r="T16" s="8" t="s">
        <v>605</v>
      </c>
      <c r="U16" s="4" t="s">
        <v>604</v>
      </c>
      <c r="V16" s="8"/>
      <c r="W16" s="4"/>
      <c r="X16" s="8"/>
      <c r="Y16" s="4"/>
      <c r="Z16" s="8">
        <v>9</v>
      </c>
      <c r="AA16" s="4" t="s">
        <v>497</v>
      </c>
      <c r="AB16" s="44">
        <v>7</v>
      </c>
      <c r="AC16" s="4" t="s">
        <v>1328</v>
      </c>
      <c r="AD16" s="8">
        <v>7</v>
      </c>
      <c r="AE16" s="19" t="s">
        <v>1320</v>
      </c>
      <c r="AF16" s="8" t="s">
        <v>1663</v>
      </c>
      <c r="AG16" s="4" t="s">
        <v>1662</v>
      </c>
    </row>
    <row r="17" spans="1:33" x14ac:dyDescent="0.25">
      <c r="A17" s="42">
        <v>8</v>
      </c>
      <c r="B17" s="8" t="s">
        <v>609</v>
      </c>
      <c r="C17" s="97" t="s">
        <v>593</v>
      </c>
      <c r="D17" s="8">
        <v>81</v>
      </c>
      <c r="E17" s="4" t="s">
        <v>1293</v>
      </c>
      <c r="F17" s="8"/>
      <c r="G17" s="4"/>
      <c r="H17" s="24"/>
      <c r="I17" s="19"/>
      <c r="J17" s="8"/>
      <c r="K17" s="4"/>
      <c r="L17" s="8"/>
      <c r="M17" s="4"/>
      <c r="N17" s="137"/>
      <c r="O17" s="106"/>
      <c r="P17" s="8"/>
      <c r="Q17" s="4"/>
      <c r="R17" s="8"/>
      <c r="S17" s="82"/>
      <c r="T17" s="8" t="s">
        <v>607</v>
      </c>
      <c r="U17" s="4" t="s">
        <v>1264</v>
      </c>
      <c r="V17" s="8"/>
      <c r="W17" s="4"/>
      <c r="X17" s="8"/>
      <c r="Y17" s="4"/>
      <c r="Z17" s="8">
        <v>11</v>
      </c>
      <c r="AA17" s="4" t="s">
        <v>1314</v>
      </c>
      <c r="AB17" s="8">
        <v>8</v>
      </c>
      <c r="AC17" s="4" t="s">
        <v>1329</v>
      </c>
      <c r="AD17" s="8">
        <v>8</v>
      </c>
      <c r="AE17" s="19" t="s">
        <v>1321</v>
      </c>
      <c r="AF17" s="8" t="s">
        <v>1664</v>
      </c>
      <c r="AG17" s="4" t="s">
        <v>1668</v>
      </c>
    </row>
    <row r="18" spans="1:33" x14ac:dyDescent="0.25">
      <c r="A18" s="42">
        <v>9</v>
      </c>
      <c r="B18" s="8" t="s">
        <v>653</v>
      </c>
      <c r="C18" s="4" t="s">
        <v>585</v>
      </c>
      <c r="D18" s="8">
        <v>129</v>
      </c>
      <c r="E18" s="4" t="s">
        <v>1294</v>
      </c>
      <c r="F18" s="8"/>
      <c r="G18" s="4"/>
      <c r="H18" s="24"/>
      <c r="I18" s="19"/>
      <c r="J18" s="8"/>
      <c r="K18" s="4"/>
      <c r="L18" s="8"/>
      <c r="M18" s="4"/>
      <c r="N18" s="137"/>
      <c r="O18" s="106"/>
      <c r="P18" s="8"/>
      <c r="Q18" s="4"/>
      <c r="R18" s="8"/>
      <c r="S18" s="82"/>
      <c r="T18" s="8" t="s">
        <v>609</v>
      </c>
      <c r="U18" s="4" t="s">
        <v>608</v>
      </c>
      <c r="V18" s="8"/>
      <c r="W18" s="4"/>
      <c r="X18" s="8"/>
      <c r="Y18" s="4"/>
      <c r="Z18" s="8">
        <v>12</v>
      </c>
      <c r="AA18" s="4" t="s">
        <v>498</v>
      </c>
      <c r="AB18" s="44">
        <v>9</v>
      </c>
      <c r="AC18" s="4" t="s">
        <v>1330</v>
      </c>
      <c r="AD18" s="8">
        <v>9</v>
      </c>
      <c r="AE18" s="19" t="s">
        <v>1322</v>
      </c>
      <c r="AF18" s="8" t="s">
        <v>1665</v>
      </c>
      <c r="AG18" s="4" t="s">
        <v>1755</v>
      </c>
    </row>
    <row r="19" spans="1:33" x14ac:dyDescent="0.25">
      <c r="A19" s="42">
        <v>10</v>
      </c>
      <c r="B19" s="8" t="s">
        <v>611</v>
      </c>
      <c r="C19" s="4" t="s">
        <v>1707</v>
      </c>
      <c r="D19" s="8">
        <v>143</v>
      </c>
      <c r="E19" s="4" t="s">
        <v>1295</v>
      </c>
      <c r="F19" s="8"/>
      <c r="G19" s="4"/>
      <c r="H19" s="24"/>
      <c r="I19" s="19"/>
      <c r="J19" s="8"/>
      <c r="K19" s="4"/>
      <c r="L19" s="8"/>
      <c r="M19" s="4"/>
      <c r="N19" s="137"/>
      <c r="O19" s="106"/>
      <c r="P19" s="8"/>
      <c r="Q19" s="4"/>
      <c r="R19" s="8"/>
      <c r="S19" s="82"/>
      <c r="T19" s="8" t="s">
        <v>611</v>
      </c>
      <c r="U19" s="4" t="s">
        <v>610</v>
      </c>
      <c r="V19" s="8"/>
      <c r="W19" s="4"/>
      <c r="X19" s="8"/>
      <c r="Y19" s="4"/>
      <c r="Z19" s="8">
        <v>30</v>
      </c>
      <c r="AA19" s="4" t="s">
        <v>499</v>
      </c>
      <c r="AB19" s="8">
        <v>10</v>
      </c>
      <c r="AC19" s="4" t="s">
        <v>674</v>
      </c>
      <c r="AD19" s="8"/>
      <c r="AE19" s="19"/>
      <c r="AF19" s="8" t="s">
        <v>1666</v>
      </c>
      <c r="AG19" s="4" t="s">
        <v>1440</v>
      </c>
    </row>
    <row r="20" spans="1:33" x14ac:dyDescent="0.25">
      <c r="A20" s="42">
        <v>11</v>
      </c>
      <c r="B20" s="8" t="s">
        <v>677</v>
      </c>
      <c r="C20" s="4" t="s">
        <v>1678</v>
      </c>
      <c r="D20" s="8">
        <v>147</v>
      </c>
      <c r="E20" s="4" t="s">
        <v>1296</v>
      </c>
      <c r="F20" s="8"/>
      <c r="G20" s="4"/>
      <c r="H20" s="24"/>
      <c r="I20" s="19"/>
      <c r="J20" s="8"/>
      <c r="K20" s="4"/>
      <c r="L20" s="8"/>
      <c r="M20" s="4"/>
      <c r="N20" s="137"/>
      <c r="O20" s="106"/>
      <c r="P20" s="8"/>
      <c r="Q20" s="4"/>
      <c r="R20" s="8"/>
      <c r="S20" s="82"/>
      <c r="T20" s="8" t="s">
        <v>613</v>
      </c>
      <c r="U20" s="4" t="s">
        <v>612</v>
      </c>
      <c r="V20" s="8"/>
      <c r="W20" s="4"/>
      <c r="X20" s="8"/>
      <c r="Y20" s="4"/>
      <c r="Z20" s="8">
        <v>50</v>
      </c>
      <c r="AA20" s="4" t="s">
        <v>501</v>
      </c>
      <c r="AB20" s="44">
        <v>11</v>
      </c>
      <c r="AC20" s="4" t="s">
        <v>914</v>
      </c>
      <c r="AD20" s="8"/>
      <c r="AE20" s="19"/>
      <c r="AF20" s="8" t="s">
        <v>1667</v>
      </c>
      <c r="AG20" s="4" t="s">
        <v>1765</v>
      </c>
    </row>
    <row r="21" spans="1:33" x14ac:dyDescent="0.25">
      <c r="A21" s="42">
        <v>12</v>
      </c>
      <c r="B21" s="8" t="s">
        <v>613</v>
      </c>
      <c r="C21" s="4" t="s">
        <v>588</v>
      </c>
      <c r="D21" s="8">
        <v>150</v>
      </c>
      <c r="E21" s="4" t="s">
        <v>1297</v>
      </c>
      <c r="F21" s="8"/>
      <c r="G21" s="4"/>
      <c r="H21" s="24"/>
      <c r="I21" s="19"/>
      <c r="J21" s="8"/>
      <c r="K21" s="4"/>
      <c r="L21" s="8"/>
      <c r="M21" s="4"/>
      <c r="N21" s="137"/>
      <c r="O21" s="106"/>
      <c r="P21" s="8"/>
      <c r="Q21" s="4"/>
      <c r="R21" s="8"/>
      <c r="S21" s="82"/>
      <c r="T21" s="8" t="s">
        <v>615</v>
      </c>
      <c r="U21" s="4" t="s">
        <v>614</v>
      </c>
      <c r="V21" s="8"/>
      <c r="W21" s="4"/>
      <c r="X21" s="8"/>
      <c r="Y21" s="4"/>
      <c r="Z21" s="8">
        <v>51</v>
      </c>
      <c r="AA21" s="184" t="s">
        <v>500</v>
      </c>
      <c r="AB21" s="8">
        <v>12</v>
      </c>
      <c r="AC21" s="4" t="s">
        <v>1331</v>
      </c>
      <c r="AD21" s="8"/>
      <c r="AE21" s="19"/>
      <c r="AF21" s="8"/>
      <c r="AG21" s="4"/>
    </row>
    <row r="22" spans="1:33" x14ac:dyDescent="0.25">
      <c r="A22" s="42">
        <v>13</v>
      </c>
      <c r="B22" s="8" t="s">
        <v>615</v>
      </c>
      <c r="C22" s="4" t="s">
        <v>589</v>
      </c>
      <c r="D22" s="8">
        <v>152</v>
      </c>
      <c r="E22" s="4" t="s">
        <v>1298</v>
      </c>
      <c r="F22" s="8"/>
      <c r="G22" s="4"/>
      <c r="H22" s="24"/>
      <c r="I22" s="19"/>
      <c r="J22" s="8"/>
      <c r="K22" s="4"/>
      <c r="L22" s="8"/>
      <c r="M22" s="4"/>
      <c r="N22" s="137"/>
      <c r="O22" s="106"/>
      <c r="P22" s="8"/>
      <c r="Q22" s="4"/>
      <c r="R22" s="8"/>
      <c r="S22" s="82"/>
      <c r="T22" s="8" t="s">
        <v>617</v>
      </c>
      <c r="U22" s="4" t="s">
        <v>616</v>
      </c>
      <c r="V22" s="8"/>
      <c r="W22" s="4"/>
      <c r="X22" s="8"/>
      <c r="Y22" s="4"/>
      <c r="Z22" s="8"/>
      <c r="AA22" s="4"/>
      <c r="AB22" s="44">
        <v>13</v>
      </c>
      <c r="AC22" s="4" t="s">
        <v>1332</v>
      </c>
      <c r="AD22" s="8"/>
      <c r="AE22" s="19"/>
      <c r="AF22" s="8"/>
      <c r="AG22" s="4"/>
    </row>
    <row r="23" spans="1:33" x14ac:dyDescent="0.25">
      <c r="A23" s="42">
        <v>14</v>
      </c>
      <c r="B23" s="8" t="s">
        <v>617</v>
      </c>
      <c r="C23" s="4" t="s">
        <v>590</v>
      </c>
      <c r="D23" s="8">
        <v>154</v>
      </c>
      <c r="E23" s="4" t="s">
        <v>1299</v>
      </c>
      <c r="F23" s="8"/>
      <c r="G23" s="4"/>
      <c r="H23" s="24"/>
      <c r="I23" s="19"/>
      <c r="J23" s="8"/>
      <c r="K23" s="4"/>
      <c r="L23" s="8"/>
      <c r="M23" s="4"/>
      <c r="N23" s="137"/>
      <c r="O23" s="106"/>
      <c r="P23" s="8"/>
      <c r="Q23" s="4"/>
      <c r="R23" s="8"/>
      <c r="S23" s="82"/>
      <c r="T23" s="8" t="s">
        <v>619</v>
      </c>
      <c r="U23" s="4" t="s">
        <v>1265</v>
      </c>
      <c r="V23" s="8"/>
      <c r="W23" s="4"/>
      <c r="X23" s="8"/>
      <c r="Y23" s="4"/>
      <c r="Z23" s="8"/>
      <c r="AA23" s="4"/>
      <c r="AB23" s="8">
        <v>14</v>
      </c>
      <c r="AC23" s="4" t="s">
        <v>1333</v>
      </c>
      <c r="AD23" s="8"/>
      <c r="AE23" s="19"/>
      <c r="AF23" s="8"/>
      <c r="AG23" s="4"/>
    </row>
    <row r="24" spans="1:33" x14ac:dyDescent="0.25">
      <c r="A24" s="29">
        <v>15</v>
      </c>
      <c r="B24" s="8" t="s">
        <v>1453</v>
      </c>
      <c r="C24" s="4" t="s">
        <v>591</v>
      </c>
      <c r="D24" s="131"/>
      <c r="E24" s="131"/>
      <c r="F24" s="131"/>
      <c r="G24" s="131"/>
      <c r="H24" s="24"/>
      <c r="I24" s="19"/>
      <c r="J24" s="131"/>
      <c r="K24" s="131"/>
      <c r="L24" s="131"/>
      <c r="M24" s="131"/>
      <c r="N24" s="137"/>
      <c r="O24" s="106"/>
      <c r="P24" s="131"/>
      <c r="Q24" s="131"/>
      <c r="R24" s="8"/>
      <c r="S24" s="82"/>
      <c r="T24" s="8" t="s">
        <v>621</v>
      </c>
      <c r="U24" s="4" t="s">
        <v>1266</v>
      </c>
      <c r="V24" s="131"/>
      <c r="W24" s="131"/>
      <c r="X24" s="131"/>
      <c r="Y24" s="131"/>
      <c r="Z24" s="131"/>
      <c r="AA24" s="131"/>
      <c r="AB24" s="131"/>
      <c r="AC24" s="131"/>
      <c r="AD24" s="131"/>
      <c r="AE24" s="19"/>
      <c r="AF24" s="8"/>
      <c r="AG24" s="4"/>
    </row>
    <row r="25" spans="1:33" x14ac:dyDescent="0.25">
      <c r="A25" s="29">
        <v>16</v>
      </c>
      <c r="B25" s="131">
        <v>16</v>
      </c>
      <c r="C25" s="119" t="s">
        <v>590</v>
      </c>
      <c r="D25" s="131"/>
      <c r="E25" s="131"/>
      <c r="F25" s="131"/>
      <c r="G25" s="131"/>
      <c r="H25" s="24"/>
      <c r="I25" s="19"/>
      <c r="J25" s="131"/>
      <c r="K25" s="131"/>
      <c r="L25" s="131"/>
      <c r="M25" s="131"/>
      <c r="N25" s="137"/>
      <c r="O25" s="106"/>
      <c r="P25" s="131"/>
      <c r="Q25" s="131"/>
      <c r="R25" s="8"/>
      <c r="S25" s="82"/>
      <c r="T25" s="8" t="s">
        <v>623</v>
      </c>
      <c r="U25" s="4" t="s">
        <v>622</v>
      </c>
      <c r="V25" s="131"/>
      <c r="W25" s="131"/>
      <c r="X25" s="131"/>
      <c r="Y25" s="131"/>
      <c r="Z25" s="131"/>
      <c r="AA25" s="131"/>
      <c r="AB25" s="131"/>
      <c r="AC25" s="131"/>
      <c r="AD25" s="131"/>
      <c r="AE25" s="19"/>
      <c r="AF25" s="8"/>
      <c r="AG25" s="4"/>
    </row>
    <row r="26" spans="1:33" x14ac:dyDescent="0.25">
      <c r="A26" s="29">
        <v>17</v>
      </c>
      <c r="B26" s="131">
        <v>17</v>
      </c>
      <c r="C26" s="119" t="s">
        <v>591</v>
      </c>
      <c r="D26" s="131"/>
      <c r="E26" s="131"/>
      <c r="F26" s="131"/>
      <c r="G26" s="131"/>
      <c r="H26" s="24"/>
      <c r="I26" s="19"/>
      <c r="J26" s="131"/>
      <c r="K26" s="131"/>
      <c r="L26" s="131"/>
      <c r="M26" s="131"/>
      <c r="N26" s="137"/>
      <c r="O26" s="106"/>
      <c r="P26" s="131"/>
      <c r="Q26" s="131"/>
      <c r="R26" s="8"/>
      <c r="S26" s="82"/>
      <c r="T26" s="8" t="s">
        <v>625</v>
      </c>
      <c r="U26" s="4" t="s">
        <v>624</v>
      </c>
      <c r="V26" s="131"/>
      <c r="W26" s="131"/>
      <c r="X26" s="131"/>
      <c r="Y26" s="131"/>
      <c r="Z26" s="131"/>
      <c r="AA26" s="131"/>
      <c r="AB26" s="131"/>
      <c r="AC26" s="131"/>
      <c r="AD26" s="131"/>
      <c r="AE26" s="19"/>
      <c r="AF26" s="8"/>
      <c r="AG26" s="4"/>
    </row>
    <row r="27" spans="1:33" x14ac:dyDescent="0.25">
      <c r="A27" s="29">
        <v>18</v>
      </c>
      <c r="B27" s="131"/>
      <c r="C27" s="131"/>
      <c r="D27" s="131"/>
      <c r="E27" s="131"/>
      <c r="F27" s="131"/>
      <c r="G27" s="131"/>
      <c r="H27" s="24"/>
      <c r="I27" s="19"/>
      <c r="J27" s="131"/>
      <c r="K27" s="131"/>
      <c r="L27" s="131"/>
      <c r="M27" s="131"/>
      <c r="N27" s="137"/>
      <c r="O27" s="106"/>
      <c r="P27" s="131"/>
      <c r="Q27" s="131"/>
      <c r="R27" s="8"/>
      <c r="S27" s="82"/>
      <c r="T27" s="8" t="s">
        <v>627</v>
      </c>
      <c r="U27" s="4" t="s">
        <v>626</v>
      </c>
      <c r="V27" s="131"/>
      <c r="W27" s="131"/>
      <c r="X27" s="131"/>
      <c r="Y27" s="131"/>
      <c r="Z27" s="131"/>
      <c r="AA27" s="131"/>
      <c r="AB27" s="131"/>
      <c r="AC27" s="131"/>
      <c r="AD27" s="131"/>
      <c r="AE27" s="19"/>
      <c r="AF27" s="8"/>
      <c r="AG27" s="4"/>
    </row>
    <row r="28" spans="1:33" ht="14.65" customHeight="1" x14ac:dyDescent="0.25">
      <c r="A28" s="29">
        <v>19</v>
      </c>
      <c r="B28" s="131"/>
      <c r="C28" s="131"/>
      <c r="D28" s="131"/>
      <c r="E28" s="131"/>
      <c r="F28" s="131"/>
      <c r="G28" s="131"/>
      <c r="H28" s="131"/>
      <c r="I28" s="131"/>
      <c r="J28" s="131"/>
      <c r="K28" s="131"/>
      <c r="L28" s="131"/>
      <c r="M28" s="131"/>
      <c r="N28" s="137"/>
      <c r="O28" s="106"/>
      <c r="P28" s="131"/>
      <c r="Q28" s="131"/>
      <c r="R28" s="8"/>
      <c r="S28" s="82"/>
      <c r="T28" s="8" t="s">
        <v>629</v>
      </c>
      <c r="U28" s="184" t="s">
        <v>628</v>
      </c>
      <c r="V28" s="131"/>
      <c r="W28" s="131"/>
      <c r="X28" s="131"/>
      <c r="Y28" s="131"/>
      <c r="Z28" s="131"/>
      <c r="AA28" s="131"/>
      <c r="AB28" s="131"/>
      <c r="AC28" s="131"/>
      <c r="AD28" s="131"/>
      <c r="AE28" s="19"/>
      <c r="AF28" s="8"/>
      <c r="AG28" s="4"/>
    </row>
    <row r="29" spans="1:33" x14ac:dyDescent="0.25">
      <c r="A29" s="29">
        <v>20</v>
      </c>
      <c r="B29" s="131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7"/>
      <c r="O29" s="106"/>
      <c r="P29" s="131"/>
      <c r="Q29" s="131"/>
      <c r="R29" s="8"/>
      <c r="S29" s="82"/>
      <c r="T29" s="8">
        <v>179</v>
      </c>
      <c r="U29" s="4" t="s">
        <v>1267</v>
      </c>
      <c r="V29" s="131"/>
      <c r="W29" s="131"/>
      <c r="X29" s="131"/>
      <c r="Y29" s="131"/>
      <c r="Z29" s="131"/>
      <c r="AA29" s="131"/>
      <c r="AB29" s="131"/>
      <c r="AC29" s="131"/>
      <c r="AD29" s="131"/>
      <c r="AE29" s="19"/>
      <c r="AF29" s="8"/>
      <c r="AG29" s="4"/>
    </row>
    <row r="30" spans="1:33" x14ac:dyDescent="0.25">
      <c r="A30" s="29">
        <v>21</v>
      </c>
      <c r="B30" s="131"/>
      <c r="C30" s="131"/>
      <c r="D30" s="131"/>
      <c r="E30" s="131"/>
      <c r="F30" s="131"/>
      <c r="G30" s="131"/>
      <c r="H30" s="131"/>
      <c r="I30" s="131"/>
      <c r="J30" s="131"/>
      <c r="K30" s="131"/>
      <c r="L30" s="131"/>
      <c r="M30" s="131"/>
      <c r="N30" s="137"/>
      <c r="O30" s="106"/>
      <c r="P30" s="131"/>
      <c r="Q30" s="131"/>
      <c r="R30" s="131"/>
      <c r="S30" s="131"/>
      <c r="T30" s="8" t="s">
        <v>631</v>
      </c>
      <c r="U30" s="184" t="s">
        <v>630</v>
      </c>
      <c r="V30" s="131"/>
      <c r="W30" s="131"/>
      <c r="X30" s="131"/>
      <c r="Y30" s="131"/>
      <c r="Z30" s="131"/>
      <c r="AA30" s="131"/>
      <c r="AB30" s="131"/>
      <c r="AC30" s="131"/>
      <c r="AD30" s="131"/>
      <c r="AE30" s="19"/>
      <c r="AF30" s="8"/>
      <c r="AG30" s="4"/>
    </row>
    <row r="31" spans="1:33" ht="14.65" customHeight="1" x14ac:dyDescent="0.25">
      <c r="A31" s="29">
        <v>22</v>
      </c>
      <c r="B31" s="131"/>
      <c r="C31" s="131"/>
      <c r="D31" s="131"/>
      <c r="E31" s="131"/>
      <c r="F31" s="131"/>
      <c r="G31" s="131"/>
      <c r="H31" s="131"/>
      <c r="I31" s="131"/>
      <c r="J31" s="131"/>
      <c r="K31" s="131"/>
      <c r="L31" s="131"/>
      <c r="M31" s="131"/>
      <c r="N31" s="137"/>
      <c r="O31" s="106"/>
      <c r="P31" s="131"/>
      <c r="Q31" s="131"/>
      <c r="R31" s="131"/>
      <c r="S31" s="131"/>
      <c r="T31" s="8" t="s">
        <v>633</v>
      </c>
      <c r="U31" s="184" t="s">
        <v>632</v>
      </c>
      <c r="V31" s="131"/>
      <c r="W31" s="131"/>
      <c r="X31" s="131"/>
      <c r="Y31" s="131"/>
      <c r="Z31" s="131"/>
      <c r="AA31" s="131"/>
      <c r="AB31" s="131"/>
      <c r="AC31" s="131"/>
      <c r="AD31" s="131"/>
      <c r="AE31" s="19"/>
      <c r="AF31" s="8"/>
      <c r="AG31" s="4"/>
    </row>
    <row r="32" spans="1:33" x14ac:dyDescent="0.25">
      <c r="A32" s="29">
        <v>23</v>
      </c>
      <c r="B32" s="131"/>
      <c r="C32" s="131"/>
      <c r="D32" s="131"/>
      <c r="E32" s="131"/>
      <c r="F32" s="131"/>
      <c r="G32" s="131"/>
      <c r="H32" s="131"/>
      <c r="I32" s="131"/>
      <c r="J32" s="131"/>
      <c r="K32" s="131"/>
      <c r="L32" s="131"/>
      <c r="M32" s="131"/>
      <c r="N32" s="137"/>
      <c r="O32" s="106"/>
      <c r="P32" s="131"/>
      <c r="Q32" s="131"/>
      <c r="R32" s="131"/>
      <c r="S32" s="131"/>
      <c r="T32" s="8" t="s">
        <v>635</v>
      </c>
      <c r="U32" s="4" t="s">
        <v>634</v>
      </c>
      <c r="V32" s="131"/>
      <c r="W32" s="131"/>
      <c r="X32" s="131"/>
      <c r="Y32" s="131"/>
      <c r="Z32" s="131"/>
      <c r="AA32" s="131"/>
      <c r="AB32" s="131"/>
      <c r="AC32" s="131"/>
      <c r="AD32" s="131"/>
      <c r="AE32" s="19"/>
      <c r="AF32" s="8"/>
      <c r="AG32" s="4"/>
    </row>
    <row r="33" spans="1:33" x14ac:dyDescent="0.25">
      <c r="A33" s="29">
        <v>24</v>
      </c>
      <c r="B33" s="131"/>
      <c r="C33" s="131"/>
      <c r="D33" s="131"/>
      <c r="E33" s="131"/>
      <c r="F33" s="131"/>
      <c r="G33" s="131"/>
      <c r="H33" s="131"/>
      <c r="I33" s="131"/>
      <c r="J33" s="131"/>
      <c r="K33" s="131"/>
      <c r="L33" s="131"/>
      <c r="M33" s="131"/>
      <c r="N33" s="137"/>
      <c r="O33" s="106"/>
      <c r="P33" s="131"/>
      <c r="Q33" s="131"/>
      <c r="R33" s="131"/>
      <c r="S33" s="131"/>
      <c r="T33" s="8" t="s">
        <v>637</v>
      </c>
      <c r="U33" s="4" t="s">
        <v>636</v>
      </c>
      <c r="V33" s="131"/>
      <c r="W33" s="131"/>
      <c r="X33" s="131"/>
      <c r="Y33" s="131"/>
      <c r="Z33" s="131"/>
      <c r="AA33" s="131"/>
      <c r="AB33" s="131"/>
      <c r="AC33" s="131"/>
      <c r="AD33" s="131"/>
      <c r="AE33" s="19"/>
      <c r="AF33" s="8"/>
      <c r="AG33" s="4"/>
    </row>
    <row r="34" spans="1:33" x14ac:dyDescent="0.25">
      <c r="A34" s="29">
        <v>25</v>
      </c>
      <c r="B34" s="131"/>
      <c r="C34" s="131"/>
      <c r="D34" s="131"/>
      <c r="E34" s="131"/>
      <c r="F34" s="131"/>
      <c r="G34" s="131"/>
      <c r="H34" s="131"/>
      <c r="I34" s="131"/>
      <c r="J34" s="131"/>
      <c r="K34" s="131"/>
      <c r="L34" s="131"/>
      <c r="M34" s="131"/>
      <c r="N34" s="132"/>
      <c r="O34" s="144"/>
      <c r="P34" s="131"/>
      <c r="Q34" s="131"/>
      <c r="R34" s="131"/>
      <c r="S34" s="131"/>
      <c r="T34" s="8" t="s">
        <v>639</v>
      </c>
      <c r="U34" s="4" t="s">
        <v>638</v>
      </c>
      <c r="V34" s="131"/>
      <c r="W34" s="131"/>
      <c r="X34" s="131"/>
      <c r="Y34" s="131"/>
      <c r="Z34" s="131"/>
      <c r="AA34" s="131"/>
      <c r="AB34" s="131"/>
      <c r="AC34" s="131"/>
      <c r="AD34" s="131"/>
      <c r="AE34" s="19"/>
      <c r="AF34" s="8"/>
      <c r="AG34" s="4"/>
    </row>
    <row r="35" spans="1:33" x14ac:dyDescent="0.25">
      <c r="A35" s="29">
        <v>26</v>
      </c>
      <c r="B35" s="131"/>
      <c r="C35" s="131"/>
      <c r="D35" s="131"/>
      <c r="E35" s="131"/>
      <c r="F35" s="131"/>
      <c r="G35" s="131"/>
      <c r="H35" s="131"/>
      <c r="I35" s="131"/>
      <c r="J35" s="131"/>
      <c r="K35" s="131"/>
      <c r="L35" s="131"/>
      <c r="M35" s="131"/>
      <c r="N35" s="132"/>
      <c r="O35" s="144"/>
      <c r="P35" s="131"/>
      <c r="Q35" s="131"/>
      <c r="R35" s="131"/>
      <c r="S35" s="131"/>
      <c r="T35" s="8" t="s">
        <v>641</v>
      </c>
      <c r="U35" s="3" t="s">
        <v>640</v>
      </c>
      <c r="V35" s="131"/>
      <c r="W35" s="131"/>
      <c r="X35" s="131"/>
      <c r="Y35" s="131"/>
      <c r="Z35" s="131"/>
      <c r="AA35" s="131"/>
      <c r="AB35" s="131"/>
      <c r="AC35" s="131"/>
      <c r="AD35" s="131"/>
      <c r="AE35" s="19"/>
      <c r="AF35" s="8"/>
      <c r="AG35" s="4"/>
    </row>
    <row r="36" spans="1:33" x14ac:dyDescent="0.25">
      <c r="A36" s="29">
        <v>27</v>
      </c>
      <c r="B36" s="131"/>
      <c r="C36" s="131"/>
      <c r="D36" s="131"/>
      <c r="E36" s="131"/>
      <c r="F36" s="131"/>
      <c r="G36" s="131"/>
      <c r="H36" s="131"/>
      <c r="I36" s="131"/>
      <c r="J36" s="131"/>
      <c r="K36" s="131"/>
      <c r="L36" s="131"/>
      <c r="M36" s="131"/>
      <c r="N36" s="132"/>
      <c r="O36" s="144"/>
      <c r="P36" s="131"/>
      <c r="Q36" s="131"/>
      <c r="R36" s="131"/>
      <c r="S36" s="131"/>
      <c r="T36" s="131"/>
      <c r="U36" s="131"/>
      <c r="V36" s="131"/>
      <c r="W36" s="131"/>
      <c r="X36" s="131"/>
      <c r="Y36" s="131"/>
      <c r="Z36" s="131"/>
      <c r="AA36" s="131"/>
      <c r="AB36" s="131"/>
      <c r="AC36" s="131"/>
      <c r="AD36" s="131"/>
      <c r="AE36" s="19"/>
      <c r="AF36" s="8"/>
      <c r="AG36" s="4"/>
    </row>
    <row r="37" spans="1:33" x14ac:dyDescent="0.25">
      <c r="A37" s="29">
        <v>28</v>
      </c>
      <c r="B37" s="131"/>
      <c r="C37" s="131"/>
      <c r="D37" s="131"/>
      <c r="E37" s="131"/>
      <c r="F37" s="131"/>
      <c r="G37" s="131"/>
      <c r="H37" s="131"/>
      <c r="I37" s="131"/>
      <c r="J37" s="131"/>
      <c r="K37" s="131"/>
      <c r="L37" s="131"/>
      <c r="M37" s="131"/>
      <c r="N37" s="132"/>
      <c r="O37" s="144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9"/>
      <c r="AF37" s="8"/>
      <c r="AG37" s="4"/>
    </row>
    <row r="38" spans="1:33" x14ac:dyDescent="0.25">
      <c r="A38" s="29">
        <v>29</v>
      </c>
      <c r="B38" s="131"/>
      <c r="C38" s="131"/>
      <c r="D38" s="131"/>
      <c r="E38" s="131"/>
      <c r="F38" s="131"/>
      <c r="G38" s="131"/>
      <c r="H38" s="131"/>
      <c r="I38" s="131"/>
      <c r="J38" s="131"/>
      <c r="K38" s="131"/>
      <c r="L38" s="131"/>
      <c r="M38" s="131"/>
      <c r="N38" s="132"/>
      <c r="O38" s="144"/>
      <c r="P38" s="131"/>
      <c r="Q38" s="131"/>
      <c r="R38" s="131"/>
      <c r="S38" s="131"/>
      <c r="T38" s="131"/>
      <c r="U38" s="131"/>
      <c r="V38" s="131"/>
      <c r="W38" s="131"/>
      <c r="X38" s="131"/>
      <c r="Y38" s="131"/>
      <c r="Z38" s="131"/>
      <c r="AA38" s="131"/>
      <c r="AB38" s="131"/>
      <c r="AC38" s="131"/>
      <c r="AD38" s="131"/>
      <c r="AE38" s="19"/>
      <c r="AF38" s="8"/>
      <c r="AG38" s="4"/>
    </row>
    <row r="39" spans="1:33" x14ac:dyDescent="0.25">
      <c r="A39" s="29">
        <v>30</v>
      </c>
      <c r="B39" s="131"/>
      <c r="C39" s="131"/>
      <c r="D39" s="131"/>
      <c r="E39" s="131"/>
      <c r="F39" s="131"/>
      <c r="G39" s="131"/>
      <c r="H39" s="131"/>
      <c r="I39" s="131"/>
      <c r="J39" s="131"/>
      <c r="K39" s="131"/>
      <c r="L39" s="131"/>
      <c r="M39" s="131"/>
      <c r="N39" s="132"/>
      <c r="O39" s="144"/>
      <c r="P39" s="131"/>
      <c r="Q39" s="131"/>
      <c r="R39" s="131"/>
      <c r="S39" s="131"/>
      <c r="T39" s="131"/>
      <c r="U39" s="131"/>
      <c r="V39" s="131"/>
      <c r="W39" s="131"/>
      <c r="X39" s="131"/>
      <c r="Y39" s="131"/>
      <c r="Z39" s="131"/>
      <c r="AA39" s="131"/>
      <c r="AB39" s="131"/>
      <c r="AC39" s="131"/>
      <c r="AD39" s="131"/>
      <c r="AE39" s="19"/>
      <c r="AF39" s="8"/>
      <c r="AG39" s="4"/>
    </row>
    <row r="40" spans="1:33" ht="15.75" thickBot="1" x14ac:dyDescent="0.3">
      <c r="A40" s="29">
        <v>31</v>
      </c>
      <c r="B40" s="131"/>
      <c r="C40" s="131"/>
      <c r="D40" s="131"/>
      <c r="E40" s="131"/>
      <c r="F40" s="131"/>
      <c r="G40" s="131"/>
      <c r="H40" s="131"/>
      <c r="I40" s="131"/>
      <c r="J40" s="131"/>
      <c r="K40" s="131"/>
      <c r="L40" s="131"/>
      <c r="M40" s="131"/>
      <c r="N40" s="132"/>
      <c r="O40" s="144"/>
      <c r="P40" s="131"/>
      <c r="Q40" s="131"/>
      <c r="R40" s="131"/>
      <c r="S40" s="131"/>
      <c r="T40" s="131"/>
      <c r="U40" s="131"/>
      <c r="V40" s="131"/>
      <c r="W40" s="131"/>
      <c r="X40" s="131"/>
      <c r="Y40" s="131"/>
      <c r="Z40" s="131"/>
      <c r="AA40" s="131"/>
      <c r="AB40" s="131"/>
      <c r="AC40" s="131"/>
      <c r="AD40" s="131"/>
      <c r="AE40" s="19"/>
      <c r="AF40" s="9"/>
      <c r="AG40" s="6"/>
    </row>
  </sheetData>
  <mergeCells count="116">
    <mergeCell ref="V5:W5"/>
    <mergeCell ref="X5:Y5"/>
    <mergeCell ref="Z5:AA5"/>
    <mergeCell ref="AB5:AC5"/>
    <mergeCell ref="AD5:AE5"/>
    <mergeCell ref="P5:Q5"/>
    <mergeCell ref="R5:S5"/>
    <mergeCell ref="P7:Q7"/>
    <mergeCell ref="R7:S7"/>
    <mergeCell ref="T7:U7"/>
    <mergeCell ref="V7:W7"/>
    <mergeCell ref="X7:Y7"/>
    <mergeCell ref="Z7:AA7"/>
    <mergeCell ref="AB7:AC7"/>
    <mergeCell ref="AD7:AE7"/>
    <mergeCell ref="AF5:AG5"/>
    <mergeCell ref="B6:C6"/>
    <mergeCell ref="D6:E6"/>
    <mergeCell ref="F6:G6"/>
    <mergeCell ref="H6:I6"/>
    <mergeCell ref="J6:K6"/>
    <mergeCell ref="L6:M6"/>
    <mergeCell ref="N6:O6"/>
    <mergeCell ref="P6:Q6"/>
    <mergeCell ref="R6:S6"/>
    <mergeCell ref="T6:U6"/>
    <mergeCell ref="V6:W6"/>
    <mergeCell ref="X6:Y6"/>
    <mergeCell ref="Z6:AA6"/>
    <mergeCell ref="AB6:AC6"/>
    <mergeCell ref="AD6:AE6"/>
    <mergeCell ref="AF6:AG6"/>
    <mergeCell ref="B5:C5"/>
    <mergeCell ref="D5:E5"/>
    <mergeCell ref="F5:G5"/>
    <mergeCell ref="H5:I5"/>
    <mergeCell ref="J5:K5"/>
    <mergeCell ref="L5:M5"/>
    <mergeCell ref="N5:O5"/>
    <mergeCell ref="T3:U3"/>
    <mergeCell ref="F3:G3"/>
    <mergeCell ref="H3:I3"/>
    <mergeCell ref="J3:K3"/>
    <mergeCell ref="L3:M3"/>
    <mergeCell ref="N3:O3"/>
    <mergeCell ref="P3:Q3"/>
    <mergeCell ref="R3:S3"/>
    <mergeCell ref="T5:U5"/>
    <mergeCell ref="V3:W3"/>
    <mergeCell ref="X3:Y3"/>
    <mergeCell ref="Z3:AA3"/>
    <mergeCell ref="AB3:AC3"/>
    <mergeCell ref="AD3:AE3"/>
    <mergeCell ref="AF3:AG3"/>
    <mergeCell ref="B4:C4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B4:AC4"/>
    <mergeCell ref="AD4:AE4"/>
    <mergeCell ref="AF4:AG4"/>
    <mergeCell ref="B3:C3"/>
    <mergeCell ref="D3:E3"/>
    <mergeCell ref="Z1:AG1"/>
    <mergeCell ref="B2:C2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AB2:AC2"/>
    <mergeCell ref="AD2:AE2"/>
    <mergeCell ref="AF2:AG2"/>
    <mergeCell ref="B1:I1"/>
    <mergeCell ref="J1:Q1"/>
    <mergeCell ref="R1:Y1"/>
    <mergeCell ref="AF7:AG7"/>
    <mergeCell ref="B7:C7"/>
    <mergeCell ref="D7:E7"/>
    <mergeCell ref="F7:G7"/>
    <mergeCell ref="H7:I7"/>
    <mergeCell ref="J7:K7"/>
    <mergeCell ref="L7:M7"/>
    <mergeCell ref="N7:O7"/>
    <mergeCell ref="B8:C8"/>
    <mergeCell ref="D8:E8"/>
    <mergeCell ref="F8:G8"/>
    <mergeCell ref="H8:I8"/>
    <mergeCell ref="J8:K8"/>
    <mergeCell ref="L8:M8"/>
    <mergeCell ref="N8:O8"/>
    <mergeCell ref="AF8:AG8"/>
    <mergeCell ref="P8:Q8"/>
    <mergeCell ref="R8:S8"/>
    <mergeCell ref="T8:U8"/>
    <mergeCell ref="V8:W8"/>
    <mergeCell ref="X8:Y8"/>
    <mergeCell ref="Z8:AA8"/>
    <mergeCell ref="AB8:AC8"/>
    <mergeCell ref="AD8:AE8"/>
  </mergeCells>
  <conditionalFormatting sqref="B25:C26">
    <cfRule type="duplicateValues" dxfId="60" priority="13"/>
  </conditionalFormatting>
  <conditionalFormatting sqref="C25:C26">
    <cfRule type="duplicateValues" dxfId="59" priority="14"/>
  </conditionalFormatting>
  <conditionalFormatting sqref="O10:O23">
    <cfRule type="duplicateValues" dxfId="58" priority="11"/>
  </conditionalFormatting>
  <conditionalFormatting sqref="O24:O40">
    <cfRule type="duplicateValues" dxfId="57" priority="10"/>
  </conditionalFormatting>
  <conditionalFormatting sqref="N10:O40">
    <cfRule type="duplicateValues" dxfId="56" priority="9"/>
  </conditionalFormatting>
  <conditionalFormatting sqref="S12">
    <cfRule type="duplicateValues" dxfId="55" priority="7"/>
  </conditionalFormatting>
  <conditionalFormatting sqref="S10:S11 S13:S29">
    <cfRule type="duplicateValues" dxfId="54" priority="56"/>
  </conditionalFormatting>
  <conditionalFormatting sqref="T10:U35">
    <cfRule type="duplicateValues" dxfId="53" priority="5"/>
  </conditionalFormatting>
  <conditionalFormatting sqref="U10:U35">
    <cfRule type="duplicateValues" dxfId="52" priority="6"/>
  </conditionalFormatting>
  <conditionalFormatting sqref="Y10:Y13">
    <cfRule type="duplicateValues" dxfId="51" priority="4"/>
  </conditionalFormatting>
  <conditionalFormatting sqref="AA22 AA10:AA20">
    <cfRule type="duplicateValues" dxfId="50" priority="57"/>
  </conditionalFormatting>
  <conditionalFormatting sqref="AA21">
    <cfRule type="duplicateValues" dxfId="49" priority="2"/>
  </conditionalFormatting>
  <conditionalFormatting sqref="I10:I27">
    <cfRule type="duplicateValues" dxfId="48" priority="1"/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0000"/>
  </sheetPr>
  <dimension ref="A1:Q51"/>
  <sheetViews>
    <sheetView workbookViewId="0">
      <pane ySplit="9" topLeftCell="A10" activePane="bottomLeft" state="frozen"/>
      <selection pane="bottomLeft" activeCell="G22" sqref="G22"/>
    </sheetView>
  </sheetViews>
  <sheetFormatPr defaultRowHeight="15" x14ac:dyDescent="0.25"/>
  <cols>
    <col min="1" max="1" width="11.42578125" bestFit="1" customWidth="1"/>
    <col min="2" max="2" width="2.7109375" bestFit="1" customWidth="1"/>
    <col min="3" max="3" width="13" customWidth="1"/>
    <col min="4" max="4" width="5" bestFit="1" customWidth="1"/>
    <col min="5" max="5" width="19.28515625" customWidth="1"/>
    <col min="6" max="6" width="5" bestFit="1" customWidth="1"/>
    <col min="7" max="7" width="24" bestFit="1" customWidth="1"/>
    <col min="8" max="8" width="2.7109375" bestFit="1" customWidth="1"/>
    <col min="9" max="9" width="20.5703125" customWidth="1"/>
    <col min="10" max="10" width="4" bestFit="1" customWidth="1"/>
    <col min="11" max="11" width="22.28515625" bestFit="1" customWidth="1"/>
    <col min="12" max="12" width="4" bestFit="1" customWidth="1"/>
    <col min="13" max="13" width="22.28515625" bestFit="1" customWidth="1"/>
    <col min="14" max="14" width="5" bestFit="1" customWidth="1"/>
    <col min="15" max="15" width="16.5703125" customWidth="1"/>
    <col min="16" max="16" width="2.7109375" bestFit="1" customWidth="1"/>
    <col min="17" max="17" width="22.5703125" bestFit="1" customWidth="1"/>
  </cols>
  <sheetData>
    <row r="1" spans="1:17" ht="15.75" thickBot="1" x14ac:dyDescent="0.3">
      <c r="A1" s="51" t="s">
        <v>242</v>
      </c>
      <c r="B1" s="459" t="s">
        <v>1334</v>
      </c>
      <c r="C1" s="459"/>
      <c r="D1" s="459"/>
      <c r="E1" s="459"/>
      <c r="F1" s="459"/>
      <c r="G1" s="459"/>
      <c r="H1" s="459"/>
      <c r="I1" s="459"/>
      <c r="J1" s="460" t="s">
        <v>1335</v>
      </c>
      <c r="K1" s="461"/>
      <c r="L1" s="461"/>
      <c r="M1" s="461"/>
      <c r="N1" s="461"/>
      <c r="O1" s="461"/>
      <c r="P1" s="467"/>
      <c r="Q1" s="467"/>
    </row>
    <row r="2" spans="1:17" ht="15.75" thickBot="1" x14ac:dyDescent="0.3">
      <c r="A2" s="277" t="s">
        <v>276</v>
      </c>
      <c r="B2" s="393" t="s">
        <v>267</v>
      </c>
      <c r="C2" s="457"/>
      <c r="D2" s="393" t="s">
        <v>268</v>
      </c>
      <c r="E2" s="457"/>
      <c r="F2" s="393" t="s">
        <v>269</v>
      </c>
      <c r="G2" s="457"/>
      <c r="H2" s="393" t="s">
        <v>270</v>
      </c>
      <c r="I2" s="457"/>
      <c r="J2" s="393" t="s">
        <v>267</v>
      </c>
      <c r="K2" s="457"/>
      <c r="L2" s="393" t="s">
        <v>268</v>
      </c>
      <c r="M2" s="457"/>
      <c r="N2" s="393" t="s">
        <v>269</v>
      </c>
      <c r="O2" s="457"/>
      <c r="P2" s="468" t="s">
        <v>270</v>
      </c>
      <c r="Q2" s="468"/>
    </row>
    <row r="3" spans="1:17" x14ac:dyDescent="0.25">
      <c r="A3" s="282" t="s">
        <v>273</v>
      </c>
      <c r="B3" s="399"/>
      <c r="C3" s="407"/>
      <c r="D3" s="399"/>
      <c r="E3" s="407"/>
      <c r="F3" s="399"/>
      <c r="G3" s="407"/>
      <c r="H3" s="399"/>
      <c r="I3" s="407"/>
      <c r="J3" s="399"/>
      <c r="K3" s="407"/>
      <c r="L3" s="399"/>
      <c r="M3" s="407"/>
      <c r="N3" s="399"/>
      <c r="O3" s="407"/>
      <c r="P3" s="382"/>
      <c r="Q3" s="382"/>
    </row>
    <row r="4" spans="1:17" x14ac:dyDescent="0.25">
      <c r="A4" s="282" t="s">
        <v>277</v>
      </c>
      <c r="B4" s="401" t="s">
        <v>1434</v>
      </c>
      <c r="C4" s="423"/>
      <c r="D4" s="401" t="s">
        <v>1435</v>
      </c>
      <c r="E4" s="423"/>
      <c r="F4" s="401" t="s">
        <v>1436</v>
      </c>
      <c r="G4" s="423"/>
      <c r="H4" s="401" t="s">
        <v>1437</v>
      </c>
      <c r="I4" s="423"/>
      <c r="J4" s="401" t="s">
        <v>1393</v>
      </c>
      <c r="K4" s="423"/>
      <c r="L4" s="401" t="s">
        <v>1394</v>
      </c>
      <c r="M4" s="423"/>
      <c r="N4" s="401" t="s">
        <v>1395</v>
      </c>
      <c r="O4" s="423"/>
      <c r="P4" s="382" t="s">
        <v>1398</v>
      </c>
      <c r="Q4" s="382"/>
    </row>
    <row r="5" spans="1:17" x14ac:dyDescent="0.25">
      <c r="A5" s="282" t="s">
        <v>274</v>
      </c>
      <c r="B5" s="401"/>
      <c r="C5" s="423"/>
      <c r="D5" s="401"/>
      <c r="E5" s="423"/>
      <c r="F5" s="401"/>
      <c r="G5" s="423"/>
      <c r="H5" s="401"/>
      <c r="I5" s="423"/>
      <c r="J5" s="401"/>
      <c r="K5" s="423"/>
      <c r="L5" s="401"/>
      <c r="M5" s="423"/>
      <c r="N5" s="401"/>
      <c r="O5" s="423"/>
      <c r="P5" s="382"/>
      <c r="Q5" s="382"/>
    </row>
    <row r="6" spans="1:17" ht="15.75" thickBot="1" x14ac:dyDescent="0.3">
      <c r="A6" s="282" t="s">
        <v>295</v>
      </c>
      <c r="B6" s="395"/>
      <c r="C6" s="442"/>
      <c r="D6" s="395"/>
      <c r="E6" s="442"/>
      <c r="F6" s="395"/>
      <c r="G6" s="442"/>
      <c r="H6" s="395"/>
      <c r="I6" s="442"/>
      <c r="J6" s="395"/>
      <c r="K6" s="442"/>
      <c r="L6" s="395"/>
      <c r="M6" s="442"/>
      <c r="N6" s="395"/>
      <c r="O6" s="442"/>
      <c r="P6" s="382"/>
      <c r="Q6" s="382"/>
    </row>
    <row r="7" spans="1:17" ht="15.75" thickBot="1" x14ac:dyDescent="0.3">
      <c r="A7" s="278" t="s">
        <v>296</v>
      </c>
      <c r="B7" s="395"/>
      <c r="C7" s="442"/>
      <c r="D7" s="395"/>
      <c r="E7" s="442"/>
      <c r="F7" s="395"/>
      <c r="G7" s="442"/>
      <c r="H7" s="395"/>
      <c r="I7" s="442"/>
      <c r="J7" s="395"/>
      <c r="K7" s="442"/>
      <c r="L7" s="395"/>
      <c r="M7" s="442"/>
      <c r="N7" s="395"/>
      <c r="O7" s="442"/>
      <c r="P7" s="382"/>
      <c r="Q7" s="382"/>
    </row>
    <row r="8" spans="1:17" ht="15.75" thickBot="1" x14ac:dyDescent="0.3">
      <c r="A8" s="281" t="s">
        <v>549</v>
      </c>
      <c r="B8" s="419" t="s">
        <v>1272</v>
      </c>
      <c r="C8" s="420"/>
      <c r="D8" s="419" t="s">
        <v>1273</v>
      </c>
      <c r="E8" s="420"/>
      <c r="F8" s="419" t="s">
        <v>1274</v>
      </c>
      <c r="G8" s="420"/>
      <c r="H8" s="419" t="s">
        <v>1275</v>
      </c>
      <c r="I8" s="420"/>
      <c r="J8" s="419"/>
      <c r="K8" s="420"/>
      <c r="L8" s="419" t="s">
        <v>748</v>
      </c>
      <c r="M8" s="420"/>
      <c r="N8" s="419" t="s">
        <v>1396</v>
      </c>
      <c r="O8" s="420"/>
      <c r="P8" s="469" t="s">
        <v>1397</v>
      </c>
      <c r="Q8" s="469"/>
    </row>
    <row r="9" spans="1:17" ht="15.75" thickBot="1" x14ac:dyDescent="0.3">
      <c r="A9" s="49" t="s">
        <v>275</v>
      </c>
      <c r="B9" s="45" t="s">
        <v>272</v>
      </c>
      <c r="C9" s="46" t="s">
        <v>271</v>
      </c>
      <c r="D9" s="45" t="s">
        <v>272</v>
      </c>
      <c r="E9" s="46" t="s">
        <v>271</v>
      </c>
      <c r="F9" s="45" t="s">
        <v>272</v>
      </c>
      <c r="G9" s="46" t="s">
        <v>271</v>
      </c>
      <c r="H9" s="45" t="s">
        <v>272</v>
      </c>
      <c r="I9" s="46" t="s">
        <v>271</v>
      </c>
      <c r="J9" s="45" t="s">
        <v>272</v>
      </c>
      <c r="K9" s="46" t="s">
        <v>271</v>
      </c>
      <c r="L9" s="45" t="s">
        <v>272</v>
      </c>
      <c r="M9" s="46" t="s">
        <v>271</v>
      </c>
      <c r="N9" s="45" t="s">
        <v>272</v>
      </c>
      <c r="O9" s="48" t="s">
        <v>271</v>
      </c>
      <c r="P9" s="214" t="s">
        <v>272</v>
      </c>
      <c r="Q9" s="214" t="s">
        <v>271</v>
      </c>
    </row>
    <row r="10" spans="1:17" x14ac:dyDescent="0.25">
      <c r="A10" s="279">
        <v>1</v>
      </c>
      <c r="B10" s="80">
        <v>1</v>
      </c>
      <c r="C10" s="18" t="s">
        <v>471</v>
      </c>
      <c r="D10" s="44">
        <v>49</v>
      </c>
      <c r="E10" s="3" t="s">
        <v>1336</v>
      </c>
      <c r="F10" s="44">
        <v>1914</v>
      </c>
      <c r="G10" s="3" t="s">
        <v>1270</v>
      </c>
      <c r="H10" s="44">
        <v>1</v>
      </c>
      <c r="I10" s="187" t="s">
        <v>1339</v>
      </c>
      <c r="J10" s="44">
        <v>2</v>
      </c>
      <c r="K10" s="187" t="s">
        <v>1344</v>
      </c>
      <c r="L10" s="44">
        <v>2</v>
      </c>
      <c r="M10" s="98" t="s">
        <v>748</v>
      </c>
      <c r="N10" s="44">
        <v>210</v>
      </c>
      <c r="O10" s="96" t="s">
        <v>1396</v>
      </c>
      <c r="P10" s="131"/>
      <c r="Q10" s="131"/>
    </row>
    <row r="11" spans="1:17" x14ac:dyDescent="0.25">
      <c r="A11" s="282">
        <v>2</v>
      </c>
      <c r="B11" s="76">
        <v>2</v>
      </c>
      <c r="C11" s="19" t="s">
        <v>472</v>
      </c>
      <c r="D11" s="44">
        <v>2000</v>
      </c>
      <c r="E11" s="3" t="s">
        <v>534</v>
      </c>
      <c r="F11" s="8">
        <v>1915</v>
      </c>
      <c r="G11" s="4" t="s">
        <v>1270</v>
      </c>
      <c r="H11" s="8">
        <v>2</v>
      </c>
      <c r="I11" s="4" t="s">
        <v>1340</v>
      </c>
      <c r="J11" s="8">
        <v>3</v>
      </c>
      <c r="K11" s="4" t="s">
        <v>1345</v>
      </c>
      <c r="L11" s="8"/>
      <c r="M11" s="4"/>
      <c r="N11" s="8"/>
      <c r="O11" s="19"/>
      <c r="P11" s="131"/>
      <c r="Q11" s="131"/>
    </row>
    <row r="12" spans="1:17" x14ac:dyDescent="0.25">
      <c r="A12" s="282">
        <v>3</v>
      </c>
      <c r="B12" s="76">
        <v>3</v>
      </c>
      <c r="C12" s="19" t="s">
        <v>473</v>
      </c>
      <c r="D12" s="8">
        <v>2006</v>
      </c>
      <c r="E12" s="4" t="s">
        <v>535</v>
      </c>
      <c r="F12" s="8">
        <v>1922</v>
      </c>
      <c r="G12" s="4" t="s">
        <v>1271</v>
      </c>
      <c r="H12" s="8">
        <v>3</v>
      </c>
      <c r="I12" s="4" t="s">
        <v>387</v>
      </c>
      <c r="J12" s="8">
        <v>4</v>
      </c>
      <c r="K12" s="4" t="s">
        <v>1346</v>
      </c>
      <c r="L12" s="8"/>
      <c r="M12" s="4"/>
      <c r="N12" s="8"/>
      <c r="O12" s="19"/>
      <c r="P12" s="131"/>
      <c r="Q12" s="131"/>
    </row>
    <row r="13" spans="1:17" x14ac:dyDescent="0.25">
      <c r="A13" s="282">
        <v>4</v>
      </c>
      <c r="B13" s="76">
        <v>4</v>
      </c>
      <c r="C13" s="19" t="s">
        <v>474</v>
      </c>
      <c r="D13" s="8">
        <v>2024</v>
      </c>
      <c r="E13" s="4" t="s">
        <v>536</v>
      </c>
      <c r="F13" s="8">
        <v>1923</v>
      </c>
      <c r="G13" s="4" t="s">
        <v>1271</v>
      </c>
      <c r="H13" s="8">
        <v>4</v>
      </c>
      <c r="I13" s="4" t="s">
        <v>388</v>
      </c>
      <c r="J13" s="8">
        <v>5</v>
      </c>
      <c r="K13" s="4" t="s">
        <v>1347</v>
      </c>
      <c r="L13" s="8"/>
      <c r="M13" s="4"/>
      <c r="N13" s="8"/>
      <c r="O13" s="19"/>
      <c r="P13" s="131"/>
      <c r="Q13" s="131"/>
    </row>
    <row r="14" spans="1:17" x14ac:dyDescent="0.25">
      <c r="A14" s="282">
        <v>5</v>
      </c>
      <c r="B14" s="76">
        <v>5</v>
      </c>
      <c r="C14" s="19" t="s">
        <v>475</v>
      </c>
      <c r="D14" s="8">
        <v>2042</v>
      </c>
      <c r="E14" s="4" t="s">
        <v>537</v>
      </c>
      <c r="F14" s="8">
        <v>1926</v>
      </c>
      <c r="G14" s="97" t="s">
        <v>1272</v>
      </c>
      <c r="H14" s="8">
        <v>5</v>
      </c>
      <c r="I14" s="4" t="s">
        <v>389</v>
      </c>
      <c r="J14" s="8">
        <v>11</v>
      </c>
      <c r="K14" s="4" t="s">
        <v>1348</v>
      </c>
      <c r="L14" s="8"/>
      <c r="M14" s="4"/>
      <c r="N14" s="8"/>
      <c r="O14" s="19"/>
      <c r="P14" s="131"/>
      <c r="Q14" s="131"/>
    </row>
    <row r="15" spans="1:17" x14ac:dyDescent="0.25">
      <c r="A15" s="282">
        <v>6</v>
      </c>
      <c r="B15" s="76">
        <v>6</v>
      </c>
      <c r="C15" s="19" t="s">
        <v>476</v>
      </c>
      <c r="D15" s="8">
        <v>2073</v>
      </c>
      <c r="E15" s="4" t="s">
        <v>538</v>
      </c>
      <c r="F15" s="8">
        <v>1927</v>
      </c>
      <c r="G15" s="97" t="s">
        <v>1273</v>
      </c>
      <c r="H15" s="8">
        <v>6</v>
      </c>
      <c r="I15" s="4" t="s">
        <v>390</v>
      </c>
      <c r="J15" s="8">
        <v>12</v>
      </c>
      <c r="K15" s="4" t="s">
        <v>1349</v>
      </c>
      <c r="L15" s="8"/>
      <c r="M15" s="4"/>
      <c r="N15" s="8"/>
      <c r="O15" s="19"/>
      <c r="P15" s="131"/>
      <c r="Q15" s="131"/>
    </row>
    <row r="16" spans="1:17" x14ac:dyDescent="0.25">
      <c r="A16" s="282">
        <v>7</v>
      </c>
      <c r="B16" s="76">
        <v>7</v>
      </c>
      <c r="C16" s="19" t="s">
        <v>477</v>
      </c>
      <c r="D16" s="8">
        <v>2019</v>
      </c>
      <c r="E16" s="4" t="s">
        <v>574</v>
      </c>
      <c r="F16" s="8">
        <v>1928</v>
      </c>
      <c r="G16" s="97" t="s">
        <v>1274</v>
      </c>
      <c r="H16" s="8">
        <v>11</v>
      </c>
      <c r="I16" s="4" t="s">
        <v>391</v>
      </c>
      <c r="J16" s="8">
        <v>13</v>
      </c>
      <c r="K16" s="4" t="s">
        <v>1350</v>
      </c>
      <c r="L16" s="8"/>
      <c r="M16" s="4"/>
      <c r="N16" s="8"/>
      <c r="O16" s="19"/>
      <c r="P16" s="131"/>
      <c r="Q16" s="131"/>
    </row>
    <row r="17" spans="1:17" ht="14.65" customHeight="1" x14ac:dyDescent="0.25">
      <c r="A17" s="282">
        <v>8</v>
      </c>
      <c r="B17" s="8"/>
      <c r="C17" s="131"/>
      <c r="D17" s="8">
        <v>2101</v>
      </c>
      <c r="E17" s="4" t="s">
        <v>575</v>
      </c>
      <c r="F17" s="8">
        <v>1929</v>
      </c>
      <c r="G17" s="97" t="s">
        <v>1275</v>
      </c>
      <c r="H17" s="8">
        <v>12</v>
      </c>
      <c r="I17" s="4" t="s">
        <v>393</v>
      </c>
      <c r="J17" s="8">
        <v>51</v>
      </c>
      <c r="K17" s="4" t="s">
        <v>1351</v>
      </c>
      <c r="L17" s="8"/>
      <c r="M17" s="4"/>
      <c r="N17" s="8"/>
      <c r="O17" s="19"/>
      <c r="P17" s="131"/>
      <c r="Q17" s="131"/>
    </row>
    <row r="18" spans="1:17" x14ac:dyDescent="0.25">
      <c r="A18" s="282">
        <v>9</v>
      </c>
      <c r="B18" s="8"/>
      <c r="C18" s="131"/>
      <c r="D18" s="8">
        <v>2111</v>
      </c>
      <c r="E18" s="4" t="s">
        <v>539</v>
      </c>
      <c r="F18" s="8">
        <v>6009</v>
      </c>
      <c r="G18" s="4" t="s">
        <v>1276</v>
      </c>
      <c r="H18" s="8">
        <v>13</v>
      </c>
      <c r="I18" s="4" t="s">
        <v>392</v>
      </c>
      <c r="J18" s="8">
        <v>106</v>
      </c>
      <c r="K18" s="4" t="s">
        <v>1352</v>
      </c>
      <c r="L18" s="8"/>
      <c r="M18" s="4"/>
      <c r="N18" s="8"/>
      <c r="O18" s="19"/>
      <c r="P18" s="131"/>
      <c r="Q18" s="131"/>
    </row>
    <row r="19" spans="1:17" x14ac:dyDescent="0.25">
      <c r="A19" s="149">
        <v>10</v>
      </c>
      <c r="B19" s="8"/>
      <c r="C19" s="131"/>
      <c r="D19" s="8">
        <v>2121</v>
      </c>
      <c r="E19" s="4" t="s">
        <v>540</v>
      </c>
      <c r="F19" s="8">
        <v>6082</v>
      </c>
      <c r="G19" s="4" t="s">
        <v>1039</v>
      </c>
      <c r="H19" s="8">
        <v>14</v>
      </c>
      <c r="I19" s="4" t="s">
        <v>1341</v>
      </c>
      <c r="J19" s="8">
        <v>255</v>
      </c>
      <c r="K19" s="4" t="s">
        <v>1353</v>
      </c>
      <c r="L19" s="8"/>
      <c r="M19" s="4"/>
      <c r="N19" s="8"/>
      <c r="O19" s="19"/>
      <c r="P19" s="131"/>
      <c r="Q19" s="131"/>
    </row>
    <row r="20" spans="1:17" x14ac:dyDescent="0.25">
      <c r="A20" s="150">
        <v>11</v>
      </c>
      <c r="B20" s="8"/>
      <c r="C20" s="131"/>
      <c r="D20" s="8">
        <v>2131</v>
      </c>
      <c r="E20" s="4" t="s">
        <v>573</v>
      </c>
      <c r="F20" s="8">
        <v>6083</v>
      </c>
      <c r="G20" s="4" t="s">
        <v>1039</v>
      </c>
      <c r="H20" s="8">
        <v>15</v>
      </c>
      <c r="I20" s="4" t="s">
        <v>1342</v>
      </c>
      <c r="J20" s="8"/>
      <c r="K20" s="4"/>
      <c r="L20" s="8"/>
      <c r="M20" s="4"/>
      <c r="N20" s="8"/>
      <c r="O20" s="19"/>
      <c r="P20" s="131"/>
      <c r="Q20" s="131"/>
    </row>
    <row r="21" spans="1:17" x14ac:dyDescent="0.25">
      <c r="A21" s="277">
        <v>12</v>
      </c>
      <c r="B21" s="8"/>
      <c r="C21" s="131"/>
      <c r="D21" s="8">
        <v>2141</v>
      </c>
      <c r="E21" s="4" t="s">
        <v>1337</v>
      </c>
      <c r="F21" s="8">
        <v>6087</v>
      </c>
      <c r="G21" s="4" t="s">
        <v>1277</v>
      </c>
      <c r="H21" s="8">
        <v>16</v>
      </c>
      <c r="I21" s="4" t="s">
        <v>1343</v>
      </c>
      <c r="J21" s="8"/>
      <c r="K21" s="4"/>
      <c r="L21" s="8"/>
      <c r="M21" s="4"/>
      <c r="N21" s="8"/>
      <c r="O21" s="133"/>
      <c r="P21" s="131"/>
      <c r="Q21" s="131"/>
    </row>
    <row r="22" spans="1:17" x14ac:dyDescent="0.25">
      <c r="A22" s="282">
        <v>13</v>
      </c>
      <c r="B22" s="8"/>
      <c r="C22" s="131"/>
      <c r="D22" s="8">
        <v>2151</v>
      </c>
      <c r="E22" s="4" t="s">
        <v>1338</v>
      </c>
      <c r="F22" s="8">
        <v>6088</v>
      </c>
      <c r="G22" s="4" t="s">
        <v>1277</v>
      </c>
      <c r="H22" s="8"/>
      <c r="I22" s="4"/>
      <c r="J22" s="8"/>
      <c r="K22" s="4"/>
      <c r="L22" s="8"/>
      <c r="M22" s="4"/>
      <c r="N22" s="8"/>
      <c r="O22" s="19"/>
      <c r="P22" s="131"/>
      <c r="Q22" s="131"/>
    </row>
    <row r="23" spans="1:17" x14ac:dyDescent="0.25">
      <c r="A23" s="282">
        <v>14</v>
      </c>
      <c r="B23" s="24"/>
      <c r="C23" s="131"/>
      <c r="D23" s="8"/>
      <c r="E23" s="131"/>
      <c r="F23" s="8">
        <v>6089</v>
      </c>
      <c r="G23" s="4" t="s">
        <v>1278</v>
      </c>
      <c r="H23" s="131"/>
      <c r="I23" s="131"/>
      <c r="J23" s="8"/>
      <c r="K23" s="4"/>
      <c r="L23" s="8"/>
      <c r="M23" s="4"/>
      <c r="N23" s="83"/>
      <c r="O23" s="212"/>
      <c r="P23" s="131"/>
      <c r="Q23" s="131"/>
    </row>
    <row r="24" spans="1:17" x14ac:dyDescent="0.25">
      <c r="A24" s="282">
        <v>15</v>
      </c>
      <c r="B24" s="24"/>
      <c r="C24" s="131"/>
      <c r="D24" s="131"/>
      <c r="E24" s="131"/>
      <c r="F24" s="131">
        <v>6090</v>
      </c>
      <c r="G24" s="131" t="s">
        <v>1278</v>
      </c>
      <c r="H24" s="131"/>
      <c r="I24" s="131"/>
      <c r="J24" s="131"/>
      <c r="K24" s="131"/>
      <c r="L24" s="131"/>
      <c r="M24" s="131"/>
      <c r="N24" s="8"/>
      <c r="O24" s="212"/>
      <c r="P24" s="131"/>
      <c r="Q24" s="131"/>
    </row>
    <row r="25" spans="1:17" x14ac:dyDescent="0.25">
      <c r="A25" s="282">
        <v>16</v>
      </c>
      <c r="B25" s="24"/>
      <c r="C25" s="131"/>
      <c r="D25" s="131"/>
      <c r="E25" s="131"/>
      <c r="F25" s="131">
        <v>6092</v>
      </c>
      <c r="G25" s="131" t="s">
        <v>1279</v>
      </c>
      <c r="H25" s="131"/>
      <c r="I25" s="131"/>
      <c r="J25" s="131"/>
      <c r="K25" s="131"/>
      <c r="L25" s="131"/>
      <c r="M25" s="131"/>
      <c r="N25" s="59"/>
      <c r="O25" s="212"/>
      <c r="P25" s="131"/>
      <c r="Q25" s="131"/>
    </row>
    <row r="26" spans="1:17" x14ac:dyDescent="0.25">
      <c r="A26" s="282">
        <v>17</v>
      </c>
      <c r="B26" s="24"/>
      <c r="C26" s="131"/>
      <c r="D26" s="131"/>
      <c r="E26" s="131"/>
      <c r="F26" s="131">
        <v>6093</v>
      </c>
      <c r="G26" s="131" t="s">
        <v>1279</v>
      </c>
      <c r="H26" s="131"/>
      <c r="I26" s="131"/>
      <c r="J26" s="131"/>
      <c r="K26" s="131"/>
      <c r="L26" s="131"/>
      <c r="M26" s="131"/>
      <c r="N26" s="59"/>
      <c r="O26" s="212"/>
      <c r="P26" s="131"/>
      <c r="Q26" s="131"/>
    </row>
    <row r="27" spans="1:17" x14ac:dyDescent="0.25">
      <c r="A27" s="282">
        <v>18</v>
      </c>
      <c r="B27" s="24"/>
      <c r="C27" s="131"/>
      <c r="D27" s="131"/>
      <c r="E27" s="131"/>
      <c r="F27" s="131"/>
      <c r="G27" s="131"/>
      <c r="H27" s="131"/>
      <c r="I27" s="131"/>
      <c r="J27" s="131"/>
      <c r="K27" s="131"/>
      <c r="L27" s="131"/>
      <c r="M27" s="131"/>
      <c r="N27" s="59"/>
      <c r="O27" s="212"/>
      <c r="P27" s="131"/>
      <c r="Q27" s="131"/>
    </row>
    <row r="28" spans="1:17" x14ac:dyDescent="0.25">
      <c r="A28" s="282">
        <v>19</v>
      </c>
      <c r="B28" s="24"/>
      <c r="C28" s="131"/>
      <c r="D28" s="131"/>
      <c r="E28" s="131"/>
      <c r="F28" s="131"/>
      <c r="G28" s="131"/>
      <c r="H28" s="131"/>
      <c r="I28" s="131"/>
      <c r="J28" s="131"/>
      <c r="K28" s="131"/>
      <c r="L28" s="131"/>
      <c r="M28" s="131"/>
      <c r="N28" s="59"/>
      <c r="O28" s="212"/>
      <c r="P28" s="131"/>
      <c r="Q28" s="131"/>
    </row>
    <row r="29" spans="1:17" x14ac:dyDescent="0.25">
      <c r="A29" s="282">
        <v>20</v>
      </c>
      <c r="B29" s="24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5"/>
      <c r="O29" s="212"/>
      <c r="P29" s="131"/>
      <c r="Q29" s="131"/>
    </row>
    <row r="30" spans="1:17" x14ac:dyDescent="0.25">
      <c r="A30" s="282">
        <v>21</v>
      </c>
      <c r="B30" s="24"/>
      <c r="C30" s="131"/>
      <c r="D30" s="131"/>
      <c r="E30" s="131"/>
      <c r="F30" s="131"/>
      <c r="G30" s="131"/>
      <c r="H30" s="131"/>
      <c r="I30" s="131"/>
      <c r="J30" s="131"/>
      <c r="K30" s="131"/>
      <c r="L30" s="131"/>
      <c r="M30" s="131"/>
      <c r="N30" s="135"/>
      <c r="O30" s="212"/>
      <c r="P30" s="131"/>
      <c r="Q30" s="131"/>
    </row>
    <row r="31" spans="1:17" x14ac:dyDescent="0.25">
      <c r="A31" s="282">
        <v>22</v>
      </c>
      <c r="B31" s="24"/>
      <c r="C31" s="131"/>
      <c r="D31" s="131"/>
      <c r="E31" s="131"/>
      <c r="F31" s="131"/>
      <c r="G31" s="131"/>
      <c r="H31" s="131"/>
      <c r="I31" s="131"/>
      <c r="J31" s="131"/>
      <c r="K31" s="131"/>
      <c r="L31" s="131"/>
      <c r="M31" s="131"/>
      <c r="N31" s="135"/>
      <c r="O31" s="212"/>
      <c r="P31" s="131"/>
      <c r="Q31" s="131"/>
    </row>
    <row r="32" spans="1:17" x14ac:dyDescent="0.25">
      <c r="A32" s="282">
        <v>23</v>
      </c>
      <c r="B32" s="24"/>
      <c r="C32" s="131"/>
      <c r="D32" s="131"/>
      <c r="E32" s="131"/>
      <c r="F32" s="131"/>
      <c r="G32" s="131"/>
      <c r="H32" s="131"/>
      <c r="I32" s="131"/>
      <c r="J32" s="131"/>
      <c r="K32" s="131"/>
      <c r="L32" s="131"/>
      <c r="M32" s="131"/>
      <c r="N32" s="135"/>
      <c r="O32" s="212"/>
      <c r="P32" s="131"/>
      <c r="Q32" s="131"/>
    </row>
    <row r="33" spans="1:17" x14ac:dyDescent="0.25">
      <c r="A33" s="282">
        <v>24</v>
      </c>
      <c r="B33" s="24"/>
      <c r="C33" s="131"/>
      <c r="D33" s="131"/>
      <c r="E33" s="131"/>
      <c r="F33" s="131"/>
      <c r="G33" s="131"/>
      <c r="H33" s="131"/>
      <c r="I33" s="131"/>
      <c r="J33" s="131"/>
      <c r="K33" s="131"/>
      <c r="L33" s="131"/>
      <c r="M33" s="131"/>
      <c r="N33" s="135"/>
      <c r="O33" s="213"/>
      <c r="P33" s="131"/>
      <c r="Q33" s="131"/>
    </row>
    <row r="34" spans="1:17" x14ac:dyDescent="0.25">
      <c r="A34" s="282">
        <v>25</v>
      </c>
      <c r="B34" s="24"/>
      <c r="C34" s="131"/>
      <c r="D34" s="131"/>
      <c r="E34" s="131"/>
      <c r="F34" s="131"/>
      <c r="G34" s="131"/>
      <c r="H34" s="131"/>
      <c r="I34" s="131"/>
      <c r="J34" s="131"/>
      <c r="K34" s="131"/>
      <c r="L34" s="131"/>
      <c r="M34" s="131"/>
      <c r="N34" s="135"/>
      <c r="O34" s="212"/>
      <c r="P34" s="131"/>
      <c r="Q34" s="131"/>
    </row>
    <row r="35" spans="1:17" x14ac:dyDescent="0.25">
      <c r="A35" s="282">
        <v>26</v>
      </c>
      <c r="B35" s="24"/>
      <c r="C35" s="131"/>
      <c r="D35" s="131"/>
      <c r="E35" s="131"/>
      <c r="F35" s="131"/>
      <c r="G35" s="131"/>
      <c r="H35" s="131"/>
      <c r="I35" s="131"/>
      <c r="J35" s="131"/>
      <c r="K35" s="131"/>
      <c r="L35" s="131"/>
      <c r="M35" s="131"/>
      <c r="N35" s="135"/>
      <c r="O35" s="212"/>
      <c r="P35" s="131"/>
      <c r="Q35" s="131"/>
    </row>
    <row r="36" spans="1:17" x14ac:dyDescent="0.25">
      <c r="A36" s="282">
        <v>27</v>
      </c>
      <c r="B36" s="24"/>
      <c r="C36" s="131"/>
      <c r="D36" s="131"/>
      <c r="E36" s="131"/>
      <c r="F36" s="131"/>
      <c r="G36" s="131"/>
      <c r="H36" s="131"/>
      <c r="I36" s="131"/>
      <c r="J36" s="131"/>
      <c r="K36" s="131"/>
      <c r="L36" s="131"/>
      <c r="M36" s="131"/>
      <c r="N36" s="135"/>
      <c r="O36" s="212"/>
      <c r="P36" s="131"/>
      <c r="Q36" s="131"/>
    </row>
    <row r="37" spans="1:17" x14ac:dyDescent="0.25">
      <c r="A37" s="282">
        <v>28</v>
      </c>
      <c r="B37" s="24"/>
      <c r="C37" s="131"/>
      <c r="D37" s="131"/>
      <c r="E37" s="131"/>
      <c r="F37" s="131"/>
      <c r="G37" s="131"/>
      <c r="H37" s="131"/>
      <c r="I37" s="131"/>
      <c r="J37" s="131"/>
      <c r="K37" s="131"/>
      <c r="L37" s="131"/>
      <c r="M37" s="131"/>
      <c r="N37" s="135"/>
      <c r="O37" s="212"/>
      <c r="P37" s="131"/>
      <c r="Q37" s="131"/>
    </row>
    <row r="38" spans="1:17" x14ac:dyDescent="0.25">
      <c r="A38" s="282">
        <v>29</v>
      </c>
      <c r="B38" s="24"/>
      <c r="C38" s="131"/>
      <c r="D38" s="131"/>
      <c r="E38" s="131"/>
      <c r="F38" s="131"/>
      <c r="G38" s="131"/>
      <c r="H38" s="131"/>
      <c r="I38" s="131"/>
      <c r="J38" s="131"/>
      <c r="K38" s="131"/>
      <c r="L38" s="131"/>
      <c r="M38" s="131"/>
      <c r="N38" s="135"/>
      <c r="O38" s="212"/>
      <c r="P38" s="131"/>
      <c r="Q38" s="131"/>
    </row>
    <row r="39" spans="1:17" x14ac:dyDescent="0.25">
      <c r="A39" s="282">
        <v>30</v>
      </c>
      <c r="B39" s="24"/>
      <c r="C39" s="131"/>
      <c r="D39" s="131"/>
      <c r="E39" s="131"/>
      <c r="F39" s="131"/>
      <c r="G39" s="131"/>
      <c r="H39" s="131"/>
      <c r="I39" s="131"/>
      <c r="J39" s="131"/>
      <c r="K39" s="131"/>
      <c r="L39" s="131"/>
      <c r="M39" s="131"/>
      <c r="N39" s="135"/>
      <c r="O39" s="212"/>
      <c r="P39" s="131"/>
      <c r="Q39" s="131"/>
    </row>
    <row r="40" spans="1:17" x14ac:dyDescent="0.25">
      <c r="A40" s="282">
        <v>31</v>
      </c>
      <c r="B40" s="24"/>
      <c r="C40" s="131"/>
      <c r="D40" s="131"/>
      <c r="E40" s="131"/>
      <c r="F40" s="131"/>
      <c r="G40" s="131"/>
      <c r="H40" s="131"/>
      <c r="I40" s="131"/>
      <c r="J40" s="131"/>
      <c r="K40" s="131"/>
      <c r="L40" s="131"/>
      <c r="M40" s="131"/>
      <c r="N40" s="135"/>
      <c r="O40" s="212"/>
      <c r="P40" s="131"/>
      <c r="Q40" s="131"/>
    </row>
    <row r="41" spans="1:17" x14ac:dyDescent="0.25">
      <c r="A41" s="282">
        <v>32</v>
      </c>
      <c r="B41" s="24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5"/>
      <c r="O41" s="212"/>
      <c r="P41" s="131"/>
      <c r="Q41" s="131"/>
    </row>
    <row r="42" spans="1:17" x14ac:dyDescent="0.25">
      <c r="A42" s="282">
        <v>33</v>
      </c>
      <c r="B42" s="24"/>
      <c r="C42" s="131"/>
      <c r="D42" s="131"/>
      <c r="E42" s="131"/>
      <c r="F42" s="131"/>
      <c r="G42" s="131"/>
      <c r="H42" s="131"/>
      <c r="I42" s="131"/>
      <c r="J42" s="131"/>
      <c r="K42" s="131"/>
      <c r="L42" s="131"/>
      <c r="M42" s="131"/>
      <c r="N42" s="135"/>
      <c r="O42" s="212"/>
      <c r="P42" s="131"/>
      <c r="Q42" s="131"/>
    </row>
    <row r="43" spans="1:17" x14ac:dyDescent="0.25">
      <c r="A43" s="282">
        <v>34</v>
      </c>
      <c r="B43" s="24"/>
      <c r="C43" s="131"/>
      <c r="D43" s="131"/>
      <c r="E43" s="131"/>
      <c r="F43" s="131"/>
      <c r="G43" s="131"/>
      <c r="H43" s="131"/>
      <c r="I43" s="131"/>
      <c r="J43" s="131"/>
      <c r="K43" s="131"/>
      <c r="L43" s="131"/>
      <c r="M43" s="131"/>
      <c r="N43" s="135"/>
      <c r="O43" s="212"/>
      <c r="P43" s="131"/>
      <c r="Q43" s="131"/>
    </row>
    <row r="44" spans="1:17" x14ac:dyDescent="0.25">
      <c r="A44" s="282">
        <v>35</v>
      </c>
      <c r="B44" s="24"/>
      <c r="C44" s="131"/>
      <c r="D44" s="131"/>
      <c r="E44" s="131"/>
      <c r="F44" s="131"/>
      <c r="G44" s="131"/>
      <c r="H44" s="131"/>
      <c r="I44" s="131"/>
      <c r="J44" s="131"/>
      <c r="K44" s="131"/>
      <c r="L44" s="131"/>
      <c r="M44" s="131"/>
      <c r="N44" s="135"/>
      <c r="O44" s="212"/>
      <c r="P44" s="131"/>
      <c r="Q44" s="131"/>
    </row>
    <row r="45" spans="1:17" x14ac:dyDescent="0.25">
      <c r="A45" s="282">
        <v>36</v>
      </c>
      <c r="B45" s="24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5"/>
      <c r="O45" s="212"/>
      <c r="P45" s="131"/>
      <c r="Q45" s="131"/>
    </row>
    <row r="46" spans="1:17" x14ac:dyDescent="0.25">
      <c r="A46" s="282">
        <v>37</v>
      </c>
      <c r="B46" s="24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5"/>
      <c r="O46" s="212"/>
      <c r="P46" s="131"/>
      <c r="Q46" s="131"/>
    </row>
    <row r="47" spans="1:17" x14ac:dyDescent="0.25">
      <c r="A47" s="282">
        <v>38</v>
      </c>
      <c r="B47" s="24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5"/>
      <c r="O47" s="212"/>
      <c r="P47" s="131"/>
      <c r="Q47" s="131"/>
    </row>
    <row r="48" spans="1:17" x14ac:dyDescent="0.25">
      <c r="A48" s="282">
        <v>39</v>
      </c>
      <c r="B48" s="24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5"/>
      <c r="O48" s="212"/>
      <c r="P48" s="131"/>
      <c r="Q48" s="131"/>
    </row>
    <row r="49" spans="1:17" x14ac:dyDescent="0.25">
      <c r="A49" s="282">
        <v>40</v>
      </c>
      <c r="B49" s="24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5"/>
      <c r="O49" s="212"/>
      <c r="P49" s="131"/>
      <c r="Q49" s="131"/>
    </row>
    <row r="50" spans="1:17" x14ac:dyDescent="0.25">
      <c r="A50" s="282">
        <v>41</v>
      </c>
      <c r="B50" s="24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5"/>
      <c r="O50" s="212"/>
      <c r="P50" s="131"/>
      <c r="Q50" s="131"/>
    </row>
    <row r="51" spans="1:17" ht="15.75" thickBot="1" x14ac:dyDescent="0.3">
      <c r="A51" s="278">
        <v>42</v>
      </c>
      <c r="B51" s="24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5"/>
      <c r="O51" s="212"/>
      <c r="P51" s="131"/>
      <c r="Q51" s="131"/>
    </row>
  </sheetData>
  <mergeCells count="58">
    <mergeCell ref="N7:O7"/>
    <mergeCell ref="P7:Q7"/>
    <mergeCell ref="B8:C8"/>
    <mergeCell ref="D8:E8"/>
    <mergeCell ref="F8:G8"/>
    <mergeCell ref="H8:I8"/>
    <mergeCell ref="J8:K8"/>
    <mergeCell ref="L8:M8"/>
    <mergeCell ref="N8:O8"/>
    <mergeCell ref="P8:Q8"/>
    <mergeCell ref="B7:C7"/>
    <mergeCell ref="D7:E7"/>
    <mergeCell ref="F7:G7"/>
    <mergeCell ref="H7:I7"/>
    <mergeCell ref="J7:K7"/>
    <mergeCell ref="L7:M7"/>
    <mergeCell ref="N5:O5"/>
    <mergeCell ref="P5:Q5"/>
    <mergeCell ref="B6:C6"/>
    <mergeCell ref="D6:E6"/>
    <mergeCell ref="F6:G6"/>
    <mergeCell ref="H6:I6"/>
    <mergeCell ref="J6:K6"/>
    <mergeCell ref="L6:M6"/>
    <mergeCell ref="N6:O6"/>
    <mergeCell ref="P6:Q6"/>
    <mergeCell ref="B5:C5"/>
    <mergeCell ref="D5:E5"/>
    <mergeCell ref="F5:G5"/>
    <mergeCell ref="H5:I5"/>
    <mergeCell ref="J5:K5"/>
    <mergeCell ref="L5:M5"/>
    <mergeCell ref="N3:O3"/>
    <mergeCell ref="P3:Q3"/>
    <mergeCell ref="B4:C4"/>
    <mergeCell ref="D4:E4"/>
    <mergeCell ref="F4:G4"/>
    <mergeCell ref="H4:I4"/>
    <mergeCell ref="J4:K4"/>
    <mergeCell ref="L4:M4"/>
    <mergeCell ref="N4:O4"/>
    <mergeCell ref="P4:Q4"/>
    <mergeCell ref="B3:C3"/>
    <mergeCell ref="D3:E3"/>
    <mergeCell ref="F3:G3"/>
    <mergeCell ref="H3:I3"/>
    <mergeCell ref="J3:K3"/>
    <mergeCell ref="L3:M3"/>
    <mergeCell ref="B1:I1"/>
    <mergeCell ref="J1:Q1"/>
    <mergeCell ref="B2:C2"/>
    <mergeCell ref="D2:E2"/>
    <mergeCell ref="F2:G2"/>
    <mergeCell ref="H2:I2"/>
    <mergeCell ref="J2:K2"/>
    <mergeCell ref="L2:M2"/>
    <mergeCell ref="N2:O2"/>
    <mergeCell ref="P2:Q2"/>
  </mergeCells>
  <conditionalFormatting sqref="C10:C16">
    <cfRule type="duplicateValues" dxfId="47" priority="5"/>
  </conditionalFormatting>
  <conditionalFormatting sqref="D11:E20 D21:D22">
    <cfRule type="duplicateValues" dxfId="46" priority="3"/>
  </conditionalFormatting>
  <conditionalFormatting sqref="D11:E20">
    <cfRule type="duplicateValues" dxfId="45" priority="4"/>
  </conditionalFormatting>
  <conditionalFormatting sqref="I12:I20">
    <cfRule type="duplicateValues" dxfId="44" priority="6"/>
  </conditionalFormatting>
  <conditionalFormatting sqref="N10:O51">
    <cfRule type="duplicateValues" dxfId="43" priority="1"/>
  </conditionalFormatting>
  <conditionalFormatting sqref="O10:O51">
    <cfRule type="duplicateValues" dxfId="42" priority="2"/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0000"/>
  </sheetPr>
  <dimension ref="A1:Q51"/>
  <sheetViews>
    <sheetView workbookViewId="0">
      <pane ySplit="9" topLeftCell="A10" activePane="bottomLeft" state="frozen"/>
      <selection pane="bottomLeft" activeCell="L24" sqref="L24"/>
    </sheetView>
  </sheetViews>
  <sheetFormatPr defaultRowHeight="15" x14ac:dyDescent="0.25"/>
  <cols>
    <col min="1" max="1" width="11.42578125" bestFit="1" customWidth="1"/>
    <col min="2" max="2" width="2.7109375" bestFit="1" customWidth="1"/>
    <col min="3" max="3" width="13" customWidth="1"/>
    <col min="4" max="4" width="5" bestFit="1" customWidth="1"/>
    <col min="5" max="5" width="19.28515625" customWidth="1"/>
    <col min="6" max="6" width="5" bestFit="1" customWidth="1"/>
    <col min="7" max="7" width="24" bestFit="1" customWidth="1"/>
    <col min="8" max="8" width="2.7109375" bestFit="1" customWidth="1"/>
    <col min="9" max="9" width="20.5703125" customWidth="1"/>
    <col min="10" max="10" width="4" bestFit="1" customWidth="1"/>
    <col min="11" max="11" width="22.28515625" bestFit="1" customWidth="1"/>
    <col min="12" max="12" width="4" bestFit="1" customWidth="1"/>
    <col min="13" max="13" width="22.28515625" bestFit="1" customWidth="1"/>
    <col min="14" max="14" width="5" bestFit="1" customWidth="1"/>
    <col min="15" max="15" width="16.5703125" customWidth="1"/>
    <col min="16" max="16" width="2.7109375" bestFit="1" customWidth="1"/>
    <col min="17" max="17" width="22.5703125" bestFit="1" customWidth="1"/>
  </cols>
  <sheetData>
    <row r="1" spans="1:17" ht="15.75" thickBot="1" x14ac:dyDescent="0.3">
      <c r="A1" s="51" t="s">
        <v>242</v>
      </c>
      <c r="B1" s="459" t="s">
        <v>1334</v>
      </c>
      <c r="C1" s="459"/>
      <c r="D1" s="459"/>
      <c r="E1" s="459"/>
      <c r="F1" s="459"/>
      <c r="G1" s="459"/>
      <c r="H1" s="459"/>
      <c r="I1" s="459"/>
      <c r="J1" s="460" t="s">
        <v>1335</v>
      </c>
      <c r="K1" s="461"/>
      <c r="L1" s="461"/>
      <c r="M1" s="461"/>
      <c r="N1" s="461"/>
      <c r="O1" s="461"/>
      <c r="P1" s="467"/>
      <c r="Q1" s="467"/>
    </row>
    <row r="2" spans="1:17" ht="15.75" thickBot="1" x14ac:dyDescent="0.3">
      <c r="A2" s="50" t="s">
        <v>276</v>
      </c>
      <c r="B2" s="393" t="s">
        <v>267</v>
      </c>
      <c r="C2" s="457"/>
      <c r="D2" s="393" t="s">
        <v>268</v>
      </c>
      <c r="E2" s="457"/>
      <c r="F2" s="393" t="s">
        <v>269</v>
      </c>
      <c r="G2" s="457"/>
      <c r="H2" s="393" t="s">
        <v>270</v>
      </c>
      <c r="I2" s="457"/>
      <c r="J2" s="393" t="s">
        <v>267</v>
      </c>
      <c r="K2" s="457"/>
      <c r="L2" s="393" t="s">
        <v>268</v>
      </c>
      <c r="M2" s="457"/>
      <c r="N2" s="393" t="s">
        <v>269</v>
      </c>
      <c r="O2" s="457"/>
      <c r="P2" s="468" t="s">
        <v>270</v>
      </c>
      <c r="Q2" s="468"/>
    </row>
    <row r="3" spans="1:17" x14ac:dyDescent="0.25">
      <c r="A3" s="42" t="s">
        <v>273</v>
      </c>
      <c r="B3" s="399"/>
      <c r="C3" s="407"/>
      <c r="D3" s="399"/>
      <c r="E3" s="407"/>
      <c r="F3" s="399"/>
      <c r="G3" s="407"/>
      <c r="H3" s="399"/>
      <c r="I3" s="407"/>
      <c r="J3" s="399"/>
      <c r="K3" s="407"/>
      <c r="L3" s="399"/>
      <c r="M3" s="407"/>
      <c r="N3" s="399"/>
      <c r="O3" s="407"/>
      <c r="P3" s="382"/>
      <c r="Q3" s="382"/>
    </row>
    <row r="4" spans="1:17" x14ac:dyDescent="0.25">
      <c r="A4" s="42" t="s">
        <v>277</v>
      </c>
      <c r="B4" s="401" t="s">
        <v>1434</v>
      </c>
      <c r="C4" s="423"/>
      <c r="D4" s="401" t="s">
        <v>1435</v>
      </c>
      <c r="E4" s="423"/>
      <c r="F4" s="401" t="s">
        <v>1436</v>
      </c>
      <c r="G4" s="423"/>
      <c r="H4" s="401" t="s">
        <v>1437</v>
      </c>
      <c r="I4" s="423"/>
      <c r="J4" s="401" t="s">
        <v>1393</v>
      </c>
      <c r="K4" s="423"/>
      <c r="L4" s="401" t="s">
        <v>1394</v>
      </c>
      <c r="M4" s="423"/>
      <c r="N4" s="401" t="s">
        <v>1395</v>
      </c>
      <c r="O4" s="423"/>
      <c r="P4" s="382" t="s">
        <v>1398</v>
      </c>
      <c r="Q4" s="382"/>
    </row>
    <row r="5" spans="1:17" x14ac:dyDescent="0.25">
      <c r="A5" s="42" t="s">
        <v>274</v>
      </c>
      <c r="B5" s="401"/>
      <c r="C5" s="423"/>
      <c r="D5" s="401"/>
      <c r="E5" s="423"/>
      <c r="F5" s="401"/>
      <c r="G5" s="423"/>
      <c r="H5" s="401"/>
      <c r="I5" s="423"/>
      <c r="J5" s="401"/>
      <c r="K5" s="423"/>
      <c r="L5" s="401"/>
      <c r="M5" s="423"/>
      <c r="N5" s="401"/>
      <c r="O5" s="423"/>
      <c r="P5" s="382"/>
      <c r="Q5" s="382"/>
    </row>
    <row r="6" spans="1:17" ht="15.75" thickBot="1" x14ac:dyDescent="0.3">
      <c r="A6" s="42" t="s">
        <v>295</v>
      </c>
      <c r="B6" s="395"/>
      <c r="C6" s="442"/>
      <c r="D6" s="395"/>
      <c r="E6" s="442"/>
      <c r="F6" s="395"/>
      <c r="G6" s="442"/>
      <c r="H6" s="395"/>
      <c r="I6" s="442"/>
      <c r="J6" s="395"/>
      <c r="K6" s="442"/>
      <c r="L6" s="395"/>
      <c r="M6" s="442"/>
      <c r="N6" s="395"/>
      <c r="O6" s="442"/>
      <c r="P6" s="382"/>
      <c r="Q6" s="382"/>
    </row>
    <row r="7" spans="1:17" ht="15.75" thickBot="1" x14ac:dyDescent="0.3">
      <c r="A7" s="43" t="s">
        <v>296</v>
      </c>
      <c r="B7" s="395"/>
      <c r="C7" s="442"/>
      <c r="D7" s="395"/>
      <c r="E7" s="442"/>
      <c r="F7" s="395"/>
      <c r="G7" s="442"/>
      <c r="H7" s="395"/>
      <c r="I7" s="442"/>
      <c r="J7" s="395"/>
      <c r="K7" s="442"/>
      <c r="L7" s="395"/>
      <c r="M7" s="442"/>
      <c r="N7" s="395"/>
      <c r="O7" s="442"/>
      <c r="P7" s="382"/>
      <c r="Q7" s="382"/>
    </row>
    <row r="8" spans="1:17" ht="15.75" thickBot="1" x14ac:dyDescent="0.3">
      <c r="A8" s="90" t="s">
        <v>549</v>
      </c>
      <c r="B8" s="419" t="s">
        <v>1272</v>
      </c>
      <c r="C8" s="420"/>
      <c r="D8" s="419" t="s">
        <v>1273</v>
      </c>
      <c r="E8" s="420"/>
      <c r="F8" s="419" t="s">
        <v>1274</v>
      </c>
      <c r="G8" s="420"/>
      <c r="H8" s="419" t="s">
        <v>1275</v>
      </c>
      <c r="I8" s="420"/>
      <c r="J8" s="419"/>
      <c r="K8" s="420"/>
      <c r="L8" s="419" t="s">
        <v>748</v>
      </c>
      <c r="M8" s="420"/>
      <c r="N8" s="419" t="s">
        <v>1396</v>
      </c>
      <c r="O8" s="420"/>
      <c r="P8" s="469" t="s">
        <v>1397</v>
      </c>
      <c r="Q8" s="469"/>
    </row>
    <row r="9" spans="1:17" ht="15.75" thickBot="1" x14ac:dyDescent="0.3">
      <c r="A9" s="49" t="s">
        <v>275</v>
      </c>
      <c r="B9" s="45" t="s">
        <v>272</v>
      </c>
      <c r="C9" s="46" t="s">
        <v>271</v>
      </c>
      <c r="D9" s="45" t="s">
        <v>272</v>
      </c>
      <c r="E9" s="46" t="s">
        <v>271</v>
      </c>
      <c r="F9" s="45" t="s">
        <v>272</v>
      </c>
      <c r="G9" s="46" t="s">
        <v>271</v>
      </c>
      <c r="H9" s="45" t="s">
        <v>272</v>
      </c>
      <c r="I9" s="46" t="s">
        <v>271</v>
      </c>
      <c r="J9" s="45" t="s">
        <v>272</v>
      </c>
      <c r="K9" s="46" t="s">
        <v>271</v>
      </c>
      <c r="L9" s="45" t="s">
        <v>272</v>
      </c>
      <c r="M9" s="46" t="s">
        <v>271</v>
      </c>
      <c r="N9" s="45" t="s">
        <v>272</v>
      </c>
      <c r="O9" s="48" t="s">
        <v>271</v>
      </c>
      <c r="P9" s="214" t="s">
        <v>272</v>
      </c>
      <c r="Q9" s="214" t="s">
        <v>271</v>
      </c>
    </row>
    <row r="10" spans="1:17" x14ac:dyDescent="0.25">
      <c r="A10" s="141">
        <v>1</v>
      </c>
      <c r="B10" s="80">
        <v>1</v>
      </c>
      <c r="C10" s="18" t="s">
        <v>471</v>
      </c>
      <c r="D10" s="44">
        <v>49</v>
      </c>
      <c r="E10" s="3" t="s">
        <v>1336</v>
      </c>
      <c r="F10" s="44">
        <v>1914</v>
      </c>
      <c r="G10" s="3" t="s">
        <v>1270</v>
      </c>
      <c r="H10" s="44">
        <v>1</v>
      </c>
      <c r="I10" s="187" t="s">
        <v>1339</v>
      </c>
      <c r="J10" s="44">
        <v>2</v>
      </c>
      <c r="K10" s="187" t="s">
        <v>1344</v>
      </c>
      <c r="L10" s="44">
        <v>2</v>
      </c>
      <c r="M10" s="98" t="s">
        <v>748</v>
      </c>
      <c r="N10" s="44">
        <v>210</v>
      </c>
      <c r="O10" s="96" t="s">
        <v>1396</v>
      </c>
      <c r="P10" s="131"/>
      <c r="Q10" s="131"/>
    </row>
    <row r="11" spans="1:17" x14ac:dyDescent="0.25">
      <c r="A11" s="142">
        <v>2</v>
      </c>
      <c r="B11" s="76">
        <v>2</v>
      </c>
      <c r="C11" s="19" t="s">
        <v>472</v>
      </c>
      <c r="D11" s="44">
        <v>2000</v>
      </c>
      <c r="E11" s="3" t="s">
        <v>534</v>
      </c>
      <c r="F11" s="8">
        <v>1915</v>
      </c>
      <c r="G11" s="4" t="s">
        <v>1270</v>
      </c>
      <c r="H11" s="8">
        <v>2</v>
      </c>
      <c r="I11" s="4" t="s">
        <v>1340</v>
      </c>
      <c r="J11" s="8">
        <v>3</v>
      </c>
      <c r="K11" s="4" t="s">
        <v>1345</v>
      </c>
      <c r="L11" s="8"/>
      <c r="M11" s="4"/>
      <c r="N11" s="8"/>
      <c r="O11" s="19"/>
      <c r="P11" s="131"/>
      <c r="Q11" s="131"/>
    </row>
    <row r="12" spans="1:17" x14ac:dyDescent="0.25">
      <c r="A12" s="142">
        <v>3</v>
      </c>
      <c r="B12" s="76">
        <v>3</v>
      </c>
      <c r="C12" s="19" t="s">
        <v>473</v>
      </c>
      <c r="D12" s="8">
        <v>2006</v>
      </c>
      <c r="E12" s="4" t="s">
        <v>535</v>
      </c>
      <c r="F12" s="8">
        <v>1922</v>
      </c>
      <c r="G12" s="4" t="s">
        <v>1271</v>
      </c>
      <c r="H12" s="8">
        <v>3</v>
      </c>
      <c r="I12" s="4" t="s">
        <v>387</v>
      </c>
      <c r="J12" s="8">
        <v>4</v>
      </c>
      <c r="K12" s="4" t="s">
        <v>1346</v>
      </c>
      <c r="L12" s="8"/>
      <c r="M12" s="4"/>
      <c r="N12" s="8"/>
      <c r="O12" s="19"/>
      <c r="P12" s="131"/>
      <c r="Q12" s="131"/>
    </row>
    <row r="13" spans="1:17" x14ac:dyDescent="0.25">
      <c r="A13" s="142">
        <v>4</v>
      </c>
      <c r="B13" s="76">
        <v>4</v>
      </c>
      <c r="C13" s="19" t="s">
        <v>474</v>
      </c>
      <c r="D13" s="8">
        <v>2024</v>
      </c>
      <c r="E13" s="4" t="s">
        <v>536</v>
      </c>
      <c r="F13" s="8">
        <v>1923</v>
      </c>
      <c r="G13" s="4" t="s">
        <v>1271</v>
      </c>
      <c r="H13" s="8">
        <v>4</v>
      </c>
      <c r="I13" s="4" t="s">
        <v>388</v>
      </c>
      <c r="J13" s="8">
        <v>5</v>
      </c>
      <c r="K13" s="4" t="s">
        <v>1347</v>
      </c>
      <c r="L13" s="8"/>
      <c r="M13" s="4"/>
      <c r="N13" s="8"/>
      <c r="O13" s="19"/>
      <c r="P13" s="131"/>
      <c r="Q13" s="131"/>
    </row>
    <row r="14" spans="1:17" x14ac:dyDescent="0.25">
      <c r="A14" s="142">
        <v>5</v>
      </c>
      <c r="B14" s="76">
        <v>5</v>
      </c>
      <c r="C14" s="19" t="s">
        <v>475</v>
      </c>
      <c r="D14" s="8">
        <v>2042</v>
      </c>
      <c r="E14" s="4" t="s">
        <v>537</v>
      </c>
      <c r="F14" s="8">
        <v>1926</v>
      </c>
      <c r="G14" s="97" t="s">
        <v>1272</v>
      </c>
      <c r="H14" s="8">
        <v>5</v>
      </c>
      <c r="I14" s="4" t="s">
        <v>389</v>
      </c>
      <c r="J14" s="8">
        <v>11</v>
      </c>
      <c r="K14" s="4" t="s">
        <v>1348</v>
      </c>
      <c r="L14" s="8"/>
      <c r="M14" s="4"/>
      <c r="N14" s="8"/>
      <c r="O14" s="19"/>
      <c r="P14" s="131"/>
      <c r="Q14" s="131"/>
    </row>
    <row r="15" spans="1:17" x14ac:dyDescent="0.25">
      <c r="A15" s="142">
        <v>6</v>
      </c>
      <c r="B15" s="76">
        <v>6</v>
      </c>
      <c r="C15" s="19" t="s">
        <v>476</v>
      </c>
      <c r="D15" s="8">
        <v>2073</v>
      </c>
      <c r="E15" s="4" t="s">
        <v>538</v>
      </c>
      <c r="F15" s="8">
        <v>1927</v>
      </c>
      <c r="G15" s="97" t="s">
        <v>1273</v>
      </c>
      <c r="H15" s="8">
        <v>6</v>
      </c>
      <c r="I15" s="4" t="s">
        <v>390</v>
      </c>
      <c r="J15" s="8">
        <v>12</v>
      </c>
      <c r="K15" s="4" t="s">
        <v>1349</v>
      </c>
      <c r="L15" s="8"/>
      <c r="M15" s="4"/>
      <c r="N15" s="8"/>
      <c r="O15" s="19"/>
      <c r="P15" s="131"/>
      <c r="Q15" s="131"/>
    </row>
    <row r="16" spans="1:17" x14ac:dyDescent="0.25">
      <c r="A16" s="142">
        <v>7</v>
      </c>
      <c r="B16" s="76">
        <v>7</v>
      </c>
      <c r="C16" s="19" t="s">
        <v>477</v>
      </c>
      <c r="D16" s="8">
        <v>2019</v>
      </c>
      <c r="E16" s="4" t="s">
        <v>574</v>
      </c>
      <c r="F16" s="8">
        <v>1928</v>
      </c>
      <c r="G16" s="97" t="s">
        <v>1274</v>
      </c>
      <c r="H16" s="8">
        <v>11</v>
      </c>
      <c r="I16" s="4" t="s">
        <v>391</v>
      </c>
      <c r="J16" s="8">
        <v>13</v>
      </c>
      <c r="K16" s="4" t="s">
        <v>1350</v>
      </c>
      <c r="L16" s="8"/>
      <c r="M16" s="4"/>
      <c r="N16" s="8"/>
      <c r="O16" s="19"/>
      <c r="P16" s="131"/>
      <c r="Q16" s="131"/>
    </row>
    <row r="17" spans="1:17" ht="14.65" customHeight="1" x14ac:dyDescent="0.25">
      <c r="A17" s="142">
        <v>8</v>
      </c>
      <c r="B17" s="8"/>
      <c r="C17" s="131"/>
      <c r="D17" s="8">
        <v>2101</v>
      </c>
      <c r="E17" s="4" t="s">
        <v>575</v>
      </c>
      <c r="F17" s="8">
        <v>1929</v>
      </c>
      <c r="G17" s="97" t="s">
        <v>1275</v>
      </c>
      <c r="H17" s="8">
        <v>12</v>
      </c>
      <c r="I17" s="4" t="s">
        <v>393</v>
      </c>
      <c r="J17" s="8">
        <v>51</v>
      </c>
      <c r="K17" s="4" t="s">
        <v>1351</v>
      </c>
      <c r="L17" s="8"/>
      <c r="M17" s="4"/>
      <c r="N17" s="8"/>
      <c r="O17" s="19"/>
      <c r="P17" s="131"/>
      <c r="Q17" s="131"/>
    </row>
    <row r="18" spans="1:17" x14ac:dyDescent="0.25">
      <c r="A18" s="142">
        <v>9</v>
      </c>
      <c r="B18" s="8"/>
      <c r="C18" s="131"/>
      <c r="D18" s="8">
        <v>2111</v>
      </c>
      <c r="E18" s="4" t="s">
        <v>539</v>
      </c>
      <c r="F18" s="8">
        <v>6009</v>
      </c>
      <c r="G18" s="4" t="s">
        <v>1276</v>
      </c>
      <c r="H18" s="8">
        <v>13</v>
      </c>
      <c r="I18" s="4" t="s">
        <v>392</v>
      </c>
      <c r="J18" s="8">
        <v>106</v>
      </c>
      <c r="K18" s="4" t="s">
        <v>1352</v>
      </c>
      <c r="L18" s="8"/>
      <c r="M18" s="4"/>
      <c r="N18" s="8"/>
      <c r="O18" s="19"/>
      <c r="P18" s="131"/>
      <c r="Q18" s="131"/>
    </row>
    <row r="19" spans="1:17" x14ac:dyDescent="0.25">
      <c r="A19" s="149">
        <v>10</v>
      </c>
      <c r="B19" s="8"/>
      <c r="C19" s="131"/>
      <c r="D19" s="8">
        <v>2121</v>
      </c>
      <c r="E19" s="4" t="s">
        <v>540</v>
      </c>
      <c r="F19" s="8">
        <v>6082</v>
      </c>
      <c r="G19" s="4" t="s">
        <v>1039</v>
      </c>
      <c r="H19" s="8">
        <v>14</v>
      </c>
      <c r="I19" s="4" t="s">
        <v>1341</v>
      </c>
      <c r="J19" s="8">
        <v>255</v>
      </c>
      <c r="K19" s="4" t="s">
        <v>1353</v>
      </c>
      <c r="L19" s="8"/>
      <c r="M19" s="4"/>
      <c r="N19" s="8"/>
      <c r="O19" s="19"/>
      <c r="P19" s="131"/>
      <c r="Q19" s="131"/>
    </row>
    <row r="20" spans="1:17" x14ac:dyDescent="0.25">
      <c r="A20" s="150">
        <v>11</v>
      </c>
      <c r="B20" s="8"/>
      <c r="C20" s="131"/>
      <c r="D20" s="8">
        <v>2131</v>
      </c>
      <c r="E20" s="4" t="s">
        <v>573</v>
      </c>
      <c r="F20" s="8">
        <v>6083</v>
      </c>
      <c r="G20" s="4" t="s">
        <v>1039</v>
      </c>
      <c r="H20" s="8">
        <v>15</v>
      </c>
      <c r="I20" s="4" t="s">
        <v>1342</v>
      </c>
      <c r="J20" s="8"/>
      <c r="K20" s="4"/>
      <c r="L20" s="8"/>
      <c r="M20" s="4"/>
      <c r="N20" s="8"/>
      <c r="O20" s="19"/>
      <c r="P20" s="131"/>
      <c r="Q20" s="131"/>
    </row>
    <row r="21" spans="1:17" x14ac:dyDescent="0.25">
      <c r="A21" s="50">
        <v>12</v>
      </c>
      <c r="B21" s="8"/>
      <c r="C21" s="131"/>
      <c r="D21" s="8">
        <v>2141</v>
      </c>
      <c r="E21" s="4" t="s">
        <v>1337</v>
      </c>
      <c r="F21" s="8">
        <v>6087</v>
      </c>
      <c r="G21" s="4" t="s">
        <v>1277</v>
      </c>
      <c r="H21" s="8">
        <v>16</v>
      </c>
      <c r="I21" s="4" t="s">
        <v>1343</v>
      </c>
      <c r="J21" s="8"/>
      <c r="K21" s="4"/>
      <c r="L21" s="8"/>
      <c r="M21" s="4"/>
      <c r="N21" s="8"/>
      <c r="O21" s="133"/>
      <c r="P21" s="131"/>
      <c r="Q21" s="131"/>
    </row>
    <row r="22" spans="1:17" x14ac:dyDescent="0.25">
      <c r="A22" s="142">
        <v>13</v>
      </c>
      <c r="B22" s="8"/>
      <c r="C22" s="131"/>
      <c r="D22" s="8">
        <v>2151</v>
      </c>
      <c r="E22" s="4" t="s">
        <v>1338</v>
      </c>
      <c r="F22" s="8">
        <v>6088</v>
      </c>
      <c r="G22" s="4" t="s">
        <v>1277</v>
      </c>
      <c r="H22" s="8"/>
      <c r="I22" s="4"/>
      <c r="J22" s="8"/>
      <c r="K22" s="4"/>
      <c r="L22" s="8"/>
      <c r="M22" s="4"/>
      <c r="N22" s="8"/>
      <c r="O22" s="19"/>
      <c r="P22" s="131"/>
      <c r="Q22" s="131"/>
    </row>
    <row r="23" spans="1:17" x14ac:dyDescent="0.25">
      <c r="A23" s="142">
        <v>14</v>
      </c>
      <c r="B23" s="24"/>
      <c r="C23" s="131"/>
      <c r="D23" s="8"/>
      <c r="E23" s="131"/>
      <c r="F23" s="8">
        <v>6089</v>
      </c>
      <c r="G23" s="4" t="s">
        <v>1278</v>
      </c>
      <c r="H23" s="131"/>
      <c r="I23" s="131"/>
      <c r="J23" s="8"/>
      <c r="K23" s="4"/>
      <c r="L23" s="8"/>
      <c r="M23" s="4"/>
      <c r="N23" s="83"/>
      <c r="O23" s="212"/>
      <c r="P23" s="131"/>
      <c r="Q23" s="131"/>
    </row>
    <row r="24" spans="1:17" x14ac:dyDescent="0.25">
      <c r="A24" s="142">
        <v>15</v>
      </c>
      <c r="B24" s="24"/>
      <c r="C24" s="131"/>
      <c r="D24" s="131"/>
      <c r="E24" s="131"/>
      <c r="F24" s="131">
        <v>6090</v>
      </c>
      <c r="G24" s="131" t="s">
        <v>1278</v>
      </c>
      <c r="H24" s="131"/>
      <c r="I24" s="131"/>
      <c r="J24" s="131"/>
      <c r="K24" s="131"/>
      <c r="L24" s="131"/>
      <c r="M24" s="131"/>
      <c r="N24" s="8"/>
      <c r="O24" s="212"/>
      <c r="P24" s="131"/>
      <c r="Q24" s="131"/>
    </row>
    <row r="25" spans="1:17" x14ac:dyDescent="0.25">
      <c r="A25" s="142">
        <v>16</v>
      </c>
      <c r="B25" s="24"/>
      <c r="C25" s="131"/>
      <c r="D25" s="131"/>
      <c r="E25" s="131"/>
      <c r="F25" s="131">
        <v>6092</v>
      </c>
      <c r="G25" s="131" t="s">
        <v>1279</v>
      </c>
      <c r="H25" s="131"/>
      <c r="I25" s="131"/>
      <c r="J25" s="131"/>
      <c r="K25" s="131"/>
      <c r="L25" s="131"/>
      <c r="M25" s="131"/>
      <c r="N25" s="59"/>
      <c r="O25" s="212"/>
      <c r="P25" s="131"/>
      <c r="Q25" s="131"/>
    </row>
    <row r="26" spans="1:17" x14ac:dyDescent="0.25">
      <c r="A26" s="142">
        <v>17</v>
      </c>
      <c r="B26" s="24"/>
      <c r="C26" s="131"/>
      <c r="D26" s="131"/>
      <c r="E26" s="131"/>
      <c r="F26" s="131">
        <v>6093</v>
      </c>
      <c r="G26" s="131" t="s">
        <v>1279</v>
      </c>
      <c r="H26" s="131"/>
      <c r="I26" s="131"/>
      <c r="J26" s="131"/>
      <c r="K26" s="131"/>
      <c r="L26" s="131"/>
      <c r="M26" s="131"/>
      <c r="N26" s="59"/>
      <c r="O26" s="212"/>
      <c r="P26" s="131"/>
      <c r="Q26" s="131"/>
    </row>
    <row r="27" spans="1:17" x14ac:dyDescent="0.25">
      <c r="A27" s="142">
        <v>18</v>
      </c>
      <c r="B27" s="24"/>
      <c r="C27" s="131"/>
      <c r="D27" s="131"/>
      <c r="E27" s="131"/>
      <c r="F27" s="131"/>
      <c r="G27" s="131"/>
      <c r="H27" s="131"/>
      <c r="I27" s="131"/>
      <c r="J27" s="131"/>
      <c r="K27" s="131"/>
      <c r="L27" s="131"/>
      <c r="M27" s="131"/>
      <c r="N27" s="59"/>
      <c r="O27" s="212"/>
      <c r="P27" s="131"/>
      <c r="Q27" s="131"/>
    </row>
    <row r="28" spans="1:17" x14ac:dyDescent="0.25">
      <c r="A28" s="142">
        <v>19</v>
      </c>
      <c r="B28" s="24"/>
      <c r="C28" s="131"/>
      <c r="D28" s="131"/>
      <c r="E28" s="131"/>
      <c r="F28" s="131"/>
      <c r="G28" s="131"/>
      <c r="H28" s="131"/>
      <c r="I28" s="131"/>
      <c r="J28" s="131"/>
      <c r="K28" s="131"/>
      <c r="L28" s="131"/>
      <c r="M28" s="131"/>
      <c r="N28" s="59"/>
      <c r="O28" s="212"/>
      <c r="P28" s="131"/>
      <c r="Q28" s="131"/>
    </row>
    <row r="29" spans="1:17" x14ac:dyDescent="0.25">
      <c r="A29" s="142">
        <v>20</v>
      </c>
      <c r="B29" s="24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5"/>
      <c r="O29" s="212"/>
      <c r="P29" s="131"/>
      <c r="Q29" s="131"/>
    </row>
    <row r="30" spans="1:17" x14ac:dyDescent="0.25">
      <c r="A30" s="142">
        <v>21</v>
      </c>
      <c r="B30" s="24"/>
      <c r="C30" s="131"/>
      <c r="D30" s="131"/>
      <c r="E30" s="131"/>
      <c r="F30" s="131"/>
      <c r="G30" s="131"/>
      <c r="H30" s="131"/>
      <c r="I30" s="131"/>
      <c r="J30" s="131"/>
      <c r="K30" s="131"/>
      <c r="L30" s="131"/>
      <c r="M30" s="131"/>
      <c r="N30" s="135"/>
      <c r="O30" s="212"/>
      <c r="P30" s="131"/>
      <c r="Q30" s="131"/>
    </row>
    <row r="31" spans="1:17" x14ac:dyDescent="0.25">
      <c r="A31" s="142">
        <v>22</v>
      </c>
      <c r="B31" s="24"/>
      <c r="C31" s="131"/>
      <c r="D31" s="131"/>
      <c r="E31" s="131"/>
      <c r="F31" s="131"/>
      <c r="G31" s="131"/>
      <c r="H31" s="131"/>
      <c r="I31" s="131"/>
      <c r="J31" s="131"/>
      <c r="K31" s="131"/>
      <c r="L31" s="131"/>
      <c r="M31" s="131"/>
      <c r="N31" s="135"/>
      <c r="O31" s="212"/>
      <c r="P31" s="131"/>
      <c r="Q31" s="131"/>
    </row>
    <row r="32" spans="1:17" x14ac:dyDescent="0.25">
      <c r="A32" s="142">
        <v>23</v>
      </c>
      <c r="B32" s="24"/>
      <c r="C32" s="131"/>
      <c r="D32" s="131"/>
      <c r="E32" s="131"/>
      <c r="F32" s="131"/>
      <c r="G32" s="131"/>
      <c r="H32" s="131"/>
      <c r="I32" s="131"/>
      <c r="J32" s="131"/>
      <c r="K32" s="131"/>
      <c r="L32" s="131"/>
      <c r="M32" s="131"/>
      <c r="N32" s="135"/>
      <c r="O32" s="212"/>
      <c r="P32" s="131"/>
      <c r="Q32" s="131"/>
    </row>
    <row r="33" spans="1:17" x14ac:dyDescent="0.25">
      <c r="A33" s="142">
        <v>24</v>
      </c>
      <c r="B33" s="24"/>
      <c r="C33" s="131"/>
      <c r="D33" s="131"/>
      <c r="E33" s="131"/>
      <c r="F33" s="131"/>
      <c r="G33" s="131"/>
      <c r="H33" s="131"/>
      <c r="I33" s="131"/>
      <c r="J33" s="131"/>
      <c r="K33" s="131"/>
      <c r="L33" s="131"/>
      <c r="M33" s="131"/>
      <c r="N33" s="135"/>
      <c r="O33" s="213"/>
      <c r="P33" s="131"/>
      <c r="Q33" s="131"/>
    </row>
    <row r="34" spans="1:17" x14ac:dyDescent="0.25">
      <c r="A34" s="142">
        <v>25</v>
      </c>
      <c r="B34" s="24"/>
      <c r="C34" s="131"/>
      <c r="D34" s="131"/>
      <c r="E34" s="131"/>
      <c r="F34" s="131"/>
      <c r="G34" s="131"/>
      <c r="H34" s="131"/>
      <c r="I34" s="131"/>
      <c r="J34" s="131"/>
      <c r="K34" s="131"/>
      <c r="L34" s="131"/>
      <c r="M34" s="131"/>
      <c r="N34" s="135"/>
      <c r="O34" s="212"/>
      <c r="P34" s="131"/>
      <c r="Q34" s="131"/>
    </row>
    <row r="35" spans="1:17" x14ac:dyDescent="0.25">
      <c r="A35" s="142">
        <v>26</v>
      </c>
      <c r="B35" s="24"/>
      <c r="C35" s="131"/>
      <c r="D35" s="131"/>
      <c r="E35" s="131"/>
      <c r="F35" s="131"/>
      <c r="G35" s="131"/>
      <c r="H35" s="131"/>
      <c r="I35" s="131"/>
      <c r="J35" s="131"/>
      <c r="K35" s="131"/>
      <c r="L35" s="131"/>
      <c r="M35" s="131"/>
      <c r="N35" s="135"/>
      <c r="O35" s="212"/>
      <c r="P35" s="131"/>
      <c r="Q35" s="131"/>
    </row>
    <row r="36" spans="1:17" x14ac:dyDescent="0.25">
      <c r="A36" s="142">
        <v>27</v>
      </c>
      <c r="B36" s="24"/>
      <c r="C36" s="131"/>
      <c r="D36" s="131"/>
      <c r="E36" s="131"/>
      <c r="F36" s="131"/>
      <c r="G36" s="131"/>
      <c r="H36" s="131"/>
      <c r="I36" s="131"/>
      <c r="J36" s="131"/>
      <c r="K36" s="131"/>
      <c r="L36" s="131"/>
      <c r="M36" s="131"/>
      <c r="N36" s="135"/>
      <c r="O36" s="212"/>
      <c r="P36" s="131"/>
      <c r="Q36" s="131"/>
    </row>
    <row r="37" spans="1:17" x14ac:dyDescent="0.25">
      <c r="A37" s="142">
        <v>28</v>
      </c>
      <c r="B37" s="24"/>
      <c r="C37" s="131"/>
      <c r="D37" s="131"/>
      <c r="E37" s="131"/>
      <c r="F37" s="131"/>
      <c r="G37" s="131"/>
      <c r="H37" s="131"/>
      <c r="I37" s="131"/>
      <c r="J37" s="131"/>
      <c r="K37" s="131"/>
      <c r="L37" s="131"/>
      <c r="M37" s="131"/>
      <c r="N37" s="135"/>
      <c r="O37" s="212"/>
      <c r="P37" s="131"/>
      <c r="Q37" s="131"/>
    </row>
    <row r="38" spans="1:17" x14ac:dyDescent="0.25">
      <c r="A38" s="142">
        <v>29</v>
      </c>
      <c r="B38" s="24"/>
      <c r="C38" s="131"/>
      <c r="D38" s="131"/>
      <c r="E38" s="131"/>
      <c r="F38" s="131"/>
      <c r="G38" s="131"/>
      <c r="H38" s="131"/>
      <c r="I38" s="131"/>
      <c r="J38" s="131"/>
      <c r="K38" s="131"/>
      <c r="L38" s="131"/>
      <c r="M38" s="131"/>
      <c r="N38" s="135"/>
      <c r="O38" s="212"/>
      <c r="P38" s="131"/>
      <c r="Q38" s="131"/>
    </row>
    <row r="39" spans="1:17" x14ac:dyDescent="0.25">
      <c r="A39" s="142">
        <v>30</v>
      </c>
      <c r="B39" s="24"/>
      <c r="C39" s="131"/>
      <c r="D39" s="131"/>
      <c r="E39" s="131"/>
      <c r="F39" s="131"/>
      <c r="G39" s="131"/>
      <c r="H39" s="131"/>
      <c r="I39" s="131"/>
      <c r="J39" s="131"/>
      <c r="K39" s="131"/>
      <c r="L39" s="131"/>
      <c r="M39" s="131"/>
      <c r="N39" s="135"/>
      <c r="O39" s="212"/>
      <c r="P39" s="131"/>
      <c r="Q39" s="131"/>
    </row>
    <row r="40" spans="1:17" x14ac:dyDescent="0.25">
      <c r="A40" s="142">
        <v>31</v>
      </c>
      <c r="B40" s="24"/>
      <c r="C40" s="131"/>
      <c r="D40" s="131"/>
      <c r="E40" s="131"/>
      <c r="F40" s="131"/>
      <c r="G40" s="131"/>
      <c r="H40" s="131"/>
      <c r="I40" s="131"/>
      <c r="J40" s="131"/>
      <c r="K40" s="131"/>
      <c r="L40" s="131"/>
      <c r="M40" s="131"/>
      <c r="N40" s="135"/>
      <c r="O40" s="212"/>
      <c r="P40" s="131"/>
      <c r="Q40" s="131"/>
    </row>
    <row r="41" spans="1:17" x14ac:dyDescent="0.25">
      <c r="A41" s="142">
        <v>32</v>
      </c>
      <c r="B41" s="24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5"/>
      <c r="O41" s="212"/>
      <c r="P41" s="131"/>
      <c r="Q41" s="131"/>
    </row>
    <row r="42" spans="1:17" x14ac:dyDescent="0.25">
      <c r="A42" s="142">
        <v>33</v>
      </c>
      <c r="B42" s="24"/>
      <c r="C42" s="131"/>
      <c r="D42" s="131"/>
      <c r="E42" s="131"/>
      <c r="F42" s="131"/>
      <c r="G42" s="131"/>
      <c r="H42" s="131"/>
      <c r="I42" s="131"/>
      <c r="J42" s="131"/>
      <c r="K42" s="131"/>
      <c r="L42" s="131"/>
      <c r="M42" s="131"/>
      <c r="N42" s="135"/>
      <c r="O42" s="212"/>
      <c r="P42" s="131"/>
      <c r="Q42" s="131"/>
    </row>
    <row r="43" spans="1:17" x14ac:dyDescent="0.25">
      <c r="A43" s="142">
        <v>34</v>
      </c>
      <c r="B43" s="24"/>
      <c r="C43" s="131"/>
      <c r="D43" s="131"/>
      <c r="E43" s="131"/>
      <c r="F43" s="131"/>
      <c r="G43" s="131"/>
      <c r="H43" s="131"/>
      <c r="I43" s="131"/>
      <c r="J43" s="131"/>
      <c r="K43" s="131"/>
      <c r="L43" s="131"/>
      <c r="M43" s="131"/>
      <c r="N43" s="135"/>
      <c r="O43" s="212"/>
      <c r="P43" s="131"/>
      <c r="Q43" s="131"/>
    </row>
    <row r="44" spans="1:17" x14ac:dyDescent="0.25">
      <c r="A44" s="142">
        <v>35</v>
      </c>
      <c r="B44" s="24"/>
      <c r="C44" s="131"/>
      <c r="D44" s="131"/>
      <c r="E44" s="131"/>
      <c r="F44" s="131"/>
      <c r="G44" s="131"/>
      <c r="H44" s="131"/>
      <c r="I44" s="131"/>
      <c r="J44" s="131"/>
      <c r="K44" s="131"/>
      <c r="L44" s="131"/>
      <c r="M44" s="131"/>
      <c r="N44" s="135"/>
      <c r="O44" s="212"/>
      <c r="P44" s="131"/>
      <c r="Q44" s="131"/>
    </row>
    <row r="45" spans="1:17" x14ac:dyDescent="0.25">
      <c r="A45" s="142">
        <v>36</v>
      </c>
      <c r="B45" s="24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5"/>
      <c r="O45" s="212"/>
      <c r="P45" s="131"/>
      <c r="Q45" s="131"/>
    </row>
    <row r="46" spans="1:17" x14ac:dyDescent="0.25">
      <c r="A46" s="142">
        <v>37</v>
      </c>
      <c r="B46" s="24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5"/>
      <c r="O46" s="212"/>
      <c r="P46" s="131"/>
      <c r="Q46" s="131"/>
    </row>
    <row r="47" spans="1:17" x14ac:dyDescent="0.25">
      <c r="A47" s="142">
        <v>38</v>
      </c>
      <c r="B47" s="24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5"/>
      <c r="O47" s="212"/>
      <c r="P47" s="131"/>
      <c r="Q47" s="131"/>
    </row>
    <row r="48" spans="1:17" x14ac:dyDescent="0.25">
      <c r="A48" s="142">
        <v>39</v>
      </c>
      <c r="B48" s="24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5"/>
      <c r="O48" s="212"/>
      <c r="P48" s="131"/>
      <c r="Q48" s="131"/>
    </row>
    <row r="49" spans="1:17" x14ac:dyDescent="0.25">
      <c r="A49" s="142">
        <v>40</v>
      </c>
      <c r="B49" s="24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5"/>
      <c r="O49" s="212"/>
      <c r="P49" s="131"/>
      <c r="Q49" s="131"/>
    </row>
    <row r="50" spans="1:17" x14ac:dyDescent="0.25">
      <c r="A50" s="142">
        <v>41</v>
      </c>
      <c r="B50" s="24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5"/>
      <c r="O50" s="212"/>
      <c r="P50" s="131"/>
      <c r="Q50" s="131"/>
    </row>
    <row r="51" spans="1:17" ht="15.75" thickBot="1" x14ac:dyDescent="0.3">
      <c r="A51" s="143">
        <v>42</v>
      </c>
      <c r="B51" s="24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5"/>
      <c r="O51" s="212"/>
      <c r="P51" s="131"/>
      <c r="Q51" s="131"/>
    </row>
  </sheetData>
  <mergeCells count="58">
    <mergeCell ref="L7:M7"/>
    <mergeCell ref="N7:O7"/>
    <mergeCell ref="P7:Q7"/>
    <mergeCell ref="P8:Q8"/>
    <mergeCell ref="B8:C8"/>
    <mergeCell ref="D8:E8"/>
    <mergeCell ref="F8:G8"/>
    <mergeCell ref="H8:I8"/>
    <mergeCell ref="J8:K8"/>
    <mergeCell ref="L8:M8"/>
    <mergeCell ref="N8:O8"/>
    <mergeCell ref="B7:C7"/>
    <mergeCell ref="D7:E7"/>
    <mergeCell ref="F7:G7"/>
    <mergeCell ref="H7:I7"/>
    <mergeCell ref="J7:K7"/>
    <mergeCell ref="L5:M5"/>
    <mergeCell ref="N5:O5"/>
    <mergeCell ref="P5:Q5"/>
    <mergeCell ref="B6:C6"/>
    <mergeCell ref="D6:E6"/>
    <mergeCell ref="F6:G6"/>
    <mergeCell ref="H6:I6"/>
    <mergeCell ref="J6:K6"/>
    <mergeCell ref="L6:M6"/>
    <mergeCell ref="N6:O6"/>
    <mergeCell ref="P6:Q6"/>
    <mergeCell ref="B4:C4"/>
    <mergeCell ref="J4:K4"/>
    <mergeCell ref="B5:C5"/>
    <mergeCell ref="D3:E3"/>
    <mergeCell ref="B3:C3"/>
    <mergeCell ref="D5:E5"/>
    <mergeCell ref="F5:G5"/>
    <mergeCell ref="H5:I5"/>
    <mergeCell ref="J5:K5"/>
    <mergeCell ref="P3:Q3"/>
    <mergeCell ref="D4:E4"/>
    <mergeCell ref="F4:G4"/>
    <mergeCell ref="H4:I4"/>
    <mergeCell ref="L4:M4"/>
    <mergeCell ref="N4:O4"/>
    <mergeCell ref="P4:Q4"/>
    <mergeCell ref="F3:G3"/>
    <mergeCell ref="H3:I3"/>
    <mergeCell ref="J3:K3"/>
    <mergeCell ref="L3:M3"/>
    <mergeCell ref="N3:O3"/>
    <mergeCell ref="J1:Q1"/>
    <mergeCell ref="B2:C2"/>
    <mergeCell ref="D2:E2"/>
    <mergeCell ref="F2:G2"/>
    <mergeCell ref="H2:I2"/>
    <mergeCell ref="J2:K2"/>
    <mergeCell ref="L2:M2"/>
    <mergeCell ref="N2:O2"/>
    <mergeCell ref="P2:Q2"/>
    <mergeCell ref="B1:I1"/>
  </mergeCells>
  <conditionalFormatting sqref="C10:C16">
    <cfRule type="duplicateValues" dxfId="41" priority="6"/>
  </conditionalFormatting>
  <conditionalFormatting sqref="D11:E20 D21:D22">
    <cfRule type="duplicateValues" dxfId="40" priority="4"/>
  </conditionalFormatting>
  <conditionalFormatting sqref="D11:E20">
    <cfRule type="duplicateValues" dxfId="39" priority="5"/>
  </conditionalFormatting>
  <conditionalFormatting sqref="I12:I20">
    <cfRule type="duplicateValues" dxfId="38" priority="60"/>
  </conditionalFormatting>
  <conditionalFormatting sqref="N10:O51">
    <cfRule type="duplicateValues" dxfId="37" priority="1"/>
  </conditionalFormatting>
  <conditionalFormatting sqref="O10:O51">
    <cfRule type="duplicateValues" dxfId="36" priority="2"/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0000"/>
  </sheetPr>
  <dimension ref="A1:Q51"/>
  <sheetViews>
    <sheetView workbookViewId="0">
      <pane ySplit="9" topLeftCell="A10" activePane="bottomLeft" state="frozen"/>
      <selection pane="bottomLeft" activeCell="K20" sqref="K20"/>
    </sheetView>
  </sheetViews>
  <sheetFormatPr defaultRowHeight="15" x14ac:dyDescent="0.25"/>
  <cols>
    <col min="1" max="1" width="11.42578125" bestFit="1" customWidth="1"/>
    <col min="2" max="2" width="2.7109375" bestFit="1" customWidth="1"/>
    <col min="3" max="3" width="13" customWidth="1"/>
    <col min="4" max="4" width="5" bestFit="1" customWidth="1"/>
    <col min="5" max="5" width="19.28515625" customWidth="1"/>
    <col min="6" max="6" width="5" bestFit="1" customWidth="1"/>
    <col min="7" max="7" width="24" bestFit="1" customWidth="1"/>
    <col min="8" max="8" width="2.7109375" bestFit="1" customWidth="1"/>
    <col min="9" max="9" width="20.5703125" customWidth="1"/>
    <col min="10" max="10" width="4" bestFit="1" customWidth="1"/>
    <col min="11" max="11" width="22.28515625" bestFit="1" customWidth="1"/>
    <col min="12" max="12" width="4" bestFit="1" customWidth="1"/>
    <col min="13" max="13" width="22.28515625" bestFit="1" customWidth="1"/>
    <col min="14" max="14" width="5" bestFit="1" customWidth="1"/>
    <col min="15" max="15" width="16.5703125" customWidth="1"/>
    <col min="16" max="16" width="2.7109375" bestFit="1" customWidth="1"/>
    <col min="17" max="17" width="22.5703125" bestFit="1" customWidth="1"/>
  </cols>
  <sheetData>
    <row r="1" spans="1:17" ht="15.75" thickBot="1" x14ac:dyDescent="0.3">
      <c r="A1" s="51" t="s">
        <v>242</v>
      </c>
      <c r="B1" s="459" t="s">
        <v>1334</v>
      </c>
      <c r="C1" s="459"/>
      <c r="D1" s="459"/>
      <c r="E1" s="459"/>
      <c r="F1" s="459"/>
      <c r="G1" s="459"/>
      <c r="H1" s="459"/>
      <c r="I1" s="459"/>
      <c r="J1" s="460" t="s">
        <v>1335</v>
      </c>
      <c r="K1" s="461"/>
      <c r="L1" s="461"/>
      <c r="M1" s="461"/>
      <c r="N1" s="461"/>
      <c r="O1" s="461"/>
      <c r="P1" s="467"/>
      <c r="Q1" s="467"/>
    </row>
    <row r="2" spans="1:17" ht="15.75" thickBot="1" x14ac:dyDescent="0.3">
      <c r="A2" s="277" t="s">
        <v>276</v>
      </c>
      <c r="B2" s="393" t="s">
        <v>267</v>
      </c>
      <c r="C2" s="457"/>
      <c r="D2" s="393" t="s">
        <v>268</v>
      </c>
      <c r="E2" s="457"/>
      <c r="F2" s="393" t="s">
        <v>269</v>
      </c>
      <c r="G2" s="457"/>
      <c r="H2" s="393" t="s">
        <v>270</v>
      </c>
      <c r="I2" s="457"/>
      <c r="J2" s="393" t="s">
        <v>267</v>
      </c>
      <c r="K2" s="457"/>
      <c r="L2" s="393" t="s">
        <v>268</v>
      </c>
      <c r="M2" s="457"/>
      <c r="N2" s="393" t="s">
        <v>269</v>
      </c>
      <c r="O2" s="457"/>
      <c r="P2" s="468" t="s">
        <v>270</v>
      </c>
      <c r="Q2" s="468"/>
    </row>
    <row r="3" spans="1:17" x14ac:dyDescent="0.25">
      <c r="A3" s="282" t="s">
        <v>273</v>
      </c>
      <c r="B3" s="399"/>
      <c r="C3" s="407"/>
      <c r="D3" s="399"/>
      <c r="E3" s="407"/>
      <c r="F3" s="399"/>
      <c r="G3" s="407"/>
      <c r="H3" s="399"/>
      <c r="I3" s="407"/>
      <c r="J3" s="399"/>
      <c r="K3" s="407"/>
      <c r="L3" s="399"/>
      <c r="M3" s="407"/>
      <c r="N3" s="399"/>
      <c r="O3" s="407"/>
      <c r="P3" s="382"/>
      <c r="Q3" s="382"/>
    </row>
    <row r="4" spans="1:17" x14ac:dyDescent="0.25">
      <c r="A4" s="282" t="s">
        <v>277</v>
      </c>
      <c r="B4" s="401" t="s">
        <v>1434</v>
      </c>
      <c r="C4" s="423"/>
      <c r="D4" s="401" t="s">
        <v>1435</v>
      </c>
      <c r="E4" s="423"/>
      <c r="F4" s="401" t="s">
        <v>1436</v>
      </c>
      <c r="G4" s="423"/>
      <c r="H4" s="401" t="s">
        <v>1437</v>
      </c>
      <c r="I4" s="423"/>
      <c r="J4" s="401" t="s">
        <v>1393</v>
      </c>
      <c r="K4" s="423"/>
      <c r="L4" s="401" t="s">
        <v>1394</v>
      </c>
      <c r="M4" s="423"/>
      <c r="N4" s="401" t="s">
        <v>1395</v>
      </c>
      <c r="O4" s="423"/>
      <c r="P4" s="382" t="s">
        <v>1398</v>
      </c>
      <c r="Q4" s="382"/>
    </row>
    <row r="5" spans="1:17" x14ac:dyDescent="0.25">
      <c r="A5" s="282" t="s">
        <v>274</v>
      </c>
      <c r="B5" s="401"/>
      <c r="C5" s="423"/>
      <c r="D5" s="401"/>
      <c r="E5" s="423"/>
      <c r="F5" s="401"/>
      <c r="G5" s="423"/>
      <c r="H5" s="401"/>
      <c r="I5" s="423"/>
      <c r="J5" s="401"/>
      <c r="K5" s="423"/>
      <c r="L5" s="401"/>
      <c r="M5" s="423"/>
      <c r="N5" s="401"/>
      <c r="O5" s="423"/>
      <c r="P5" s="382"/>
      <c r="Q5" s="382"/>
    </row>
    <row r="6" spans="1:17" ht="15.75" thickBot="1" x14ac:dyDescent="0.3">
      <c r="A6" s="282" t="s">
        <v>295</v>
      </c>
      <c r="B6" s="395"/>
      <c r="C6" s="442"/>
      <c r="D6" s="395"/>
      <c r="E6" s="442"/>
      <c r="F6" s="395"/>
      <c r="G6" s="442"/>
      <c r="H6" s="395"/>
      <c r="I6" s="442"/>
      <c r="J6" s="395"/>
      <c r="K6" s="442"/>
      <c r="L6" s="395"/>
      <c r="M6" s="442"/>
      <c r="N6" s="395"/>
      <c r="O6" s="442"/>
      <c r="P6" s="382"/>
      <c r="Q6" s="382"/>
    </row>
    <row r="7" spans="1:17" ht="15.75" thickBot="1" x14ac:dyDescent="0.3">
      <c r="A7" s="278" t="s">
        <v>296</v>
      </c>
      <c r="B7" s="395"/>
      <c r="C7" s="442"/>
      <c r="D7" s="395"/>
      <c r="E7" s="442"/>
      <c r="F7" s="395"/>
      <c r="G7" s="442"/>
      <c r="H7" s="395"/>
      <c r="I7" s="442"/>
      <c r="J7" s="395"/>
      <c r="K7" s="442"/>
      <c r="L7" s="395"/>
      <c r="M7" s="442"/>
      <c r="N7" s="395"/>
      <c r="O7" s="442"/>
      <c r="P7" s="382"/>
      <c r="Q7" s="382"/>
    </row>
    <row r="8" spans="1:17" ht="15.75" thickBot="1" x14ac:dyDescent="0.3">
      <c r="A8" s="281" t="s">
        <v>549</v>
      </c>
      <c r="B8" s="419" t="s">
        <v>1272</v>
      </c>
      <c r="C8" s="420"/>
      <c r="D8" s="419" t="s">
        <v>1273</v>
      </c>
      <c r="E8" s="420"/>
      <c r="F8" s="419" t="s">
        <v>1274</v>
      </c>
      <c r="G8" s="420"/>
      <c r="H8" s="419" t="s">
        <v>1275</v>
      </c>
      <c r="I8" s="420"/>
      <c r="J8" s="419"/>
      <c r="K8" s="420"/>
      <c r="L8" s="419" t="s">
        <v>748</v>
      </c>
      <c r="M8" s="420"/>
      <c r="N8" s="419" t="s">
        <v>1396</v>
      </c>
      <c r="O8" s="420"/>
      <c r="P8" s="469" t="s">
        <v>1397</v>
      </c>
      <c r="Q8" s="469"/>
    </row>
    <row r="9" spans="1:17" ht="15.75" thickBot="1" x14ac:dyDescent="0.3">
      <c r="A9" s="49" t="s">
        <v>275</v>
      </c>
      <c r="B9" s="45" t="s">
        <v>272</v>
      </c>
      <c r="C9" s="46" t="s">
        <v>271</v>
      </c>
      <c r="D9" s="45" t="s">
        <v>272</v>
      </c>
      <c r="E9" s="46" t="s">
        <v>271</v>
      </c>
      <c r="F9" s="45" t="s">
        <v>272</v>
      </c>
      <c r="G9" s="46" t="s">
        <v>271</v>
      </c>
      <c r="H9" s="45" t="s">
        <v>272</v>
      </c>
      <c r="I9" s="46" t="s">
        <v>271</v>
      </c>
      <c r="J9" s="45" t="s">
        <v>272</v>
      </c>
      <c r="K9" s="46" t="s">
        <v>271</v>
      </c>
      <c r="L9" s="45" t="s">
        <v>272</v>
      </c>
      <c r="M9" s="46" t="s">
        <v>271</v>
      </c>
      <c r="N9" s="45" t="s">
        <v>272</v>
      </c>
      <c r="O9" s="48" t="s">
        <v>271</v>
      </c>
      <c r="P9" s="214" t="s">
        <v>272</v>
      </c>
      <c r="Q9" s="214" t="s">
        <v>271</v>
      </c>
    </row>
    <row r="10" spans="1:17" x14ac:dyDescent="0.25">
      <c r="A10" s="279">
        <v>1</v>
      </c>
      <c r="B10" s="80">
        <v>1</v>
      </c>
      <c r="C10" s="18" t="s">
        <v>471</v>
      </c>
      <c r="D10" s="44">
        <v>49</v>
      </c>
      <c r="E10" s="3" t="s">
        <v>1336</v>
      </c>
      <c r="F10" s="44">
        <v>1914</v>
      </c>
      <c r="G10" s="3" t="s">
        <v>1270</v>
      </c>
      <c r="H10" s="44">
        <v>1</v>
      </c>
      <c r="I10" s="187" t="s">
        <v>1339</v>
      </c>
      <c r="J10" s="44">
        <v>2</v>
      </c>
      <c r="K10" s="187" t="s">
        <v>1344</v>
      </c>
      <c r="L10" s="44">
        <v>2</v>
      </c>
      <c r="M10" s="98" t="s">
        <v>748</v>
      </c>
      <c r="N10" s="44">
        <v>210</v>
      </c>
      <c r="O10" s="96" t="s">
        <v>1396</v>
      </c>
      <c r="P10" s="131"/>
      <c r="Q10" s="131"/>
    </row>
    <row r="11" spans="1:17" x14ac:dyDescent="0.25">
      <c r="A11" s="282">
        <v>2</v>
      </c>
      <c r="B11" s="76">
        <v>2</v>
      </c>
      <c r="C11" s="19" t="s">
        <v>472</v>
      </c>
      <c r="D11" s="44">
        <v>2000</v>
      </c>
      <c r="E11" s="3" t="s">
        <v>534</v>
      </c>
      <c r="F11" s="8">
        <v>1915</v>
      </c>
      <c r="G11" s="4" t="s">
        <v>1270</v>
      </c>
      <c r="H11" s="8">
        <v>2</v>
      </c>
      <c r="I11" s="4" t="s">
        <v>1340</v>
      </c>
      <c r="J11" s="8">
        <v>3</v>
      </c>
      <c r="K11" s="4" t="s">
        <v>1345</v>
      </c>
      <c r="L11" s="8"/>
      <c r="M11" s="4"/>
      <c r="N11" s="8"/>
      <c r="O11" s="19"/>
      <c r="P11" s="131"/>
      <c r="Q11" s="131"/>
    </row>
    <row r="12" spans="1:17" x14ac:dyDescent="0.25">
      <c r="A12" s="282">
        <v>3</v>
      </c>
      <c r="B12" s="76">
        <v>3</v>
      </c>
      <c r="C12" s="19" t="s">
        <v>473</v>
      </c>
      <c r="D12" s="8">
        <v>2006</v>
      </c>
      <c r="E12" s="4" t="s">
        <v>535</v>
      </c>
      <c r="F12" s="8">
        <v>1922</v>
      </c>
      <c r="G12" s="4" t="s">
        <v>1271</v>
      </c>
      <c r="H12" s="8">
        <v>3</v>
      </c>
      <c r="I12" s="4" t="s">
        <v>387</v>
      </c>
      <c r="J12" s="8">
        <v>4</v>
      </c>
      <c r="K12" s="4" t="s">
        <v>1346</v>
      </c>
      <c r="L12" s="8"/>
      <c r="M12" s="4"/>
      <c r="N12" s="8"/>
      <c r="O12" s="19"/>
      <c r="P12" s="131"/>
      <c r="Q12" s="131"/>
    </row>
    <row r="13" spans="1:17" x14ac:dyDescent="0.25">
      <c r="A13" s="282">
        <v>4</v>
      </c>
      <c r="B13" s="76">
        <v>4</v>
      </c>
      <c r="C13" s="19" t="s">
        <v>474</v>
      </c>
      <c r="D13" s="8">
        <v>2024</v>
      </c>
      <c r="E13" s="4" t="s">
        <v>536</v>
      </c>
      <c r="F13" s="8">
        <v>1923</v>
      </c>
      <c r="G13" s="4" t="s">
        <v>1271</v>
      </c>
      <c r="H13" s="8">
        <v>4</v>
      </c>
      <c r="I13" s="4" t="s">
        <v>388</v>
      </c>
      <c r="J13" s="8">
        <v>5</v>
      </c>
      <c r="K13" s="4" t="s">
        <v>1347</v>
      </c>
      <c r="L13" s="8"/>
      <c r="M13" s="4"/>
      <c r="N13" s="8"/>
      <c r="O13" s="19"/>
      <c r="P13" s="131"/>
      <c r="Q13" s="131"/>
    </row>
    <row r="14" spans="1:17" x14ac:dyDescent="0.25">
      <c r="A14" s="282">
        <v>5</v>
      </c>
      <c r="B14" s="76">
        <v>5</v>
      </c>
      <c r="C14" s="19" t="s">
        <v>475</v>
      </c>
      <c r="D14" s="8">
        <v>2042</v>
      </c>
      <c r="E14" s="4" t="s">
        <v>537</v>
      </c>
      <c r="F14" s="8">
        <v>1926</v>
      </c>
      <c r="G14" s="97" t="s">
        <v>1272</v>
      </c>
      <c r="H14" s="8">
        <v>5</v>
      </c>
      <c r="I14" s="4" t="s">
        <v>389</v>
      </c>
      <c r="J14" s="8">
        <v>11</v>
      </c>
      <c r="K14" s="4" t="s">
        <v>1348</v>
      </c>
      <c r="L14" s="8"/>
      <c r="M14" s="4"/>
      <c r="N14" s="8"/>
      <c r="O14" s="19"/>
      <c r="P14" s="131"/>
      <c r="Q14" s="131"/>
    </row>
    <row r="15" spans="1:17" x14ac:dyDescent="0.25">
      <c r="A15" s="282">
        <v>6</v>
      </c>
      <c r="B15" s="76">
        <v>6</v>
      </c>
      <c r="C15" s="19" t="s">
        <v>476</v>
      </c>
      <c r="D15" s="8">
        <v>2073</v>
      </c>
      <c r="E15" s="4" t="s">
        <v>538</v>
      </c>
      <c r="F15" s="8">
        <v>1927</v>
      </c>
      <c r="G15" s="97" t="s">
        <v>1273</v>
      </c>
      <c r="H15" s="8">
        <v>6</v>
      </c>
      <c r="I15" s="4" t="s">
        <v>390</v>
      </c>
      <c r="J15" s="8">
        <v>12</v>
      </c>
      <c r="K15" s="4" t="s">
        <v>1349</v>
      </c>
      <c r="L15" s="8"/>
      <c r="M15" s="4"/>
      <c r="N15" s="8"/>
      <c r="O15" s="19"/>
      <c r="P15" s="131"/>
      <c r="Q15" s="131"/>
    </row>
    <row r="16" spans="1:17" x14ac:dyDescent="0.25">
      <c r="A16" s="282">
        <v>7</v>
      </c>
      <c r="B16" s="76">
        <v>7</v>
      </c>
      <c r="C16" s="19" t="s">
        <v>477</v>
      </c>
      <c r="D16" s="8">
        <v>2019</v>
      </c>
      <c r="E16" s="4" t="s">
        <v>574</v>
      </c>
      <c r="F16" s="8">
        <v>1928</v>
      </c>
      <c r="G16" s="97" t="s">
        <v>1274</v>
      </c>
      <c r="H16" s="8">
        <v>11</v>
      </c>
      <c r="I16" s="4" t="s">
        <v>391</v>
      </c>
      <c r="J16" s="8">
        <v>13</v>
      </c>
      <c r="K16" s="4" t="s">
        <v>1350</v>
      </c>
      <c r="L16" s="8"/>
      <c r="M16" s="4"/>
      <c r="N16" s="8"/>
      <c r="O16" s="19"/>
      <c r="P16" s="131"/>
      <c r="Q16" s="131"/>
    </row>
    <row r="17" spans="1:17" ht="14.65" customHeight="1" x14ac:dyDescent="0.25">
      <c r="A17" s="282">
        <v>8</v>
      </c>
      <c r="B17" s="8"/>
      <c r="C17" s="131"/>
      <c r="D17" s="8">
        <v>2101</v>
      </c>
      <c r="E17" s="4" t="s">
        <v>575</v>
      </c>
      <c r="F17" s="8">
        <v>1929</v>
      </c>
      <c r="G17" s="97" t="s">
        <v>1275</v>
      </c>
      <c r="H17" s="8">
        <v>12</v>
      </c>
      <c r="I17" s="4" t="s">
        <v>393</v>
      </c>
      <c r="J17" s="8">
        <v>51</v>
      </c>
      <c r="K17" s="4" t="s">
        <v>1351</v>
      </c>
      <c r="L17" s="8"/>
      <c r="M17" s="4"/>
      <c r="N17" s="8"/>
      <c r="O17" s="19"/>
      <c r="P17" s="131"/>
      <c r="Q17" s="131"/>
    </row>
    <row r="18" spans="1:17" x14ac:dyDescent="0.25">
      <c r="A18" s="282">
        <v>9</v>
      </c>
      <c r="B18" s="8"/>
      <c r="C18" s="131"/>
      <c r="D18" s="8">
        <v>2111</v>
      </c>
      <c r="E18" s="4" t="s">
        <v>539</v>
      </c>
      <c r="F18" s="8">
        <v>6009</v>
      </c>
      <c r="G18" s="4" t="s">
        <v>1276</v>
      </c>
      <c r="H18" s="8">
        <v>13</v>
      </c>
      <c r="I18" s="4" t="s">
        <v>392</v>
      </c>
      <c r="J18" s="8">
        <v>106</v>
      </c>
      <c r="K18" s="4" t="s">
        <v>1352</v>
      </c>
      <c r="L18" s="8"/>
      <c r="M18" s="4"/>
      <c r="N18" s="8"/>
      <c r="O18" s="19"/>
      <c r="P18" s="131"/>
      <c r="Q18" s="131"/>
    </row>
    <row r="19" spans="1:17" x14ac:dyDescent="0.25">
      <c r="A19" s="149">
        <v>10</v>
      </c>
      <c r="B19" s="8"/>
      <c r="C19" s="131"/>
      <c r="D19" s="8">
        <v>2121</v>
      </c>
      <c r="E19" s="4" t="s">
        <v>540</v>
      </c>
      <c r="F19" s="8">
        <v>6082</v>
      </c>
      <c r="G19" s="4" t="s">
        <v>1039</v>
      </c>
      <c r="H19" s="8">
        <v>14</v>
      </c>
      <c r="I19" s="4" t="s">
        <v>1341</v>
      </c>
      <c r="J19" s="8">
        <v>255</v>
      </c>
      <c r="K19" s="4" t="s">
        <v>1353</v>
      </c>
      <c r="L19" s="8"/>
      <c r="M19" s="4"/>
      <c r="N19" s="8"/>
      <c r="O19" s="19"/>
      <c r="P19" s="131"/>
      <c r="Q19" s="131"/>
    </row>
    <row r="20" spans="1:17" x14ac:dyDescent="0.25">
      <c r="A20" s="150">
        <v>11</v>
      </c>
      <c r="B20" s="8"/>
      <c r="C20" s="131"/>
      <c r="D20" s="8">
        <v>2131</v>
      </c>
      <c r="E20" s="4" t="s">
        <v>573</v>
      </c>
      <c r="F20" s="8">
        <v>6083</v>
      </c>
      <c r="G20" s="4" t="s">
        <v>1039</v>
      </c>
      <c r="H20" s="8">
        <v>15</v>
      </c>
      <c r="I20" s="4" t="s">
        <v>1342</v>
      </c>
      <c r="J20" s="8"/>
      <c r="K20" s="4"/>
      <c r="L20" s="8"/>
      <c r="M20" s="4"/>
      <c r="N20" s="8"/>
      <c r="O20" s="19"/>
      <c r="P20" s="131"/>
      <c r="Q20" s="131"/>
    </row>
    <row r="21" spans="1:17" x14ac:dyDescent="0.25">
      <c r="A21" s="277">
        <v>12</v>
      </c>
      <c r="B21" s="8"/>
      <c r="C21" s="131"/>
      <c r="D21" s="8">
        <v>2141</v>
      </c>
      <c r="E21" s="4" t="s">
        <v>1337</v>
      </c>
      <c r="F21" s="8">
        <v>6087</v>
      </c>
      <c r="G21" s="4" t="s">
        <v>1277</v>
      </c>
      <c r="H21" s="8">
        <v>16</v>
      </c>
      <c r="I21" s="4" t="s">
        <v>1343</v>
      </c>
      <c r="J21" s="8"/>
      <c r="K21" s="4"/>
      <c r="L21" s="8"/>
      <c r="M21" s="4"/>
      <c r="N21" s="8"/>
      <c r="O21" s="133"/>
      <c r="P21" s="131"/>
      <c r="Q21" s="131"/>
    </row>
    <row r="22" spans="1:17" x14ac:dyDescent="0.25">
      <c r="A22" s="282">
        <v>13</v>
      </c>
      <c r="B22" s="8"/>
      <c r="C22" s="131"/>
      <c r="D22" s="8">
        <v>2151</v>
      </c>
      <c r="E22" s="4" t="s">
        <v>1338</v>
      </c>
      <c r="F22" s="8">
        <v>6088</v>
      </c>
      <c r="G22" s="4" t="s">
        <v>1277</v>
      </c>
      <c r="H22" s="8"/>
      <c r="I22" s="4"/>
      <c r="J22" s="8"/>
      <c r="K22" s="4"/>
      <c r="L22" s="8"/>
      <c r="M22" s="4"/>
      <c r="N22" s="8"/>
      <c r="O22" s="19"/>
      <c r="P22" s="131"/>
      <c r="Q22" s="131"/>
    </row>
    <row r="23" spans="1:17" x14ac:dyDescent="0.25">
      <c r="A23" s="282">
        <v>14</v>
      </c>
      <c r="B23" s="24"/>
      <c r="C23" s="131"/>
      <c r="D23" s="8"/>
      <c r="E23" s="131"/>
      <c r="F23" s="8">
        <v>6089</v>
      </c>
      <c r="G23" s="4" t="s">
        <v>1278</v>
      </c>
      <c r="H23" s="131"/>
      <c r="I23" s="131"/>
      <c r="J23" s="8"/>
      <c r="K23" s="4"/>
      <c r="L23" s="8"/>
      <c r="M23" s="4"/>
      <c r="N23" s="83"/>
      <c r="O23" s="212"/>
      <c r="P23" s="131"/>
      <c r="Q23" s="131"/>
    </row>
    <row r="24" spans="1:17" x14ac:dyDescent="0.25">
      <c r="A24" s="282">
        <v>15</v>
      </c>
      <c r="B24" s="24"/>
      <c r="C24" s="131"/>
      <c r="D24" s="131"/>
      <c r="E24" s="131"/>
      <c r="F24" s="131">
        <v>6090</v>
      </c>
      <c r="G24" s="131" t="s">
        <v>1278</v>
      </c>
      <c r="H24" s="131"/>
      <c r="I24" s="131"/>
      <c r="J24" s="131"/>
      <c r="K24" s="131"/>
      <c r="L24" s="131"/>
      <c r="M24" s="131"/>
      <c r="N24" s="8"/>
      <c r="O24" s="212"/>
      <c r="P24" s="131"/>
      <c r="Q24" s="131"/>
    </row>
    <row r="25" spans="1:17" x14ac:dyDescent="0.25">
      <c r="A25" s="282">
        <v>16</v>
      </c>
      <c r="B25" s="24"/>
      <c r="C25" s="131"/>
      <c r="D25" s="131"/>
      <c r="E25" s="131"/>
      <c r="F25" s="131">
        <v>6092</v>
      </c>
      <c r="G25" s="131" t="s">
        <v>1279</v>
      </c>
      <c r="H25" s="131"/>
      <c r="I25" s="131"/>
      <c r="J25" s="131"/>
      <c r="K25" s="131"/>
      <c r="L25" s="131"/>
      <c r="M25" s="131"/>
      <c r="N25" s="59"/>
      <c r="O25" s="212"/>
      <c r="P25" s="131"/>
      <c r="Q25" s="131"/>
    </row>
    <row r="26" spans="1:17" x14ac:dyDescent="0.25">
      <c r="A26" s="282">
        <v>17</v>
      </c>
      <c r="B26" s="24"/>
      <c r="C26" s="131"/>
      <c r="D26" s="131"/>
      <c r="E26" s="131"/>
      <c r="F26" s="131">
        <v>6093</v>
      </c>
      <c r="G26" s="131" t="s">
        <v>1279</v>
      </c>
      <c r="H26" s="131"/>
      <c r="I26" s="131"/>
      <c r="J26" s="131"/>
      <c r="K26" s="131"/>
      <c r="L26" s="131"/>
      <c r="M26" s="131"/>
      <c r="N26" s="59"/>
      <c r="O26" s="212"/>
      <c r="P26" s="131"/>
      <c r="Q26" s="131"/>
    </row>
    <row r="27" spans="1:17" x14ac:dyDescent="0.25">
      <c r="A27" s="282">
        <v>18</v>
      </c>
      <c r="B27" s="24"/>
      <c r="C27" s="131"/>
      <c r="D27" s="131"/>
      <c r="E27" s="131"/>
      <c r="F27" s="131"/>
      <c r="G27" s="131"/>
      <c r="H27" s="131"/>
      <c r="I27" s="131"/>
      <c r="J27" s="131"/>
      <c r="K27" s="131"/>
      <c r="L27" s="131"/>
      <c r="M27" s="131"/>
      <c r="N27" s="59"/>
      <c r="O27" s="212"/>
      <c r="P27" s="131"/>
      <c r="Q27" s="131"/>
    </row>
    <row r="28" spans="1:17" x14ac:dyDescent="0.25">
      <c r="A28" s="282">
        <v>19</v>
      </c>
      <c r="B28" s="24"/>
      <c r="C28" s="131"/>
      <c r="D28" s="131"/>
      <c r="E28" s="131"/>
      <c r="F28" s="131"/>
      <c r="G28" s="131"/>
      <c r="H28" s="131"/>
      <c r="I28" s="131"/>
      <c r="J28" s="131"/>
      <c r="K28" s="131"/>
      <c r="L28" s="131"/>
      <c r="M28" s="131"/>
      <c r="N28" s="59"/>
      <c r="O28" s="212"/>
      <c r="P28" s="131"/>
      <c r="Q28" s="131"/>
    </row>
    <row r="29" spans="1:17" x14ac:dyDescent="0.25">
      <c r="A29" s="282">
        <v>20</v>
      </c>
      <c r="B29" s="24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5"/>
      <c r="O29" s="212"/>
      <c r="P29" s="131"/>
      <c r="Q29" s="131"/>
    </row>
    <row r="30" spans="1:17" x14ac:dyDescent="0.25">
      <c r="A30" s="282">
        <v>21</v>
      </c>
      <c r="B30" s="24"/>
      <c r="C30" s="131"/>
      <c r="D30" s="131"/>
      <c r="E30" s="131"/>
      <c r="F30" s="131"/>
      <c r="G30" s="131"/>
      <c r="H30" s="131"/>
      <c r="I30" s="131"/>
      <c r="J30" s="131"/>
      <c r="K30" s="131"/>
      <c r="L30" s="131"/>
      <c r="M30" s="131"/>
      <c r="N30" s="135"/>
      <c r="O30" s="212"/>
      <c r="P30" s="131"/>
      <c r="Q30" s="131"/>
    </row>
    <row r="31" spans="1:17" x14ac:dyDescent="0.25">
      <c r="A31" s="282">
        <v>22</v>
      </c>
      <c r="B31" s="24"/>
      <c r="C31" s="131"/>
      <c r="D31" s="131"/>
      <c r="E31" s="131"/>
      <c r="F31" s="131"/>
      <c r="G31" s="131"/>
      <c r="H31" s="131"/>
      <c r="I31" s="131"/>
      <c r="J31" s="131"/>
      <c r="K31" s="131"/>
      <c r="L31" s="131"/>
      <c r="M31" s="131"/>
      <c r="N31" s="135"/>
      <c r="O31" s="212"/>
      <c r="P31" s="131"/>
      <c r="Q31" s="131"/>
    </row>
    <row r="32" spans="1:17" x14ac:dyDescent="0.25">
      <c r="A32" s="282">
        <v>23</v>
      </c>
      <c r="B32" s="24"/>
      <c r="C32" s="131"/>
      <c r="D32" s="131"/>
      <c r="E32" s="131"/>
      <c r="F32" s="131"/>
      <c r="G32" s="131"/>
      <c r="H32" s="131"/>
      <c r="I32" s="131"/>
      <c r="J32" s="131"/>
      <c r="K32" s="131"/>
      <c r="L32" s="131"/>
      <c r="M32" s="131"/>
      <c r="N32" s="135"/>
      <c r="O32" s="212"/>
      <c r="P32" s="131"/>
      <c r="Q32" s="131"/>
    </row>
    <row r="33" spans="1:17" x14ac:dyDescent="0.25">
      <c r="A33" s="282">
        <v>24</v>
      </c>
      <c r="B33" s="24"/>
      <c r="C33" s="131"/>
      <c r="D33" s="131"/>
      <c r="E33" s="131"/>
      <c r="F33" s="131"/>
      <c r="G33" s="131"/>
      <c r="H33" s="131"/>
      <c r="I33" s="131"/>
      <c r="J33" s="131"/>
      <c r="K33" s="131"/>
      <c r="L33" s="131"/>
      <c r="M33" s="131"/>
      <c r="N33" s="135"/>
      <c r="O33" s="213"/>
      <c r="P33" s="131"/>
      <c r="Q33" s="131"/>
    </row>
    <row r="34" spans="1:17" x14ac:dyDescent="0.25">
      <c r="A34" s="282">
        <v>25</v>
      </c>
      <c r="B34" s="24"/>
      <c r="C34" s="131"/>
      <c r="D34" s="131"/>
      <c r="E34" s="131"/>
      <c r="F34" s="131"/>
      <c r="G34" s="131"/>
      <c r="H34" s="131"/>
      <c r="I34" s="131"/>
      <c r="J34" s="131"/>
      <c r="K34" s="131"/>
      <c r="L34" s="131"/>
      <c r="M34" s="131"/>
      <c r="N34" s="135"/>
      <c r="O34" s="212"/>
      <c r="P34" s="131"/>
      <c r="Q34" s="131"/>
    </row>
    <row r="35" spans="1:17" x14ac:dyDescent="0.25">
      <c r="A35" s="282">
        <v>26</v>
      </c>
      <c r="B35" s="24"/>
      <c r="C35" s="131"/>
      <c r="D35" s="131"/>
      <c r="E35" s="131"/>
      <c r="F35" s="131"/>
      <c r="G35" s="131"/>
      <c r="H35" s="131"/>
      <c r="I35" s="131"/>
      <c r="J35" s="131"/>
      <c r="K35" s="131"/>
      <c r="L35" s="131"/>
      <c r="M35" s="131"/>
      <c r="N35" s="135"/>
      <c r="O35" s="212"/>
      <c r="P35" s="131"/>
      <c r="Q35" s="131"/>
    </row>
    <row r="36" spans="1:17" x14ac:dyDescent="0.25">
      <c r="A36" s="282">
        <v>27</v>
      </c>
      <c r="B36" s="24"/>
      <c r="C36" s="131"/>
      <c r="D36" s="131"/>
      <c r="E36" s="131"/>
      <c r="F36" s="131"/>
      <c r="G36" s="131"/>
      <c r="H36" s="131"/>
      <c r="I36" s="131"/>
      <c r="J36" s="131"/>
      <c r="K36" s="131"/>
      <c r="L36" s="131"/>
      <c r="M36" s="131"/>
      <c r="N36" s="135"/>
      <c r="O36" s="212"/>
      <c r="P36" s="131"/>
      <c r="Q36" s="131"/>
    </row>
    <row r="37" spans="1:17" x14ac:dyDescent="0.25">
      <c r="A37" s="282">
        <v>28</v>
      </c>
      <c r="B37" s="24"/>
      <c r="C37" s="131"/>
      <c r="D37" s="131"/>
      <c r="E37" s="131"/>
      <c r="F37" s="131"/>
      <c r="G37" s="131"/>
      <c r="H37" s="131"/>
      <c r="I37" s="131"/>
      <c r="J37" s="131"/>
      <c r="K37" s="131"/>
      <c r="L37" s="131"/>
      <c r="M37" s="131"/>
      <c r="N37" s="135"/>
      <c r="O37" s="212"/>
      <c r="P37" s="131"/>
      <c r="Q37" s="131"/>
    </row>
    <row r="38" spans="1:17" x14ac:dyDescent="0.25">
      <c r="A38" s="282">
        <v>29</v>
      </c>
      <c r="B38" s="24"/>
      <c r="C38" s="131"/>
      <c r="D38" s="131"/>
      <c r="E38" s="131"/>
      <c r="F38" s="131"/>
      <c r="G38" s="131"/>
      <c r="H38" s="131"/>
      <c r="I38" s="131"/>
      <c r="J38" s="131"/>
      <c r="K38" s="131"/>
      <c r="L38" s="131"/>
      <c r="M38" s="131"/>
      <c r="N38" s="135"/>
      <c r="O38" s="212"/>
      <c r="P38" s="131"/>
      <c r="Q38" s="131"/>
    </row>
    <row r="39" spans="1:17" x14ac:dyDescent="0.25">
      <c r="A39" s="282">
        <v>30</v>
      </c>
      <c r="B39" s="24"/>
      <c r="C39" s="131"/>
      <c r="D39" s="131"/>
      <c r="E39" s="131"/>
      <c r="F39" s="131"/>
      <c r="G39" s="131"/>
      <c r="H39" s="131"/>
      <c r="I39" s="131"/>
      <c r="J39" s="131"/>
      <c r="K39" s="131"/>
      <c r="L39" s="131"/>
      <c r="M39" s="131"/>
      <c r="N39" s="135"/>
      <c r="O39" s="212"/>
      <c r="P39" s="131"/>
      <c r="Q39" s="131"/>
    </row>
    <row r="40" spans="1:17" x14ac:dyDescent="0.25">
      <c r="A40" s="282">
        <v>31</v>
      </c>
      <c r="B40" s="24"/>
      <c r="C40" s="131"/>
      <c r="D40" s="131"/>
      <c r="E40" s="131"/>
      <c r="F40" s="131"/>
      <c r="G40" s="131"/>
      <c r="H40" s="131"/>
      <c r="I40" s="131"/>
      <c r="J40" s="131"/>
      <c r="K40" s="131"/>
      <c r="L40" s="131"/>
      <c r="M40" s="131"/>
      <c r="N40" s="135"/>
      <c r="O40" s="212"/>
      <c r="P40" s="131"/>
      <c r="Q40" s="131"/>
    </row>
    <row r="41" spans="1:17" x14ac:dyDescent="0.25">
      <c r="A41" s="282">
        <v>32</v>
      </c>
      <c r="B41" s="24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5"/>
      <c r="O41" s="212"/>
      <c r="P41" s="131"/>
      <c r="Q41" s="131"/>
    </row>
    <row r="42" spans="1:17" x14ac:dyDescent="0.25">
      <c r="A42" s="282">
        <v>33</v>
      </c>
      <c r="B42" s="24"/>
      <c r="C42" s="131"/>
      <c r="D42" s="131"/>
      <c r="E42" s="131"/>
      <c r="F42" s="131"/>
      <c r="G42" s="131"/>
      <c r="H42" s="131"/>
      <c r="I42" s="131"/>
      <c r="J42" s="131"/>
      <c r="K42" s="131"/>
      <c r="L42" s="131"/>
      <c r="M42" s="131"/>
      <c r="N42" s="135"/>
      <c r="O42" s="212"/>
      <c r="P42" s="131"/>
      <c r="Q42" s="131"/>
    </row>
    <row r="43" spans="1:17" x14ac:dyDescent="0.25">
      <c r="A43" s="282">
        <v>34</v>
      </c>
      <c r="B43" s="24"/>
      <c r="C43" s="131"/>
      <c r="D43" s="131"/>
      <c r="E43" s="131"/>
      <c r="F43" s="131"/>
      <c r="G43" s="131"/>
      <c r="H43" s="131"/>
      <c r="I43" s="131"/>
      <c r="J43" s="131"/>
      <c r="K43" s="131"/>
      <c r="L43" s="131"/>
      <c r="M43" s="131"/>
      <c r="N43" s="135"/>
      <c r="O43" s="212"/>
      <c r="P43" s="131"/>
      <c r="Q43" s="131"/>
    </row>
    <row r="44" spans="1:17" x14ac:dyDescent="0.25">
      <c r="A44" s="282">
        <v>35</v>
      </c>
      <c r="B44" s="24"/>
      <c r="C44" s="131"/>
      <c r="D44" s="131"/>
      <c r="E44" s="131"/>
      <c r="F44" s="131"/>
      <c r="G44" s="131"/>
      <c r="H44" s="131"/>
      <c r="I44" s="131"/>
      <c r="J44" s="131"/>
      <c r="K44" s="131"/>
      <c r="L44" s="131"/>
      <c r="M44" s="131"/>
      <c r="N44" s="135"/>
      <c r="O44" s="212"/>
      <c r="P44" s="131"/>
      <c r="Q44" s="131"/>
    </row>
    <row r="45" spans="1:17" x14ac:dyDescent="0.25">
      <c r="A45" s="282">
        <v>36</v>
      </c>
      <c r="B45" s="24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5"/>
      <c r="O45" s="212"/>
      <c r="P45" s="131"/>
      <c r="Q45" s="131"/>
    </row>
    <row r="46" spans="1:17" x14ac:dyDescent="0.25">
      <c r="A46" s="282">
        <v>37</v>
      </c>
      <c r="B46" s="24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5"/>
      <c r="O46" s="212"/>
      <c r="P46" s="131"/>
      <c r="Q46" s="131"/>
    </row>
    <row r="47" spans="1:17" x14ac:dyDescent="0.25">
      <c r="A47" s="282">
        <v>38</v>
      </c>
      <c r="B47" s="24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5"/>
      <c r="O47" s="212"/>
      <c r="P47" s="131"/>
      <c r="Q47" s="131"/>
    </row>
    <row r="48" spans="1:17" x14ac:dyDescent="0.25">
      <c r="A48" s="282">
        <v>39</v>
      </c>
      <c r="B48" s="24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5"/>
      <c r="O48" s="212"/>
      <c r="P48" s="131"/>
      <c r="Q48" s="131"/>
    </row>
    <row r="49" spans="1:17" x14ac:dyDescent="0.25">
      <c r="A49" s="282">
        <v>40</v>
      </c>
      <c r="B49" s="24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5"/>
      <c r="O49" s="212"/>
      <c r="P49" s="131"/>
      <c r="Q49" s="131"/>
    </row>
    <row r="50" spans="1:17" x14ac:dyDescent="0.25">
      <c r="A50" s="282">
        <v>41</v>
      </c>
      <c r="B50" s="24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5"/>
      <c r="O50" s="212"/>
      <c r="P50" s="131"/>
      <c r="Q50" s="131"/>
    </row>
    <row r="51" spans="1:17" ht="15.75" thickBot="1" x14ac:dyDescent="0.3">
      <c r="A51" s="278">
        <v>42</v>
      </c>
      <c r="B51" s="24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5"/>
      <c r="O51" s="212"/>
      <c r="P51" s="131"/>
      <c r="Q51" s="131"/>
    </row>
  </sheetData>
  <mergeCells count="58">
    <mergeCell ref="N7:O7"/>
    <mergeCell ref="P7:Q7"/>
    <mergeCell ref="B8:C8"/>
    <mergeCell ref="D8:E8"/>
    <mergeCell ref="F8:G8"/>
    <mergeCell ref="H8:I8"/>
    <mergeCell ref="J8:K8"/>
    <mergeCell ref="L8:M8"/>
    <mergeCell ref="N8:O8"/>
    <mergeCell ref="P8:Q8"/>
    <mergeCell ref="B7:C7"/>
    <mergeCell ref="D7:E7"/>
    <mergeCell ref="F7:G7"/>
    <mergeCell ref="H7:I7"/>
    <mergeCell ref="J7:K7"/>
    <mergeCell ref="L7:M7"/>
    <mergeCell ref="N5:O5"/>
    <mergeCell ref="P5:Q5"/>
    <mergeCell ref="B6:C6"/>
    <mergeCell ref="D6:E6"/>
    <mergeCell ref="F6:G6"/>
    <mergeCell ref="H6:I6"/>
    <mergeCell ref="J6:K6"/>
    <mergeCell ref="L6:M6"/>
    <mergeCell ref="N6:O6"/>
    <mergeCell ref="P6:Q6"/>
    <mergeCell ref="B5:C5"/>
    <mergeCell ref="D5:E5"/>
    <mergeCell ref="F5:G5"/>
    <mergeCell ref="H5:I5"/>
    <mergeCell ref="J5:K5"/>
    <mergeCell ref="L5:M5"/>
    <mergeCell ref="N3:O3"/>
    <mergeCell ref="P3:Q3"/>
    <mergeCell ref="B4:C4"/>
    <mergeCell ref="D4:E4"/>
    <mergeCell ref="F4:G4"/>
    <mergeCell ref="H4:I4"/>
    <mergeCell ref="J4:K4"/>
    <mergeCell ref="L4:M4"/>
    <mergeCell ref="N4:O4"/>
    <mergeCell ref="P4:Q4"/>
    <mergeCell ref="B3:C3"/>
    <mergeCell ref="D3:E3"/>
    <mergeCell ref="F3:G3"/>
    <mergeCell ref="H3:I3"/>
    <mergeCell ref="J3:K3"/>
    <mergeCell ref="L3:M3"/>
    <mergeCell ref="B1:I1"/>
    <mergeCell ref="J1:Q1"/>
    <mergeCell ref="B2:C2"/>
    <mergeCell ref="D2:E2"/>
    <mergeCell ref="F2:G2"/>
    <mergeCell ref="H2:I2"/>
    <mergeCell ref="J2:K2"/>
    <mergeCell ref="L2:M2"/>
    <mergeCell ref="N2:O2"/>
    <mergeCell ref="P2:Q2"/>
  </mergeCells>
  <conditionalFormatting sqref="C10:C16">
    <cfRule type="duplicateValues" dxfId="35" priority="5"/>
  </conditionalFormatting>
  <conditionalFormatting sqref="D11:E20 D21:D22">
    <cfRule type="duplicateValues" dxfId="34" priority="3"/>
  </conditionalFormatting>
  <conditionalFormatting sqref="D11:E20">
    <cfRule type="duplicateValues" dxfId="33" priority="4"/>
  </conditionalFormatting>
  <conditionalFormatting sqref="I12:I20">
    <cfRule type="duplicateValues" dxfId="32" priority="6"/>
  </conditionalFormatting>
  <conditionalFormatting sqref="N10:O51">
    <cfRule type="duplicateValues" dxfId="31" priority="1"/>
  </conditionalFormatting>
  <conditionalFormatting sqref="O10:O51">
    <cfRule type="duplicateValues" dxfId="30" priority="2"/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1:L165"/>
  <sheetViews>
    <sheetView topLeftCell="A46" zoomScaleNormal="100" workbookViewId="0">
      <selection activeCell="G78" sqref="G78"/>
    </sheetView>
  </sheetViews>
  <sheetFormatPr defaultRowHeight="15" x14ac:dyDescent="0.25"/>
  <cols>
    <col min="1" max="1" width="5.5703125" bestFit="1" customWidth="1"/>
    <col min="2" max="2" width="13" bestFit="1" customWidth="1"/>
    <col min="3" max="3" width="5.5703125" bestFit="1" customWidth="1"/>
    <col min="4" max="4" width="23" bestFit="1" customWidth="1"/>
    <col min="5" max="5" width="12.5703125" bestFit="1" customWidth="1"/>
    <col min="6" max="6" width="9.42578125" bestFit="1" customWidth="1"/>
    <col min="7" max="7" width="12" bestFit="1" customWidth="1"/>
    <col min="8" max="8" width="4.28515625" customWidth="1"/>
    <col min="9" max="9" width="9.42578125" bestFit="1" customWidth="1"/>
    <col min="10" max="10" width="12.28515625" bestFit="1" customWidth="1"/>
    <col min="11" max="11" width="9.42578125" bestFit="1" customWidth="1"/>
    <col min="12" max="12" width="14.85546875" style="77" bestFit="1" customWidth="1"/>
  </cols>
  <sheetData>
    <row r="1" spans="1:12" ht="15.75" thickBot="1" x14ac:dyDescent="0.3">
      <c r="A1" s="79"/>
      <c r="D1" s="79"/>
      <c r="E1" s="112"/>
      <c r="F1" s="79"/>
      <c r="G1" s="113"/>
    </row>
    <row r="2" spans="1:12" ht="15.75" thickBot="1" x14ac:dyDescent="0.3">
      <c r="A2" s="114" t="s">
        <v>785</v>
      </c>
      <c r="B2" s="115" t="s">
        <v>786</v>
      </c>
      <c r="C2" s="115" t="s">
        <v>785</v>
      </c>
      <c r="D2" s="115" t="s">
        <v>271</v>
      </c>
      <c r="E2" s="116" t="s">
        <v>1374</v>
      </c>
      <c r="F2" s="115" t="s">
        <v>787</v>
      </c>
      <c r="G2" s="116" t="s">
        <v>1075</v>
      </c>
      <c r="I2" s="151" t="s">
        <v>787</v>
      </c>
      <c r="J2" s="152" t="s">
        <v>1129</v>
      </c>
      <c r="K2" s="235" t="s">
        <v>1218</v>
      </c>
      <c r="L2" s="233" t="s">
        <v>1148</v>
      </c>
    </row>
    <row r="3" spans="1:12" x14ac:dyDescent="0.25">
      <c r="A3" s="117">
        <v>1</v>
      </c>
      <c r="B3" s="482" t="s">
        <v>788</v>
      </c>
      <c r="C3" s="129">
        <v>1</v>
      </c>
      <c r="D3" s="181" t="s">
        <v>790</v>
      </c>
      <c r="E3" s="119" t="s">
        <v>1083</v>
      </c>
      <c r="F3" s="29" t="s">
        <v>789</v>
      </c>
      <c r="G3" s="4" t="s">
        <v>791</v>
      </c>
      <c r="I3" s="44" t="s">
        <v>789</v>
      </c>
      <c r="J3" s="145">
        <f>COUNTIF('Muse Multicast'!F3:F164,I3)</f>
        <v>33</v>
      </c>
      <c r="K3" s="472" t="s">
        <v>789</v>
      </c>
      <c r="L3" s="217" t="s">
        <v>1768</v>
      </c>
    </row>
    <row r="4" spans="1:12" x14ac:dyDescent="0.25">
      <c r="A4" s="111">
        <v>2</v>
      </c>
      <c r="B4" s="483"/>
      <c r="C4" s="129">
        <v>2</v>
      </c>
      <c r="D4" s="181" t="s">
        <v>684</v>
      </c>
      <c r="E4" s="119" t="s">
        <v>343</v>
      </c>
      <c r="F4" s="29" t="s">
        <v>789</v>
      </c>
      <c r="G4" s="4" t="s">
        <v>792</v>
      </c>
      <c r="I4" s="8" t="s">
        <v>850</v>
      </c>
      <c r="J4" s="126">
        <f>COUNTIF('Muse Multicast'!F3:F164,I4)</f>
        <v>36</v>
      </c>
      <c r="K4" s="473"/>
      <c r="L4" s="230" t="s">
        <v>803</v>
      </c>
    </row>
    <row r="5" spans="1:12" x14ac:dyDescent="0.25">
      <c r="A5" s="111">
        <v>3</v>
      </c>
      <c r="B5" s="483"/>
      <c r="C5" s="129">
        <v>3</v>
      </c>
      <c r="D5" s="181" t="s">
        <v>793</v>
      </c>
      <c r="E5" s="119" t="s">
        <v>334</v>
      </c>
      <c r="F5" s="29" t="s">
        <v>789</v>
      </c>
      <c r="G5" s="4" t="s">
        <v>794</v>
      </c>
      <c r="I5" s="8" t="s">
        <v>915</v>
      </c>
      <c r="J5" s="126">
        <f>COUNTIF('Muse Multicast'!F4:F164,I5)</f>
        <v>35</v>
      </c>
      <c r="K5" s="473"/>
      <c r="L5" s="230" t="s">
        <v>806</v>
      </c>
    </row>
    <row r="6" spans="1:12" x14ac:dyDescent="0.25">
      <c r="A6" s="111">
        <v>4</v>
      </c>
      <c r="B6" s="483"/>
      <c r="C6" s="179">
        <v>4</v>
      </c>
      <c r="D6" s="181" t="s">
        <v>795</v>
      </c>
      <c r="E6" s="119" t="s">
        <v>334</v>
      </c>
      <c r="F6" s="29" t="s">
        <v>789</v>
      </c>
      <c r="G6" s="4" t="s">
        <v>796</v>
      </c>
      <c r="I6" s="8" t="s">
        <v>978</v>
      </c>
      <c r="J6" s="126">
        <f>COUNTIF('Muse Multicast'!F5:F164,I6)</f>
        <v>35</v>
      </c>
      <c r="K6" s="473"/>
      <c r="L6" s="218" t="s">
        <v>807</v>
      </c>
    </row>
    <row r="7" spans="1:12" x14ac:dyDescent="0.25">
      <c r="A7" s="117">
        <v>5</v>
      </c>
      <c r="B7" s="483"/>
      <c r="C7" s="179">
        <v>5</v>
      </c>
      <c r="D7" s="181" t="s">
        <v>797</v>
      </c>
      <c r="E7" s="119" t="s">
        <v>323</v>
      </c>
      <c r="F7" s="29" t="s">
        <v>789</v>
      </c>
      <c r="G7" s="4" t="s">
        <v>798</v>
      </c>
      <c r="I7" s="8" t="s">
        <v>1033</v>
      </c>
      <c r="J7" s="126">
        <f>COUNTIF('Muse Multicast'!F6:F164,I7)</f>
        <v>7</v>
      </c>
      <c r="K7" s="473"/>
      <c r="L7" s="230" t="s">
        <v>1152</v>
      </c>
    </row>
    <row r="8" spans="1:12" x14ac:dyDescent="0.25">
      <c r="A8" s="154">
        <v>6</v>
      </c>
      <c r="B8" s="483"/>
      <c r="C8" s="179">
        <v>6</v>
      </c>
      <c r="D8" s="181" t="s">
        <v>799</v>
      </c>
      <c r="E8" s="119" t="s">
        <v>342</v>
      </c>
      <c r="F8" s="29" t="s">
        <v>789</v>
      </c>
      <c r="G8" s="4" t="s">
        <v>800</v>
      </c>
      <c r="I8" s="8" t="s">
        <v>1047</v>
      </c>
      <c r="J8" s="126">
        <f>COUNTIF('Muse Multicast'!F7:F164,I8)</f>
        <v>8</v>
      </c>
      <c r="K8" s="473"/>
      <c r="L8" s="230" t="s">
        <v>1153</v>
      </c>
    </row>
    <row r="9" spans="1:12" ht="15.75" thickBot="1" x14ac:dyDescent="0.3">
      <c r="A9" s="154">
        <v>7</v>
      </c>
      <c r="B9" s="483"/>
      <c r="C9" s="179">
        <v>7</v>
      </c>
      <c r="D9" s="181" t="s">
        <v>801</v>
      </c>
      <c r="E9" s="119" t="s">
        <v>281</v>
      </c>
      <c r="F9" s="29" t="s">
        <v>789</v>
      </c>
      <c r="G9" s="4" t="s">
        <v>802</v>
      </c>
      <c r="I9" s="83" t="s">
        <v>1064</v>
      </c>
      <c r="J9" s="127">
        <f>COUNTIF('Muse Multicast'!F8:F164,I9)</f>
        <v>8</v>
      </c>
      <c r="K9" s="473"/>
      <c r="L9" s="230" t="s">
        <v>1154</v>
      </c>
    </row>
    <row r="10" spans="1:12" ht="15.75" thickBot="1" x14ac:dyDescent="0.3">
      <c r="A10" s="154">
        <v>8</v>
      </c>
      <c r="B10" s="483"/>
      <c r="C10" s="179">
        <v>8</v>
      </c>
      <c r="D10" s="181" t="s">
        <v>804</v>
      </c>
      <c r="E10" s="119" t="s">
        <v>1086</v>
      </c>
      <c r="F10" s="29" t="s">
        <v>789</v>
      </c>
      <c r="G10" s="4" t="s">
        <v>805</v>
      </c>
      <c r="I10" s="216" t="s">
        <v>1130</v>
      </c>
      <c r="J10" s="128">
        <f>SUM(J3:J9)</f>
        <v>162</v>
      </c>
      <c r="K10" s="473"/>
      <c r="L10" s="230" t="s">
        <v>1155</v>
      </c>
    </row>
    <row r="11" spans="1:12" x14ac:dyDescent="0.25">
      <c r="A11" s="154">
        <v>10</v>
      </c>
      <c r="B11" s="483"/>
      <c r="C11" s="179">
        <v>10</v>
      </c>
      <c r="D11" s="181" t="s">
        <v>808</v>
      </c>
      <c r="E11" s="119" t="s">
        <v>308</v>
      </c>
      <c r="F11" s="29" t="s">
        <v>789</v>
      </c>
      <c r="G11" s="4" t="s">
        <v>809</v>
      </c>
      <c r="K11" s="473"/>
      <c r="L11" s="230" t="s">
        <v>1156</v>
      </c>
    </row>
    <row r="12" spans="1:12" x14ac:dyDescent="0.25">
      <c r="A12" s="154">
        <v>11</v>
      </c>
      <c r="B12" s="483"/>
      <c r="C12" s="179">
        <v>11</v>
      </c>
      <c r="D12" s="181" t="s">
        <v>810</v>
      </c>
      <c r="E12" s="119" t="s">
        <v>303</v>
      </c>
      <c r="F12" s="29" t="s">
        <v>789</v>
      </c>
      <c r="G12" s="4" t="s">
        <v>811</v>
      </c>
      <c r="K12" s="473"/>
      <c r="L12" s="230" t="s">
        <v>1157</v>
      </c>
    </row>
    <row r="13" spans="1:12" x14ac:dyDescent="0.25">
      <c r="A13" s="154">
        <v>12</v>
      </c>
      <c r="B13" s="483"/>
      <c r="C13" s="179">
        <v>12</v>
      </c>
      <c r="D13" s="181" t="s">
        <v>1383</v>
      </c>
      <c r="E13" s="119" t="s">
        <v>376</v>
      </c>
      <c r="F13" s="29" t="s">
        <v>789</v>
      </c>
      <c r="G13" s="4" t="s">
        <v>812</v>
      </c>
      <c r="K13" s="473"/>
      <c r="L13" s="218" t="s">
        <v>1158</v>
      </c>
    </row>
    <row r="14" spans="1:12" x14ac:dyDescent="0.25">
      <c r="A14" s="117">
        <v>13</v>
      </c>
      <c r="B14" s="483"/>
      <c r="C14" s="179">
        <v>13</v>
      </c>
      <c r="D14" s="181" t="s">
        <v>813</v>
      </c>
      <c r="E14" s="119" t="s">
        <v>350</v>
      </c>
      <c r="F14" s="29" t="s">
        <v>789</v>
      </c>
      <c r="G14" s="4" t="s">
        <v>814</v>
      </c>
      <c r="K14" s="473"/>
      <c r="L14" s="230" t="s">
        <v>1159</v>
      </c>
    </row>
    <row r="15" spans="1:12" x14ac:dyDescent="0.25">
      <c r="A15" s="154">
        <v>14</v>
      </c>
      <c r="B15" s="483"/>
      <c r="C15" s="179">
        <v>14</v>
      </c>
      <c r="D15" s="181" t="s">
        <v>815</v>
      </c>
      <c r="E15" s="119" t="s">
        <v>1090</v>
      </c>
      <c r="F15" s="29" t="s">
        <v>789</v>
      </c>
      <c r="G15" s="4" t="s">
        <v>816</v>
      </c>
      <c r="K15" s="473"/>
      <c r="L15" s="230" t="s">
        <v>1160</v>
      </c>
    </row>
    <row r="16" spans="1:12" x14ac:dyDescent="0.25">
      <c r="A16" s="154">
        <v>15</v>
      </c>
      <c r="B16" s="483"/>
      <c r="C16" s="179">
        <v>15</v>
      </c>
      <c r="D16" s="181" t="s">
        <v>817</v>
      </c>
      <c r="E16" s="119" t="s">
        <v>1087</v>
      </c>
      <c r="F16" s="29" t="s">
        <v>789</v>
      </c>
      <c r="G16" s="4" t="s">
        <v>818</v>
      </c>
      <c r="K16" s="473"/>
      <c r="L16" s="230" t="s">
        <v>1161</v>
      </c>
    </row>
    <row r="17" spans="1:12" x14ac:dyDescent="0.25">
      <c r="A17" s="154">
        <v>16</v>
      </c>
      <c r="B17" s="483"/>
      <c r="C17" s="179">
        <v>16</v>
      </c>
      <c r="D17" s="181" t="s">
        <v>819</v>
      </c>
      <c r="E17" s="119" t="s">
        <v>1088</v>
      </c>
      <c r="F17" s="29" t="s">
        <v>789</v>
      </c>
      <c r="G17" s="4" t="s">
        <v>820</v>
      </c>
      <c r="K17" s="473"/>
      <c r="L17" s="230" t="s">
        <v>1162</v>
      </c>
    </row>
    <row r="18" spans="1:12" x14ac:dyDescent="0.25">
      <c r="A18" s="117">
        <v>17</v>
      </c>
      <c r="B18" s="483"/>
      <c r="C18" s="179">
        <v>17</v>
      </c>
      <c r="D18" s="181" t="s">
        <v>821</v>
      </c>
      <c r="E18" s="119" t="s">
        <v>1091</v>
      </c>
      <c r="F18" s="29" t="s">
        <v>789</v>
      </c>
      <c r="G18" s="4" t="s">
        <v>822</v>
      </c>
      <c r="K18" s="473"/>
      <c r="L18" s="230" t="s">
        <v>1163</v>
      </c>
    </row>
    <row r="19" spans="1:12" ht="15.75" thickBot="1" x14ac:dyDescent="0.3">
      <c r="A19" s="154">
        <v>18</v>
      </c>
      <c r="B19" s="483"/>
      <c r="C19" s="179">
        <v>18</v>
      </c>
      <c r="D19" s="181" t="s">
        <v>823</v>
      </c>
      <c r="E19" s="119" t="s">
        <v>1089</v>
      </c>
      <c r="F19" s="29" t="s">
        <v>789</v>
      </c>
      <c r="G19" s="4" t="s">
        <v>824</v>
      </c>
      <c r="K19" s="474"/>
      <c r="L19" s="231" t="s">
        <v>1164</v>
      </c>
    </row>
    <row r="20" spans="1:12" x14ac:dyDescent="0.25">
      <c r="A20" s="154">
        <v>19</v>
      </c>
      <c r="B20" s="483"/>
      <c r="C20" s="179">
        <v>19</v>
      </c>
      <c r="D20" s="181" t="s">
        <v>825</v>
      </c>
      <c r="E20" s="119" t="s">
        <v>1082</v>
      </c>
      <c r="F20" s="29" t="s">
        <v>789</v>
      </c>
      <c r="G20" s="4" t="s">
        <v>826</v>
      </c>
      <c r="K20" s="472" t="s">
        <v>850</v>
      </c>
      <c r="L20" s="232" t="s">
        <v>1165</v>
      </c>
    </row>
    <row r="21" spans="1:12" x14ac:dyDescent="0.25">
      <c r="A21" s="154">
        <v>20</v>
      </c>
      <c r="B21" s="483"/>
      <c r="C21" s="179">
        <v>20</v>
      </c>
      <c r="D21" s="181" t="s">
        <v>827</v>
      </c>
      <c r="E21" s="119" t="s">
        <v>1076</v>
      </c>
      <c r="F21" s="29" t="s">
        <v>789</v>
      </c>
      <c r="G21" s="4" t="s">
        <v>828</v>
      </c>
      <c r="K21" s="473"/>
      <c r="L21" s="230" t="s">
        <v>903</v>
      </c>
    </row>
    <row r="22" spans="1:12" x14ac:dyDescent="0.25">
      <c r="A22" s="117">
        <v>21</v>
      </c>
      <c r="B22" s="483"/>
      <c r="C22" s="179">
        <v>21</v>
      </c>
      <c r="D22" s="181" t="s">
        <v>829</v>
      </c>
      <c r="E22" s="119" t="s">
        <v>1077</v>
      </c>
      <c r="F22" s="29" t="s">
        <v>789</v>
      </c>
      <c r="G22" s="4" t="s">
        <v>830</v>
      </c>
      <c r="K22" s="473"/>
      <c r="L22" s="230" t="s">
        <v>907</v>
      </c>
    </row>
    <row r="23" spans="1:12" x14ac:dyDescent="0.25">
      <c r="A23" s="154">
        <v>22</v>
      </c>
      <c r="B23" s="483"/>
      <c r="C23" s="179">
        <v>22</v>
      </c>
      <c r="D23" s="181" t="s">
        <v>831</v>
      </c>
      <c r="E23" s="119" t="s">
        <v>1081</v>
      </c>
      <c r="F23" s="29" t="s">
        <v>789</v>
      </c>
      <c r="G23" s="4" t="s">
        <v>832</v>
      </c>
      <c r="K23" s="473"/>
      <c r="L23" s="230" t="s">
        <v>1166</v>
      </c>
    </row>
    <row r="24" spans="1:12" x14ac:dyDescent="0.25">
      <c r="A24" s="154">
        <v>23</v>
      </c>
      <c r="B24" s="483"/>
      <c r="C24" s="179">
        <v>23</v>
      </c>
      <c r="D24" s="181" t="s">
        <v>833</v>
      </c>
      <c r="E24" s="119" t="s">
        <v>1078</v>
      </c>
      <c r="F24" s="29" t="s">
        <v>789</v>
      </c>
      <c r="G24" s="4" t="s">
        <v>834</v>
      </c>
      <c r="K24" s="473"/>
      <c r="L24" s="230" t="s">
        <v>1167</v>
      </c>
    </row>
    <row r="25" spans="1:12" x14ac:dyDescent="0.25">
      <c r="A25" s="154">
        <v>24</v>
      </c>
      <c r="B25" s="483"/>
      <c r="C25" s="179">
        <v>24</v>
      </c>
      <c r="D25" s="181" t="s">
        <v>835</v>
      </c>
      <c r="E25" s="119" t="s">
        <v>1084</v>
      </c>
      <c r="F25" s="29" t="s">
        <v>789</v>
      </c>
      <c r="G25" s="4" t="s">
        <v>836</v>
      </c>
      <c r="K25" s="473"/>
      <c r="L25" s="230" t="s">
        <v>1168</v>
      </c>
    </row>
    <row r="26" spans="1:12" x14ac:dyDescent="0.25">
      <c r="A26" s="117">
        <v>25</v>
      </c>
      <c r="B26" s="483"/>
      <c r="C26" s="179">
        <v>25</v>
      </c>
      <c r="D26" s="181" t="s">
        <v>837</v>
      </c>
      <c r="E26" s="119" t="s">
        <v>1079</v>
      </c>
      <c r="F26" s="29" t="s">
        <v>789</v>
      </c>
      <c r="G26" s="4" t="s">
        <v>838</v>
      </c>
      <c r="K26" s="473"/>
      <c r="L26" s="230" t="s">
        <v>1169</v>
      </c>
    </row>
    <row r="27" spans="1:12" x14ac:dyDescent="0.25">
      <c r="A27" s="154">
        <v>26</v>
      </c>
      <c r="B27" s="483"/>
      <c r="C27" s="179">
        <v>26</v>
      </c>
      <c r="D27" s="181" t="s">
        <v>839</v>
      </c>
      <c r="E27" s="119" t="s">
        <v>1085</v>
      </c>
      <c r="F27" s="29" t="s">
        <v>789</v>
      </c>
      <c r="G27" s="4" t="s">
        <v>840</v>
      </c>
      <c r="K27" s="473"/>
      <c r="L27" s="230" t="s">
        <v>1170</v>
      </c>
    </row>
    <row r="28" spans="1:12" x14ac:dyDescent="0.25">
      <c r="A28" s="154">
        <v>27</v>
      </c>
      <c r="B28" s="483"/>
      <c r="C28" s="179">
        <v>27</v>
      </c>
      <c r="D28" s="181" t="s">
        <v>841</v>
      </c>
      <c r="E28" s="119" t="s">
        <v>1080</v>
      </c>
      <c r="F28" s="29" t="s">
        <v>789</v>
      </c>
      <c r="G28" s="4" t="s">
        <v>842</v>
      </c>
      <c r="K28" s="473"/>
      <c r="L28" s="230" t="s">
        <v>1171</v>
      </c>
    </row>
    <row r="29" spans="1:12" x14ac:dyDescent="0.25">
      <c r="A29" s="154">
        <v>28</v>
      </c>
      <c r="B29" s="483"/>
      <c r="C29" s="179">
        <v>28</v>
      </c>
      <c r="D29" s="182" t="s">
        <v>1647</v>
      </c>
      <c r="E29" s="120" t="s">
        <v>297</v>
      </c>
      <c r="F29" s="121" t="s">
        <v>789</v>
      </c>
      <c r="G29" s="122" t="s">
        <v>843</v>
      </c>
      <c r="K29" s="473"/>
      <c r="L29" s="230" t="s">
        <v>1172</v>
      </c>
    </row>
    <row r="30" spans="1:12" x14ac:dyDescent="0.25">
      <c r="A30" s="117">
        <v>29</v>
      </c>
      <c r="B30" s="483"/>
      <c r="C30" s="179">
        <v>29</v>
      </c>
      <c r="D30" s="181" t="s">
        <v>844</v>
      </c>
      <c r="E30" s="119" t="s">
        <v>1092</v>
      </c>
      <c r="F30" s="29" t="s">
        <v>789</v>
      </c>
      <c r="G30" s="4" t="s">
        <v>845</v>
      </c>
      <c r="K30" s="473"/>
      <c r="L30" s="230" t="s">
        <v>1173</v>
      </c>
    </row>
    <row r="31" spans="1:12" x14ac:dyDescent="0.25">
      <c r="A31" s="154">
        <v>30</v>
      </c>
      <c r="B31" s="483"/>
      <c r="C31" s="179">
        <v>30</v>
      </c>
      <c r="D31" s="181" t="s">
        <v>1386</v>
      </c>
      <c r="E31" s="119" t="s">
        <v>1147</v>
      </c>
      <c r="F31" s="29" t="s">
        <v>789</v>
      </c>
      <c r="G31" s="4" t="s">
        <v>846</v>
      </c>
      <c r="K31" s="473"/>
      <c r="L31" s="230" t="s">
        <v>1174</v>
      </c>
    </row>
    <row r="32" spans="1:12" x14ac:dyDescent="0.25">
      <c r="A32" s="154">
        <v>31</v>
      </c>
      <c r="B32" s="483"/>
      <c r="C32" s="179">
        <v>31</v>
      </c>
      <c r="D32" s="182" t="s">
        <v>652</v>
      </c>
      <c r="E32" s="120" t="s">
        <v>336</v>
      </c>
      <c r="F32" s="121" t="s">
        <v>789</v>
      </c>
      <c r="G32" s="122" t="s">
        <v>847</v>
      </c>
      <c r="K32" s="473"/>
      <c r="L32" s="230" t="s">
        <v>1175</v>
      </c>
    </row>
    <row r="33" spans="1:12" ht="15.75" thickBot="1" x14ac:dyDescent="0.3">
      <c r="A33" s="154">
        <v>32</v>
      </c>
      <c r="B33" s="483"/>
      <c r="C33" s="179">
        <v>32</v>
      </c>
      <c r="D33" s="181" t="s">
        <v>568</v>
      </c>
      <c r="E33" s="119" t="s">
        <v>1222</v>
      </c>
      <c r="F33" s="29" t="s">
        <v>789</v>
      </c>
      <c r="G33" s="4" t="s">
        <v>1149</v>
      </c>
      <c r="K33" s="474"/>
      <c r="L33" s="231" t="s">
        <v>1177</v>
      </c>
    </row>
    <row r="34" spans="1:12" x14ac:dyDescent="0.25">
      <c r="A34" s="117">
        <v>33</v>
      </c>
      <c r="B34" s="483"/>
      <c r="C34" s="179">
        <v>33</v>
      </c>
      <c r="D34" s="181" t="s">
        <v>1241</v>
      </c>
      <c r="E34" s="119" t="s">
        <v>1223</v>
      </c>
      <c r="F34" s="29" t="s">
        <v>789</v>
      </c>
      <c r="G34" s="4" t="s">
        <v>1150</v>
      </c>
      <c r="K34" s="472" t="s">
        <v>915</v>
      </c>
      <c r="L34" s="232" t="s">
        <v>926</v>
      </c>
    </row>
    <row r="35" spans="1:12" ht="15.75" thickBot="1" x14ac:dyDescent="0.3">
      <c r="A35" s="154">
        <v>34</v>
      </c>
      <c r="B35" s="484"/>
      <c r="C35" s="179">
        <v>34</v>
      </c>
      <c r="D35" s="182" t="s">
        <v>1377</v>
      </c>
      <c r="E35" s="120" t="s">
        <v>282</v>
      </c>
      <c r="F35" s="121" t="s">
        <v>789</v>
      </c>
      <c r="G35" s="122" t="s">
        <v>1151</v>
      </c>
      <c r="K35" s="473"/>
      <c r="L35" s="218" t="s">
        <v>1769</v>
      </c>
    </row>
    <row r="36" spans="1:12" x14ac:dyDescent="0.25">
      <c r="A36" s="154">
        <v>35</v>
      </c>
      <c r="B36" s="482" t="s">
        <v>848</v>
      </c>
      <c r="C36" s="139">
        <v>1</v>
      </c>
      <c r="D36" s="180" t="s">
        <v>849</v>
      </c>
      <c r="E36" s="118" t="s">
        <v>1106</v>
      </c>
      <c r="F36" s="40" t="s">
        <v>850</v>
      </c>
      <c r="G36" s="5" t="s">
        <v>851</v>
      </c>
      <c r="K36" s="473"/>
      <c r="L36" s="230" t="s">
        <v>1179</v>
      </c>
    </row>
    <row r="37" spans="1:12" x14ac:dyDescent="0.25">
      <c r="A37" s="117">
        <v>37</v>
      </c>
      <c r="B37" s="483"/>
      <c r="C37" s="76">
        <v>2</v>
      </c>
      <c r="D37" s="181" t="s">
        <v>852</v>
      </c>
      <c r="E37" s="119" t="s">
        <v>1094</v>
      </c>
      <c r="F37" s="29" t="s">
        <v>850</v>
      </c>
      <c r="G37" s="4" t="s">
        <v>853</v>
      </c>
      <c r="K37" s="473"/>
      <c r="L37" s="230" t="s">
        <v>960</v>
      </c>
    </row>
    <row r="38" spans="1:12" x14ac:dyDescent="0.25">
      <c r="A38" s="154">
        <v>38</v>
      </c>
      <c r="B38" s="483"/>
      <c r="C38" s="76">
        <v>3</v>
      </c>
      <c r="D38" s="181" t="s">
        <v>854</v>
      </c>
      <c r="E38" s="119" t="s">
        <v>1109</v>
      </c>
      <c r="F38" s="29" t="s">
        <v>850</v>
      </c>
      <c r="G38" s="4" t="s">
        <v>855</v>
      </c>
      <c r="K38" s="473"/>
      <c r="L38" s="230" t="s">
        <v>1182</v>
      </c>
    </row>
    <row r="39" spans="1:12" x14ac:dyDescent="0.25">
      <c r="A39" s="154">
        <v>39</v>
      </c>
      <c r="B39" s="483"/>
      <c r="C39" s="76">
        <v>4</v>
      </c>
      <c r="D39" s="181" t="s">
        <v>1486</v>
      </c>
      <c r="E39" s="119" t="s">
        <v>1096</v>
      </c>
      <c r="F39" s="29" t="s">
        <v>850</v>
      </c>
      <c r="G39" s="4" t="s">
        <v>856</v>
      </c>
      <c r="K39" s="473"/>
      <c r="L39" s="230" t="s">
        <v>1183</v>
      </c>
    </row>
    <row r="40" spans="1:12" x14ac:dyDescent="0.25">
      <c r="A40" s="154">
        <v>40</v>
      </c>
      <c r="B40" s="483"/>
      <c r="C40" s="76">
        <v>5</v>
      </c>
      <c r="D40" s="181" t="s">
        <v>739</v>
      </c>
      <c r="E40" s="119" t="s">
        <v>351</v>
      </c>
      <c r="F40" s="29" t="s">
        <v>850</v>
      </c>
      <c r="G40" s="4" t="s">
        <v>857</v>
      </c>
      <c r="K40" s="473"/>
      <c r="L40" s="230" t="s">
        <v>1184</v>
      </c>
    </row>
    <row r="41" spans="1:12" x14ac:dyDescent="0.25">
      <c r="A41" s="117">
        <v>41</v>
      </c>
      <c r="B41" s="483"/>
      <c r="C41" s="76">
        <v>6</v>
      </c>
      <c r="D41" s="181" t="s">
        <v>858</v>
      </c>
      <c r="E41" s="119" t="s">
        <v>1093</v>
      </c>
      <c r="F41" s="29" t="s">
        <v>850</v>
      </c>
      <c r="G41" s="4" t="s">
        <v>859</v>
      </c>
      <c r="K41" s="473"/>
      <c r="L41" s="230" t="s">
        <v>1185</v>
      </c>
    </row>
    <row r="42" spans="1:12" x14ac:dyDescent="0.25">
      <c r="A42" s="154">
        <v>42</v>
      </c>
      <c r="B42" s="483"/>
      <c r="C42" s="76">
        <v>7</v>
      </c>
      <c r="D42" s="181" t="s">
        <v>860</v>
      </c>
      <c r="E42" s="119" t="s">
        <v>1107</v>
      </c>
      <c r="F42" s="29" t="s">
        <v>850</v>
      </c>
      <c r="G42" s="4" t="s">
        <v>861</v>
      </c>
      <c r="K42" s="473"/>
      <c r="L42" s="230" t="s">
        <v>1186</v>
      </c>
    </row>
    <row r="43" spans="1:12" x14ac:dyDescent="0.25">
      <c r="A43" s="154">
        <v>43</v>
      </c>
      <c r="B43" s="483"/>
      <c r="C43" s="76">
        <v>8</v>
      </c>
      <c r="D43" s="181" t="s">
        <v>862</v>
      </c>
      <c r="E43" s="119" t="s">
        <v>1099</v>
      </c>
      <c r="F43" s="29" t="s">
        <v>850</v>
      </c>
      <c r="G43" s="4" t="s">
        <v>863</v>
      </c>
      <c r="K43" s="473"/>
      <c r="L43" s="230" t="s">
        <v>1187</v>
      </c>
    </row>
    <row r="44" spans="1:12" x14ac:dyDescent="0.25">
      <c r="A44" s="154">
        <v>44</v>
      </c>
      <c r="B44" s="483"/>
      <c r="C44" s="76">
        <v>9</v>
      </c>
      <c r="D44" s="181" t="s">
        <v>864</v>
      </c>
      <c r="E44" s="119" t="s">
        <v>1111</v>
      </c>
      <c r="F44" s="29" t="s">
        <v>850</v>
      </c>
      <c r="G44" s="4" t="s">
        <v>865</v>
      </c>
      <c r="K44" s="473"/>
      <c r="L44" s="230" t="s">
        <v>1188</v>
      </c>
    </row>
    <row r="45" spans="1:12" x14ac:dyDescent="0.25">
      <c r="A45" s="117">
        <v>45</v>
      </c>
      <c r="B45" s="483"/>
      <c r="C45" s="76">
        <v>10</v>
      </c>
      <c r="D45" s="181" t="s">
        <v>866</v>
      </c>
      <c r="E45" s="119" t="s">
        <v>1095</v>
      </c>
      <c r="F45" s="29" t="s">
        <v>850</v>
      </c>
      <c r="G45" s="4" t="s">
        <v>867</v>
      </c>
      <c r="K45" s="473"/>
      <c r="L45" s="230" t="s">
        <v>1189</v>
      </c>
    </row>
    <row r="46" spans="1:12" x14ac:dyDescent="0.25">
      <c r="A46" s="154">
        <v>46</v>
      </c>
      <c r="B46" s="483"/>
      <c r="C46" s="76">
        <v>11</v>
      </c>
      <c r="D46" s="181" t="s">
        <v>644</v>
      </c>
      <c r="E46" s="119" t="s">
        <v>336</v>
      </c>
      <c r="F46" s="29" t="s">
        <v>850</v>
      </c>
      <c r="G46" s="4" t="s">
        <v>868</v>
      </c>
      <c r="K46" s="473"/>
      <c r="L46" s="230" t="s">
        <v>1190</v>
      </c>
    </row>
    <row r="47" spans="1:12" x14ac:dyDescent="0.25">
      <c r="A47" s="154">
        <v>47</v>
      </c>
      <c r="B47" s="483"/>
      <c r="C47" s="76">
        <v>12</v>
      </c>
      <c r="D47" s="181" t="s">
        <v>869</v>
      </c>
      <c r="E47" s="119" t="s">
        <v>312</v>
      </c>
      <c r="F47" s="29" t="s">
        <v>850</v>
      </c>
      <c r="G47" s="4" t="s">
        <v>870</v>
      </c>
      <c r="K47" s="473"/>
      <c r="L47" s="230" t="s">
        <v>1191</v>
      </c>
    </row>
    <row r="48" spans="1:12" x14ac:dyDescent="0.25">
      <c r="A48" s="154">
        <v>48</v>
      </c>
      <c r="B48" s="483"/>
      <c r="C48" s="76">
        <v>13</v>
      </c>
      <c r="D48" s="181" t="s">
        <v>871</v>
      </c>
      <c r="E48" s="119" t="s">
        <v>1105</v>
      </c>
      <c r="F48" s="29" t="s">
        <v>850</v>
      </c>
      <c r="G48" s="4" t="s">
        <v>872</v>
      </c>
      <c r="K48" s="473"/>
      <c r="L48" s="230" t="s">
        <v>1192</v>
      </c>
    </row>
    <row r="49" spans="1:12" ht="15.75" thickBot="1" x14ac:dyDescent="0.3">
      <c r="A49" s="117">
        <v>49</v>
      </c>
      <c r="B49" s="483"/>
      <c r="C49" s="76">
        <v>14</v>
      </c>
      <c r="D49" s="181" t="s">
        <v>873</v>
      </c>
      <c r="E49" s="119" t="s">
        <v>1110</v>
      </c>
      <c r="F49" s="29" t="s">
        <v>850</v>
      </c>
      <c r="G49" s="4" t="s">
        <v>874</v>
      </c>
      <c r="K49" s="474"/>
      <c r="L49" s="231" t="s">
        <v>1489</v>
      </c>
    </row>
    <row r="50" spans="1:12" x14ac:dyDescent="0.25">
      <c r="A50" s="154">
        <v>50</v>
      </c>
      <c r="B50" s="483"/>
      <c r="C50" s="76">
        <v>15</v>
      </c>
      <c r="D50" s="181" t="s">
        <v>1505</v>
      </c>
      <c r="E50" s="119" t="s">
        <v>1097</v>
      </c>
      <c r="F50" s="29" t="s">
        <v>850</v>
      </c>
      <c r="G50" s="4" t="s">
        <v>875</v>
      </c>
      <c r="K50" s="482" t="s">
        <v>978</v>
      </c>
      <c r="L50" s="217" t="s">
        <v>997</v>
      </c>
    </row>
    <row r="51" spans="1:12" x14ac:dyDescent="0.25">
      <c r="A51" s="154">
        <v>51</v>
      </c>
      <c r="B51" s="483"/>
      <c r="C51" s="76">
        <v>16</v>
      </c>
      <c r="D51" s="181" t="s">
        <v>876</v>
      </c>
      <c r="E51" s="119" t="s">
        <v>1108</v>
      </c>
      <c r="F51" s="29" t="s">
        <v>850</v>
      </c>
      <c r="G51" s="4" t="s">
        <v>877</v>
      </c>
      <c r="K51" s="483"/>
      <c r="L51" s="230" t="s">
        <v>1196</v>
      </c>
    </row>
    <row r="52" spans="1:12" x14ac:dyDescent="0.25">
      <c r="A52" s="154">
        <v>52</v>
      </c>
      <c r="B52" s="483"/>
      <c r="C52" s="76">
        <v>17</v>
      </c>
      <c r="D52" s="181" t="s">
        <v>878</v>
      </c>
      <c r="E52" s="119" t="s">
        <v>322</v>
      </c>
      <c r="F52" s="29" t="s">
        <v>850</v>
      </c>
      <c r="G52" s="4" t="s">
        <v>879</v>
      </c>
      <c r="K52" s="483"/>
      <c r="L52" s="230" t="s">
        <v>1197</v>
      </c>
    </row>
    <row r="53" spans="1:12" x14ac:dyDescent="0.25">
      <c r="A53" s="117">
        <v>53</v>
      </c>
      <c r="B53" s="483"/>
      <c r="C53" s="76">
        <v>18</v>
      </c>
      <c r="D53" s="181" t="s">
        <v>880</v>
      </c>
      <c r="E53" s="119" t="s">
        <v>282</v>
      </c>
      <c r="F53" s="29" t="s">
        <v>850</v>
      </c>
      <c r="G53" s="4" t="s">
        <v>881</v>
      </c>
      <c r="K53" s="483"/>
      <c r="L53" s="230" t="s">
        <v>1198</v>
      </c>
    </row>
    <row r="54" spans="1:12" x14ac:dyDescent="0.25">
      <c r="A54" s="154">
        <v>54</v>
      </c>
      <c r="B54" s="483"/>
      <c r="C54" s="76">
        <v>19</v>
      </c>
      <c r="D54" s="181" t="s">
        <v>1384</v>
      </c>
      <c r="E54" s="119" t="s">
        <v>311</v>
      </c>
      <c r="F54" s="29" t="s">
        <v>850</v>
      </c>
      <c r="G54" s="4" t="s">
        <v>882</v>
      </c>
      <c r="K54" s="483"/>
      <c r="L54" s="230" t="s">
        <v>1199</v>
      </c>
    </row>
    <row r="55" spans="1:12" x14ac:dyDescent="0.25">
      <c r="A55" s="154">
        <v>55</v>
      </c>
      <c r="B55" s="483"/>
      <c r="C55" s="76">
        <v>20</v>
      </c>
      <c r="D55" s="181" t="s">
        <v>883</v>
      </c>
      <c r="E55" s="119" t="s">
        <v>291</v>
      </c>
      <c r="F55" s="29" t="s">
        <v>850</v>
      </c>
      <c r="G55" s="4" t="s">
        <v>884</v>
      </c>
      <c r="K55" s="483"/>
      <c r="L55" s="230" t="s">
        <v>1026</v>
      </c>
    </row>
    <row r="56" spans="1:12" x14ac:dyDescent="0.25">
      <c r="A56" s="154">
        <v>56</v>
      </c>
      <c r="B56" s="483"/>
      <c r="C56" s="76">
        <v>21</v>
      </c>
      <c r="D56" s="181" t="s">
        <v>885</v>
      </c>
      <c r="E56" s="119" t="s">
        <v>1101</v>
      </c>
      <c r="F56" s="29" t="s">
        <v>850</v>
      </c>
      <c r="G56" s="4" t="s">
        <v>886</v>
      </c>
      <c r="K56" s="483"/>
      <c r="L56" s="230" t="s">
        <v>1200</v>
      </c>
    </row>
    <row r="57" spans="1:12" x14ac:dyDescent="0.25">
      <c r="A57" s="117">
        <v>57</v>
      </c>
      <c r="B57" s="483"/>
      <c r="C57" s="76">
        <v>22</v>
      </c>
      <c r="D57" s="181" t="s">
        <v>887</v>
      </c>
      <c r="E57" s="119" t="s">
        <v>1100</v>
      </c>
      <c r="F57" s="29" t="s">
        <v>850</v>
      </c>
      <c r="G57" s="4" t="s">
        <v>888</v>
      </c>
      <c r="K57" s="483"/>
      <c r="L57" s="230" t="s">
        <v>1201</v>
      </c>
    </row>
    <row r="58" spans="1:12" x14ac:dyDescent="0.25">
      <c r="A58" s="154">
        <v>58</v>
      </c>
      <c r="B58" s="483"/>
      <c r="C58" s="76">
        <v>23</v>
      </c>
      <c r="D58" s="181" t="s">
        <v>699</v>
      </c>
      <c r="E58" s="119" t="s">
        <v>344</v>
      </c>
      <c r="F58" s="29" t="s">
        <v>850</v>
      </c>
      <c r="G58" s="4" t="s">
        <v>889</v>
      </c>
      <c r="K58" s="483"/>
      <c r="L58" s="230" t="s">
        <v>1202</v>
      </c>
    </row>
    <row r="59" spans="1:12" x14ac:dyDescent="0.25">
      <c r="A59" s="154">
        <v>59</v>
      </c>
      <c r="B59" s="483"/>
      <c r="C59" s="76">
        <v>24</v>
      </c>
      <c r="D59" s="181" t="s">
        <v>890</v>
      </c>
      <c r="E59" s="119" t="s">
        <v>348</v>
      </c>
      <c r="F59" s="29" t="s">
        <v>850</v>
      </c>
      <c r="G59" s="4" t="s">
        <v>891</v>
      </c>
      <c r="K59" s="483"/>
      <c r="L59" s="230" t="s">
        <v>1203</v>
      </c>
    </row>
    <row r="60" spans="1:12" x14ac:dyDescent="0.25">
      <c r="A60" s="154">
        <v>60</v>
      </c>
      <c r="B60" s="483"/>
      <c r="C60" s="76">
        <v>25</v>
      </c>
      <c r="D60" s="181" t="s">
        <v>892</v>
      </c>
      <c r="E60" s="119" t="s">
        <v>1104</v>
      </c>
      <c r="F60" s="29" t="s">
        <v>850</v>
      </c>
      <c r="G60" s="4" t="s">
        <v>893</v>
      </c>
      <c r="K60" s="483"/>
      <c r="L60" s="230" t="s">
        <v>1204</v>
      </c>
    </row>
    <row r="61" spans="1:12" x14ac:dyDescent="0.25">
      <c r="A61" s="117">
        <v>61</v>
      </c>
      <c r="B61" s="483"/>
      <c r="C61" s="76">
        <v>26</v>
      </c>
      <c r="D61" s="181" t="s">
        <v>894</v>
      </c>
      <c r="E61" s="119" t="s">
        <v>1103</v>
      </c>
      <c r="F61" s="29" t="s">
        <v>850</v>
      </c>
      <c r="G61" s="4" t="s">
        <v>895</v>
      </c>
      <c r="K61" s="483"/>
      <c r="L61" s="230" t="s">
        <v>1205</v>
      </c>
    </row>
    <row r="62" spans="1:12" x14ac:dyDescent="0.25">
      <c r="A62" s="154">
        <v>62</v>
      </c>
      <c r="B62" s="483"/>
      <c r="C62" s="76">
        <v>27</v>
      </c>
      <c r="D62" s="181" t="s">
        <v>896</v>
      </c>
      <c r="E62" s="119" t="s">
        <v>353</v>
      </c>
      <c r="F62" s="29" t="s">
        <v>850</v>
      </c>
      <c r="G62" s="4" t="s">
        <v>897</v>
      </c>
      <c r="K62" s="483"/>
      <c r="L62" s="230" t="s">
        <v>1206</v>
      </c>
    </row>
    <row r="63" spans="1:12" ht="15.75" thickBot="1" x14ac:dyDescent="0.3">
      <c r="A63" s="154">
        <v>63</v>
      </c>
      <c r="B63" s="483"/>
      <c r="C63" s="76">
        <v>28</v>
      </c>
      <c r="D63" s="181" t="s">
        <v>898</v>
      </c>
      <c r="E63" s="119" t="s">
        <v>300</v>
      </c>
      <c r="F63" s="29" t="s">
        <v>850</v>
      </c>
      <c r="G63" s="4" t="s">
        <v>899</v>
      </c>
      <c r="K63" s="483"/>
      <c r="L63" s="231" t="s">
        <v>1207</v>
      </c>
    </row>
    <row r="64" spans="1:12" ht="15.75" thickBot="1" x14ac:dyDescent="0.3">
      <c r="A64" s="154">
        <v>64</v>
      </c>
      <c r="B64" s="483"/>
      <c r="C64" s="76">
        <v>29</v>
      </c>
      <c r="D64" s="181" t="s">
        <v>900</v>
      </c>
      <c r="E64" s="119" t="s">
        <v>1102</v>
      </c>
      <c r="F64" s="29" t="s">
        <v>850</v>
      </c>
      <c r="G64" s="4" t="s">
        <v>901</v>
      </c>
      <c r="K64" s="484"/>
      <c r="L64" s="232" t="s">
        <v>1208</v>
      </c>
    </row>
    <row r="65" spans="1:12" x14ac:dyDescent="0.25">
      <c r="A65" s="117">
        <v>65</v>
      </c>
      <c r="B65" s="483"/>
      <c r="C65" s="76">
        <v>30</v>
      </c>
      <c r="D65" s="181" t="s">
        <v>1488</v>
      </c>
      <c r="E65" s="119" t="s">
        <v>302</v>
      </c>
      <c r="F65" s="29" t="s">
        <v>850</v>
      </c>
      <c r="G65" s="4" t="s">
        <v>902</v>
      </c>
      <c r="K65" s="482" t="s">
        <v>1033</v>
      </c>
      <c r="L65" s="230" t="s">
        <v>1210</v>
      </c>
    </row>
    <row r="66" spans="1:12" ht="15.75" thickBot="1" x14ac:dyDescent="0.3">
      <c r="A66" s="154">
        <v>66</v>
      </c>
      <c r="B66" s="483"/>
      <c r="C66" s="76">
        <v>31</v>
      </c>
      <c r="D66" s="181" t="s">
        <v>904</v>
      </c>
      <c r="E66" s="119" t="s">
        <v>336</v>
      </c>
      <c r="F66" s="29" t="s">
        <v>850</v>
      </c>
      <c r="G66" s="4" t="s">
        <v>905</v>
      </c>
      <c r="K66" s="484"/>
      <c r="L66" s="231" t="s">
        <v>1211</v>
      </c>
    </row>
    <row r="67" spans="1:12" x14ac:dyDescent="0.25">
      <c r="A67" s="154">
        <v>67</v>
      </c>
      <c r="B67" s="483"/>
      <c r="C67" s="76">
        <v>32</v>
      </c>
      <c r="D67" s="181" t="s">
        <v>1098</v>
      </c>
      <c r="E67" s="119" t="s">
        <v>282</v>
      </c>
      <c r="F67" s="29" t="s">
        <v>850</v>
      </c>
      <c r="G67" s="4" t="s">
        <v>906</v>
      </c>
      <c r="K67" s="472" t="s">
        <v>1047</v>
      </c>
      <c r="L67" s="232" t="s">
        <v>1212</v>
      </c>
    </row>
    <row r="68" spans="1:12" ht="15.75" thickBot="1" x14ac:dyDescent="0.3">
      <c r="A68" s="154">
        <v>68</v>
      </c>
      <c r="B68" s="483"/>
      <c r="C68" s="76">
        <v>33</v>
      </c>
      <c r="D68" s="181" t="s">
        <v>1380</v>
      </c>
      <c r="E68" s="119" t="s">
        <v>375</v>
      </c>
      <c r="F68" s="29" t="s">
        <v>850</v>
      </c>
      <c r="G68" s="4" t="s">
        <v>908</v>
      </c>
      <c r="K68" s="474"/>
      <c r="L68" s="231" t="s">
        <v>1213</v>
      </c>
    </row>
    <row r="69" spans="1:12" x14ac:dyDescent="0.25">
      <c r="A69" s="117">
        <v>69</v>
      </c>
      <c r="B69" s="483"/>
      <c r="C69" s="76">
        <v>34</v>
      </c>
      <c r="D69" s="181" t="s">
        <v>909</v>
      </c>
      <c r="E69" s="119" t="s">
        <v>336</v>
      </c>
      <c r="F69" s="29" t="s">
        <v>850</v>
      </c>
      <c r="G69" s="4" t="s">
        <v>910</v>
      </c>
      <c r="K69" s="481" t="s">
        <v>1064</v>
      </c>
      <c r="L69" s="234" t="s">
        <v>1216</v>
      </c>
    </row>
    <row r="70" spans="1:12" ht="15.75" thickBot="1" x14ac:dyDescent="0.3">
      <c r="A70" s="154">
        <v>70</v>
      </c>
      <c r="B70" s="483"/>
      <c r="C70" s="76">
        <v>35</v>
      </c>
      <c r="D70" s="182" t="s">
        <v>1487</v>
      </c>
      <c r="E70" s="120" t="s">
        <v>1147</v>
      </c>
      <c r="F70" s="121" t="s">
        <v>850</v>
      </c>
      <c r="G70" s="122" t="s">
        <v>1176</v>
      </c>
      <c r="K70" s="474"/>
      <c r="L70" s="231" t="s">
        <v>1217</v>
      </c>
    </row>
    <row r="71" spans="1:12" ht="15.75" thickBot="1" x14ac:dyDescent="0.3">
      <c r="A71" s="117">
        <v>71</v>
      </c>
      <c r="B71" s="484"/>
      <c r="C71" s="76">
        <v>36</v>
      </c>
      <c r="D71" s="183" t="s">
        <v>911</v>
      </c>
      <c r="E71" s="123" t="s">
        <v>340</v>
      </c>
      <c r="F71" s="33" t="s">
        <v>850</v>
      </c>
      <c r="G71" s="6" t="s">
        <v>912</v>
      </c>
    </row>
    <row r="72" spans="1:12" x14ac:dyDescent="0.25">
      <c r="A72" s="154">
        <v>71</v>
      </c>
      <c r="B72" s="472" t="s">
        <v>913</v>
      </c>
      <c r="C72" s="139">
        <v>1</v>
      </c>
      <c r="D72" s="180" t="s">
        <v>914</v>
      </c>
      <c r="E72" s="118" t="s">
        <v>341</v>
      </c>
      <c r="F72" s="40" t="s">
        <v>915</v>
      </c>
      <c r="G72" s="5" t="s">
        <v>916</v>
      </c>
    </row>
    <row r="73" spans="1:12" x14ac:dyDescent="0.25">
      <c r="A73" s="154">
        <v>72</v>
      </c>
      <c r="B73" s="473"/>
      <c r="C73" s="76">
        <v>2</v>
      </c>
      <c r="D73" s="181" t="s">
        <v>917</v>
      </c>
      <c r="E73" s="119" t="s">
        <v>291</v>
      </c>
      <c r="F73" s="29" t="s">
        <v>915</v>
      </c>
      <c r="G73" s="60" t="s">
        <v>918</v>
      </c>
    </row>
    <row r="74" spans="1:12" x14ac:dyDescent="0.25">
      <c r="A74" s="117">
        <v>73</v>
      </c>
      <c r="B74" s="473"/>
      <c r="C74" s="76">
        <v>3</v>
      </c>
      <c r="D74" s="181" t="s">
        <v>919</v>
      </c>
      <c r="E74" s="119" t="s">
        <v>335</v>
      </c>
      <c r="F74" s="29" t="s">
        <v>915</v>
      </c>
      <c r="G74" s="4" t="s">
        <v>920</v>
      </c>
    </row>
    <row r="75" spans="1:12" x14ac:dyDescent="0.25">
      <c r="A75" s="154">
        <v>74</v>
      </c>
      <c r="B75" s="473"/>
      <c r="C75" s="76">
        <v>4</v>
      </c>
      <c r="D75" s="181" t="s">
        <v>921</v>
      </c>
      <c r="E75" s="119" t="s">
        <v>1122</v>
      </c>
      <c r="F75" s="29" t="s">
        <v>915</v>
      </c>
      <c r="G75" s="4" t="s">
        <v>922</v>
      </c>
    </row>
    <row r="76" spans="1:12" x14ac:dyDescent="0.25">
      <c r="A76" s="154">
        <v>75</v>
      </c>
      <c r="B76" s="473"/>
      <c r="C76" s="76">
        <v>5</v>
      </c>
      <c r="D76" s="181" t="s">
        <v>923</v>
      </c>
      <c r="E76" s="119" t="s">
        <v>1125</v>
      </c>
      <c r="F76" s="29" t="s">
        <v>915</v>
      </c>
      <c r="G76" s="4" t="s">
        <v>924</v>
      </c>
    </row>
    <row r="77" spans="1:12" x14ac:dyDescent="0.25">
      <c r="A77" s="154">
        <v>76</v>
      </c>
      <c r="B77" s="473"/>
      <c r="C77" s="76">
        <v>6</v>
      </c>
      <c r="D77" s="181" t="s">
        <v>1115</v>
      </c>
      <c r="E77" s="119" t="s">
        <v>1116</v>
      </c>
      <c r="F77" s="29" t="s">
        <v>915</v>
      </c>
      <c r="G77" s="4" t="s">
        <v>925</v>
      </c>
    </row>
    <row r="78" spans="1:12" x14ac:dyDescent="0.25">
      <c r="A78" s="117"/>
      <c r="B78" s="473"/>
      <c r="C78" s="76">
        <v>7</v>
      </c>
      <c r="D78" s="181" t="s">
        <v>1773</v>
      </c>
      <c r="E78" s="119" t="s">
        <v>1100</v>
      </c>
      <c r="F78" s="29" t="s">
        <v>915</v>
      </c>
      <c r="G78" s="4" t="s">
        <v>926</v>
      </c>
    </row>
    <row r="79" spans="1:12" x14ac:dyDescent="0.25">
      <c r="A79" s="117">
        <v>77</v>
      </c>
      <c r="B79" s="473"/>
      <c r="C79" s="76">
        <v>8</v>
      </c>
      <c r="D79" s="181" t="s">
        <v>927</v>
      </c>
      <c r="E79" s="119" t="s">
        <v>1113</v>
      </c>
      <c r="F79" s="29" t="s">
        <v>915</v>
      </c>
      <c r="G79" s="60" t="s">
        <v>928</v>
      </c>
    </row>
    <row r="80" spans="1:12" x14ac:dyDescent="0.25">
      <c r="A80" s="215">
        <v>78</v>
      </c>
      <c r="B80" s="473"/>
      <c r="C80" s="76">
        <v>9</v>
      </c>
      <c r="D80" s="181" t="s">
        <v>929</v>
      </c>
      <c r="E80" s="119" t="s">
        <v>1112</v>
      </c>
      <c r="F80" s="29" t="s">
        <v>915</v>
      </c>
      <c r="G80" s="60" t="s">
        <v>930</v>
      </c>
    </row>
    <row r="81" spans="1:7" x14ac:dyDescent="0.25">
      <c r="A81" s="215">
        <v>79</v>
      </c>
      <c r="B81" s="473"/>
      <c r="C81" s="76">
        <v>10</v>
      </c>
      <c r="D81" s="181" t="s">
        <v>426</v>
      </c>
      <c r="E81" s="119" t="s">
        <v>289</v>
      </c>
      <c r="F81" s="29" t="s">
        <v>915</v>
      </c>
      <c r="G81" s="60" t="s">
        <v>1178</v>
      </c>
    </row>
    <row r="82" spans="1:7" x14ac:dyDescent="0.25">
      <c r="A82" s="117">
        <v>80</v>
      </c>
      <c r="B82" s="473"/>
      <c r="C82" s="76">
        <v>11</v>
      </c>
      <c r="D82" s="181" t="s">
        <v>931</v>
      </c>
      <c r="E82" s="119" t="s">
        <v>352</v>
      </c>
      <c r="F82" s="29" t="s">
        <v>915</v>
      </c>
      <c r="G82" s="60" t="s">
        <v>932</v>
      </c>
    </row>
    <row r="83" spans="1:7" x14ac:dyDescent="0.25">
      <c r="A83" s="215">
        <v>81</v>
      </c>
      <c r="B83" s="473"/>
      <c r="C83" s="76">
        <v>12</v>
      </c>
      <c r="D83" s="181" t="s">
        <v>933</v>
      </c>
      <c r="E83" s="119" t="s">
        <v>335</v>
      </c>
      <c r="F83" s="29" t="s">
        <v>915</v>
      </c>
      <c r="G83" s="60" t="s">
        <v>934</v>
      </c>
    </row>
    <row r="84" spans="1:7" x14ac:dyDescent="0.25">
      <c r="A84" s="215">
        <v>82</v>
      </c>
      <c r="B84" s="473"/>
      <c r="C84" s="76">
        <v>13</v>
      </c>
      <c r="D84" s="181" t="s">
        <v>935</v>
      </c>
      <c r="E84" s="119" t="s">
        <v>1120</v>
      </c>
      <c r="F84" s="29" t="s">
        <v>915</v>
      </c>
      <c r="G84" s="60" t="s">
        <v>936</v>
      </c>
    </row>
    <row r="85" spans="1:7" x14ac:dyDescent="0.25">
      <c r="A85" s="117">
        <v>83</v>
      </c>
      <c r="B85" s="473"/>
      <c r="C85" s="76">
        <v>14</v>
      </c>
      <c r="D85" s="181" t="s">
        <v>937</v>
      </c>
      <c r="E85" s="119" t="s">
        <v>334</v>
      </c>
      <c r="F85" s="29" t="s">
        <v>915</v>
      </c>
      <c r="G85" s="60" t="s">
        <v>938</v>
      </c>
    </row>
    <row r="86" spans="1:7" x14ac:dyDescent="0.25">
      <c r="A86" s="215">
        <v>84</v>
      </c>
      <c r="B86" s="473"/>
      <c r="C86" s="76">
        <v>15</v>
      </c>
      <c r="D86" s="181" t="s">
        <v>939</v>
      </c>
      <c r="E86" s="119" t="s">
        <v>1124</v>
      </c>
      <c r="F86" s="29" t="s">
        <v>915</v>
      </c>
      <c r="G86" s="60" t="s">
        <v>940</v>
      </c>
    </row>
    <row r="87" spans="1:7" x14ac:dyDescent="0.25">
      <c r="A87" s="215">
        <v>85</v>
      </c>
      <c r="B87" s="473"/>
      <c r="C87" s="76">
        <v>16</v>
      </c>
      <c r="D87" s="181" t="s">
        <v>941</v>
      </c>
      <c r="E87" s="119" t="s">
        <v>353</v>
      </c>
      <c r="F87" s="29" t="s">
        <v>915</v>
      </c>
      <c r="G87" s="60" t="s">
        <v>942</v>
      </c>
    </row>
    <row r="88" spans="1:7" x14ac:dyDescent="0.25">
      <c r="A88" s="117">
        <v>86</v>
      </c>
      <c r="B88" s="473"/>
      <c r="C88" s="76">
        <v>17</v>
      </c>
      <c r="D88" s="181" t="s">
        <v>943</v>
      </c>
      <c r="E88" s="119" t="s">
        <v>1117</v>
      </c>
      <c r="F88" s="29" t="s">
        <v>915</v>
      </c>
      <c r="G88" s="60" t="s">
        <v>944</v>
      </c>
    </row>
    <row r="89" spans="1:7" x14ac:dyDescent="0.25">
      <c r="A89" s="215">
        <v>87</v>
      </c>
      <c r="B89" s="473"/>
      <c r="C89" s="76">
        <v>18</v>
      </c>
      <c r="D89" s="181" t="s">
        <v>945</v>
      </c>
      <c r="E89" s="119" t="s">
        <v>1114</v>
      </c>
      <c r="F89" s="29" t="s">
        <v>915</v>
      </c>
      <c r="G89" s="60" t="s">
        <v>946</v>
      </c>
    </row>
    <row r="90" spans="1:7" x14ac:dyDescent="0.25">
      <c r="A90" s="215">
        <v>88</v>
      </c>
      <c r="B90" s="473"/>
      <c r="C90" s="76">
        <v>19</v>
      </c>
      <c r="D90" s="181" t="s">
        <v>947</v>
      </c>
      <c r="E90" s="119" t="s">
        <v>1128</v>
      </c>
      <c r="F90" s="29" t="s">
        <v>915</v>
      </c>
      <c r="G90" s="60" t="s">
        <v>948</v>
      </c>
    </row>
    <row r="91" spans="1:7" x14ac:dyDescent="0.25">
      <c r="A91" s="117">
        <v>89</v>
      </c>
      <c r="B91" s="473"/>
      <c r="C91" s="76">
        <v>20</v>
      </c>
      <c r="D91" s="181" t="s">
        <v>949</v>
      </c>
      <c r="E91" s="119" t="s">
        <v>345</v>
      </c>
      <c r="F91" s="29" t="s">
        <v>915</v>
      </c>
      <c r="G91" s="60" t="s">
        <v>950</v>
      </c>
    </row>
    <row r="92" spans="1:7" x14ac:dyDescent="0.25">
      <c r="A92" s="215">
        <v>90</v>
      </c>
      <c r="B92" s="473"/>
      <c r="C92" s="76">
        <v>21</v>
      </c>
      <c r="D92" s="181" t="s">
        <v>951</v>
      </c>
      <c r="E92" s="119" t="s">
        <v>1119</v>
      </c>
      <c r="F92" s="29" t="s">
        <v>915</v>
      </c>
      <c r="G92" s="60" t="s">
        <v>952</v>
      </c>
    </row>
    <row r="93" spans="1:7" x14ac:dyDescent="0.25">
      <c r="A93" s="215">
        <v>91</v>
      </c>
      <c r="B93" s="473"/>
      <c r="C93" s="76">
        <v>22</v>
      </c>
      <c r="D93" s="181" t="s">
        <v>953</v>
      </c>
      <c r="E93" s="119" t="s">
        <v>352</v>
      </c>
      <c r="F93" s="29" t="s">
        <v>915</v>
      </c>
      <c r="G93" s="60" t="s">
        <v>954</v>
      </c>
    </row>
    <row r="94" spans="1:7" x14ac:dyDescent="0.25">
      <c r="A94" s="117">
        <v>92</v>
      </c>
      <c r="B94" s="473"/>
      <c r="C94" s="76">
        <v>23</v>
      </c>
      <c r="D94" s="181" t="s">
        <v>1774</v>
      </c>
      <c r="E94" s="119" t="s">
        <v>1100</v>
      </c>
      <c r="F94" s="29" t="s">
        <v>915</v>
      </c>
      <c r="G94" s="60" t="s">
        <v>955</v>
      </c>
    </row>
    <row r="95" spans="1:7" x14ac:dyDescent="0.25">
      <c r="A95" s="215">
        <v>93</v>
      </c>
      <c r="B95" s="473"/>
      <c r="C95" s="76">
        <v>24</v>
      </c>
      <c r="D95" s="181" t="s">
        <v>956</v>
      </c>
      <c r="E95" s="119" t="s">
        <v>348</v>
      </c>
      <c r="F95" s="29" t="s">
        <v>915</v>
      </c>
      <c r="G95" s="60" t="s">
        <v>957</v>
      </c>
    </row>
    <row r="96" spans="1:7" x14ac:dyDescent="0.25">
      <c r="A96" s="215">
        <v>94</v>
      </c>
      <c r="B96" s="473"/>
      <c r="C96" s="76">
        <v>25</v>
      </c>
      <c r="D96" s="181" t="s">
        <v>958</v>
      </c>
      <c r="E96" s="119" t="s">
        <v>1121</v>
      </c>
      <c r="F96" s="29" t="s">
        <v>915</v>
      </c>
      <c r="G96" s="60" t="s">
        <v>959</v>
      </c>
    </row>
    <row r="97" spans="1:7" x14ac:dyDescent="0.25">
      <c r="A97" s="117">
        <v>95</v>
      </c>
      <c r="B97" s="473"/>
      <c r="C97" s="76">
        <v>26</v>
      </c>
      <c r="D97" s="181" t="s">
        <v>961</v>
      </c>
      <c r="E97" s="119" t="s">
        <v>1118</v>
      </c>
      <c r="F97" s="29" t="s">
        <v>915</v>
      </c>
      <c r="G97" s="60" t="s">
        <v>962</v>
      </c>
    </row>
    <row r="98" spans="1:7" x14ac:dyDescent="0.25">
      <c r="A98" s="215">
        <v>96</v>
      </c>
      <c r="B98" s="473"/>
      <c r="C98" s="76">
        <v>27</v>
      </c>
      <c r="D98" s="181" t="s">
        <v>963</v>
      </c>
      <c r="E98" s="119" t="s">
        <v>1126</v>
      </c>
      <c r="F98" s="29" t="s">
        <v>915</v>
      </c>
      <c r="G98" s="60" t="s">
        <v>964</v>
      </c>
    </row>
    <row r="99" spans="1:7" ht="15.75" thickBot="1" x14ac:dyDescent="0.3">
      <c r="A99" s="215">
        <v>97</v>
      </c>
      <c r="B99" s="473"/>
      <c r="C99" s="76">
        <v>28</v>
      </c>
      <c r="D99" s="183" t="s">
        <v>529</v>
      </c>
      <c r="E99" s="138" t="s">
        <v>1223</v>
      </c>
      <c r="F99" s="33" t="s">
        <v>915</v>
      </c>
      <c r="G99" s="60" t="s">
        <v>1180</v>
      </c>
    </row>
    <row r="100" spans="1:7" x14ac:dyDescent="0.25">
      <c r="A100" s="117">
        <v>98</v>
      </c>
      <c r="B100" s="473"/>
      <c r="C100" s="76">
        <v>29</v>
      </c>
      <c r="D100" s="181" t="s">
        <v>965</v>
      </c>
      <c r="E100" s="119" t="s">
        <v>1123</v>
      </c>
      <c r="F100" s="29" t="s">
        <v>915</v>
      </c>
      <c r="G100" s="60" t="s">
        <v>966</v>
      </c>
    </row>
    <row r="101" spans="1:7" x14ac:dyDescent="0.25">
      <c r="A101" s="215">
        <v>99</v>
      </c>
      <c r="B101" s="473"/>
      <c r="C101" s="76">
        <v>30</v>
      </c>
      <c r="D101" s="181" t="s">
        <v>1485</v>
      </c>
      <c r="E101" s="119" t="s">
        <v>294</v>
      </c>
      <c r="F101" s="29" t="s">
        <v>915</v>
      </c>
      <c r="G101" s="60" t="s">
        <v>967</v>
      </c>
    </row>
    <row r="102" spans="1:7" x14ac:dyDescent="0.25">
      <c r="A102" s="215">
        <v>100</v>
      </c>
      <c r="B102" s="473"/>
      <c r="C102" s="76">
        <v>31</v>
      </c>
      <c r="D102" s="181" t="s">
        <v>968</v>
      </c>
      <c r="E102" s="119" t="s">
        <v>302</v>
      </c>
      <c r="F102" s="29" t="s">
        <v>915</v>
      </c>
      <c r="G102" s="4" t="s">
        <v>969</v>
      </c>
    </row>
    <row r="103" spans="1:7" x14ac:dyDescent="0.25">
      <c r="A103" s="117">
        <v>101</v>
      </c>
      <c r="B103" s="473"/>
      <c r="C103" s="76">
        <v>32</v>
      </c>
      <c r="D103" s="181" t="s">
        <v>1244</v>
      </c>
      <c r="E103" s="119" t="s">
        <v>1223</v>
      </c>
      <c r="F103" s="29" t="s">
        <v>915</v>
      </c>
      <c r="G103" s="4" t="s">
        <v>1181</v>
      </c>
    </row>
    <row r="104" spans="1:7" x14ac:dyDescent="0.25">
      <c r="A104" s="215">
        <v>102</v>
      </c>
      <c r="B104" s="473"/>
      <c r="C104" s="76">
        <v>33</v>
      </c>
      <c r="D104" s="181" t="s">
        <v>970</v>
      </c>
      <c r="E104" s="119" t="s">
        <v>322</v>
      </c>
      <c r="F104" s="29" t="s">
        <v>915</v>
      </c>
      <c r="G104" s="60" t="s">
        <v>971</v>
      </c>
    </row>
    <row r="105" spans="1:7" x14ac:dyDescent="0.25">
      <c r="A105" s="215">
        <v>103</v>
      </c>
      <c r="B105" s="473"/>
      <c r="C105" s="76">
        <v>34</v>
      </c>
      <c r="D105" s="181" t="s">
        <v>972</v>
      </c>
      <c r="E105" s="119" t="s">
        <v>353</v>
      </c>
      <c r="F105" s="29" t="s">
        <v>915</v>
      </c>
      <c r="G105" s="60" t="s">
        <v>973</v>
      </c>
    </row>
    <row r="106" spans="1:7" ht="15.75" thickBot="1" x14ac:dyDescent="0.3">
      <c r="A106" s="117">
        <v>104</v>
      </c>
      <c r="B106" s="474"/>
      <c r="C106" s="76">
        <v>35</v>
      </c>
      <c r="D106" s="183" t="s">
        <v>974</v>
      </c>
      <c r="E106" s="123" t="s">
        <v>1127</v>
      </c>
      <c r="F106" s="33" t="s">
        <v>915</v>
      </c>
      <c r="G106" s="93" t="s">
        <v>975</v>
      </c>
    </row>
    <row r="107" spans="1:7" x14ac:dyDescent="0.25">
      <c r="A107" s="215">
        <v>105</v>
      </c>
      <c r="B107" s="475" t="s">
        <v>976</v>
      </c>
      <c r="C107" s="35">
        <v>1</v>
      </c>
      <c r="D107" s="180" t="s">
        <v>977</v>
      </c>
      <c r="E107" s="118" t="s">
        <v>1144</v>
      </c>
      <c r="F107" s="40" t="s">
        <v>978</v>
      </c>
      <c r="G107" s="124" t="s">
        <v>979</v>
      </c>
    </row>
    <row r="108" spans="1:7" x14ac:dyDescent="0.25">
      <c r="A108" s="215">
        <v>106</v>
      </c>
      <c r="B108" s="476"/>
      <c r="C108" s="75">
        <v>2</v>
      </c>
      <c r="D108" s="181" t="s">
        <v>980</v>
      </c>
      <c r="E108" s="119" t="s">
        <v>334</v>
      </c>
      <c r="F108" s="29" t="s">
        <v>978</v>
      </c>
      <c r="G108" s="60" t="s">
        <v>981</v>
      </c>
    </row>
    <row r="109" spans="1:7" x14ac:dyDescent="0.25">
      <c r="A109" s="117">
        <v>107</v>
      </c>
      <c r="B109" s="476"/>
      <c r="C109" s="75">
        <v>3</v>
      </c>
      <c r="D109" s="181" t="s">
        <v>982</v>
      </c>
      <c r="E109" s="119" t="s">
        <v>297</v>
      </c>
      <c r="F109" s="29" t="s">
        <v>978</v>
      </c>
      <c r="G109" s="60" t="s">
        <v>983</v>
      </c>
    </row>
    <row r="110" spans="1:7" x14ac:dyDescent="0.25">
      <c r="A110" s="215">
        <v>108</v>
      </c>
      <c r="B110" s="476"/>
      <c r="C110" s="147">
        <v>4</v>
      </c>
      <c r="D110" s="181" t="s">
        <v>984</v>
      </c>
      <c r="E110" s="119" t="s">
        <v>1143</v>
      </c>
      <c r="F110" s="29" t="s">
        <v>978</v>
      </c>
      <c r="G110" s="60" t="s">
        <v>985</v>
      </c>
    </row>
    <row r="111" spans="1:7" x14ac:dyDescent="0.25">
      <c r="A111" s="215">
        <v>109</v>
      </c>
      <c r="B111" s="476"/>
      <c r="C111" s="147">
        <v>5</v>
      </c>
      <c r="D111" s="181" t="s">
        <v>986</v>
      </c>
      <c r="E111" s="119" t="s">
        <v>1138</v>
      </c>
      <c r="F111" s="29" t="s">
        <v>978</v>
      </c>
      <c r="G111" s="60" t="s">
        <v>987</v>
      </c>
    </row>
    <row r="112" spans="1:7" x14ac:dyDescent="0.25">
      <c r="A112" s="117">
        <v>110</v>
      </c>
      <c r="B112" s="476"/>
      <c r="C112" s="147">
        <v>6</v>
      </c>
      <c r="D112" s="181" t="s">
        <v>990</v>
      </c>
      <c r="E112" s="119" t="s">
        <v>352</v>
      </c>
      <c r="F112" s="29" t="s">
        <v>978</v>
      </c>
      <c r="G112" s="60" t="s">
        <v>991</v>
      </c>
    </row>
    <row r="113" spans="1:7" x14ac:dyDescent="0.25">
      <c r="A113" s="215">
        <v>111</v>
      </c>
      <c r="B113" s="476"/>
      <c r="C113" s="147">
        <v>7</v>
      </c>
      <c r="D113" s="181" t="s">
        <v>1462</v>
      </c>
      <c r="E113" s="119" t="s">
        <v>333</v>
      </c>
      <c r="F113" s="29" t="s">
        <v>978</v>
      </c>
      <c r="G113" s="60" t="s">
        <v>992</v>
      </c>
    </row>
    <row r="114" spans="1:7" x14ac:dyDescent="0.25">
      <c r="A114" s="215">
        <v>112</v>
      </c>
      <c r="B114" s="476"/>
      <c r="C114" s="147">
        <v>8</v>
      </c>
      <c r="D114" s="181" t="s">
        <v>993</v>
      </c>
      <c r="E114" s="119" t="s">
        <v>1134</v>
      </c>
      <c r="F114" s="29" t="s">
        <v>978</v>
      </c>
      <c r="G114" s="60" t="s">
        <v>994</v>
      </c>
    </row>
    <row r="115" spans="1:7" x14ac:dyDescent="0.25">
      <c r="A115" s="117">
        <v>113</v>
      </c>
      <c r="B115" s="476"/>
      <c r="C115" s="147">
        <v>9</v>
      </c>
      <c r="D115" s="181" t="s">
        <v>1678</v>
      </c>
      <c r="E115" s="119" t="s">
        <v>378</v>
      </c>
      <c r="F115" s="29" t="s">
        <v>978</v>
      </c>
      <c r="G115" s="60" t="s">
        <v>995</v>
      </c>
    </row>
    <row r="116" spans="1:7" x14ac:dyDescent="0.25">
      <c r="A116" s="215">
        <v>114</v>
      </c>
      <c r="B116" s="476"/>
      <c r="C116" s="147">
        <v>10</v>
      </c>
      <c r="D116" s="181" t="s">
        <v>1387</v>
      </c>
      <c r="E116" s="119" t="s">
        <v>305</v>
      </c>
      <c r="F116" s="29" t="s">
        <v>978</v>
      </c>
      <c r="G116" s="60" t="s">
        <v>996</v>
      </c>
    </row>
    <row r="117" spans="1:7" x14ac:dyDescent="0.25">
      <c r="A117" s="215">
        <v>115</v>
      </c>
      <c r="B117" s="476"/>
      <c r="C117" s="147">
        <v>11</v>
      </c>
      <c r="D117" s="181" t="s">
        <v>1220</v>
      </c>
      <c r="E117" s="119" t="s">
        <v>309</v>
      </c>
      <c r="F117" s="29" t="s">
        <v>978</v>
      </c>
      <c r="G117" s="60" t="s">
        <v>1221</v>
      </c>
    </row>
    <row r="118" spans="1:7" x14ac:dyDescent="0.25">
      <c r="A118" s="215">
        <v>117</v>
      </c>
      <c r="B118" s="476"/>
      <c r="C118" s="147">
        <v>13</v>
      </c>
      <c r="D118" s="181" t="s">
        <v>1649</v>
      </c>
      <c r="E118" s="119" t="s">
        <v>306</v>
      </c>
      <c r="F118" s="29" t="s">
        <v>978</v>
      </c>
      <c r="G118" s="60" t="s">
        <v>1193</v>
      </c>
    </row>
    <row r="119" spans="1:7" x14ac:dyDescent="0.25">
      <c r="A119" s="215">
        <v>118</v>
      </c>
      <c r="B119" s="476"/>
      <c r="C119" s="147">
        <v>14</v>
      </c>
      <c r="D119" s="181" t="s">
        <v>1376</v>
      </c>
      <c r="E119" s="119" t="s">
        <v>324</v>
      </c>
      <c r="F119" s="29" t="s">
        <v>978</v>
      </c>
      <c r="G119" s="60" t="s">
        <v>1194</v>
      </c>
    </row>
    <row r="120" spans="1:7" x14ac:dyDescent="0.25">
      <c r="A120" s="117">
        <v>119</v>
      </c>
      <c r="B120" s="476"/>
      <c r="C120" s="147">
        <v>15</v>
      </c>
      <c r="D120" s="181" t="s">
        <v>999</v>
      </c>
      <c r="E120" s="119" t="s">
        <v>342</v>
      </c>
      <c r="F120" s="29" t="s">
        <v>978</v>
      </c>
      <c r="G120" s="60" t="s">
        <v>1000</v>
      </c>
    </row>
    <row r="121" spans="1:7" x14ac:dyDescent="0.25">
      <c r="A121" s="215">
        <v>120</v>
      </c>
      <c r="B121" s="476"/>
      <c r="C121" s="147">
        <v>16</v>
      </c>
      <c r="D121" s="181" t="s">
        <v>432</v>
      </c>
      <c r="E121" s="119" t="s">
        <v>289</v>
      </c>
      <c r="F121" s="29" t="s">
        <v>978</v>
      </c>
      <c r="G121" s="60" t="s">
        <v>1195</v>
      </c>
    </row>
    <row r="122" spans="1:7" x14ac:dyDescent="0.25">
      <c r="A122" s="215">
        <v>121</v>
      </c>
      <c r="B122" s="476"/>
      <c r="C122" s="147">
        <v>17</v>
      </c>
      <c r="D122" s="181" t="s">
        <v>1001</v>
      </c>
      <c r="E122" s="119" t="s">
        <v>1145</v>
      </c>
      <c r="F122" s="29" t="s">
        <v>978</v>
      </c>
      <c r="G122" s="60" t="s">
        <v>1002</v>
      </c>
    </row>
    <row r="123" spans="1:7" x14ac:dyDescent="0.25">
      <c r="A123" s="117">
        <v>122</v>
      </c>
      <c r="B123" s="476"/>
      <c r="C123" s="147">
        <v>18</v>
      </c>
      <c r="D123" s="181" t="s">
        <v>1648</v>
      </c>
      <c r="E123" s="119" t="s">
        <v>1131</v>
      </c>
      <c r="F123" s="29" t="s">
        <v>978</v>
      </c>
      <c r="G123" s="60" t="s">
        <v>1003</v>
      </c>
    </row>
    <row r="124" spans="1:7" x14ac:dyDescent="0.25">
      <c r="A124" s="215">
        <v>123</v>
      </c>
      <c r="B124" s="476"/>
      <c r="C124" s="147">
        <v>19</v>
      </c>
      <c r="D124" s="181" t="s">
        <v>1004</v>
      </c>
      <c r="E124" s="119" t="s">
        <v>345</v>
      </c>
      <c r="F124" s="29" t="s">
        <v>978</v>
      </c>
      <c r="G124" s="60" t="s">
        <v>1005</v>
      </c>
    </row>
    <row r="125" spans="1:7" x14ac:dyDescent="0.25">
      <c r="A125" s="215">
        <v>124</v>
      </c>
      <c r="B125" s="476"/>
      <c r="C125" s="147">
        <v>20</v>
      </c>
      <c r="D125" s="181" t="s">
        <v>1006</v>
      </c>
      <c r="E125" s="119" t="s">
        <v>1141</v>
      </c>
      <c r="F125" s="29" t="s">
        <v>978</v>
      </c>
      <c r="G125" s="60" t="s">
        <v>1007</v>
      </c>
    </row>
    <row r="126" spans="1:7" x14ac:dyDescent="0.25">
      <c r="A126" s="117">
        <v>125</v>
      </c>
      <c r="B126" s="476"/>
      <c r="C126" s="147">
        <v>21</v>
      </c>
      <c r="D126" s="181" t="s">
        <v>1008</v>
      </c>
      <c r="E126" s="119" t="s">
        <v>1135</v>
      </c>
      <c r="F126" s="29" t="s">
        <v>978</v>
      </c>
      <c r="G126" s="60" t="s">
        <v>1009</v>
      </c>
    </row>
    <row r="127" spans="1:7" x14ac:dyDescent="0.25">
      <c r="A127" s="215">
        <v>126</v>
      </c>
      <c r="B127" s="476"/>
      <c r="C127" s="147">
        <v>22</v>
      </c>
      <c r="D127" s="181" t="s">
        <v>1010</v>
      </c>
      <c r="E127" s="119" t="s">
        <v>280</v>
      </c>
      <c r="F127" s="29" t="s">
        <v>978</v>
      </c>
      <c r="G127" s="60" t="s">
        <v>1011</v>
      </c>
    </row>
    <row r="128" spans="1:7" x14ac:dyDescent="0.25">
      <c r="A128" s="215">
        <v>127</v>
      </c>
      <c r="B128" s="476"/>
      <c r="C128" s="147">
        <v>23</v>
      </c>
      <c r="D128" s="181" t="s">
        <v>1012</v>
      </c>
      <c r="E128" s="119" t="s">
        <v>340</v>
      </c>
      <c r="F128" s="29" t="s">
        <v>978</v>
      </c>
      <c r="G128" s="60" t="s">
        <v>1013</v>
      </c>
    </row>
    <row r="129" spans="1:7" x14ac:dyDescent="0.25">
      <c r="A129" s="117">
        <v>128</v>
      </c>
      <c r="B129" s="476"/>
      <c r="C129" s="147">
        <v>24</v>
      </c>
      <c r="D129" s="181" t="s">
        <v>1650</v>
      </c>
      <c r="E129" s="119" t="s">
        <v>1132</v>
      </c>
      <c r="F129" s="29" t="s">
        <v>978</v>
      </c>
      <c r="G129" s="60" t="s">
        <v>1014</v>
      </c>
    </row>
    <row r="130" spans="1:7" x14ac:dyDescent="0.25">
      <c r="A130" s="215">
        <v>129</v>
      </c>
      <c r="B130" s="476"/>
      <c r="C130" s="147">
        <v>25</v>
      </c>
      <c r="D130" s="181" t="s">
        <v>1015</v>
      </c>
      <c r="E130" s="119" t="s">
        <v>1136</v>
      </c>
      <c r="F130" s="29" t="s">
        <v>978</v>
      </c>
      <c r="G130" s="60" t="s">
        <v>1016</v>
      </c>
    </row>
    <row r="131" spans="1:7" x14ac:dyDescent="0.25">
      <c r="A131" s="215">
        <v>130</v>
      </c>
      <c r="B131" s="476"/>
      <c r="C131" s="147">
        <v>26</v>
      </c>
      <c r="D131" s="181" t="s">
        <v>1017</v>
      </c>
      <c r="E131" s="119" t="s">
        <v>337</v>
      </c>
      <c r="F131" s="29" t="s">
        <v>978</v>
      </c>
      <c r="G131" s="60" t="s">
        <v>1018</v>
      </c>
    </row>
    <row r="132" spans="1:7" x14ac:dyDescent="0.25">
      <c r="A132" s="117">
        <v>131</v>
      </c>
      <c r="B132" s="476"/>
      <c r="C132" s="147">
        <v>27</v>
      </c>
      <c r="D132" s="181" t="s">
        <v>1019</v>
      </c>
      <c r="E132" s="119" t="s">
        <v>1142</v>
      </c>
      <c r="F132" s="29" t="s">
        <v>978</v>
      </c>
      <c r="G132" s="60" t="s">
        <v>1020</v>
      </c>
    </row>
    <row r="133" spans="1:7" x14ac:dyDescent="0.25">
      <c r="A133" s="215">
        <v>132</v>
      </c>
      <c r="B133" s="476"/>
      <c r="C133" s="147">
        <v>28</v>
      </c>
      <c r="D133" s="181" t="s">
        <v>1021</v>
      </c>
      <c r="E133" s="119" t="s">
        <v>1139</v>
      </c>
      <c r="F133" s="29" t="s">
        <v>978</v>
      </c>
      <c r="G133" s="60" t="s">
        <v>1022</v>
      </c>
    </row>
    <row r="134" spans="1:7" x14ac:dyDescent="0.25">
      <c r="A134" s="215">
        <v>133</v>
      </c>
      <c r="B134" s="476"/>
      <c r="C134" s="147">
        <v>29</v>
      </c>
      <c r="D134" s="181" t="s">
        <v>1023</v>
      </c>
      <c r="E134" s="119" t="s">
        <v>342</v>
      </c>
      <c r="F134" s="29" t="s">
        <v>978</v>
      </c>
      <c r="G134" s="60" t="s">
        <v>1024</v>
      </c>
    </row>
    <row r="135" spans="1:7" x14ac:dyDescent="0.25">
      <c r="A135" s="117">
        <v>134</v>
      </c>
      <c r="B135" s="476"/>
      <c r="C135" s="147">
        <v>30</v>
      </c>
      <c r="D135" s="181" t="s">
        <v>1651</v>
      </c>
      <c r="E135" s="119" t="s">
        <v>1133</v>
      </c>
      <c r="F135" s="29" t="s">
        <v>978</v>
      </c>
      <c r="G135" s="60" t="s">
        <v>1025</v>
      </c>
    </row>
    <row r="136" spans="1:7" x14ac:dyDescent="0.25">
      <c r="A136" s="215">
        <v>135</v>
      </c>
      <c r="B136" s="476"/>
      <c r="C136" s="147">
        <v>31</v>
      </c>
      <c r="D136" s="181" t="s">
        <v>1027</v>
      </c>
      <c r="E136" s="119" t="s">
        <v>1137</v>
      </c>
      <c r="F136" s="29" t="s">
        <v>978</v>
      </c>
      <c r="G136" s="60" t="s">
        <v>1028</v>
      </c>
    </row>
    <row r="137" spans="1:7" x14ac:dyDescent="0.25">
      <c r="A137" s="215">
        <v>136</v>
      </c>
      <c r="B137" s="476"/>
      <c r="C137" s="147">
        <v>32</v>
      </c>
      <c r="D137" s="181" t="s">
        <v>1439</v>
      </c>
      <c r="E137" s="119" t="s">
        <v>300</v>
      </c>
      <c r="F137" s="29" t="s">
        <v>978</v>
      </c>
      <c r="G137" s="60" t="s">
        <v>988</v>
      </c>
    </row>
    <row r="138" spans="1:7" x14ac:dyDescent="0.25">
      <c r="A138" s="117">
        <v>137</v>
      </c>
      <c r="B138" s="476"/>
      <c r="C138" s="147">
        <v>33</v>
      </c>
      <c r="D138" s="181" t="s">
        <v>1438</v>
      </c>
      <c r="E138" s="119" t="s">
        <v>326</v>
      </c>
      <c r="F138" s="29" t="s">
        <v>978</v>
      </c>
      <c r="G138" s="60" t="s">
        <v>989</v>
      </c>
    </row>
    <row r="139" spans="1:7" x14ac:dyDescent="0.25">
      <c r="A139" s="215">
        <v>138</v>
      </c>
      <c r="B139" s="476"/>
      <c r="C139" s="147">
        <v>34</v>
      </c>
      <c r="D139" s="181" t="s">
        <v>1442</v>
      </c>
      <c r="E139" s="119" t="s">
        <v>1147</v>
      </c>
      <c r="F139" s="29" t="s">
        <v>978</v>
      </c>
      <c r="G139" s="60" t="s">
        <v>1029</v>
      </c>
    </row>
    <row r="140" spans="1:7" x14ac:dyDescent="0.25">
      <c r="A140" s="215">
        <v>139</v>
      </c>
      <c r="B140" s="476"/>
      <c r="C140" s="147">
        <v>35</v>
      </c>
      <c r="D140" s="182" t="s">
        <v>1443</v>
      </c>
      <c r="E140" s="120" t="s">
        <v>346</v>
      </c>
      <c r="F140" s="121" t="s">
        <v>978</v>
      </c>
      <c r="G140" s="125" t="s">
        <v>998</v>
      </c>
    </row>
    <row r="141" spans="1:7" ht="15.75" thickBot="1" x14ac:dyDescent="0.3">
      <c r="A141" s="117">
        <v>140</v>
      </c>
      <c r="B141" s="477"/>
      <c r="C141" s="147">
        <v>35</v>
      </c>
      <c r="D141" s="183" t="s">
        <v>1030</v>
      </c>
      <c r="E141" s="123" t="s">
        <v>1140</v>
      </c>
      <c r="F141" s="33" t="s">
        <v>978</v>
      </c>
      <c r="G141" s="93" t="s">
        <v>1031</v>
      </c>
    </row>
    <row r="142" spans="1:7" x14ac:dyDescent="0.25">
      <c r="A142" s="215">
        <v>141</v>
      </c>
      <c r="B142" s="470" t="s">
        <v>1032</v>
      </c>
      <c r="C142" s="35">
        <v>1</v>
      </c>
      <c r="D142" s="180" t="s">
        <v>1440</v>
      </c>
      <c r="E142" s="119" t="s">
        <v>1441</v>
      </c>
      <c r="F142" s="40" t="s">
        <v>1033</v>
      </c>
      <c r="G142" s="124" t="s">
        <v>1034</v>
      </c>
    </row>
    <row r="143" spans="1:7" x14ac:dyDescent="0.25">
      <c r="A143" s="215">
        <v>142</v>
      </c>
      <c r="B143" s="471"/>
      <c r="C143" s="28">
        <v>2</v>
      </c>
      <c r="D143" s="181" t="s">
        <v>1035</v>
      </c>
      <c r="E143" s="119" t="s">
        <v>1770</v>
      </c>
      <c r="F143" s="29" t="s">
        <v>1033</v>
      </c>
      <c r="G143" s="60" t="s">
        <v>1036</v>
      </c>
    </row>
    <row r="144" spans="1:7" x14ac:dyDescent="0.25">
      <c r="A144" s="117">
        <v>143</v>
      </c>
      <c r="B144" s="471"/>
      <c r="C144" s="28">
        <v>3</v>
      </c>
      <c r="D144" s="181" t="s">
        <v>1037</v>
      </c>
      <c r="E144" s="119" t="s">
        <v>1100</v>
      </c>
      <c r="F144" s="29" t="s">
        <v>1033</v>
      </c>
      <c r="G144" s="60" t="s">
        <v>1038</v>
      </c>
    </row>
    <row r="145" spans="1:7" x14ac:dyDescent="0.25">
      <c r="A145" s="215">
        <v>145</v>
      </c>
      <c r="B145" s="471"/>
      <c r="C145" s="236">
        <v>4</v>
      </c>
      <c r="D145" s="181" t="s">
        <v>1039</v>
      </c>
      <c r="E145" s="119" t="s">
        <v>1146</v>
      </c>
      <c r="F145" s="29" t="s">
        <v>1033</v>
      </c>
      <c r="G145" s="60" t="s">
        <v>1040</v>
      </c>
    </row>
    <row r="146" spans="1:7" x14ac:dyDescent="0.25">
      <c r="A146" s="117">
        <v>146</v>
      </c>
      <c r="B146" s="471"/>
      <c r="C146" s="236">
        <v>5</v>
      </c>
      <c r="D146" s="181" t="s">
        <v>1041</v>
      </c>
      <c r="E146" s="119" t="s">
        <v>307</v>
      </c>
      <c r="F146" s="29" t="s">
        <v>1033</v>
      </c>
      <c r="G146" s="60" t="s">
        <v>1042</v>
      </c>
    </row>
    <row r="147" spans="1:7" x14ac:dyDescent="0.25">
      <c r="A147" s="215">
        <v>147</v>
      </c>
      <c r="B147" s="478"/>
      <c r="C147" s="236">
        <v>6</v>
      </c>
      <c r="D147" s="182" t="s">
        <v>1389</v>
      </c>
      <c r="E147" s="120" t="s">
        <v>1388</v>
      </c>
      <c r="F147" s="121" t="s">
        <v>1033</v>
      </c>
      <c r="G147" s="125" t="s">
        <v>1209</v>
      </c>
    </row>
    <row r="148" spans="1:7" ht="15.75" thickBot="1" x14ac:dyDescent="0.3">
      <c r="A148" s="215">
        <v>148</v>
      </c>
      <c r="B148" s="478"/>
      <c r="C148" s="146">
        <v>7</v>
      </c>
      <c r="D148" s="182" t="s">
        <v>1043</v>
      </c>
      <c r="E148" s="120" t="s">
        <v>330</v>
      </c>
      <c r="F148" s="121" t="s">
        <v>1033</v>
      </c>
      <c r="G148" s="125" t="s">
        <v>1044</v>
      </c>
    </row>
    <row r="149" spans="1:7" x14ac:dyDescent="0.25">
      <c r="A149" s="117">
        <v>149</v>
      </c>
      <c r="B149" s="479" t="s">
        <v>1045</v>
      </c>
      <c r="C149" s="35">
        <v>1</v>
      </c>
      <c r="D149" s="180" t="s">
        <v>1046</v>
      </c>
      <c r="E149" s="118" t="s">
        <v>330</v>
      </c>
      <c r="F149" s="40" t="s">
        <v>1047</v>
      </c>
      <c r="G149" s="124" t="s">
        <v>1048</v>
      </c>
    </row>
    <row r="150" spans="1:7" x14ac:dyDescent="0.25">
      <c r="A150" s="215">
        <v>150</v>
      </c>
      <c r="B150" s="336"/>
      <c r="C150" s="28">
        <v>2</v>
      </c>
      <c r="D150" s="181" t="s">
        <v>1049</v>
      </c>
      <c r="E150" s="119" t="s">
        <v>305</v>
      </c>
      <c r="F150" s="29" t="s">
        <v>1047</v>
      </c>
      <c r="G150" s="60" t="s">
        <v>1050</v>
      </c>
    </row>
    <row r="151" spans="1:7" x14ac:dyDescent="0.25">
      <c r="A151" s="215">
        <v>151</v>
      </c>
      <c r="B151" s="336"/>
      <c r="C151" s="28">
        <v>3</v>
      </c>
      <c r="D151" s="181" t="s">
        <v>1051</v>
      </c>
      <c r="E151" s="119" t="s">
        <v>330</v>
      </c>
      <c r="F151" s="29" t="s">
        <v>1047</v>
      </c>
      <c r="G151" s="60" t="s">
        <v>1052</v>
      </c>
    </row>
    <row r="152" spans="1:7" x14ac:dyDescent="0.25">
      <c r="A152" s="117">
        <v>152</v>
      </c>
      <c r="B152" s="336"/>
      <c r="C152" s="28">
        <v>4</v>
      </c>
      <c r="D152" s="181" t="s">
        <v>1053</v>
      </c>
      <c r="E152" s="119" t="s">
        <v>1771</v>
      </c>
      <c r="F152" s="29" t="s">
        <v>1047</v>
      </c>
      <c r="G152" s="60" t="s">
        <v>1054</v>
      </c>
    </row>
    <row r="153" spans="1:7" x14ac:dyDescent="0.25">
      <c r="A153" s="215">
        <v>153</v>
      </c>
      <c r="B153" s="336"/>
      <c r="C153" s="28">
        <v>5</v>
      </c>
      <c r="D153" s="181" t="s">
        <v>1055</v>
      </c>
      <c r="E153" s="119" t="s">
        <v>1147</v>
      </c>
      <c r="F153" s="29" t="s">
        <v>1047</v>
      </c>
      <c r="G153" s="60" t="s">
        <v>1056</v>
      </c>
    </row>
    <row r="154" spans="1:7" x14ac:dyDescent="0.25">
      <c r="A154" s="215">
        <v>154</v>
      </c>
      <c r="B154" s="336"/>
      <c r="C154" s="28">
        <v>6</v>
      </c>
      <c r="D154" s="181" t="s">
        <v>1057</v>
      </c>
      <c r="E154" s="119" t="s">
        <v>311</v>
      </c>
      <c r="F154" s="29" t="s">
        <v>1047</v>
      </c>
      <c r="G154" s="60" t="s">
        <v>1058</v>
      </c>
    </row>
    <row r="155" spans="1:7" x14ac:dyDescent="0.25">
      <c r="A155" s="117">
        <v>155</v>
      </c>
      <c r="B155" s="336"/>
      <c r="C155" s="28">
        <v>7</v>
      </c>
      <c r="D155" s="181" t="s">
        <v>1271</v>
      </c>
      <c r="E155" s="119" t="s">
        <v>299</v>
      </c>
      <c r="F155" s="29" t="s">
        <v>1047</v>
      </c>
      <c r="G155" s="60" t="s">
        <v>1059</v>
      </c>
    </row>
    <row r="156" spans="1:7" ht="15.75" thickBot="1" x14ac:dyDescent="0.3">
      <c r="A156" s="215">
        <v>156</v>
      </c>
      <c r="B156" s="480"/>
      <c r="C156" s="32">
        <v>8</v>
      </c>
      <c r="D156" s="183" t="s">
        <v>1060</v>
      </c>
      <c r="E156" s="123" t="s">
        <v>330</v>
      </c>
      <c r="F156" s="33" t="s">
        <v>1047</v>
      </c>
      <c r="G156" s="93" t="s">
        <v>1061</v>
      </c>
    </row>
    <row r="157" spans="1:7" x14ac:dyDescent="0.25">
      <c r="A157" s="215">
        <v>157</v>
      </c>
      <c r="B157" s="470" t="s">
        <v>1062</v>
      </c>
      <c r="C157" s="35">
        <v>1</v>
      </c>
      <c r="D157" s="180" t="s">
        <v>1063</v>
      </c>
      <c r="E157" s="118" t="s">
        <v>331</v>
      </c>
      <c r="F157" s="40" t="s">
        <v>1064</v>
      </c>
      <c r="G157" s="124" t="s">
        <v>1065</v>
      </c>
    </row>
    <row r="158" spans="1:7" x14ac:dyDescent="0.25">
      <c r="A158" s="117">
        <v>158</v>
      </c>
      <c r="B158" s="471"/>
      <c r="C158" s="146">
        <v>2</v>
      </c>
      <c r="D158" s="181" t="s">
        <v>1066</v>
      </c>
      <c r="E158" s="119" t="s">
        <v>305</v>
      </c>
      <c r="F158" s="29" t="s">
        <v>1064</v>
      </c>
      <c r="G158" s="60" t="s">
        <v>1067</v>
      </c>
    </row>
    <row r="159" spans="1:7" x14ac:dyDescent="0.25">
      <c r="A159" s="215">
        <v>159</v>
      </c>
      <c r="B159" s="471"/>
      <c r="C159" s="146">
        <v>3</v>
      </c>
      <c r="D159" s="181" t="s">
        <v>1068</v>
      </c>
      <c r="E159" s="119" t="s">
        <v>1772</v>
      </c>
      <c r="F159" s="29" t="s">
        <v>1064</v>
      </c>
      <c r="G159" s="60" t="s">
        <v>1069</v>
      </c>
    </row>
    <row r="160" spans="1:7" x14ac:dyDescent="0.25">
      <c r="A160" s="215">
        <v>160</v>
      </c>
      <c r="B160" s="471"/>
      <c r="C160" s="146">
        <v>4</v>
      </c>
      <c r="D160" s="181" t="s">
        <v>1070</v>
      </c>
      <c r="E160" s="119" t="s">
        <v>310</v>
      </c>
      <c r="F160" s="29" t="s">
        <v>1064</v>
      </c>
      <c r="G160" s="60" t="s">
        <v>1071</v>
      </c>
    </row>
    <row r="161" spans="1:7" x14ac:dyDescent="0.25">
      <c r="A161" s="117">
        <v>161</v>
      </c>
      <c r="B161" s="471"/>
      <c r="C161" s="146">
        <v>5</v>
      </c>
      <c r="D161" s="181" t="s">
        <v>576</v>
      </c>
      <c r="E161" s="119" t="s">
        <v>332</v>
      </c>
      <c r="F161" s="29" t="s">
        <v>1064</v>
      </c>
      <c r="G161" s="60" t="s">
        <v>1072</v>
      </c>
    </row>
    <row r="162" spans="1:7" x14ac:dyDescent="0.25">
      <c r="A162" s="215">
        <v>162</v>
      </c>
      <c r="B162" s="471"/>
      <c r="C162" s="146">
        <v>6</v>
      </c>
      <c r="D162" s="182" t="s">
        <v>1390</v>
      </c>
      <c r="E162" s="120" t="s">
        <v>325</v>
      </c>
      <c r="F162" s="121" t="s">
        <v>1064</v>
      </c>
      <c r="G162" s="125" t="s">
        <v>1214</v>
      </c>
    </row>
    <row r="163" spans="1:7" x14ac:dyDescent="0.25">
      <c r="A163" s="215">
        <v>163</v>
      </c>
      <c r="B163" s="471"/>
      <c r="C163" s="153">
        <v>7</v>
      </c>
      <c r="D163" s="182" t="s">
        <v>1391</v>
      </c>
      <c r="E163" s="120" t="s">
        <v>304</v>
      </c>
      <c r="F163" s="121" t="s">
        <v>1064</v>
      </c>
      <c r="G163" s="125" t="s">
        <v>1215</v>
      </c>
    </row>
    <row r="164" spans="1:7" ht="15.75" thickBot="1" x14ac:dyDescent="0.3">
      <c r="A164" s="117">
        <v>164</v>
      </c>
      <c r="B164" s="471"/>
      <c r="C164" s="32">
        <v>8</v>
      </c>
      <c r="D164" s="183" t="s">
        <v>1073</v>
      </c>
      <c r="E164" s="123" t="s">
        <v>331</v>
      </c>
      <c r="F164" s="33" t="s">
        <v>1064</v>
      </c>
      <c r="G164" s="93" t="s">
        <v>1074</v>
      </c>
    </row>
    <row r="165" spans="1:7" x14ac:dyDescent="0.25">
      <c r="A165" s="215">
        <v>165</v>
      </c>
    </row>
  </sheetData>
  <mergeCells count="14">
    <mergeCell ref="K69:K70"/>
    <mergeCell ref="K67:K68"/>
    <mergeCell ref="B36:B71"/>
    <mergeCell ref="K20:K33"/>
    <mergeCell ref="B3:B35"/>
    <mergeCell ref="K34:K49"/>
    <mergeCell ref="K3:K19"/>
    <mergeCell ref="K65:K66"/>
    <mergeCell ref="K50:K64"/>
    <mergeCell ref="B157:B164"/>
    <mergeCell ref="B72:B106"/>
    <mergeCell ref="B107:B141"/>
    <mergeCell ref="B142:B148"/>
    <mergeCell ref="B149:B156"/>
  </mergeCells>
  <conditionalFormatting sqref="L17">
    <cfRule type="duplicateValues" dxfId="29" priority="12"/>
  </conditionalFormatting>
  <conditionalFormatting sqref="K161:K163">
    <cfRule type="duplicateValues" dxfId="28" priority="11"/>
  </conditionalFormatting>
  <conditionalFormatting sqref="G30:G1048576 G1:G28">
    <cfRule type="duplicateValues" dxfId="27" priority="111"/>
  </conditionalFormatting>
  <conditionalFormatting sqref="L54:L1048576 G30:G1048576 G1:G28 L1:L2 L4:L5 L7:L12 L14:L34 L36:L49 L51:L52">
    <cfRule type="duplicateValues" dxfId="26" priority="299"/>
  </conditionalFormatting>
  <conditionalFormatting sqref="L53">
    <cfRule type="duplicateValues" dxfId="25" priority="7"/>
  </conditionalFormatting>
  <conditionalFormatting sqref="L53">
    <cfRule type="duplicateValues" dxfId="24" priority="8"/>
  </conditionalFormatting>
  <conditionalFormatting sqref="L18:L19">
    <cfRule type="duplicateValues" dxfId="23" priority="354"/>
  </conditionalFormatting>
  <conditionalFormatting sqref="L56:L57 L40 L4:L5 L8 L10 L12 L16 L18 L20 L22:L23 L25 L27 L29 L31 L34 L38 L42 L44 L46 L48 L59 L61 L63 L65 L67 L69 L14">
    <cfRule type="duplicateValues" dxfId="22" priority="355"/>
  </conditionalFormatting>
  <conditionalFormatting sqref="L54:L55 L41 L4:L5 L19 L21 L24 L26 L28 L30 L32:L33 L36:L37 L39 L43 L45 L47 L49 L58 L60 L62 L64 L66 L68 L70 L7:L12 L14:L17 L51:L52">
    <cfRule type="duplicateValues" dxfId="21" priority="383"/>
  </conditionalFormatting>
  <conditionalFormatting sqref="G29">
    <cfRule type="duplicateValues" dxfId="20" priority="4"/>
  </conditionalFormatting>
  <conditionalFormatting sqref="G29">
    <cfRule type="duplicateValues" dxfId="19" priority="5"/>
  </conditionalFormatting>
  <conditionalFormatting sqref="G29">
    <cfRule type="duplicateValues" dxfId="18" priority="6"/>
  </conditionalFormatting>
  <conditionalFormatting sqref="G33:G34">
    <cfRule type="duplicateValues" dxfId="17" priority="384"/>
  </conditionalFormatting>
  <conditionalFormatting sqref="G1:G1048576">
    <cfRule type="duplicateValues" dxfId="16" priority="2"/>
  </conditionalFormatting>
  <conditionalFormatting sqref="L1:L1048576">
    <cfRule type="duplicateValues" dxfId="15" priority="495"/>
  </conditionalFormatting>
  <conditionalFormatting sqref="G35:G164 G3:G28 G30:G32">
    <cfRule type="duplicateValues" dxfId="14" priority="762"/>
  </conditionalFormatting>
  <conditionalFormatting sqref="L4:L5 G3:G165 L7:L12 L14:L34 L36:L49 L51:L70">
    <cfRule type="duplicateValues" dxfId="13" priority="772"/>
  </conditionalFormatting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50"/>
  </sheetPr>
  <dimension ref="A1:D53"/>
  <sheetViews>
    <sheetView topLeftCell="A7" workbookViewId="0">
      <selection activeCell="Q25" sqref="Q25"/>
    </sheetView>
  </sheetViews>
  <sheetFormatPr defaultRowHeight="15" x14ac:dyDescent="0.25"/>
  <cols>
    <col min="1" max="1" width="3" bestFit="1" customWidth="1"/>
    <col min="2" max="2" width="8.28515625" bestFit="1" customWidth="1"/>
    <col min="3" max="3" width="16.7109375" bestFit="1" customWidth="1"/>
    <col min="4" max="4" width="19" bestFit="1" customWidth="1"/>
  </cols>
  <sheetData>
    <row r="1" spans="1:4" ht="15.75" thickBot="1" x14ac:dyDescent="0.3">
      <c r="A1" s="178" t="s">
        <v>1646</v>
      </c>
      <c r="B1" s="177" t="s">
        <v>1645</v>
      </c>
      <c r="C1" s="177" t="s">
        <v>1644</v>
      </c>
      <c r="D1" s="177" t="s">
        <v>1643</v>
      </c>
    </row>
    <row r="2" spans="1:4" ht="14.65" customHeight="1" x14ac:dyDescent="0.25">
      <c r="A2" s="176">
        <v>1</v>
      </c>
      <c r="B2" s="485" t="s">
        <v>1642</v>
      </c>
      <c r="C2" s="40" t="s">
        <v>1641</v>
      </c>
      <c r="D2" s="172" t="s">
        <v>632</v>
      </c>
    </row>
    <row r="3" spans="1:4" x14ac:dyDescent="0.25">
      <c r="A3" s="175">
        <v>2</v>
      </c>
      <c r="B3" s="486"/>
      <c r="C3" s="30" t="s">
        <v>1640</v>
      </c>
      <c r="D3" s="131" t="s">
        <v>447</v>
      </c>
    </row>
    <row r="4" spans="1:4" x14ac:dyDescent="0.25">
      <c r="A4" s="175">
        <v>3</v>
      </c>
      <c r="B4" s="486"/>
      <c r="C4" s="30" t="s">
        <v>1639</v>
      </c>
      <c r="D4" s="131" t="s">
        <v>1638</v>
      </c>
    </row>
    <row r="5" spans="1:4" ht="15.75" thickBot="1" x14ac:dyDescent="0.3">
      <c r="A5" s="174">
        <v>4</v>
      </c>
      <c r="B5" s="487"/>
      <c r="C5" s="34" t="s">
        <v>1637</v>
      </c>
      <c r="D5" s="171" t="s">
        <v>1636</v>
      </c>
    </row>
    <row r="6" spans="1:4" ht="15.75" thickBot="1" x14ac:dyDescent="0.3">
      <c r="A6" s="7">
        <v>5</v>
      </c>
      <c r="B6" s="485" t="s">
        <v>1635</v>
      </c>
      <c r="C6" s="40" t="s">
        <v>1634</v>
      </c>
      <c r="D6" s="131" t="s">
        <v>1633</v>
      </c>
    </row>
    <row r="7" spans="1:4" x14ac:dyDescent="0.25">
      <c r="A7" s="8">
        <v>6</v>
      </c>
      <c r="B7" s="486"/>
      <c r="C7" s="30" t="s">
        <v>1632</v>
      </c>
      <c r="D7" s="172" t="s">
        <v>630</v>
      </c>
    </row>
    <row r="8" spans="1:4" x14ac:dyDescent="0.25">
      <c r="A8" s="8">
        <v>7</v>
      </c>
      <c r="B8" s="486"/>
      <c r="C8" s="29" t="s">
        <v>1631</v>
      </c>
      <c r="D8" s="131" t="s">
        <v>1630</v>
      </c>
    </row>
    <row r="9" spans="1:4" ht="15.75" thickBot="1" x14ac:dyDescent="0.3">
      <c r="A9" s="9">
        <v>8</v>
      </c>
      <c r="B9" s="487"/>
      <c r="C9" s="33" t="s">
        <v>1629</v>
      </c>
      <c r="D9" s="171" t="s">
        <v>1628</v>
      </c>
    </row>
    <row r="10" spans="1:4" x14ac:dyDescent="0.25">
      <c r="A10" s="7">
        <v>9</v>
      </c>
      <c r="B10" s="485" t="s">
        <v>1627</v>
      </c>
      <c r="C10" s="40" t="s">
        <v>1626</v>
      </c>
      <c r="D10" s="172" t="s">
        <v>1625</v>
      </c>
    </row>
    <row r="11" spans="1:4" x14ac:dyDescent="0.25">
      <c r="A11" s="8">
        <v>10</v>
      </c>
      <c r="B11" s="486"/>
      <c r="C11" s="30" t="s">
        <v>1624</v>
      </c>
      <c r="D11" s="131" t="s">
        <v>1623</v>
      </c>
    </row>
    <row r="12" spans="1:4" x14ac:dyDescent="0.25">
      <c r="A12" s="8">
        <v>11</v>
      </c>
      <c r="B12" s="486"/>
      <c r="C12" s="30" t="s">
        <v>1622</v>
      </c>
      <c r="D12" s="131" t="s">
        <v>1621</v>
      </c>
    </row>
    <row r="13" spans="1:4" ht="15.75" thickBot="1" x14ac:dyDescent="0.3">
      <c r="A13" s="9">
        <v>12</v>
      </c>
      <c r="B13" s="487"/>
      <c r="C13" s="33" t="s">
        <v>1620</v>
      </c>
      <c r="D13" s="171" t="s">
        <v>1619</v>
      </c>
    </row>
    <row r="14" spans="1:4" x14ac:dyDescent="0.25">
      <c r="A14" s="7">
        <v>13</v>
      </c>
      <c r="B14" s="485" t="s">
        <v>1618</v>
      </c>
      <c r="C14" s="30" t="s">
        <v>1617</v>
      </c>
      <c r="D14" s="172" t="s">
        <v>1616</v>
      </c>
    </row>
    <row r="15" spans="1:4" x14ac:dyDescent="0.25">
      <c r="A15" s="8">
        <v>14</v>
      </c>
      <c r="B15" s="486"/>
      <c r="C15" s="29" t="s">
        <v>1615</v>
      </c>
      <c r="D15" s="131" t="s">
        <v>1614</v>
      </c>
    </row>
    <row r="16" spans="1:4" x14ac:dyDescent="0.25">
      <c r="A16" s="8">
        <v>15</v>
      </c>
      <c r="B16" s="486"/>
      <c r="C16" s="30" t="s">
        <v>1613</v>
      </c>
      <c r="D16" s="131" t="s">
        <v>1612</v>
      </c>
    </row>
    <row r="17" spans="1:4" ht="15.75" thickBot="1" x14ac:dyDescent="0.3">
      <c r="A17" s="9">
        <v>16</v>
      </c>
      <c r="B17" s="487"/>
      <c r="C17" s="34" t="s">
        <v>1611</v>
      </c>
      <c r="D17" s="171" t="s">
        <v>1610</v>
      </c>
    </row>
    <row r="18" spans="1:4" x14ac:dyDescent="0.25">
      <c r="A18" s="7">
        <v>17</v>
      </c>
      <c r="B18" s="485" t="s">
        <v>1609</v>
      </c>
      <c r="C18" s="30" t="s">
        <v>1608</v>
      </c>
      <c r="D18" s="131" t="s">
        <v>1607</v>
      </c>
    </row>
    <row r="19" spans="1:4" x14ac:dyDescent="0.25">
      <c r="A19" s="8">
        <v>18</v>
      </c>
      <c r="B19" s="486"/>
      <c r="C19" s="30" t="s">
        <v>1606</v>
      </c>
      <c r="D19" s="131" t="s">
        <v>397</v>
      </c>
    </row>
    <row r="20" spans="1:4" x14ac:dyDescent="0.25">
      <c r="A20" s="8">
        <v>19</v>
      </c>
      <c r="B20" s="486"/>
      <c r="C20" s="30" t="s">
        <v>1605</v>
      </c>
      <c r="D20" s="173" t="s">
        <v>1604</v>
      </c>
    </row>
    <row r="21" spans="1:4" ht="15.75" thickBot="1" x14ac:dyDescent="0.3">
      <c r="A21" s="9">
        <v>20</v>
      </c>
      <c r="B21" s="487"/>
      <c r="C21" s="34" t="s">
        <v>1603</v>
      </c>
      <c r="D21" s="171" t="s">
        <v>396</v>
      </c>
    </row>
    <row r="22" spans="1:4" x14ac:dyDescent="0.25">
      <c r="A22" s="7">
        <v>21</v>
      </c>
      <c r="B22" s="485" t="s">
        <v>1602</v>
      </c>
      <c r="C22" s="40" t="s">
        <v>1601</v>
      </c>
      <c r="D22" s="172" t="s">
        <v>1600</v>
      </c>
    </row>
    <row r="23" spans="1:4" x14ac:dyDescent="0.25">
      <c r="A23" s="8">
        <v>22</v>
      </c>
      <c r="B23" s="486"/>
      <c r="C23" s="29" t="s">
        <v>1599</v>
      </c>
      <c r="D23" s="131" t="s">
        <v>1598</v>
      </c>
    </row>
    <row r="24" spans="1:4" x14ac:dyDescent="0.25">
      <c r="A24" s="8">
        <v>23</v>
      </c>
      <c r="B24" s="486"/>
      <c r="C24" s="30" t="s">
        <v>1597</v>
      </c>
      <c r="D24" s="131" t="s">
        <v>1596</v>
      </c>
    </row>
    <row r="25" spans="1:4" ht="15.75" thickBot="1" x14ac:dyDescent="0.3">
      <c r="A25" s="9">
        <v>24</v>
      </c>
      <c r="B25" s="487"/>
      <c r="C25" s="29" t="s">
        <v>1595</v>
      </c>
      <c r="D25" s="171" t="s">
        <v>1594</v>
      </c>
    </row>
    <row r="26" spans="1:4" x14ac:dyDescent="0.25">
      <c r="A26" s="7">
        <v>25</v>
      </c>
      <c r="B26" s="485" t="s">
        <v>1593</v>
      </c>
      <c r="C26" s="41" t="s">
        <v>1592</v>
      </c>
      <c r="D26" s="172" t="s">
        <v>1591</v>
      </c>
    </row>
    <row r="27" spans="1:4" x14ac:dyDescent="0.25">
      <c r="A27" s="8">
        <v>26</v>
      </c>
      <c r="B27" s="486"/>
      <c r="C27" s="30" t="s">
        <v>1590</v>
      </c>
      <c r="D27" s="131" t="s">
        <v>478</v>
      </c>
    </row>
    <row r="28" spans="1:4" x14ac:dyDescent="0.25">
      <c r="A28" s="8">
        <v>27</v>
      </c>
      <c r="B28" s="486"/>
      <c r="C28" s="30" t="s">
        <v>1589</v>
      </c>
      <c r="D28" s="131" t="s">
        <v>1588</v>
      </c>
    </row>
    <row r="29" spans="1:4" ht="15.75" thickBot="1" x14ac:dyDescent="0.3">
      <c r="A29" s="9">
        <v>28</v>
      </c>
      <c r="B29" s="487"/>
      <c r="C29" s="34" t="s">
        <v>1587</v>
      </c>
      <c r="D29" s="131" t="s">
        <v>1586</v>
      </c>
    </row>
    <row r="30" spans="1:4" x14ac:dyDescent="0.25">
      <c r="A30" s="7">
        <v>29</v>
      </c>
      <c r="B30" s="485" t="s">
        <v>1585</v>
      </c>
      <c r="C30" s="41" t="s">
        <v>1584</v>
      </c>
      <c r="D30" s="172" t="s">
        <v>1583</v>
      </c>
    </row>
    <row r="31" spans="1:4" x14ac:dyDescent="0.25">
      <c r="A31" s="8">
        <v>30</v>
      </c>
      <c r="B31" s="486"/>
      <c r="C31" s="30" t="s">
        <v>1582</v>
      </c>
      <c r="D31" s="131" t="s">
        <v>661</v>
      </c>
    </row>
    <row r="32" spans="1:4" x14ac:dyDescent="0.25">
      <c r="A32" s="8">
        <v>31</v>
      </c>
      <c r="B32" s="486"/>
      <c r="C32" s="29" t="s">
        <v>1581</v>
      </c>
      <c r="D32" s="131" t="s">
        <v>547</v>
      </c>
    </row>
    <row r="33" spans="1:4" ht="15.75" thickBot="1" x14ac:dyDescent="0.3">
      <c r="A33" s="9">
        <v>32</v>
      </c>
      <c r="B33" s="487"/>
      <c r="C33" s="33" t="s">
        <v>1580</v>
      </c>
      <c r="D33" s="171" t="s">
        <v>1579</v>
      </c>
    </row>
    <row r="34" spans="1:4" x14ac:dyDescent="0.25">
      <c r="A34" s="7">
        <v>33</v>
      </c>
      <c r="B34" s="485" t="s">
        <v>1578</v>
      </c>
      <c r="C34" s="40" t="s">
        <v>1577</v>
      </c>
      <c r="D34" s="172" t="s">
        <v>577</v>
      </c>
    </row>
    <row r="35" spans="1:4" x14ac:dyDescent="0.25">
      <c r="A35" s="8">
        <v>34</v>
      </c>
      <c r="B35" s="486"/>
      <c r="C35" s="30" t="s">
        <v>1576</v>
      </c>
      <c r="D35" s="131" t="s">
        <v>1575</v>
      </c>
    </row>
    <row r="36" spans="1:4" ht="15.75" thickBot="1" x14ac:dyDescent="0.3">
      <c r="A36" s="8">
        <v>35</v>
      </c>
      <c r="B36" s="486"/>
      <c r="C36" s="30" t="s">
        <v>1574</v>
      </c>
      <c r="D36" s="131" t="s">
        <v>748</v>
      </c>
    </row>
    <row r="37" spans="1:4" ht="15.75" thickBot="1" x14ac:dyDescent="0.3">
      <c r="A37" s="9">
        <v>36</v>
      </c>
      <c r="B37" s="487"/>
      <c r="C37" s="33" t="s">
        <v>1573</v>
      </c>
      <c r="D37" s="172" t="s">
        <v>1396</v>
      </c>
    </row>
    <row r="38" spans="1:4" x14ac:dyDescent="0.25">
      <c r="A38" s="7">
        <v>37</v>
      </c>
      <c r="B38" s="485" t="s">
        <v>1572</v>
      </c>
      <c r="C38" s="29" t="s">
        <v>1571</v>
      </c>
      <c r="D38" s="131" t="s">
        <v>1570</v>
      </c>
    </row>
    <row r="39" spans="1:4" x14ac:dyDescent="0.25">
      <c r="A39" s="8">
        <v>38</v>
      </c>
      <c r="B39" s="486"/>
      <c r="C39" s="29" t="s">
        <v>1569</v>
      </c>
      <c r="D39" s="131" t="s">
        <v>1568</v>
      </c>
    </row>
    <row r="40" spans="1:4" ht="15.75" thickBot="1" x14ac:dyDescent="0.3">
      <c r="A40" s="8">
        <v>39</v>
      </c>
      <c r="B40" s="486"/>
      <c r="C40" s="33" t="s">
        <v>1567</v>
      </c>
      <c r="D40" s="171" t="s">
        <v>1566</v>
      </c>
    </row>
    <row r="41" spans="1:4" ht="15.75" thickBot="1" x14ac:dyDescent="0.3">
      <c r="A41" s="9">
        <v>40</v>
      </c>
      <c r="B41" s="487"/>
      <c r="C41" s="34" t="s">
        <v>1565</v>
      </c>
      <c r="D41" s="173" t="s">
        <v>1564</v>
      </c>
    </row>
    <row r="42" spans="1:4" x14ac:dyDescent="0.25">
      <c r="A42" s="7">
        <v>41</v>
      </c>
      <c r="B42" s="485" t="s">
        <v>1563</v>
      </c>
      <c r="C42" s="30" t="s">
        <v>1561</v>
      </c>
      <c r="D42" s="131" t="s">
        <v>1652</v>
      </c>
    </row>
    <row r="43" spans="1:4" x14ac:dyDescent="0.25">
      <c r="A43" s="8">
        <v>42</v>
      </c>
      <c r="B43" s="486"/>
      <c r="C43" s="29" t="s">
        <v>1562</v>
      </c>
      <c r="D43" s="173" t="s">
        <v>510</v>
      </c>
    </row>
    <row r="44" spans="1:4" x14ac:dyDescent="0.25">
      <c r="A44" s="8">
        <v>43</v>
      </c>
      <c r="B44" s="486"/>
      <c r="C44" s="30" t="s">
        <v>1560</v>
      </c>
      <c r="D44" s="131" t="s">
        <v>1708</v>
      </c>
    </row>
    <row r="45" spans="1:4" ht="15.75" thickBot="1" x14ac:dyDescent="0.3">
      <c r="A45" s="9">
        <v>44</v>
      </c>
      <c r="B45" s="487"/>
      <c r="C45" s="34" t="s">
        <v>1559</v>
      </c>
      <c r="D45" s="171" t="s">
        <v>1285</v>
      </c>
    </row>
    <row r="46" spans="1:4" x14ac:dyDescent="0.25">
      <c r="A46" s="7">
        <v>45</v>
      </c>
      <c r="B46" s="485" t="s">
        <v>1558</v>
      </c>
      <c r="C46" s="41" t="s">
        <v>1557</v>
      </c>
      <c r="D46" s="172" t="s">
        <v>471</v>
      </c>
    </row>
    <row r="47" spans="1:4" x14ac:dyDescent="0.25">
      <c r="A47" s="8">
        <v>46</v>
      </c>
      <c r="B47" s="486"/>
      <c r="C47" s="30" t="s">
        <v>1555</v>
      </c>
      <c r="D47" s="131" t="s">
        <v>1554</v>
      </c>
    </row>
    <row r="48" spans="1:4" ht="15.75" thickBot="1" x14ac:dyDescent="0.3">
      <c r="A48" s="8">
        <v>47</v>
      </c>
      <c r="B48" s="486"/>
      <c r="C48" s="30" t="s">
        <v>1553</v>
      </c>
      <c r="D48" s="131" t="s">
        <v>473</v>
      </c>
    </row>
    <row r="49" spans="1:4" ht="15.75" thickBot="1" x14ac:dyDescent="0.3">
      <c r="A49" s="9">
        <v>48</v>
      </c>
      <c r="B49" s="487"/>
      <c r="C49" s="34" t="s">
        <v>1552</v>
      </c>
      <c r="D49" s="172" t="s">
        <v>1556</v>
      </c>
    </row>
    <row r="50" spans="1:4" ht="15.75" thickBot="1" x14ac:dyDescent="0.3">
      <c r="A50" s="7">
        <v>49</v>
      </c>
      <c r="B50" s="485" t="s">
        <v>1551</v>
      </c>
      <c r="C50" s="29" t="s">
        <v>1550</v>
      </c>
      <c r="D50" s="171"/>
    </row>
    <row r="51" spans="1:4" x14ac:dyDescent="0.25">
      <c r="A51" s="8">
        <v>50</v>
      </c>
      <c r="B51" s="486"/>
      <c r="C51" s="29" t="s">
        <v>1549</v>
      </c>
      <c r="D51" s="131" t="s">
        <v>1548</v>
      </c>
    </row>
    <row r="52" spans="1:4" x14ac:dyDescent="0.25">
      <c r="A52" s="8">
        <v>51</v>
      </c>
      <c r="B52" s="486"/>
      <c r="C52" s="29" t="s">
        <v>1547</v>
      </c>
      <c r="D52" s="131" t="s">
        <v>1546</v>
      </c>
    </row>
    <row r="53" spans="1:4" ht="15.75" thickBot="1" x14ac:dyDescent="0.3">
      <c r="A53" s="9">
        <v>52</v>
      </c>
      <c r="B53" s="487"/>
      <c r="C53" s="29" t="s">
        <v>1545</v>
      </c>
      <c r="D53" s="171"/>
    </row>
  </sheetData>
  <mergeCells count="13">
    <mergeCell ref="B22:B25"/>
    <mergeCell ref="B2:B5"/>
    <mergeCell ref="B6:B9"/>
    <mergeCell ref="B10:B13"/>
    <mergeCell ref="B14:B17"/>
    <mergeCell ref="B18:B21"/>
    <mergeCell ref="B50:B53"/>
    <mergeCell ref="B26:B29"/>
    <mergeCell ref="B30:B33"/>
    <mergeCell ref="B34:B37"/>
    <mergeCell ref="B38:B41"/>
    <mergeCell ref="B42:B45"/>
    <mergeCell ref="B46:B49"/>
  </mergeCells>
  <conditionalFormatting sqref="C1:C27 C31:C35 C37:C40 C43:C1048576">
    <cfRule type="duplicateValues" dxfId="12" priority="1"/>
  </conditionalFormatting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0070C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-0.249977111117893"/>
  </sheetPr>
  <dimension ref="A1"/>
  <sheetViews>
    <sheetView workbookViewId="0">
      <selection activeCell="Q20" sqref="Q20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5</vt:i4>
      </vt:variant>
    </vt:vector>
  </HeadingPairs>
  <TitlesOfParts>
    <vt:vector size="28" baseType="lpstr">
      <vt:lpstr>DA</vt:lpstr>
      <vt:lpstr>EN Quin Sw</vt:lpstr>
      <vt:lpstr>HM Quin Sw</vt:lpstr>
      <vt:lpstr>EN-HM IRD</vt:lpstr>
      <vt:lpstr>EN SDI-Router</vt:lpstr>
      <vt:lpstr>HM SDI - Router</vt:lpstr>
      <vt:lpstr>EN STB</vt:lpstr>
      <vt:lpstr>HM STB</vt:lpstr>
      <vt:lpstr>Free Ports</vt:lpstr>
      <vt:lpstr>EN IRD 1,2,3,4</vt:lpstr>
      <vt:lpstr>EN IRD 5,6,7,8</vt:lpstr>
      <vt:lpstr>EN IRD 9,10,11,12</vt:lpstr>
      <vt:lpstr>EN IRD 13,14,15,16</vt:lpstr>
      <vt:lpstr>EN IRD 17,18,19,20</vt:lpstr>
      <vt:lpstr>HM IRD 1,2,3,4</vt:lpstr>
      <vt:lpstr>HM IRD 5,6,7,8</vt:lpstr>
      <vt:lpstr>HM IRD 9,10,11,12</vt:lpstr>
      <vt:lpstr>HM IRD 13,14,15,16</vt:lpstr>
      <vt:lpstr>HM IRD 17,18,19,20</vt:lpstr>
      <vt:lpstr>Muse Multicast</vt:lpstr>
      <vt:lpstr>Eletra 8K, XT Mutlicast</vt:lpstr>
      <vt:lpstr>MUX Multicast</vt:lpstr>
      <vt:lpstr>IRD Multicast</vt:lpstr>
      <vt:lpstr>Cable_Name</vt:lpstr>
      <vt:lpstr>DA!Print_Area</vt:lpstr>
      <vt:lpstr>'EN IRD 1,2,3,4'!Print_Area</vt:lpstr>
      <vt:lpstr>'EN SDI-Router'!Print_Area</vt:lpstr>
      <vt:lpstr>'HM SDI - Router'!Print_Area</vt:lpstr>
    </vt:vector>
  </TitlesOfParts>
  <Company>Bharti Airtel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Janardhan</dc:creator>
  <cp:lastModifiedBy>Janardhan</cp:lastModifiedBy>
  <cp:lastPrinted>2017-07-27T17:42:56Z</cp:lastPrinted>
  <dcterms:created xsi:type="dcterms:W3CDTF">2016-10-28T13:45:51Z</dcterms:created>
  <dcterms:modified xsi:type="dcterms:W3CDTF">2018-10-28T14:17:37Z</dcterms:modified>
</cp:coreProperties>
</file>